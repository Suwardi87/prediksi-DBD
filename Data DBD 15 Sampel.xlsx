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12690" windowHeight="4650" tabRatio="600" firstSheet="18" activeTab="18" autoFilterDateGrouping="1"/>
  </bookViews>
  <sheets>
    <sheet xmlns:r="http://schemas.openxmlformats.org/officeDocument/2006/relationships" name="Data_DBD" sheetId="1" state="visible" r:id="rId1"/>
    <sheet xmlns:r="http://schemas.openxmlformats.org/officeDocument/2006/relationships" name="Pohon 1" sheetId="2" state="visible" r:id="rId2"/>
    <sheet xmlns:r="http://schemas.openxmlformats.org/officeDocument/2006/relationships" name="Pohon 2" sheetId="3" state="visible" r:id="rId3"/>
    <sheet xmlns:r="http://schemas.openxmlformats.org/officeDocument/2006/relationships" name="Pohon 3" sheetId="4" state="visible" r:id="rId4"/>
    <sheet xmlns:r="http://schemas.openxmlformats.org/officeDocument/2006/relationships" name="Pohon 4" sheetId="5" state="visible" r:id="rId5"/>
    <sheet xmlns:r="http://schemas.openxmlformats.org/officeDocument/2006/relationships" name="Pohon 5" sheetId="6" state="visible" r:id="rId6"/>
    <sheet xmlns:r="http://schemas.openxmlformats.org/officeDocument/2006/relationships" name="Pohon 6" sheetId="7" state="visible" r:id="rId7"/>
    <sheet xmlns:r="http://schemas.openxmlformats.org/officeDocument/2006/relationships" name="Pohon 7(BP)" sheetId="8" state="visible" r:id="rId8"/>
    <sheet xmlns:r="http://schemas.openxmlformats.org/officeDocument/2006/relationships" name="Pohon 8 (BP)" sheetId="9" state="visible" r:id="rId9"/>
    <sheet xmlns:r="http://schemas.openxmlformats.org/officeDocument/2006/relationships" name="Pohon 9" sheetId="10" state="visible" r:id="rId10"/>
    <sheet xmlns:r="http://schemas.openxmlformats.org/officeDocument/2006/relationships" name="Pohon 10" sheetId="11" state="visible" r:id="rId11"/>
    <sheet xmlns:r="http://schemas.openxmlformats.org/officeDocument/2006/relationships" name="Pohon 11" sheetId="12" state="visible" r:id="rId12"/>
    <sheet xmlns:r="http://schemas.openxmlformats.org/officeDocument/2006/relationships" name="Pohon 12" sheetId="13" state="visible" r:id="rId13"/>
    <sheet xmlns:r="http://schemas.openxmlformats.org/officeDocument/2006/relationships" name="Pohon 13" sheetId="14" state="visible" r:id="rId14"/>
    <sheet xmlns:r="http://schemas.openxmlformats.org/officeDocument/2006/relationships" name="Pohon 14" sheetId="15" state="visible" r:id="rId15"/>
    <sheet xmlns:r="http://schemas.openxmlformats.org/officeDocument/2006/relationships" name="Pohon 15" sheetId="16" state="visible" r:id="rId16"/>
    <sheet xmlns:r="http://schemas.openxmlformats.org/officeDocument/2006/relationships" name="Random_Sampling" sheetId="17" state="visible" r:id="rId17"/>
    <sheet xmlns:r="http://schemas.openxmlformats.org/officeDocument/2006/relationships" name="PerhitunganRF" sheetId="18" state="visible" r:id="rId18"/>
    <sheet xmlns:r="http://schemas.openxmlformats.org/officeDocument/2006/relationships" name="PenentuanPohonterbaik" sheetId="19" state="visible" r:id="rId19"/>
    <sheet xmlns:r="http://schemas.openxmlformats.org/officeDocument/2006/relationships" name="Ringkasan_Perhitungan" sheetId="20" state="visible" r:id="rId20"/>
    <sheet xmlns:r="http://schemas.openxmlformats.org/officeDocument/2006/relationships" name="Rules_Semua_Pohon" sheetId="21" state="visible" r:id="rId21"/>
    <sheet xmlns:r="http://schemas.openxmlformats.org/officeDocument/2006/relationships" name="Pohon_Terbaik" sheetId="22" state="visible" r:id="rId22"/>
    <sheet xmlns:r="http://schemas.openxmlformats.org/officeDocument/2006/relationships" name="Pengujian_Pohon5" sheetId="23" state="visible" r:id="rId2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3">
    <font>
      <name val="Calibri"/>
      <charset val="134"/>
      <color theme="1"/>
      <sz val="11"/>
    </font>
    <font>
      <name val="Calibri"/>
      <charset val="134"/>
      <b val="1"/>
      <color rgb="FF1C324F"/>
      <sz val="14"/>
    </font>
    <font>
      <name val="Calibri"/>
      <charset val="134"/>
      <b val="1"/>
      <color rgb="FF4A5568"/>
      <sz val="11"/>
    </font>
    <font>
      <name val="Calibri"/>
      <charset val="134"/>
      <b val="1"/>
      <color rgb="FFFFFFFF"/>
      <sz val="11"/>
    </font>
    <font>
      <name val="Calibri"/>
      <charset val="134"/>
      <b val="1"/>
      <sz val="11"/>
    </font>
    <font>
      <name val="Calibri"/>
      <charset val="134"/>
      <b val="1"/>
      <color rgb="FF1C324F"/>
      <sz val="12"/>
    </font>
    <font>
      <name val="Calibri"/>
      <charset val="134"/>
      <b val="1"/>
      <color rgb="FF03543F"/>
      <sz val="11"/>
    </font>
    <font>
      <name val="Courier New"/>
      <charset val="134"/>
      <sz val="10"/>
    </font>
    <font>
      <name val="Calibri"/>
      <charset val="134"/>
      <b val="1"/>
      <i val="1"/>
      <color rgb="FF03543F"/>
      <sz val="10"/>
    </font>
    <font>
      <name val="Calibri"/>
      <charset val="134"/>
      <i val="1"/>
      <color rgb="FF6B7280"/>
      <sz val="9"/>
    </font>
    <font>
      <name val="Calibri"/>
      <charset val="1"/>
      <b val="1"/>
      <color theme="1"/>
      <sz val="11"/>
    </font>
    <font>
      <name val="Calibri"/>
      <charset val="134"/>
      <b val="1"/>
      <color theme="1"/>
      <sz val="11"/>
    </font>
    <font>
      <name val="Calibri"/>
      <charset val="1"/>
      <color theme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Arial"/>
      <charset val="134"/>
      <sz val="10"/>
    </font>
    <font>
      <name val="Calibri"/>
      <charset val="0"/>
      <color theme="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800080"/>
      <sz val="11"/>
      <u val="single"/>
      <scheme val="minor"/>
    </font>
    <font>
      <b val="1"/>
      <color rgb="001C324F"/>
      <sz val="14"/>
    </font>
    <font>
      <b val="1"/>
      <color rgb="004A5568"/>
      <sz val="11"/>
    </font>
    <font>
      <b val="1"/>
      <color rgb="00FFFFFF"/>
      <sz val="11"/>
    </font>
    <font>
      <b val="1"/>
      <color rgb="001C324F"/>
      <sz val="12"/>
    </font>
    <font>
      <b val="1"/>
    </font>
    <font>
      <b val="1"/>
      <color rgb="0003543F"/>
      <sz val="12"/>
    </font>
    <font>
      <b val="1"/>
      <color rgb="0003543F"/>
    </font>
    <font>
      <b val="1"/>
      <i val="1"/>
      <color rgb="0003543F"/>
      <sz val="10"/>
    </font>
  </fonts>
  <fills count="42">
    <fill>
      <patternFill/>
    </fill>
    <fill>
      <patternFill patternType="gray125"/>
    </fill>
    <fill>
      <patternFill patternType="solid">
        <fgColor rgb="FF1C324F"/>
        <bgColor rgb="FF1C324F"/>
      </patternFill>
    </fill>
    <fill>
      <patternFill patternType="solid">
        <fgColor rgb="FFF8FAFC"/>
        <bgColor rgb="FFF8FAFC"/>
      </patternFill>
    </fill>
    <fill>
      <patternFill patternType="solid">
        <fgColor rgb="FFDEF7EC"/>
        <bgColor rgb="FFDEF7EC"/>
      </patternFill>
    </fill>
    <fill>
      <patternFill patternType="solid">
        <fgColor theme="9" tint="0.3999"/>
        <bgColor rgb="FF9DC3E6"/>
      </patternFill>
    </fill>
    <fill>
      <patternFill patternType="solid">
        <fgColor rgb="FFFFFF00"/>
        <bgColor rgb="FFFFFF00"/>
      </patternFill>
    </fill>
    <fill>
      <patternFill patternType="solid">
        <fgColor theme="8" tint="0.3999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001C324F"/>
        <bgColor rgb="001C324F"/>
      </patternFill>
    </fill>
    <fill>
      <patternFill patternType="solid">
        <fgColor rgb="00DEF7EC"/>
        <bgColor rgb="00DEF7EC"/>
      </patternFill>
    </fill>
  </fills>
  <borders count="19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CBD5E0"/>
      </top>
      <bottom/>
      <diagonal/>
    </border>
    <border>
      <left/>
      <right style="thin">
        <color rgb="FFCBD5E0"/>
      </right>
      <top style="thin">
        <color rgb="FFCBD5E0"/>
      </top>
      <bottom/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50">
    <xf numFmtId="0" fontId="0" fillId="0" borderId="0"/>
    <xf numFmtId="0" fontId="12" fillId="0" borderId="0"/>
    <xf numFmtId="0" fontId="16" fillId="31" borderId="0" applyAlignment="1">
      <alignment vertical="center"/>
    </xf>
    <xf numFmtId="0" fontId="19" fillId="33" borderId="0" applyAlignment="1">
      <alignment vertical="center"/>
    </xf>
    <xf numFmtId="0" fontId="16" fillId="37" borderId="0" applyAlignment="1">
      <alignment vertical="center"/>
    </xf>
    <xf numFmtId="0" fontId="16" fillId="36" borderId="0" applyAlignment="1">
      <alignment vertical="center"/>
    </xf>
    <xf numFmtId="0" fontId="19" fillId="16" borderId="0" applyAlignment="1">
      <alignment vertical="center"/>
    </xf>
    <xf numFmtId="0" fontId="19" fillId="24" borderId="0" applyAlignment="1">
      <alignment vertical="center"/>
    </xf>
    <xf numFmtId="0" fontId="16" fillId="13" borderId="0" applyAlignment="1">
      <alignment vertical="center"/>
    </xf>
    <xf numFmtId="0" fontId="16" fillId="32" borderId="0" applyAlignment="1">
      <alignment vertical="center"/>
    </xf>
    <xf numFmtId="0" fontId="19" fillId="30" borderId="0" applyAlignment="1">
      <alignment vertical="center"/>
    </xf>
    <xf numFmtId="0" fontId="16" fillId="29" borderId="0" applyAlignment="1">
      <alignment vertical="center"/>
    </xf>
    <xf numFmtId="0" fontId="31" fillId="0" borderId="13" applyAlignment="1">
      <alignment vertical="center"/>
    </xf>
    <xf numFmtId="0" fontId="19" fillId="22" borderId="0" applyAlignment="1">
      <alignment vertical="center"/>
    </xf>
    <xf numFmtId="0" fontId="16" fillId="28" borderId="0" applyAlignment="1">
      <alignment vertical="center"/>
    </xf>
    <xf numFmtId="0" fontId="16" fillId="18" borderId="0" applyAlignment="1">
      <alignment vertical="center"/>
    </xf>
    <xf numFmtId="0" fontId="19" fillId="27" borderId="0" applyAlignment="1">
      <alignment vertical="center"/>
    </xf>
    <xf numFmtId="0" fontId="19" fillId="15" borderId="0" applyAlignment="1">
      <alignment vertical="center"/>
    </xf>
    <xf numFmtId="0" fontId="16" fillId="39" borderId="0" applyAlignment="1">
      <alignment vertical="center"/>
    </xf>
    <xf numFmtId="0" fontId="19" fillId="26" borderId="0" applyAlignment="1">
      <alignment vertical="center"/>
    </xf>
    <xf numFmtId="0" fontId="19" fillId="17" borderId="0" applyAlignment="1">
      <alignment vertical="center"/>
    </xf>
    <xf numFmtId="0" fontId="16" fillId="35" borderId="0" applyAlignment="1">
      <alignment vertical="center"/>
    </xf>
    <xf numFmtId="0" fontId="30" fillId="25" borderId="0" applyAlignment="1">
      <alignment vertical="center"/>
    </xf>
    <xf numFmtId="0" fontId="16" fillId="23" borderId="0" applyAlignment="1">
      <alignment vertical="center"/>
    </xf>
    <xf numFmtId="0" fontId="28" fillId="21" borderId="0" applyAlignment="1">
      <alignment vertical="center"/>
    </xf>
    <xf numFmtId="0" fontId="19" fillId="20" borderId="0" applyAlignment="1">
      <alignment vertical="center"/>
    </xf>
    <xf numFmtId="0" fontId="27" fillId="0" borderId="12" applyAlignment="1">
      <alignment vertical="center"/>
    </xf>
    <xf numFmtId="0" fontId="25" fillId="12" borderId="10" applyAlignment="1">
      <alignment vertical="center"/>
    </xf>
    <xf numFmtId="44" fontId="15" fillId="0" borderId="0"/>
    <xf numFmtId="0" fontId="19" fillId="38" borderId="0" applyAlignment="1">
      <alignment vertical="center"/>
    </xf>
    <xf numFmtId="0" fontId="24" fillId="14" borderId="9" applyAlignment="1">
      <alignment vertical="center"/>
    </xf>
    <xf numFmtId="0" fontId="33" fillId="34" borderId="8" applyAlignment="1">
      <alignment vertical="center"/>
    </xf>
    <xf numFmtId="0" fontId="23" fillId="0" borderId="0" applyAlignment="1">
      <alignment vertical="center"/>
    </xf>
    <xf numFmtId="0" fontId="21" fillId="12" borderId="8" applyAlignment="1">
      <alignment vertical="center"/>
    </xf>
    <xf numFmtId="0" fontId="26" fillId="19" borderId="0" applyAlignment="1">
      <alignment vertical="center"/>
    </xf>
    <xf numFmtId="0" fontId="23" fillId="0" borderId="11" applyAlignment="1">
      <alignment vertical="center"/>
    </xf>
    <xf numFmtId="0" fontId="32" fillId="0" borderId="0" applyAlignment="1">
      <alignment vertical="center"/>
    </xf>
    <xf numFmtId="0" fontId="20" fillId="0" borderId="7" applyAlignment="1">
      <alignment vertical="center"/>
    </xf>
    <xf numFmtId="41" fontId="15" fillId="0" borderId="0"/>
    <xf numFmtId="0" fontId="19" fillId="11" borderId="0" applyAlignment="1">
      <alignment vertical="center"/>
    </xf>
    <xf numFmtId="0" fontId="22" fillId="0" borderId="0" applyAlignment="1">
      <alignment vertical="center"/>
    </xf>
    <xf numFmtId="42" fontId="15" fillId="0" borderId="0"/>
    <xf numFmtId="0" fontId="29" fillId="0" borderId="0" applyAlignment="1">
      <alignment vertical="center"/>
    </xf>
    <xf numFmtId="0" fontId="34" fillId="0" borderId="0" applyAlignment="1">
      <alignment vertical="center"/>
    </xf>
    <xf numFmtId="0" fontId="18" fillId="0" borderId="7" applyAlignment="1">
      <alignment vertical="center"/>
    </xf>
    <xf numFmtId="43" fontId="15" fillId="0" borderId="0"/>
    <xf numFmtId="0" fontId="17" fillId="10" borderId="6" applyAlignment="1">
      <alignment vertical="center"/>
    </xf>
    <xf numFmtId="0" fontId="16" fillId="9" borderId="0" applyAlignment="1">
      <alignment vertical="center"/>
    </xf>
    <xf numFmtId="9" fontId="15" fillId="0" borderId="0"/>
    <xf numFmtId="0" fontId="14" fillId="0" borderId="0" applyAlignment="1">
      <alignment vertical="center"/>
    </xf>
  </cellStyleXfs>
  <cellXfs count="5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5" borderId="0" pivotButton="0" quotePrefix="0" xfId="0"/>
    <xf numFmtId="0" fontId="12" fillId="0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2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2" pivotButton="0" quotePrefix="0" xfId="0"/>
    <xf numFmtId="0" fontId="12" fillId="0" borderId="3" pivotButton="0" quotePrefix="0" xfId="0"/>
    <xf numFmtId="0" fontId="12" fillId="5" borderId="0" pivotButton="0" quotePrefix="0" xfId="0"/>
    <xf numFmtId="0" fontId="12" fillId="6" borderId="2" applyAlignment="1" pivotButton="0" quotePrefix="0" xfId="0">
      <alignment horizontal="center"/>
    </xf>
    <xf numFmtId="0" fontId="12" fillId="7" borderId="2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2" fillId="8" borderId="0" pivotButton="0" quotePrefix="0" xfId="0"/>
    <xf numFmtId="0" fontId="10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1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3" fillId="0" borderId="0" pivotButton="0" quotePrefix="0" xfId="0"/>
    <xf numFmtId="0" fontId="4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35" fillId="0" borderId="0" pivotButton="0" quotePrefix="0" xfId="0"/>
    <xf numFmtId="0" fontId="36" fillId="0" borderId="0" pivotButton="0" quotePrefix="0" xfId="0"/>
    <xf numFmtId="0" fontId="37" fillId="4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center" wrapText="1"/>
    </xf>
    <xf numFmtId="0" fontId="38" fillId="0" borderId="0" pivotButton="0" quotePrefix="0" xfId="0"/>
    <xf numFmtId="0" fontId="39" fillId="0" borderId="18" applyAlignment="1" pivotButton="0" quotePrefix="0" xfId="0">
      <alignment horizontal="center" vertical="center" wrapText="1"/>
    </xf>
    <xf numFmtId="0" fontId="40" fillId="41" borderId="0" pivotButton="0" quotePrefix="0" xfId="0"/>
    <xf numFmtId="0" fontId="0" fillId="41" borderId="18" applyAlignment="1" pivotButton="0" quotePrefix="0" xfId="0">
      <alignment horizontal="center" vertical="center" wrapText="1"/>
    </xf>
    <xf numFmtId="0" fontId="41" fillId="41" borderId="18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 wrapText="1"/>
    </xf>
    <xf numFmtId="0" fontId="41" fillId="41" borderId="18" applyAlignment="1" pivotButton="0" quotePrefix="0" xfId="0">
      <alignment horizontal="left" vertical="center" wrapText="1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9D18E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B71" sqref="B71"/>
    </sheetView>
  </sheetViews>
  <sheetFormatPr baseColWidth="8" defaultColWidth="9.00740740740741" defaultRowHeight="15"/>
  <cols>
    <col width="20.7185185185185" customWidth="1" style="1" min="1" max="1"/>
    <col width="15.8592592592593" customWidth="1" style="1" min="3" max="3"/>
    <col width="21.5703703703704" customWidth="1" style="1" min="4" max="4"/>
    <col width="13.2888888888889" customWidth="1" style="1" min="5" max="5"/>
    <col width="13.8592592592593" customWidth="1" style="1" min="6" max="6"/>
  </cols>
  <sheetData>
    <row r="1" s="1">
      <c r="A1" s="44" t="inlineStr">
        <is>
          <t>Nama</t>
        </is>
      </c>
      <c r="B1" s="44" t="inlineStr">
        <is>
          <t>Usia</t>
        </is>
      </c>
      <c r="C1" s="44" t="inlineStr">
        <is>
          <t>Lama Rawat Inap</t>
        </is>
      </c>
      <c r="D1" s="44" t="inlineStr">
        <is>
          <t>Jumlah Kasus Perbulan</t>
        </is>
      </c>
      <c r="E1" s="44" t="inlineStr">
        <is>
          <t>Jenis Kelamin</t>
        </is>
      </c>
      <c r="F1" s="44" t="inlineStr">
        <is>
          <t>Tingkat Resiko</t>
        </is>
      </c>
    </row>
    <row r="2" s="1">
      <c r="A2" s="45" t="inlineStr">
        <is>
          <t>Neni Sumetria</t>
        </is>
      </c>
      <c r="B2" s="45" t="n">
        <v>34</v>
      </c>
      <c r="C2" s="45" t="n">
        <v>3</v>
      </c>
      <c r="D2" s="45" t="n">
        <v>12</v>
      </c>
      <c r="E2" s="45" t="n">
        <v>0</v>
      </c>
      <c r="F2" s="45" t="inlineStr">
        <is>
          <t>Sedang</t>
        </is>
      </c>
    </row>
    <row r="3" s="1">
      <c r="A3" s="45" t="inlineStr">
        <is>
          <t>Malki Amron</t>
        </is>
      </c>
      <c r="B3" s="45" t="n">
        <v>43</v>
      </c>
      <c r="C3" s="45" t="n">
        <v>3</v>
      </c>
      <c r="D3" s="45" t="n">
        <v>12</v>
      </c>
      <c r="E3" s="45" t="n">
        <v>1</v>
      </c>
      <c r="F3" s="45" t="inlineStr">
        <is>
          <t>Sedang</t>
        </is>
      </c>
    </row>
    <row r="4" s="1">
      <c r="A4" s="45" t="inlineStr">
        <is>
          <t>Arifa Qyaratul</t>
        </is>
      </c>
      <c r="B4" s="45" t="n">
        <v>23</v>
      </c>
      <c r="C4" s="45" t="n">
        <v>5</v>
      </c>
      <c r="D4" s="45" t="n">
        <v>12</v>
      </c>
      <c r="E4" s="45" t="n">
        <v>0</v>
      </c>
      <c r="F4" s="45" t="inlineStr">
        <is>
          <t>Sedang</t>
        </is>
      </c>
    </row>
    <row r="5" s="1">
      <c r="A5" s="45" t="inlineStr">
        <is>
          <t>Rezki Mhd</t>
        </is>
      </c>
      <c r="B5" s="45" t="n">
        <v>18</v>
      </c>
      <c r="C5" s="45" t="n">
        <v>2</v>
      </c>
      <c r="D5" s="45" t="n">
        <v>12</v>
      </c>
      <c r="E5" s="45" t="n">
        <v>1</v>
      </c>
      <c r="F5" s="45" t="inlineStr">
        <is>
          <t>Sedang</t>
        </is>
      </c>
    </row>
    <row r="6" s="1">
      <c r="A6" s="45" t="inlineStr">
        <is>
          <t>Selfiolla</t>
        </is>
      </c>
      <c r="B6" s="45" t="n">
        <v>14</v>
      </c>
      <c r="C6" s="45" t="n">
        <v>4</v>
      </c>
      <c r="D6" s="45" t="n">
        <v>12</v>
      </c>
      <c r="E6" s="45" t="n">
        <v>0</v>
      </c>
      <c r="F6" s="45" t="inlineStr">
        <is>
          <t>Sedang</t>
        </is>
      </c>
    </row>
    <row r="7" s="1">
      <c r="A7" s="45" t="inlineStr">
        <is>
          <t xml:space="preserve">M.Albiruni </t>
        </is>
      </c>
      <c r="B7" s="45" t="n">
        <v>12</v>
      </c>
      <c r="C7" s="45" t="n">
        <v>1</v>
      </c>
      <c r="D7" s="45" t="n">
        <v>12</v>
      </c>
      <c r="E7" s="45" t="n">
        <v>1</v>
      </c>
      <c r="F7" s="45" t="inlineStr">
        <is>
          <t>Sedang</t>
        </is>
      </c>
    </row>
    <row r="8" s="1">
      <c r="A8" s="45" t="inlineStr">
        <is>
          <t>Yurika Azarine</t>
        </is>
      </c>
      <c r="B8" s="45" t="n">
        <v>4</v>
      </c>
      <c r="C8" s="45" t="n">
        <v>2</v>
      </c>
      <c r="D8" s="45" t="n">
        <v>12</v>
      </c>
      <c r="E8" s="45" t="n">
        <v>0</v>
      </c>
      <c r="F8" s="45" t="inlineStr">
        <is>
          <t>Sedang</t>
        </is>
      </c>
    </row>
    <row r="9" s="1">
      <c r="A9" s="45" t="inlineStr">
        <is>
          <t>Rahmad Ihtiar</t>
        </is>
      </c>
      <c r="B9" s="45" t="n">
        <v>16</v>
      </c>
      <c r="C9" s="45" t="n">
        <v>6</v>
      </c>
      <c r="D9" s="45" t="n">
        <v>12</v>
      </c>
      <c r="E9" s="45" t="n">
        <v>1</v>
      </c>
      <c r="F9" s="45" t="inlineStr">
        <is>
          <t>Sedang</t>
        </is>
      </c>
    </row>
    <row r="10" s="1">
      <c r="A10" s="45" t="inlineStr">
        <is>
          <t>Tiara Endiwa</t>
        </is>
      </c>
      <c r="B10" s="45" t="n">
        <v>18</v>
      </c>
      <c r="C10" s="45" t="n">
        <v>5</v>
      </c>
      <c r="D10" s="45" t="n">
        <v>12</v>
      </c>
      <c r="E10" s="45" t="n">
        <v>0</v>
      </c>
      <c r="F10" s="45" t="inlineStr">
        <is>
          <t>Sedang</t>
        </is>
      </c>
    </row>
    <row r="11" s="1">
      <c r="A11" s="45" t="inlineStr">
        <is>
          <t>Boby</t>
        </is>
      </c>
      <c r="B11" s="45" t="n">
        <v>24</v>
      </c>
      <c r="C11" s="45" t="n">
        <v>5</v>
      </c>
      <c r="D11" s="45" t="n">
        <v>12</v>
      </c>
      <c r="E11" s="45" t="n">
        <v>1</v>
      </c>
      <c r="F11" s="45" t="inlineStr">
        <is>
          <t>Sedang</t>
        </is>
      </c>
    </row>
    <row r="12" s="1">
      <c r="A12" s="45" t="inlineStr">
        <is>
          <t>Defi Putri</t>
        </is>
      </c>
      <c r="B12" s="45" t="n">
        <v>23</v>
      </c>
      <c r="C12" s="45" t="n">
        <v>3</v>
      </c>
      <c r="D12" s="45" t="n">
        <v>12</v>
      </c>
      <c r="E12" s="45" t="n">
        <v>0</v>
      </c>
      <c r="F12" s="45" t="inlineStr">
        <is>
          <t>Sedang</t>
        </is>
      </c>
    </row>
    <row r="13" s="1">
      <c r="A13" s="45" t="inlineStr">
        <is>
          <t>Nini Efriza</t>
        </is>
      </c>
      <c r="B13" s="45" t="n">
        <v>47</v>
      </c>
      <c r="C13" s="45" t="n">
        <v>2</v>
      </c>
      <c r="D13" s="45" t="n">
        <v>12</v>
      </c>
      <c r="E13" s="45" t="n">
        <v>0</v>
      </c>
      <c r="F13" s="45" t="inlineStr">
        <is>
          <t>Sedang</t>
        </is>
      </c>
    </row>
    <row r="14" s="1">
      <c r="A14" s="45" t="inlineStr">
        <is>
          <t>Novi Agus</t>
        </is>
      </c>
      <c r="B14" s="45" t="n">
        <v>49</v>
      </c>
      <c r="C14" s="45" t="n">
        <v>4</v>
      </c>
      <c r="D14" s="45" t="n">
        <v>7</v>
      </c>
      <c r="E14" s="45" t="n">
        <v>1</v>
      </c>
      <c r="F14" s="45" t="inlineStr">
        <is>
          <t>Rendah</t>
        </is>
      </c>
    </row>
    <row r="15" s="1">
      <c r="A15" s="45" t="inlineStr">
        <is>
          <t>Siska Rahmadani</t>
        </is>
      </c>
      <c r="B15" s="45" t="n">
        <v>21</v>
      </c>
      <c r="C15" s="45" t="n">
        <v>2</v>
      </c>
      <c r="D15" s="45" t="n">
        <v>7</v>
      </c>
      <c r="E15" s="45" t="n">
        <v>0</v>
      </c>
      <c r="F15" s="45" t="inlineStr">
        <is>
          <t>Rendah</t>
        </is>
      </c>
    </row>
    <row r="16" s="1">
      <c r="A16" s="45" t="inlineStr">
        <is>
          <t>Kalmani</t>
        </is>
      </c>
      <c r="B16" s="45" t="n">
        <v>66</v>
      </c>
      <c r="C16" s="45" t="n">
        <v>5</v>
      </c>
      <c r="D16" s="45" t="n">
        <v>7</v>
      </c>
      <c r="E16" s="45" t="n">
        <v>1</v>
      </c>
      <c r="F16" s="45" t="inlineStr">
        <is>
          <t>Rendah</t>
        </is>
      </c>
    </row>
    <row r="17" s="1">
      <c r="A17" s="45" t="inlineStr">
        <is>
          <t>Nayra Dhika</t>
        </is>
      </c>
      <c r="B17" s="45" t="n">
        <v>2</v>
      </c>
      <c r="C17" s="45" t="n">
        <v>3</v>
      </c>
      <c r="D17" s="45" t="n">
        <v>7</v>
      </c>
      <c r="E17" s="45" t="n">
        <v>0</v>
      </c>
      <c r="F17" s="45" t="inlineStr">
        <is>
          <t>Rendah</t>
        </is>
      </c>
    </row>
    <row r="18" s="1">
      <c r="A18" s="45" t="inlineStr">
        <is>
          <t>Andri Naldi</t>
        </is>
      </c>
      <c r="B18" s="45" t="n">
        <v>49</v>
      </c>
      <c r="C18" s="45" t="n">
        <v>4</v>
      </c>
      <c r="D18" s="45" t="n">
        <v>7</v>
      </c>
      <c r="E18" s="45" t="n">
        <v>1</v>
      </c>
      <c r="F18" s="45" t="inlineStr">
        <is>
          <t>Rendah</t>
        </is>
      </c>
    </row>
    <row r="19" s="1">
      <c r="A19" s="45" t="inlineStr">
        <is>
          <t>Qhanita Nur</t>
        </is>
      </c>
      <c r="B19" s="45" t="n">
        <v>8</v>
      </c>
      <c r="C19" s="45" t="n">
        <v>4</v>
      </c>
      <c r="D19" s="45" t="n">
        <v>7</v>
      </c>
      <c r="E19" s="45" t="n">
        <v>0</v>
      </c>
      <c r="F19" s="45" t="inlineStr">
        <is>
          <t>Rendah</t>
        </is>
      </c>
    </row>
    <row r="20" s="1">
      <c r="A20" s="45" t="inlineStr">
        <is>
          <t>Shecillia Hanifah</t>
        </is>
      </c>
      <c r="B20" s="45" t="n">
        <v>15</v>
      </c>
      <c r="C20" s="45" t="n">
        <v>5</v>
      </c>
      <c r="D20" s="45" t="n">
        <v>7</v>
      </c>
      <c r="E20" s="45" t="n">
        <v>0</v>
      </c>
      <c r="F20" s="45" t="inlineStr">
        <is>
          <t>Rendah</t>
        </is>
      </c>
    </row>
    <row r="21" s="1">
      <c r="A21" s="45" t="inlineStr">
        <is>
          <t>Haziq Arsyad</t>
        </is>
      </c>
      <c r="B21" s="45" t="n">
        <v>10</v>
      </c>
      <c r="C21" s="45" t="n">
        <v>5</v>
      </c>
      <c r="D21" s="45" t="n">
        <v>14</v>
      </c>
      <c r="E21" s="45" t="n">
        <v>1</v>
      </c>
      <c r="F21" s="45" t="inlineStr">
        <is>
          <t>Sedang</t>
        </is>
      </c>
    </row>
    <row r="22" s="1">
      <c r="A22" s="45" t="inlineStr">
        <is>
          <t>Naira Giska</t>
        </is>
      </c>
      <c r="B22" s="45" t="n">
        <v>6</v>
      </c>
      <c r="C22" s="45" t="n">
        <v>3</v>
      </c>
      <c r="D22" s="45" t="n">
        <v>14</v>
      </c>
      <c r="E22" s="45" t="n">
        <v>0</v>
      </c>
      <c r="F22" s="45" t="inlineStr">
        <is>
          <t>Sedang</t>
        </is>
      </c>
    </row>
    <row r="23" s="1">
      <c r="A23" s="45" t="inlineStr">
        <is>
          <t>Eko Ady</t>
        </is>
      </c>
      <c r="B23" s="45" t="n">
        <v>28</v>
      </c>
      <c r="C23" s="45" t="n">
        <v>4</v>
      </c>
      <c r="D23" s="45" t="n">
        <v>14</v>
      </c>
      <c r="E23" s="45" t="n">
        <v>1</v>
      </c>
      <c r="F23" s="45" t="inlineStr">
        <is>
          <t>Sedang</t>
        </is>
      </c>
    </row>
    <row r="24" s="1">
      <c r="A24" s="45" t="inlineStr">
        <is>
          <t>Suwarni</t>
        </is>
      </c>
      <c r="B24" s="45" t="n">
        <v>60</v>
      </c>
      <c r="C24" s="45" t="n">
        <v>4</v>
      </c>
      <c r="D24" s="45" t="n">
        <v>14</v>
      </c>
      <c r="E24" s="45" t="n">
        <v>0</v>
      </c>
      <c r="F24" s="45" t="inlineStr">
        <is>
          <t>Sedang</t>
        </is>
      </c>
    </row>
    <row r="25" s="1">
      <c r="A25" s="45" t="inlineStr">
        <is>
          <t>Mayang</t>
        </is>
      </c>
      <c r="B25" s="45" t="n">
        <v>81</v>
      </c>
      <c r="C25" s="45" t="n">
        <v>5</v>
      </c>
      <c r="D25" s="45" t="n">
        <v>14</v>
      </c>
      <c r="E25" s="45" t="n">
        <v>0</v>
      </c>
      <c r="F25" s="45" t="inlineStr">
        <is>
          <t>Sedang</t>
        </is>
      </c>
    </row>
    <row r="26" s="1">
      <c r="A26" s="45" t="inlineStr">
        <is>
          <t>Janibar</t>
        </is>
      </c>
      <c r="B26" s="45" t="n">
        <v>75</v>
      </c>
      <c r="C26" s="45" t="n">
        <v>4</v>
      </c>
      <c r="D26" s="45" t="n">
        <v>14</v>
      </c>
      <c r="E26" s="45" t="n">
        <v>1</v>
      </c>
      <c r="F26" s="45" t="inlineStr">
        <is>
          <t>Sedang</t>
        </is>
      </c>
    </row>
    <row r="27" s="1">
      <c r="A27" s="45" t="inlineStr">
        <is>
          <t>Hendra Wadi</t>
        </is>
      </c>
      <c r="B27" s="45" t="n">
        <v>37</v>
      </c>
      <c r="C27" s="45" t="n">
        <v>4</v>
      </c>
      <c r="D27" s="45" t="n">
        <v>14</v>
      </c>
      <c r="E27" s="45" t="n">
        <v>1</v>
      </c>
      <c r="F27" s="45" t="inlineStr">
        <is>
          <t>Sedang</t>
        </is>
      </c>
    </row>
    <row r="28" s="1">
      <c r="A28" s="45" t="inlineStr">
        <is>
          <t>Heru Pratama</t>
        </is>
      </c>
      <c r="B28" s="45" t="n">
        <v>22</v>
      </c>
      <c r="C28" s="45" t="n">
        <v>2</v>
      </c>
      <c r="D28" s="45" t="n">
        <v>14</v>
      </c>
      <c r="E28" s="45" t="n">
        <v>1</v>
      </c>
      <c r="F28" s="45" t="inlineStr">
        <is>
          <t>Sedang</t>
        </is>
      </c>
    </row>
    <row r="29" s="1">
      <c r="A29" s="45" t="inlineStr">
        <is>
          <t>Ade Sepriyanto</t>
        </is>
      </c>
      <c r="B29" s="45" t="n">
        <v>19</v>
      </c>
      <c r="C29" s="45" t="n">
        <v>2</v>
      </c>
      <c r="D29" s="45" t="n">
        <v>14</v>
      </c>
      <c r="E29" s="45" t="n">
        <v>1</v>
      </c>
      <c r="F29" s="45" t="inlineStr">
        <is>
          <t>Sedang</t>
        </is>
      </c>
    </row>
    <row r="30" s="1">
      <c r="A30" s="45" t="inlineStr">
        <is>
          <t>Diendri Barakta</t>
        </is>
      </c>
      <c r="B30" s="45" t="n">
        <v>3</v>
      </c>
      <c r="C30" s="45" t="n">
        <v>2</v>
      </c>
      <c r="D30" s="45" t="n">
        <v>14</v>
      </c>
      <c r="E30" s="45" t="n">
        <v>1</v>
      </c>
      <c r="F30" s="45" t="inlineStr">
        <is>
          <t>Sedang</t>
        </is>
      </c>
    </row>
    <row r="31" s="1">
      <c r="A31" s="45" t="inlineStr">
        <is>
          <t>Suwardi</t>
        </is>
      </c>
      <c r="B31" s="45" t="n">
        <v>64</v>
      </c>
      <c r="C31" s="45" t="n">
        <v>4</v>
      </c>
      <c r="D31" s="45" t="n">
        <v>14</v>
      </c>
      <c r="E31" s="45" t="n">
        <v>1</v>
      </c>
      <c r="F31" s="45" t="inlineStr">
        <is>
          <t>Sedang</t>
        </is>
      </c>
    </row>
    <row r="32" s="1">
      <c r="A32" s="45" t="inlineStr">
        <is>
          <t>Emelya Nora</t>
        </is>
      </c>
      <c r="B32" s="45" t="n">
        <v>54</v>
      </c>
      <c r="C32" s="45" t="n">
        <v>4</v>
      </c>
      <c r="D32" s="45" t="n">
        <v>14</v>
      </c>
      <c r="E32" s="45" t="n">
        <v>0</v>
      </c>
      <c r="F32" s="45" t="inlineStr">
        <is>
          <t>Sedang</t>
        </is>
      </c>
    </row>
    <row r="33" s="1">
      <c r="A33" s="45" t="inlineStr">
        <is>
          <t>Eosel Rizkia</t>
        </is>
      </c>
      <c r="B33" s="45" t="n">
        <v>19</v>
      </c>
      <c r="C33" s="45" t="n">
        <v>4</v>
      </c>
      <c r="D33" s="45" t="n">
        <v>14</v>
      </c>
      <c r="E33" s="45" t="n">
        <v>1</v>
      </c>
      <c r="F33" s="45" t="inlineStr">
        <is>
          <t>Sedang</t>
        </is>
      </c>
    </row>
    <row r="34" s="1">
      <c r="A34" s="45" t="inlineStr">
        <is>
          <t>Warmaneti</t>
        </is>
      </c>
      <c r="B34" s="45" t="n">
        <v>55</v>
      </c>
      <c r="C34" s="45" t="n">
        <v>3</v>
      </c>
      <c r="D34" s="45" t="n">
        <v>14</v>
      </c>
      <c r="E34" s="45" t="n">
        <v>0</v>
      </c>
      <c r="F34" s="45" t="inlineStr">
        <is>
          <t>Sedang</t>
        </is>
      </c>
    </row>
    <row r="35" s="1">
      <c r="A35" s="45" t="inlineStr">
        <is>
          <t>Yandril</t>
        </is>
      </c>
      <c r="B35" s="45" t="n">
        <v>40</v>
      </c>
      <c r="C35" s="45" t="n">
        <v>3</v>
      </c>
      <c r="D35" s="45" t="n">
        <v>4</v>
      </c>
      <c r="E35" s="45" t="n">
        <v>1</v>
      </c>
      <c r="F35" s="45" t="inlineStr">
        <is>
          <t>Rendah</t>
        </is>
      </c>
    </row>
    <row r="36" s="1">
      <c r="A36" s="45" t="inlineStr">
        <is>
          <t>Romy Herina</t>
        </is>
      </c>
      <c r="B36" s="45" t="n">
        <v>27</v>
      </c>
      <c r="C36" s="45" t="n">
        <v>1</v>
      </c>
      <c r="D36" s="45" t="n">
        <v>4</v>
      </c>
      <c r="E36" s="45" t="n">
        <v>1</v>
      </c>
      <c r="F36" s="45" t="inlineStr">
        <is>
          <t>Rendah</t>
        </is>
      </c>
    </row>
    <row r="37" s="1">
      <c r="A37" s="45" t="inlineStr">
        <is>
          <t>Ilham Saputra</t>
        </is>
      </c>
      <c r="B37" s="45" t="n">
        <v>28</v>
      </c>
      <c r="C37" s="45" t="n">
        <v>4</v>
      </c>
      <c r="D37" s="45" t="n">
        <v>4</v>
      </c>
      <c r="E37" s="45" t="n">
        <v>1</v>
      </c>
      <c r="F37" s="45" t="inlineStr">
        <is>
          <t>Rendah</t>
        </is>
      </c>
    </row>
    <row r="38" s="1">
      <c r="A38" s="45" t="inlineStr">
        <is>
          <t>Berli Simanjuntak</t>
        </is>
      </c>
      <c r="B38" s="45" t="n">
        <v>52</v>
      </c>
      <c r="C38" s="45" t="n">
        <v>3</v>
      </c>
      <c r="D38" s="45" t="n">
        <v>4</v>
      </c>
      <c r="E38" s="45" t="n">
        <v>1</v>
      </c>
      <c r="F38" s="45" t="inlineStr">
        <is>
          <t>Rendah</t>
        </is>
      </c>
    </row>
    <row r="39" s="1">
      <c r="A39" s="45" t="inlineStr">
        <is>
          <t>M. Hafiz</t>
        </is>
      </c>
      <c r="B39" s="45" t="n">
        <v>12</v>
      </c>
      <c r="C39" s="45" t="n">
        <v>5</v>
      </c>
      <c r="D39" s="45" t="n">
        <v>13</v>
      </c>
      <c r="E39" s="45" t="n">
        <v>1</v>
      </c>
      <c r="F39" s="45" t="inlineStr">
        <is>
          <t>Sedang</t>
        </is>
      </c>
    </row>
    <row r="40" s="1">
      <c r="A40" s="45" t="inlineStr">
        <is>
          <t>Yusril</t>
        </is>
      </c>
      <c r="B40" s="45" t="n">
        <v>65</v>
      </c>
      <c r="C40" s="45" t="n">
        <v>3</v>
      </c>
      <c r="D40" s="45" t="n">
        <v>13</v>
      </c>
      <c r="E40" s="45" t="n">
        <v>1</v>
      </c>
      <c r="F40" s="45" t="inlineStr">
        <is>
          <t>Sedang</t>
        </is>
      </c>
    </row>
    <row r="41" s="1">
      <c r="A41" s="45" t="inlineStr">
        <is>
          <t>Anggifa Fitria</t>
        </is>
      </c>
      <c r="B41" s="45" t="n">
        <v>8</v>
      </c>
      <c r="C41" s="45" t="n">
        <v>4</v>
      </c>
      <c r="D41" s="45" t="n">
        <v>13</v>
      </c>
      <c r="E41" s="45" t="n">
        <v>0</v>
      </c>
      <c r="F41" s="45" t="inlineStr">
        <is>
          <t>Sedang</t>
        </is>
      </c>
    </row>
    <row r="42" s="1">
      <c r="A42" s="45" t="inlineStr">
        <is>
          <t>Abdul Fikri</t>
        </is>
      </c>
      <c r="B42" s="45" t="n">
        <v>21</v>
      </c>
      <c r="C42" s="45" t="n">
        <v>5</v>
      </c>
      <c r="D42" s="45" t="n">
        <v>13</v>
      </c>
      <c r="E42" s="45" t="n">
        <v>1</v>
      </c>
      <c r="F42" s="45" t="inlineStr">
        <is>
          <t>Sedang</t>
        </is>
      </c>
    </row>
    <row r="43" s="1">
      <c r="A43" s="45" t="inlineStr">
        <is>
          <t>Refa Anggraini</t>
        </is>
      </c>
      <c r="B43" s="45" t="n">
        <v>15</v>
      </c>
      <c r="C43" s="45" t="n">
        <v>4</v>
      </c>
      <c r="D43" s="45" t="n">
        <v>13</v>
      </c>
      <c r="E43" s="45" t="n">
        <v>0</v>
      </c>
      <c r="F43" s="45" t="inlineStr">
        <is>
          <t>Sedang</t>
        </is>
      </c>
    </row>
    <row r="44" s="1">
      <c r="A44" s="45" t="inlineStr">
        <is>
          <t>Dosil Abdul</t>
        </is>
      </c>
      <c r="B44" s="45" t="n">
        <v>28</v>
      </c>
      <c r="C44" s="45" t="n">
        <v>5</v>
      </c>
      <c r="D44" s="45" t="n">
        <v>13</v>
      </c>
      <c r="E44" s="45" t="n">
        <v>1</v>
      </c>
      <c r="F44" s="45" t="inlineStr">
        <is>
          <t>Sedang</t>
        </is>
      </c>
    </row>
    <row r="45" s="1">
      <c r="A45" s="45" t="inlineStr">
        <is>
          <t>Zulkifli</t>
        </is>
      </c>
      <c r="B45" s="45" t="n">
        <v>75</v>
      </c>
      <c r="C45" s="45" t="n">
        <v>3</v>
      </c>
      <c r="D45" s="45" t="n">
        <v>13</v>
      </c>
      <c r="E45" s="45" t="n">
        <v>1</v>
      </c>
      <c r="F45" s="45" t="inlineStr">
        <is>
          <t>Sedang</t>
        </is>
      </c>
    </row>
    <row r="46" s="1">
      <c r="A46" s="45" t="inlineStr">
        <is>
          <t>Nurhayati</t>
        </is>
      </c>
      <c r="B46" s="45" t="n">
        <v>62</v>
      </c>
      <c r="C46" s="45" t="n">
        <v>2</v>
      </c>
      <c r="D46" s="45" t="n">
        <v>13</v>
      </c>
      <c r="E46" s="45" t="n">
        <v>0</v>
      </c>
      <c r="F46" s="45" t="inlineStr">
        <is>
          <t>Sedang</t>
        </is>
      </c>
    </row>
    <row r="47" s="1">
      <c r="A47" s="45" t="inlineStr">
        <is>
          <t>Muhara Mulya</t>
        </is>
      </c>
      <c r="B47" s="45" t="n">
        <v>19</v>
      </c>
      <c r="C47" s="45" t="n">
        <v>2</v>
      </c>
      <c r="D47" s="45" t="n">
        <v>13</v>
      </c>
      <c r="E47" s="45" t="n">
        <v>0</v>
      </c>
      <c r="F47" s="45" t="inlineStr">
        <is>
          <t>Sedang</t>
        </is>
      </c>
    </row>
    <row r="48" s="1">
      <c r="A48" s="45" t="inlineStr">
        <is>
          <t>Basri</t>
        </is>
      </c>
      <c r="B48" s="45" t="n">
        <v>50</v>
      </c>
      <c r="C48" s="45" t="n">
        <v>5</v>
      </c>
      <c r="D48" s="45" t="n">
        <v>13</v>
      </c>
      <c r="E48" s="45" t="n">
        <v>1</v>
      </c>
      <c r="F48" s="45" t="inlineStr">
        <is>
          <t>Sedang</t>
        </is>
      </c>
    </row>
    <row r="49" s="1">
      <c r="A49" s="45" t="inlineStr">
        <is>
          <t>Yuharni</t>
        </is>
      </c>
      <c r="B49" s="45" t="n">
        <v>64</v>
      </c>
      <c r="C49" s="45" t="n">
        <v>5</v>
      </c>
      <c r="D49" s="45" t="n">
        <v>13</v>
      </c>
      <c r="E49" s="45" t="n">
        <v>0</v>
      </c>
      <c r="F49" s="45" t="inlineStr">
        <is>
          <t>Sedang</t>
        </is>
      </c>
    </row>
    <row r="50" s="1">
      <c r="A50" s="45" t="inlineStr">
        <is>
          <t>Tiara Putri</t>
        </is>
      </c>
      <c r="B50" s="45" t="n">
        <v>19</v>
      </c>
      <c r="C50" s="45" t="n">
        <v>5</v>
      </c>
      <c r="D50" s="45" t="n">
        <v>13</v>
      </c>
      <c r="E50" s="45" t="n">
        <v>0</v>
      </c>
      <c r="F50" s="45" t="inlineStr">
        <is>
          <t>Sedang</t>
        </is>
      </c>
    </row>
    <row r="51" s="1">
      <c r="A51" s="45" t="inlineStr">
        <is>
          <t>Afria Puspa</t>
        </is>
      </c>
      <c r="B51" s="45" t="n">
        <v>48</v>
      </c>
      <c r="C51" s="45" t="n">
        <v>4</v>
      </c>
      <c r="D51" s="45" t="n">
        <v>13</v>
      </c>
      <c r="E51" s="45" t="n">
        <v>0</v>
      </c>
      <c r="F51" s="45" t="inlineStr">
        <is>
          <t>Sedang</t>
        </is>
      </c>
    </row>
    <row r="52" s="1">
      <c r="A52" s="45" t="inlineStr">
        <is>
          <t>Zeinal Efendi</t>
        </is>
      </c>
      <c r="B52" s="45" t="n">
        <v>59</v>
      </c>
      <c r="C52" s="45" t="n">
        <v>4</v>
      </c>
      <c r="D52" s="45" t="n">
        <v>15</v>
      </c>
      <c r="E52" s="45" t="n">
        <v>1</v>
      </c>
      <c r="F52" s="45" t="inlineStr">
        <is>
          <t>Sedang</t>
        </is>
      </c>
    </row>
    <row r="53" s="1">
      <c r="A53" s="45" t="inlineStr">
        <is>
          <t>David Eka Putra</t>
        </is>
      </c>
      <c r="B53" s="45" t="n">
        <v>35</v>
      </c>
      <c r="C53" s="45" t="n">
        <v>4</v>
      </c>
      <c r="D53" s="45" t="n">
        <v>15</v>
      </c>
      <c r="E53" s="45" t="n">
        <v>1</v>
      </c>
      <c r="F53" s="45" t="inlineStr">
        <is>
          <t>Sedang</t>
        </is>
      </c>
    </row>
    <row r="54" s="1">
      <c r="A54" s="45" t="inlineStr">
        <is>
          <t>Khaira Umamah</t>
        </is>
      </c>
      <c r="B54" s="45" t="n">
        <v>7</v>
      </c>
      <c r="C54" s="45" t="n">
        <v>3</v>
      </c>
      <c r="D54" s="45" t="n">
        <v>15</v>
      </c>
      <c r="E54" s="45" t="n">
        <v>0</v>
      </c>
      <c r="F54" s="45" t="inlineStr">
        <is>
          <t>Sedang</t>
        </is>
      </c>
    </row>
    <row r="55" s="1">
      <c r="A55" s="45" t="inlineStr">
        <is>
          <t>Yusuf Andrian</t>
        </is>
      </c>
      <c r="B55" s="45" t="n">
        <v>7</v>
      </c>
      <c r="C55" s="45" t="n">
        <v>4</v>
      </c>
      <c r="D55" s="45" t="n">
        <v>15</v>
      </c>
      <c r="E55" s="45" t="n">
        <v>1</v>
      </c>
      <c r="F55" s="45" t="inlineStr">
        <is>
          <t>Sedang</t>
        </is>
      </c>
    </row>
    <row r="56" s="1">
      <c r="A56" s="45" t="inlineStr">
        <is>
          <t>Riva Afrilliana</t>
        </is>
      </c>
      <c r="B56" s="45" t="n">
        <v>4</v>
      </c>
      <c r="C56" s="45" t="n">
        <v>3</v>
      </c>
      <c r="D56" s="45" t="n">
        <v>15</v>
      </c>
      <c r="E56" s="45" t="n">
        <v>0</v>
      </c>
      <c r="F56" s="45" t="inlineStr">
        <is>
          <t>Sedang</t>
        </is>
      </c>
    </row>
    <row r="57" s="1">
      <c r="A57" s="45" t="inlineStr">
        <is>
          <t>Rizal Putra</t>
        </is>
      </c>
      <c r="B57" s="45" t="n">
        <v>2</v>
      </c>
      <c r="C57" s="45" t="n">
        <v>2</v>
      </c>
      <c r="D57" s="45" t="n">
        <v>15</v>
      </c>
      <c r="E57" s="45" t="n">
        <v>1</v>
      </c>
      <c r="F57" s="45" t="inlineStr">
        <is>
          <t>Sedang</t>
        </is>
      </c>
    </row>
    <row r="58" s="1">
      <c r="A58" s="45" t="inlineStr">
        <is>
          <t>Olivia Kirana</t>
        </is>
      </c>
      <c r="B58" s="45" t="n">
        <v>17</v>
      </c>
      <c r="C58" s="45" t="n">
        <v>3</v>
      </c>
      <c r="D58" s="45" t="n">
        <v>15</v>
      </c>
      <c r="E58" s="45" t="n">
        <v>0</v>
      </c>
      <c r="F58" s="45" t="inlineStr">
        <is>
          <t>Sedang</t>
        </is>
      </c>
    </row>
    <row r="59" s="1">
      <c r="A59" s="45" t="inlineStr">
        <is>
          <t>Fitri Novita</t>
        </is>
      </c>
      <c r="B59" s="45" t="n">
        <v>28</v>
      </c>
      <c r="C59" s="45" t="n">
        <v>4</v>
      </c>
      <c r="D59" s="45" t="n">
        <v>15</v>
      </c>
      <c r="E59" s="45" t="n">
        <v>0</v>
      </c>
      <c r="F59" s="45" t="inlineStr">
        <is>
          <t>Sedang</t>
        </is>
      </c>
    </row>
    <row r="60" s="1">
      <c r="A60" s="45" t="inlineStr">
        <is>
          <t>Elianti</t>
        </is>
      </c>
      <c r="B60" s="45" t="n">
        <v>68</v>
      </c>
      <c r="C60" s="45" t="n">
        <v>4</v>
      </c>
      <c r="D60" s="45" t="n">
        <v>15</v>
      </c>
      <c r="E60" s="45" t="n">
        <v>0</v>
      </c>
      <c r="F60" s="45" t="inlineStr">
        <is>
          <t>Sedang</t>
        </is>
      </c>
    </row>
    <row r="61" s="1">
      <c r="A61" s="45" t="inlineStr">
        <is>
          <t>Reza Refninda</t>
        </is>
      </c>
      <c r="B61" s="45" t="n">
        <v>29</v>
      </c>
      <c r="C61" s="45" t="n">
        <v>3</v>
      </c>
      <c r="D61" s="45" t="n">
        <v>15</v>
      </c>
      <c r="E61" s="45" t="n">
        <v>1</v>
      </c>
      <c r="F61" s="45" t="inlineStr">
        <is>
          <t>Sedang</t>
        </is>
      </c>
    </row>
    <row r="62" s="1">
      <c r="A62" s="45" t="inlineStr">
        <is>
          <t>Fauzan</t>
        </is>
      </c>
      <c r="B62" s="45" t="n">
        <v>43</v>
      </c>
      <c r="C62" s="45" t="n">
        <v>4</v>
      </c>
      <c r="D62" s="45" t="n">
        <v>15</v>
      </c>
      <c r="E62" s="45" t="n">
        <v>1</v>
      </c>
      <c r="F62" s="45" t="inlineStr">
        <is>
          <t>Sedang</t>
        </is>
      </c>
    </row>
    <row r="63" s="1">
      <c r="A63" s="45" t="inlineStr">
        <is>
          <t xml:space="preserve"> El Alisa Putri</t>
        </is>
      </c>
      <c r="B63" s="45" t="n">
        <v>25</v>
      </c>
      <c r="C63" s="45" t="n">
        <v>3</v>
      </c>
      <c r="D63" s="45" t="n">
        <v>15</v>
      </c>
      <c r="E63" s="45" t="n">
        <v>0</v>
      </c>
      <c r="F63" s="45" t="inlineStr">
        <is>
          <t>Sedang</t>
        </is>
      </c>
    </row>
    <row r="64" s="1">
      <c r="A64" s="45" t="inlineStr">
        <is>
          <t>Sirat</t>
        </is>
      </c>
      <c r="B64" s="45" t="n">
        <v>35</v>
      </c>
      <c r="C64" s="45" t="n">
        <v>1</v>
      </c>
      <c r="D64" s="45" t="n">
        <v>15</v>
      </c>
      <c r="E64" s="45" t="n">
        <v>0</v>
      </c>
      <c r="F64" s="45" t="inlineStr">
        <is>
          <t>Sedang</t>
        </is>
      </c>
    </row>
    <row r="65" s="1">
      <c r="A65" s="45" t="inlineStr">
        <is>
          <t>Emi</t>
        </is>
      </c>
      <c r="B65" s="45" t="n">
        <v>49</v>
      </c>
      <c r="C65" s="45" t="n">
        <v>3</v>
      </c>
      <c r="D65" s="45" t="n">
        <v>15</v>
      </c>
      <c r="E65" s="45" t="n">
        <v>0</v>
      </c>
      <c r="F65" s="45" t="inlineStr">
        <is>
          <t>Sedang</t>
        </is>
      </c>
    </row>
    <row r="66" s="1">
      <c r="A66" s="45" t="inlineStr">
        <is>
          <t>Rezky</t>
        </is>
      </c>
      <c r="B66" s="45" t="n">
        <v>21</v>
      </c>
      <c r="C66" s="45" t="n">
        <v>5</v>
      </c>
      <c r="D66" s="45" t="n">
        <v>15</v>
      </c>
      <c r="E66" s="45" t="n">
        <v>1</v>
      </c>
      <c r="F66" s="45" t="inlineStr">
        <is>
          <t>Sedang</t>
        </is>
      </c>
    </row>
    <row r="67" s="1">
      <c r="A67" s="45" t="inlineStr">
        <is>
          <t>Mhd Rivaldo</t>
        </is>
      </c>
      <c r="B67" s="45" t="n">
        <v>21</v>
      </c>
      <c r="C67" s="45" t="n">
        <v>3</v>
      </c>
      <c r="D67" s="45" t="n">
        <v>10</v>
      </c>
      <c r="E67" s="45" t="n">
        <v>1</v>
      </c>
      <c r="F67" s="45" t="inlineStr">
        <is>
          <t>Sedang</t>
        </is>
      </c>
    </row>
    <row r="68" s="1">
      <c r="A68" s="45" t="inlineStr">
        <is>
          <t>Sri Suhermi</t>
        </is>
      </c>
      <c r="B68" s="45" t="n">
        <v>44</v>
      </c>
      <c r="C68" s="45" t="n">
        <v>5</v>
      </c>
      <c r="D68" s="45" t="n">
        <v>10</v>
      </c>
      <c r="E68" s="45" t="n">
        <v>0</v>
      </c>
      <c r="F68" s="45" t="inlineStr">
        <is>
          <t>Sedang</t>
        </is>
      </c>
    </row>
    <row r="69" s="1">
      <c r="A69" s="45" t="inlineStr">
        <is>
          <t>Syaifullah</t>
        </is>
      </c>
      <c r="B69" s="45" t="n">
        <v>24</v>
      </c>
      <c r="C69" s="45" t="n">
        <v>4</v>
      </c>
      <c r="D69" s="45" t="n">
        <v>10</v>
      </c>
      <c r="E69" s="45" t="n">
        <v>1</v>
      </c>
      <c r="F69" s="45" t="inlineStr">
        <is>
          <t>Sedang</t>
        </is>
      </c>
    </row>
    <row r="70" s="1">
      <c r="A70" s="45" t="inlineStr">
        <is>
          <t>Riwanto</t>
        </is>
      </c>
      <c r="B70" s="45" t="n">
        <v>26</v>
      </c>
      <c r="C70" s="45" t="n">
        <v>3</v>
      </c>
      <c r="D70" s="45" t="n">
        <v>10</v>
      </c>
      <c r="E70" s="45" t="n">
        <v>1</v>
      </c>
      <c r="F70" s="45" t="inlineStr">
        <is>
          <t>Sedang</t>
        </is>
      </c>
    </row>
    <row r="71" s="1">
      <c r="A71" s="45" t="inlineStr">
        <is>
          <t xml:space="preserve">Yunizar </t>
        </is>
      </c>
      <c r="B71" s="45" t="n">
        <v>84</v>
      </c>
      <c r="C71" s="45" t="n">
        <v>3</v>
      </c>
      <c r="D71" s="45" t="n">
        <v>10</v>
      </c>
      <c r="E71" s="45" t="n">
        <v>0</v>
      </c>
      <c r="F71" s="45" t="inlineStr">
        <is>
          <t>Sedang</t>
        </is>
      </c>
    </row>
    <row r="72" s="1">
      <c r="A72" s="45" t="inlineStr">
        <is>
          <t>Aqlan Havizh</t>
        </is>
      </c>
      <c r="B72" s="45" t="n">
        <v>3</v>
      </c>
      <c r="C72" s="45" t="n">
        <v>5</v>
      </c>
      <c r="D72" s="45" t="n">
        <v>10</v>
      </c>
      <c r="E72" s="45" t="n">
        <v>1</v>
      </c>
      <c r="F72" s="45" t="inlineStr">
        <is>
          <t>Sedang</t>
        </is>
      </c>
    </row>
    <row r="73" s="1">
      <c r="A73" s="45" t="inlineStr">
        <is>
          <t>Dzacky Claresta</t>
        </is>
      </c>
      <c r="B73" s="45" t="n">
        <v>15</v>
      </c>
      <c r="C73" s="45" t="n">
        <v>3</v>
      </c>
      <c r="D73" s="45" t="n">
        <v>10</v>
      </c>
      <c r="E73" s="45" t="n">
        <v>1</v>
      </c>
      <c r="F73" s="45" t="inlineStr">
        <is>
          <t>Sedang</t>
        </is>
      </c>
    </row>
    <row r="74" s="1">
      <c r="A74" s="45" t="inlineStr">
        <is>
          <t>Arumi Putri</t>
        </is>
      </c>
      <c r="B74" s="45" t="n">
        <v>9</v>
      </c>
      <c r="C74" s="45" t="n">
        <v>4</v>
      </c>
      <c r="D74" s="45" t="n">
        <v>10</v>
      </c>
      <c r="E74" s="45" t="n">
        <v>0</v>
      </c>
      <c r="F74" s="45" t="inlineStr">
        <is>
          <t>Sedang</t>
        </is>
      </c>
    </row>
    <row r="75" s="1">
      <c r="A75" s="45" t="inlineStr">
        <is>
          <t>Ibnu Sadri</t>
        </is>
      </c>
      <c r="B75" s="45" t="n">
        <v>2</v>
      </c>
      <c r="C75" s="45" t="n">
        <v>2</v>
      </c>
      <c r="D75" s="45" t="n">
        <v>10</v>
      </c>
      <c r="E75" s="45" t="n">
        <v>1</v>
      </c>
      <c r="F75" s="45" t="inlineStr">
        <is>
          <t>Sedang</t>
        </is>
      </c>
    </row>
    <row r="76" s="1">
      <c r="A76" s="45" t="inlineStr">
        <is>
          <t>Deliana</t>
        </is>
      </c>
      <c r="B76" s="45" t="n">
        <v>70</v>
      </c>
      <c r="C76" s="45" t="n">
        <v>2</v>
      </c>
      <c r="D76" s="45" t="n">
        <v>10</v>
      </c>
      <c r="E76" s="45" t="n">
        <v>0</v>
      </c>
      <c r="F76" s="45" t="inlineStr">
        <is>
          <t>Sedang</t>
        </is>
      </c>
    </row>
    <row r="77" s="1">
      <c r="A77" s="45" t="inlineStr">
        <is>
          <t>Zakra</t>
        </is>
      </c>
      <c r="B77" s="45" t="n">
        <v>16</v>
      </c>
      <c r="C77" s="45" t="n">
        <v>4</v>
      </c>
      <c r="D77" s="45" t="n">
        <v>13</v>
      </c>
      <c r="E77" s="45" t="n">
        <v>1</v>
      </c>
      <c r="F77" s="45" t="inlineStr">
        <is>
          <t>Sedang</t>
        </is>
      </c>
    </row>
    <row r="78" s="1">
      <c r="A78" s="45" t="inlineStr">
        <is>
          <t>Ulfa Oktavia</t>
        </is>
      </c>
      <c r="B78" s="45" t="n">
        <v>6</v>
      </c>
      <c r="C78" s="45" t="n">
        <v>3</v>
      </c>
      <c r="D78" s="45" t="n">
        <v>13</v>
      </c>
      <c r="E78" s="45" t="n">
        <v>0</v>
      </c>
      <c r="F78" s="45" t="inlineStr">
        <is>
          <t>Sedang</t>
        </is>
      </c>
    </row>
    <row r="79" s="1">
      <c r="A79" s="45" t="inlineStr">
        <is>
          <t>Nafilsa Abdul</t>
        </is>
      </c>
      <c r="B79" s="45" t="n">
        <v>29</v>
      </c>
      <c r="C79" s="45" t="n">
        <v>3</v>
      </c>
      <c r="D79" s="45" t="n">
        <v>13</v>
      </c>
      <c r="E79" s="45" t="n">
        <v>0</v>
      </c>
      <c r="F79" s="45" t="inlineStr">
        <is>
          <t>Sedang</t>
        </is>
      </c>
    </row>
    <row r="80" s="1">
      <c r="A80" s="45" t="inlineStr">
        <is>
          <t>Mulyadi</t>
        </is>
      </c>
      <c r="B80" s="45" t="n">
        <v>27</v>
      </c>
      <c r="C80" s="45" t="n">
        <v>3</v>
      </c>
      <c r="D80" s="45" t="n">
        <v>13</v>
      </c>
      <c r="E80" s="45" t="n">
        <v>1</v>
      </c>
      <c r="F80" s="45" t="inlineStr">
        <is>
          <t>Sedang</t>
        </is>
      </c>
    </row>
    <row r="81" s="1">
      <c r="A81" s="45" t="inlineStr">
        <is>
          <t>Fadli Kurniawan</t>
        </is>
      </c>
      <c r="B81" s="45" t="n">
        <v>23</v>
      </c>
      <c r="C81" s="45" t="n">
        <v>5</v>
      </c>
      <c r="D81" s="45" t="n">
        <v>13</v>
      </c>
      <c r="E81" s="45" t="n">
        <v>1</v>
      </c>
      <c r="F81" s="45" t="inlineStr">
        <is>
          <t>Sedang</t>
        </is>
      </c>
    </row>
    <row r="82" s="1">
      <c r="A82" s="45" t="inlineStr">
        <is>
          <t>Oktavianus</t>
        </is>
      </c>
      <c r="B82" s="45" t="n">
        <v>28</v>
      </c>
      <c r="C82" s="45" t="n">
        <v>3</v>
      </c>
      <c r="D82" s="45" t="n">
        <v>13</v>
      </c>
      <c r="E82" s="45" t="n">
        <v>1</v>
      </c>
      <c r="F82" s="45" t="inlineStr">
        <is>
          <t>Sedang</t>
        </is>
      </c>
    </row>
    <row r="83" s="1">
      <c r="A83" s="45" t="inlineStr">
        <is>
          <t>Nipralaini</t>
        </is>
      </c>
      <c r="B83" s="45" t="n">
        <v>50</v>
      </c>
      <c r="C83" s="45" t="n">
        <v>3</v>
      </c>
      <c r="D83" s="45" t="n">
        <v>13</v>
      </c>
      <c r="E83" s="45" t="n">
        <v>0</v>
      </c>
      <c r="F83" s="45" t="inlineStr">
        <is>
          <t>Sedang</t>
        </is>
      </c>
    </row>
    <row r="84" s="1">
      <c r="A84" s="45" t="inlineStr">
        <is>
          <t>Marzoni</t>
        </is>
      </c>
      <c r="B84" s="45" t="n">
        <v>42</v>
      </c>
      <c r="C84" s="45" t="n">
        <v>4</v>
      </c>
      <c r="D84" s="45" t="n">
        <v>13</v>
      </c>
      <c r="E84" s="45" t="n">
        <v>1</v>
      </c>
      <c r="F84" s="45" t="inlineStr">
        <is>
          <t>Sedang</t>
        </is>
      </c>
    </row>
    <row r="85" s="1">
      <c r="A85" s="45" t="inlineStr">
        <is>
          <t>Putri Maylia</t>
        </is>
      </c>
      <c r="B85" s="45" t="n">
        <v>27</v>
      </c>
      <c r="C85" s="45" t="n">
        <v>9</v>
      </c>
      <c r="D85" s="45" t="n">
        <v>13</v>
      </c>
      <c r="E85" s="45" t="n">
        <v>0</v>
      </c>
      <c r="F85" s="45" t="inlineStr">
        <is>
          <t>Sedang</t>
        </is>
      </c>
    </row>
    <row r="86" s="1">
      <c r="A86" s="45" t="inlineStr">
        <is>
          <t>Muthi Navisa</t>
        </is>
      </c>
      <c r="B86" s="45" t="n">
        <v>23</v>
      </c>
      <c r="C86" s="45" t="n">
        <v>3</v>
      </c>
      <c r="D86" s="45" t="n">
        <v>13</v>
      </c>
      <c r="E86" s="45" t="n">
        <v>0</v>
      </c>
      <c r="F86" s="45" t="inlineStr">
        <is>
          <t>Sedang</t>
        </is>
      </c>
    </row>
    <row r="87" s="1">
      <c r="A87" s="45" t="inlineStr">
        <is>
          <t xml:space="preserve">Mutia Diva </t>
        </is>
      </c>
      <c r="B87" s="45" t="n">
        <v>21</v>
      </c>
      <c r="C87" s="45" t="n">
        <v>3</v>
      </c>
      <c r="D87" s="45" t="n">
        <v>13</v>
      </c>
      <c r="E87" s="45" t="n">
        <v>0</v>
      </c>
      <c r="F87" s="45" t="inlineStr">
        <is>
          <t>Sedang</t>
        </is>
      </c>
    </row>
    <row r="88" s="1">
      <c r="A88" s="45" t="inlineStr">
        <is>
          <t>Anugrah Illahi</t>
        </is>
      </c>
      <c r="B88" s="45" t="n">
        <v>20</v>
      </c>
      <c r="C88" s="45" t="n">
        <v>4</v>
      </c>
      <c r="D88" s="45" t="n">
        <v>13</v>
      </c>
      <c r="E88" s="45" t="n">
        <v>1</v>
      </c>
      <c r="F88" s="45" t="inlineStr">
        <is>
          <t>Sedang</t>
        </is>
      </c>
    </row>
    <row r="89" s="1">
      <c r="A89" s="45" t="inlineStr">
        <is>
          <t>Mon Sri</t>
        </is>
      </c>
      <c r="B89" s="45" t="n">
        <v>32</v>
      </c>
      <c r="C89" s="45" t="n">
        <v>4</v>
      </c>
      <c r="D89" s="45" t="n">
        <v>13</v>
      </c>
      <c r="E89" s="45" t="n">
        <v>0</v>
      </c>
      <c r="F89" s="45" t="inlineStr">
        <is>
          <t>Sedang</t>
        </is>
      </c>
    </row>
    <row r="90" s="1">
      <c r="A90" s="45" t="inlineStr">
        <is>
          <t>Surya Masalfi</t>
        </is>
      </c>
      <c r="B90" s="45" t="n">
        <v>47</v>
      </c>
      <c r="C90" s="45" t="n">
        <v>3</v>
      </c>
      <c r="D90" s="45" t="n">
        <v>18</v>
      </c>
      <c r="E90" s="45" t="n">
        <v>0</v>
      </c>
      <c r="F90" s="45" t="inlineStr">
        <is>
          <t>Tinggi</t>
        </is>
      </c>
    </row>
    <row r="91" s="1">
      <c r="A91" s="45" t="inlineStr">
        <is>
          <t>Aat Kusmayadi</t>
        </is>
      </c>
      <c r="B91" s="45" t="n">
        <v>35</v>
      </c>
      <c r="C91" s="45" t="n">
        <v>1</v>
      </c>
      <c r="D91" s="45" t="n">
        <v>18</v>
      </c>
      <c r="E91" s="45" t="n">
        <v>1</v>
      </c>
      <c r="F91" s="45" t="inlineStr">
        <is>
          <t>Tinggi</t>
        </is>
      </c>
    </row>
    <row r="92" s="1">
      <c r="A92" s="45" t="inlineStr">
        <is>
          <t>Fitria Anita</t>
        </is>
      </c>
      <c r="B92" s="45" t="n">
        <v>55</v>
      </c>
      <c r="C92" s="45" t="n">
        <v>7</v>
      </c>
      <c r="D92" s="45" t="n">
        <v>18</v>
      </c>
      <c r="E92" s="45" t="n">
        <v>0</v>
      </c>
      <c r="F92" s="45" t="inlineStr">
        <is>
          <t>Tinggi</t>
        </is>
      </c>
    </row>
    <row r="93" s="1">
      <c r="A93" s="45" t="inlineStr">
        <is>
          <t>Rosavita</t>
        </is>
      </c>
      <c r="B93" s="45" t="n">
        <v>65</v>
      </c>
      <c r="C93" s="45" t="n">
        <v>4</v>
      </c>
      <c r="D93" s="45" t="n">
        <v>18</v>
      </c>
      <c r="E93" s="45" t="n">
        <v>0</v>
      </c>
      <c r="F93" s="45" t="inlineStr">
        <is>
          <t>Tinggi</t>
        </is>
      </c>
    </row>
    <row r="94" s="1">
      <c r="A94" s="45" t="inlineStr">
        <is>
          <t>Jauza Jahira</t>
        </is>
      </c>
      <c r="B94" s="45" t="n">
        <v>12</v>
      </c>
      <c r="C94" s="45" t="n">
        <v>4</v>
      </c>
      <c r="D94" s="45" t="n">
        <v>18</v>
      </c>
      <c r="E94" s="45" t="n">
        <v>0</v>
      </c>
      <c r="F94" s="45" t="inlineStr">
        <is>
          <t>Tinggi</t>
        </is>
      </c>
    </row>
    <row r="95" s="1">
      <c r="A95" s="45" t="inlineStr">
        <is>
          <t>Menzo Khaira</t>
        </is>
      </c>
      <c r="B95" s="45" t="n">
        <v>11</v>
      </c>
      <c r="C95" s="45" t="n">
        <v>3</v>
      </c>
      <c r="D95" s="45" t="n">
        <v>18</v>
      </c>
      <c r="E95" s="45" t="n">
        <v>1</v>
      </c>
      <c r="F95" s="45" t="inlineStr">
        <is>
          <t>Tinggi</t>
        </is>
      </c>
    </row>
    <row r="96" s="1">
      <c r="A96" s="45" t="inlineStr">
        <is>
          <t>Zulfa Yenti</t>
        </is>
      </c>
      <c r="B96" s="45" t="n">
        <v>56</v>
      </c>
      <c r="C96" s="45" t="n">
        <v>4</v>
      </c>
      <c r="D96" s="45" t="n">
        <v>18</v>
      </c>
      <c r="E96" s="45" t="n">
        <v>0</v>
      </c>
      <c r="F96" s="45" t="inlineStr">
        <is>
          <t>Tinggi</t>
        </is>
      </c>
    </row>
    <row r="97" s="1">
      <c r="A97" s="45" t="inlineStr">
        <is>
          <t>Syahlan Yuanda</t>
        </is>
      </c>
      <c r="B97" s="45" t="n">
        <v>16</v>
      </c>
      <c r="C97" s="45" t="n">
        <v>2</v>
      </c>
      <c r="D97" s="45" t="n">
        <v>18</v>
      </c>
      <c r="E97" s="45" t="n">
        <v>1</v>
      </c>
      <c r="F97" s="45" t="inlineStr">
        <is>
          <t>Tinggi</t>
        </is>
      </c>
    </row>
    <row r="98" s="1">
      <c r="A98" s="45" t="inlineStr">
        <is>
          <t>Kenzi Romanja</t>
        </is>
      </c>
      <c r="B98" s="45" t="n">
        <v>16</v>
      </c>
      <c r="C98" s="45" t="n">
        <v>2</v>
      </c>
      <c r="D98" s="45" t="n">
        <v>18</v>
      </c>
      <c r="E98" s="45" t="n">
        <v>1</v>
      </c>
      <c r="F98" s="45" t="inlineStr">
        <is>
          <t>Tinggi</t>
        </is>
      </c>
    </row>
    <row r="99" s="1">
      <c r="A99" s="45" t="inlineStr">
        <is>
          <t>Abdurrahman As Saoli</t>
        </is>
      </c>
      <c r="B99" s="45" t="n">
        <v>4</v>
      </c>
      <c r="C99" s="45" t="n">
        <v>2</v>
      </c>
      <c r="D99" s="45" t="n">
        <v>18</v>
      </c>
      <c r="E99" s="45" t="n">
        <v>1</v>
      </c>
      <c r="F99" s="45" t="inlineStr">
        <is>
          <t>Tinggi</t>
        </is>
      </c>
    </row>
    <row r="100" s="1">
      <c r="A100" s="45" t="inlineStr">
        <is>
          <t>Aisyah Difani</t>
        </is>
      </c>
      <c r="B100" s="45" t="n">
        <v>19</v>
      </c>
      <c r="C100" s="45" t="n">
        <v>6</v>
      </c>
      <c r="D100" s="45" t="n">
        <v>18</v>
      </c>
      <c r="E100" s="45" t="n">
        <v>0</v>
      </c>
      <c r="F100" s="45" t="inlineStr">
        <is>
          <t>Tinggi</t>
        </is>
      </c>
    </row>
    <row r="101" s="1">
      <c r="A101" s="45" t="inlineStr">
        <is>
          <t>Rosli Asamara</t>
        </is>
      </c>
      <c r="B101" s="45" t="n">
        <v>42</v>
      </c>
      <c r="C101" s="45" t="n">
        <v>5</v>
      </c>
      <c r="D101" s="45" t="n">
        <v>18</v>
      </c>
      <c r="E101" s="45" t="n">
        <v>0</v>
      </c>
      <c r="F101" s="45" t="inlineStr">
        <is>
          <t>Tinggi</t>
        </is>
      </c>
    </row>
    <row r="102" s="1">
      <c r="A102" s="45" t="inlineStr">
        <is>
          <t>Lisma Erni</t>
        </is>
      </c>
      <c r="B102" s="45" t="n">
        <v>41</v>
      </c>
      <c r="C102" s="45" t="n">
        <v>4</v>
      </c>
      <c r="D102" s="45" t="n">
        <v>18</v>
      </c>
      <c r="E102" s="45" t="n">
        <v>0</v>
      </c>
      <c r="F102" s="45" t="inlineStr">
        <is>
          <t>Tinggi</t>
        </is>
      </c>
    </row>
    <row r="103" s="1">
      <c r="A103" s="45" t="inlineStr">
        <is>
          <t>Rahmi</t>
        </is>
      </c>
      <c r="B103" s="45" t="n">
        <v>22</v>
      </c>
      <c r="C103" s="45" t="n">
        <v>5</v>
      </c>
      <c r="D103" s="45" t="n">
        <v>18</v>
      </c>
      <c r="E103" s="45" t="n">
        <v>0</v>
      </c>
      <c r="F103" s="45" t="inlineStr">
        <is>
          <t>Tinggi</t>
        </is>
      </c>
    </row>
    <row r="104" s="1">
      <c r="A104" s="45" t="inlineStr">
        <is>
          <t>Eki Hendra</t>
        </is>
      </c>
      <c r="B104" s="45" t="n">
        <v>37</v>
      </c>
      <c r="C104" s="45" t="n">
        <v>4</v>
      </c>
      <c r="D104" s="45" t="n">
        <v>18</v>
      </c>
      <c r="E104" s="45" t="n">
        <v>1</v>
      </c>
      <c r="F104" s="45" t="inlineStr">
        <is>
          <t>Tinggi</t>
        </is>
      </c>
    </row>
    <row r="105" s="1">
      <c r="A105" s="45" t="inlineStr">
        <is>
          <t>Yusbardar</t>
        </is>
      </c>
      <c r="B105" s="45" t="n">
        <v>61</v>
      </c>
      <c r="C105" s="45" t="n">
        <v>3</v>
      </c>
      <c r="D105" s="45" t="n">
        <v>18</v>
      </c>
      <c r="E105" s="45" t="n">
        <v>1</v>
      </c>
      <c r="F105" s="45" t="inlineStr">
        <is>
          <t>Tinggi</t>
        </is>
      </c>
    </row>
    <row r="106" s="1">
      <c r="A106" s="45" t="inlineStr">
        <is>
          <t>Aris Lucky</t>
        </is>
      </c>
      <c r="B106" s="45" t="n">
        <v>23</v>
      </c>
      <c r="C106" s="45" t="n">
        <v>3</v>
      </c>
      <c r="D106" s="45" t="n">
        <v>18</v>
      </c>
      <c r="E106" s="45" t="n">
        <v>1</v>
      </c>
      <c r="F106" s="45" t="inlineStr">
        <is>
          <t>Tinggi</t>
        </is>
      </c>
    </row>
    <row r="107" s="1">
      <c r="A107" s="45" t="inlineStr">
        <is>
          <t>Murniaty</t>
        </is>
      </c>
      <c r="B107" s="45" t="n">
        <v>48</v>
      </c>
      <c r="C107" s="45" t="n">
        <v>5</v>
      </c>
      <c r="D107" s="45" t="n">
        <v>18</v>
      </c>
      <c r="E107" s="45" t="n">
        <v>0</v>
      </c>
      <c r="F107" s="45" t="inlineStr">
        <is>
          <t>Tinggi</t>
        </is>
      </c>
    </row>
    <row r="108" s="1">
      <c r="A108" s="45" t="inlineStr">
        <is>
          <t>Agus</t>
        </is>
      </c>
      <c r="B108" s="45" t="n">
        <v>69</v>
      </c>
      <c r="C108" s="45" t="n">
        <v>7</v>
      </c>
      <c r="D108" s="45" t="n">
        <v>33</v>
      </c>
      <c r="E108" s="45" t="n">
        <v>1</v>
      </c>
      <c r="F108" s="45" t="inlineStr">
        <is>
          <t>Tinggi</t>
        </is>
      </c>
    </row>
    <row r="109" s="1">
      <c r="A109" s="45" t="inlineStr">
        <is>
          <t>Indra Melvi</t>
        </is>
      </c>
      <c r="B109" s="45" t="n">
        <v>40</v>
      </c>
      <c r="C109" s="45" t="n">
        <v>3</v>
      </c>
      <c r="D109" s="45" t="n">
        <v>33</v>
      </c>
      <c r="E109" s="45" t="n">
        <v>1</v>
      </c>
      <c r="F109" s="45" t="inlineStr">
        <is>
          <t>Tinggi</t>
        </is>
      </c>
    </row>
    <row r="110" s="1">
      <c r="A110" s="45" t="inlineStr">
        <is>
          <t>Musliadi</t>
        </is>
      </c>
      <c r="B110" s="45" t="n">
        <v>42</v>
      </c>
      <c r="C110" s="45" t="n">
        <v>2</v>
      </c>
      <c r="D110" s="45" t="n">
        <v>33</v>
      </c>
      <c r="E110" s="45" t="n">
        <v>1</v>
      </c>
      <c r="F110" s="45" t="inlineStr">
        <is>
          <t>Tinggi</t>
        </is>
      </c>
    </row>
    <row r="111" s="1">
      <c r="A111" s="45" t="inlineStr">
        <is>
          <t>Ulfa Alifia</t>
        </is>
      </c>
      <c r="B111" s="45" t="n">
        <v>25</v>
      </c>
      <c r="C111" s="45" t="n">
        <v>4</v>
      </c>
      <c r="D111" s="45" t="n">
        <v>33</v>
      </c>
      <c r="E111" s="45" t="n">
        <v>0</v>
      </c>
      <c r="F111" s="45" t="inlineStr">
        <is>
          <t>Tinggi</t>
        </is>
      </c>
    </row>
    <row r="112" s="1">
      <c r="A112" s="45" t="inlineStr">
        <is>
          <t>Martias</t>
        </is>
      </c>
      <c r="B112" s="45" t="n">
        <v>61</v>
      </c>
      <c r="C112" s="45" t="n">
        <v>3</v>
      </c>
      <c r="D112" s="45" t="n">
        <v>33</v>
      </c>
      <c r="E112" s="45" t="n">
        <v>1</v>
      </c>
      <c r="F112" s="45" t="inlineStr">
        <is>
          <t>Tinggi</t>
        </is>
      </c>
    </row>
    <row r="113" s="1">
      <c r="A113" s="45" t="inlineStr">
        <is>
          <t>Masri</t>
        </is>
      </c>
      <c r="B113" s="45" t="n">
        <v>69</v>
      </c>
      <c r="C113" s="45" t="n">
        <v>1</v>
      </c>
      <c r="D113" s="45" t="n">
        <v>33</v>
      </c>
      <c r="E113" s="45" t="n">
        <v>1</v>
      </c>
      <c r="F113" s="45" t="inlineStr">
        <is>
          <t>Tinggi</t>
        </is>
      </c>
    </row>
    <row r="114" s="1">
      <c r="A114" s="45" t="inlineStr">
        <is>
          <t>Dzikra Maulana</t>
        </is>
      </c>
      <c r="B114" s="45" t="n">
        <v>14</v>
      </c>
      <c r="C114" s="45" t="n">
        <v>2</v>
      </c>
      <c r="D114" s="45" t="n">
        <v>33</v>
      </c>
      <c r="E114" s="45" t="n">
        <v>1</v>
      </c>
      <c r="F114" s="45" t="inlineStr">
        <is>
          <t>Tinggi</t>
        </is>
      </c>
    </row>
    <row r="115" s="1">
      <c r="A115" s="45" t="inlineStr">
        <is>
          <t>Indra Mastari</t>
        </is>
      </c>
      <c r="B115" s="45" t="n">
        <v>52</v>
      </c>
      <c r="C115" s="45" t="n">
        <v>3</v>
      </c>
      <c r="D115" s="45" t="n">
        <v>33</v>
      </c>
      <c r="E115" s="45" t="n">
        <v>1</v>
      </c>
      <c r="F115" s="45" t="inlineStr">
        <is>
          <t>Tinggi</t>
        </is>
      </c>
    </row>
    <row r="116" s="1">
      <c r="A116" s="45" t="inlineStr">
        <is>
          <t>Budi Kargo</t>
        </is>
      </c>
      <c r="B116" s="45" t="n">
        <v>32</v>
      </c>
      <c r="C116" s="45" t="n">
        <v>4</v>
      </c>
      <c r="D116" s="45" t="n">
        <v>33</v>
      </c>
      <c r="E116" s="45" t="n">
        <v>1</v>
      </c>
      <c r="F116" s="45" t="inlineStr">
        <is>
          <t>Tinggi</t>
        </is>
      </c>
    </row>
    <row r="117" s="1">
      <c r="A117" s="45" t="inlineStr">
        <is>
          <t>Adril Yusuf</t>
        </is>
      </c>
      <c r="B117" s="45" t="n">
        <v>49</v>
      </c>
      <c r="C117" s="45" t="n">
        <v>4</v>
      </c>
      <c r="D117" s="45" t="n">
        <v>33</v>
      </c>
      <c r="E117" s="45" t="n">
        <v>1</v>
      </c>
      <c r="F117" s="45" t="inlineStr">
        <is>
          <t>Tinggi</t>
        </is>
      </c>
    </row>
    <row r="118" s="1">
      <c r="A118" s="45" t="inlineStr">
        <is>
          <t>M. Fatih</t>
        </is>
      </c>
      <c r="B118" s="45" t="n">
        <v>67</v>
      </c>
      <c r="C118" s="45" t="n">
        <v>4</v>
      </c>
      <c r="D118" s="45" t="n">
        <v>33</v>
      </c>
      <c r="E118" s="45" t="n">
        <v>1</v>
      </c>
      <c r="F118" s="45" t="inlineStr">
        <is>
          <t>Tinggi</t>
        </is>
      </c>
    </row>
    <row r="119" s="1">
      <c r="A119" s="45" t="inlineStr">
        <is>
          <t>Nila Purnama Sari</t>
        </is>
      </c>
      <c r="B119" s="45" t="n">
        <v>30</v>
      </c>
      <c r="C119" s="45" t="n">
        <v>7</v>
      </c>
      <c r="D119" s="45" t="n">
        <v>33</v>
      </c>
      <c r="E119" s="45" t="n">
        <v>0</v>
      </c>
      <c r="F119" s="45" t="inlineStr">
        <is>
          <t>Tinggi</t>
        </is>
      </c>
    </row>
    <row r="120" s="1">
      <c r="A120" s="45" t="inlineStr">
        <is>
          <t>Edo Madani</t>
        </is>
      </c>
      <c r="B120" s="45" t="n">
        <v>26</v>
      </c>
      <c r="C120" s="45" t="n">
        <v>4</v>
      </c>
      <c r="D120" s="45" t="n">
        <v>33</v>
      </c>
      <c r="E120" s="45" t="n">
        <v>1</v>
      </c>
      <c r="F120" s="45" t="inlineStr">
        <is>
          <t>Tinggi</t>
        </is>
      </c>
    </row>
    <row r="121" s="1">
      <c r="A121" s="45" t="inlineStr">
        <is>
          <t>Idris</t>
        </is>
      </c>
      <c r="B121" s="45" t="n">
        <v>82</v>
      </c>
      <c r="C121" s="45" t="n">
        <v>5</v>
      </c>
      <c r="D121" s="45" t="n">
        <v>33</v>
      </c>
      <c r="E121" s="45" t="n">
        <v>1</v>
      </c>
      <c r="F121" s="45" t="inlineStr">
        <is>
          <t>Tinggi</t>
        </is>
      </c>
    </row>
    <row r="122" s="1">
      <c r="A122" s="45" t="inlineStr">
        <is>
          <t>Randi</t>
        </is>
      </c>
      <c r="B122" s="45" t="n">
        <v>28</v>
      </c>
      <c r="C122" s="45" t="n">
        <v>3</v>
      </c>
      <c r="D122" s="45" t="n">
        <v>33</v>
      </c>
      <c r="E122" s="45" t="n">
        <v>1</v>
      </c>
      <c r="F122" s="45" t="inlineStr">
        <is>
          <t>Tinggi</t>
        </is>
      </c>
    </row>
    <row r="123" s="1">
      <c r="A123" s="45" t="inlineStr">
        <is>
          <t>Destia Izani</t>
        </is>
      </c>
      <c r="B123" s="45" t="n">
        <v>22</v>
      </c>
      <c r="C123" s="45" t="n">
        <v>4</v>
      </c>
      <c r="D123" s="45" t="n">
        <v>33</v>
      </c>
      <c r="E123" s="45" t="n">
        <v>0</v>
      </c>
      <c r="F123" s="45" t="inlineStr">
        <is>
          <t>Tinggi</t>
        </is>
      </c>
    </row>
    <row r="124" s="1">
      <c r="A124" s="45" t="inlineStr">
        <is>
          <t>M. Raihan</t>
        </is>
      </c>
      <c r="B124" s="45" t="n">
        <v>24</v>
      </c>
      <c r="C124" s="45" t="n">
        <v>3</v>
      </c>
      <c r="D124" s="45" t="n">
        <v>33</v>
      </c>
      <c r="E124" s="45" t="n">
        <v>1</v>
      </c>
      <c r="F124" s="45" t="inlineStr">
        <is>
          <t>Tinggi</t>
        </is>
      </c>
    </row>
    <row r="125" s="1">
      <c r="A125" s="45" t="inlineStr">
        <is>
          <t>Widya Anggraini</t>
        </is>
      </c>
      <c r="B125" s="45" t="n">
        <v>39</v>
      </c>
      <c r="C125" s="45" t="n">
        <v>4</v>
      </c>
      <c r="D125" s="45" t="n">
        <v>33</v>
      </c>
      <c r="E125" s="45" t="n">
        <v>0</v>
      </c>
      <c r="F125" s="45" t="inlineStr">
        <is>
          <t>Tinggi</t>
        </is>
      </c>
    </row>
    <row r="126" s="1">
      <c r="A126" s="45" t="inlineStr">
        <is>
          <t>Misrita Indra</t>
        </is>
      </c>
      <c r="B126" s="45" t="n">
        <v>51</v>
      </c>
      <c r="C126" s="45" t="n">
        <v>3</v>
      </c>
      <c r="D126" s="45" t="n">
        <v>33</v>
      </c>
      <c r="E126" s="45" t="n">
        <v>1</v>
      </c>
      <c r="F126" s="45" t="inlineStr">
        <is>
          <t>Tinggi</t>
        </is>
      </c>
    </row>
    <row r="127" s="1">
      <c r="A127" s="45" t="inlineStr">
        <is>
          <t>Sintia</t>
        </is>
      </c>
      <c r="B127" s="45" t="n">
        <v>21</v>
      </c>
      <c r="C127" s="45" t="n">
        <v>2</v>
      </c>
      <c r="D127" s="45" t="n">
        <v>33</v>
      </c>
      <c r="E127" s="45" t="n">
        <v>0</v>
      </c>
      <c r="F127" s="45" t="inlineStr">
        <is>
          <t>Tinggi</t>
        </is>
      </c>
    </row>
    <row r="128" s="1">
      <c r="A128" s="45" t="inlineStr">
        <is>
          <t>Irmalinda</t>
        </is>
      </c>
      <c r="B128" s="45" t="n">
        <v>38</v>
      </c>
      <c r="C128" s="45" t="n">
        <v>2</v>
      </c>
      <c r="D128" s="45" t="n">
        <v>33</v>
      </c>
      <c r="E128" s="45" t="n">
        <v>0</v>
      </c>
      <c r="F128" s="45" t="inlineStr">
        <is>
          <t>Tinggi</t>
        </is>
      </c>
    </row>
    <row r="129" s="1">
      <c r="A129" s="45" t="inlineStr">
        <is>
          <t>Andini Putri</t>
        </is>
      </c>
      <c r="B129" s="45" t="n">
        <v>4</v>
      </c>
      <c r="C129" s="45" t="n">
        <v>3</v>
      </c>
      <c r="D129" s="45" t="n">
        <v>33</v>
      </c>
      <c r="E129" s="45" t="n">
        <v>0</v>
      </c>
      <c r="F129" s="45" t="inlineStr">
        <is>
          <t>Tinggi</t>
        </is>
      </c>
    </row>
    <row r="130" s="1">
      <c r="A130" s="45" t="inlineStr">
        <is>
          <t>Siti Aisyah</t>
        </is>
      </c>
      <c r="B130" s="45" t="n">
        <v>12</v>
      </c>
      <c r="C130" s="45" t="n">
        <v>4</v>
      </c>
      <c r="D130" s="45" t="n">
        <v>33</v>
      </c>
      <c r="E130" s="45" t="n">
        <v>0</v>
      </c>
      <c r="F130" s="45" t="inlineStr">
        <is>
          <t>Tinggi</t>
        </is>
      </c>
    </row>
    <row r="131" s="1">
      <c r="A131" s="45" t="inlineStr">
        <is>
          <t>Naura Salsabila</t>
        </is>
      </c>
      <c r="B131" s="45" t="n">
        <v>10</v>
      </c>
      <c r="C131" s="45" t="n">
        <v>2</v>
      </c>
      <c r="D131" s="45" t="n">
        <v>33</v>
      </c>
      <c r="E131" s="45" t="n">
        <v>0</v>
      </c>
      <c r="F131" s="45" t="inlineStr">
        <is>
          <t>Tinggi</t>
        </is>
      </c>
    </row>
    <row r="132" s="1">
      <c r="A132" s="45" t="inlineStr">
        <is>
          <t>Reza Chaniago</t>
        </is>
      </c>
      <c r="B132" s="45" t="n">
        <v>10</v>
      </c>
      <c r="C132" s="45" t="n">
        <v>3</v>
      </c>
      <c r="D132" s="45" t="n">
        <v>33</v>
      </c>
      <c r="E132" s="45" t="n">
        <v>1</v>
      </c>
      <c r="F132" s="45" t="inlineStr">
        <is>
          <t>Tinggi</t>
        </is>
      </c>
    </row>
    <row r="133" s="1">
      <c r="A133" s="45" t="inlineStr">
        <is>
          <t>Humaira Denifa</t>
        </is>
      </c>
      <c r="B133" s="45" t="n">
        <v>6</v>
      </c>
      <c r="C133" s="45" t="n">
        <v>4</v>
      </c>
      <c r="D133" s="45" t="n">
        <v>33</v>
      </c>
      <c r="E133" s="45" t="n">
        <v>0</v>
      </c>
      <c r="F133" s="45" t="inlineStr">
        <is>
          <t>Tinggi</t>
        </is>
      </c>
    </row>
    <row r="134" s="1">
      <c r="A134" s="45" t="inlineStr">
        <is>
          <t>Azzam</t>
        </is>
      </c>
      <c r="B134" s="45" t="n">
        <v>4</v>
      </c>
      <c r="C134" s="45" t="n">
        <v>2</v>
      </c>
      <c r="D134" s="45" t="n">
        <v>33</v>
      </c>
      <c r="E134" s="45" t="n">
        <v>1</v>
      </c>
      <c r="F134" s="45" t="inlineStr">
        <is>
          <t>Tinggi</t>
        </is>
      </c>
    </row>
    <row r="135" s="1">
      <c r="A135" s="45" t="inlineStr">
        <is>
          <t>Adha Lestari</t>
        </is>
      </c>
      <c r="B135" s="45" t="n">
        <v>10</v>
      </c>
      <c r="C135" s="45" t="n">
        <v>2</v>
      </c>
      <c r="D135" s="45" t="n">
        <v>33</v>
      </c>
      <c r="E135" s="45" t="n">
        <v>0</v>
      </c>
      <c r="F135" s="45" t="inlineStr">
        <is>
          <t>Tinggi</t>
        </is>
      </c>
    </row>
    <row r="136" s="1">
      <c r="A136" s="45" t="inlineStr">
        <is>
          <t>Nadira Puti</t>
        </is>
      </c>
      <c r="B136" s="45" t="n">
        <v>6</v>
      </c>
      <c r="C136" s="45" t="n">
        <v>2</v>
      </c>
      <c r="D136" s="45" t="n">
        <v>33</v>
      </c>
      <c r="E136" s="45" t="n">
        <v>0</v>
      </c>
      <c r="F136" s="45" t="inlineStr">
        <is>
          <t>Tinggi</t>
        </is>
      </c>
    </row>
    <row r="137" s="1">
      <c r="A137" s="45" t="inlineStr">
        <is>
          <t>Reza Andriansyah</t>
        </is>
      </c>
      <c r="B137" s="45" t="n">
        <v>3</v>
      </c>
      <c r="C137" s="45" t="n">
        <v>1</v>
      </c>
      <c r="D137" s="45" t="n">
        <v>33</v>
      </c>
      <c r="E137" s="45" t="n">
        <v>1</v>
      </c>
      <c r="F137" s="45" t="inlineStr">
        <is>
          <t>Tinggi</t>
        </is>
      </c>
    </row>
    <row r="138" s="1">
      <c r="A138" s="45" t="inlineStr">
        <is>
          <t>Rafael Sebastian</t>
        </is>
      </c>
      <c r="B138" s="45" t="n">
        <v>13</v>
      </c>
      <c r="C138" s="45" t="n">
        <v>3</v>
      </c>
      <c r="D138" s="45" t="n">
        <v>33</v>
      </c>
      <c r="E138" s="45" t="n">
        <v>1</v>
      </c>
      <c r="F138" s="45" t="inlineStr">
        <is>
          <t>Tinggi</t>
        </is>
      </c>
    </row>
    <row r="139" s="1">
      <c r="A139" s="45" t="inlineStr">
        <is>
          <t>Yulia Neri</t>
        </is>
      </c>
      <c r="B139" s="45" t="n">
        <v>52</v>
      </c>
      <c r="C139" s="45" t="n">
        <v>7</v>
      </c>
      <c r="D139" s="45" t="n">
        <v>21</v>
      </c>
      <c r="E139" s="45" t="n">
        <v>0</v>
      </c>
      <c r="F139" s="45" t="inlineStr">
        <is>
          <t>Tinggi</t>
        </is>
      </c>
    </row>
    <row r="140" s="1">
      <c r="A140" s="45" t="inlineStr">
        <is>
          <t>Rajab</t>
        </is>
      </c>
      <c r="B140" s="45" t="n">
        <v>74</v>
      </c>
      <c r="C140" s="45" t="n">
        <v>5</v>
      </c>
      <c r="D140" s="45" t="n">
        <v>21</v>
      </c>
      <c r="E140" s="45" t="n">
        <v>1</v>
      </c>
      <c r="F140" s="45" t="inlineStr">
        <is>
          <t>Tinggi</t>
        </is>
      </c>
    </row>
    <row r="141" s="1">
      <c r="A141" s="45" t="inlineStr">
        <is>
          <t>Widya Mayang</t>
        </is>
      </c>
      <c r="B141" s="45" t="n">
        <v>36</v>
      </c>
      <c r="C141" s="45" t="n">
        <v>2</v>
      </c>
      <c r="D141" s="45" t="n">
        <v>21</v>
      </c>
      <c r="E141" s="45" t="n">
        <v>0</v>
      </c>
      <c r="F141" s="45" t="inlineStr">
        <is>
          <t>Tinggi</t>
        </is>
      </c>
    </row>
    <row r="142" s="1">
      <c r="A142" s="45" t="inlineStr">
        <is>
          <t>Rahmat Fitra</t>
        </is>
      </c>
      <c r="B142" s="45" t="n">
        <v>39</v>
      </c>
      <c r="C142" s="45" t="n">
        <v>2</v>
      </c>
      <c r="D142" s="45" t="n">
        <v>21</v>
      </c>
      <c r="E142" s="45" t="n">
        <v>1</v>
      </c>
      <c r="F142" s="45" t="inlineStr">
        <is>
          <t>Tinggi</t>
        </is>
      </c>
    </row>
    <row r="143" s="1">
      <c r="A143" s="45" t="inlineStr">
        <is>
          <t>Alvin Noradilla</t>
        </is>
      </c>
      <c r="B143" s="45" t="n">
        <v>20</v>
      </c>
      <c r="C143" s="45" t="n">
        <v>4</v>
      </c>
      <c r="D143" s="45" t="n">
        <v>21</v>
      </c>
      <c r="E143" s="45" t="n">
        <v>1</v>
      </c>
      <c r="F143" s="45" t="inlineStr">
        <is>
          <t>Tinggi</t>
        </is>
      </c>
    </row>
    <row r="144" s="1">
      <c r="A144" s="45" t="inlineStr">
        <is>
          <t>Martias</t>
        </is>
      </c>
      <c r="B144" s="45" t="n">
        <v>61</v>
      </c>
      <c r="C144" s="45" t="n">
        <v>4</v>
      </c>
      <c r="D144" s="45" t="n">
        <v>21</v>
      </c>
      <c r="E144" s="45" t="n">
        <v>1</v>
      </c>
      <c r="F144" s="45" t="inlineStr">
        <is>
          <t>Tinggi</t>
        </is>
      </c>
    </row>
    <row r="145" s="1">
      <c r="A145" s="45" t="inlineStr">
        <is>
          <t>Zhaya</t>
        </is>
      </c>
      <c r="B145" s="45" t="n">
        <v>28</v>
      </c>
      <c r="C145" s="45" t="n">
        <v>4</v>
      </c>
      <c r="D145" s="45" t="n">
        <v>21</v>
      </c>
      <c r="E145" s="45" t="n">
        <v>1</v>
      </c>
      <c r="F145" s="45" t="inlineStr">
        <is>
          <t>Tinggi</t>
        </is>
      </c>
    </row>
    <row r="146" s="1">
      <c r="A146" s="45" t="inlineStr">
        <is>
          <t>Ahmad Faizin</t>
        </is>
      </c>
      <c r="B146" s="45" t="n">
        <v>34</v>
      </c>
      <c r="C146" s="45" t="n">
        <v>2</v>
      </c>
      <c r="D146" s="45" t="n">
        <v>21</v>
      </c>
      <c r="E146" s="45" t="n">
        <v>1</v>
      </c>
      <c r="F146" s="45" t="inlineStr">
        <is>
          <t>Tinggi</t>
        </is>
      </c>
    </row>
    <row r="147" s="1">
      <c r="A147" s="45" t="inlineStr">
        <is>
          <t xml:space="preserve">Asrizal </t>
        </is>
      </c>
      <c r="B147" s="45" t="n">
        <v>66</v>
      </c>
      <c r="C147" s="45" t="n">
        <v>10</v>
      </c>
      <c r="D147" s="45" t="n">
        <v>21</v>
      </c>
      <c r="E147" s="45" t="n">
        <v>1</v>
      </c>
      <c r="F147" s="45" t="inlineStr">
        <is>
          <t>Tinggi</t>
        </is>
      </c>
    </row>
    <row r="148" s="1">
      <c r="A148" s="45" t="inlineStr">
        <is>
          <t>Yunaldi</t>
        </is>
      </c>
      <c r="B148" s="45" t="n">
        <v>55</v>
      </c>
      <c r="C148" s="45" t="n">
        <v>3</v>
      </c>
      <c r="D148" s="45" t="n">
        <v>21</v>
      </c>
      <c r="E148" s="45" t="n">
        <v>1</v>
      </c>
      <c r="F148" s="45" t="inlineStr">
        <is>
          <t>Tinggi</t>
        </is>
      </c>
    </row>
    <row r="149" s="1">
      <c r="A149" s="45" t="inlineStr">
        <is>
          <t>Yanti Devina</t>
        </is>
      </c>
      <c r="B149" s="45" t="n">
        <v>19</v>
      </c>
      <c r="C149" s="45" t="n">
        <v>5</v>
      </c>
      <c r="D149" s="45" t="n">
        <v>21</v>
      </c>
      <c r="E149" s="45" t="n">
        <v>0</v>
      </c>
      <c r="F149" s="45" t="inlineStr">
        <is>
          <t>Tinggi</t>
        </is>
      </c>
    </row>
    <row r="150" s="1">
      <c r="A150" s="45" t="inlineStr">
        <is>
          <t>Syafrizal</t>
        </is>
      </c>
      <c r="B150" s="45" t="n">
        <v>61</v>
      </c>
      <c r="C150" s="45" t="n">
        <v>5</v>
      </c>
      <c r="D150" s="45" t="n">
        <v>21</v>
      </c>
      <c r="E150" s="45" t="n">
        <v>1</v>
      </c>
      <c r="F150" s="45" t="inlineStr">
        <is>
          <t>Tinggi</t>
        </is>
      </c>
    </row>
    <row r="151" s="1">
      <c r="A151" s="45" t="inlineStr">
        <is>
          <t>Weri Oktavia</t>
        </is>
      </c>
      <c r="B151" s="45" t="n">
        <v>24</v>
      </c>
      <c r="C151" s="45" t="n">
        <v>3</v>
      </c>
      <c r="D151" s="45" t="n">
        <v>21</v>
      </c>
      <c r="E151" s="45" t="n">
        <v>0</v>
      </c>
      <c r="F151" s="45" t="inlineStr">
        <is>
          <t>Tinggi</t>
        </is>
      </c>
    </row>
    <row r="152" s="1">
      <c r="A152" s="45" t="inlineStr">
        <is>
          <t>Zulkarnain</t>
        </is>
      </c>
      <c r="B152" s="45" t="n">
        <v>47</v>
      </c>
      <c r="C152" s="45" t="n">
        <v>3</v>
      </c>
      <c r="D152" s="45" t="n">
        <v>21</v>
      </c>
      <c r="E152" s="45" t="n">
        <v>1</v>
      </c>
      <c r="F152" s="45" t="inlineStr">
        <is>
          <t>Tinggi</t>
        </is>
      </c>
    </row>
    <row r="153" s="1">
      <c r="A153" s="45" t="inlineStr">
        <is>
          <t>Zainal Abidin</t>
        </is>
      </c>
      <c r="B153" s="45" t="n">
        <v>73</v>
      </c>
      <c r="C153" s="45" t="n">
        <v>7</v>
      </c>
      <c r="D153" s="45" t="n">
        <v>21</v>
      </c>
      <c r="E153" s="45" t="n">
        <v>1</v>
      </c>
      <c r="F153" s="45" t="inlineStr">
        <is>
          <t>Tinggi</t>
        </is>
      </c>
    </row>
    <row r="154" s="1">
      <c r="A154" s="45" t="inlineStr">
        <is>
          <t>Kendi Cahya</t>
        </is>
      </c>
      <c r="B154" s="45" t="n">
        <v>18</v>
      </c>
      <c r="C154" s="45" t="n">
        <v>5</v>
      </c>
      <c r="D154" s="45" t="n">
        <v>21</v>
      </c>
      <c r="E154" s="45" t="n">
        <v>1</v>
      </c>
      <c r="F154" s="45" t="inlineStr">
        <is>
          <t>Tinggi</t>
        </is>
      </c>
    </row>
    <row r="155" s="1">
      <c r="A155" s="45" t="inlineStr">
        <is>
          <t>Budiyono</t>
        </is>
      </c>
      <c r="B155" s="45" t="n">
        <v>19</v>
      </c>
      <c r="C155" s="45" t="n">
        <v>5</v>
      </c>
      <c r="D155" s="45" t="n">
        <v>21</v>
      </c>
      <c r="E155" s="45" t="n">
        <v>1</v>
      </c>
      <c r="F155" s="45" t="inlineStr">
        <is>
          <t>Tinggi</t>
        </is>
      </c>
    </row>
    <row r="156" s="1">
      <c r="A156" s="45" t="inlineStr">
        <is>
          <t>Najwa</t>
        </is>
      </c>
      <c r="B156" s="45" t="n">
        <v>5</v>
      </c>
      <c r="C156" s="45" t="n">
        <v>2</v>
      </c>
      <c r="D156" s="45" t="n">
        <v>21</v>
      </c>
      <c r="E156" s="45" t="n">
        <v>0</v>
      </c>
      <c r="F156" s="45" t="inlineStr">
        <is>
          <t>Tinggi</t>
        </is>
      </c>
    </row>
    <row r="157" s="1">
      <c r="A157" s="45" t="inlineStr">
        <is>
          <t>Abdul Aziz</t>
        </is>
      </c>
      <c r="B157" s="45" t="n">
        <v>15</v>
      </c>
      <c r="C157" s="45" t="n">
        <v>4</v>
      </c>
      <c r="D157" s="45" t="n">
        <v>21</v>
      </c>
      <c r="E157" s="45" t="n">
        <v>1</v>
      </c>
      <c r="F157" s="45" t="inlineStr">
        <is>
          <t>Tinggi</t>
        </is>
      </c>
    </row>
    <row r="158" s="1">
      <c r="A158" s="45" t="inlineStr">
        <is>
          <t>Hanifa Puti</t>
        </is>
      </c>
      <c r="B158" s="45" t="n">
        <v>5</v>
      </c>
      <c r="C158" s="45" t="n">
        <v>2</v>
      </c>
      <c r="D158" s="45" t="n">
        <v>21</v>
      </c>
      <c r="E158" s="45" t="n">
        <v>0</v>
      </c>
      <c r="F158" s="45" t="inlineStr">
        <is>
          <t>Tinggi</t>
        </is>
      </c>
    </row>
    <row r="159" s="1">
      <c r="A159" s="45" t="inlineStr">
        <is>
          <t>Celsi Sapira</t>
        </is>
      </c>
      <c r="B159" s="45" t="n">
        <v>17</v>
      </c>
      <c r="C159" s="45" t="n">
        <v>2</v>
      </c>
      <c r="D159" s="45" t="n">
        <v>21</v>
      </c>
      <c r="E159" s="45" t="n">
        <v>0</v>
      </c>
      <c r="F159" s="45" t="inlineStr">
        <is>
          <t>Tinggi</t>
        </is>
      </c>
    </row>
    <row r="160" s="1">
      <c r="A160" s="45" t="inlineStr">
        <is>
          <t>Anita Puspita</t>
        </is>
      </c>
      <c r="B160" s="45" t="n">
        <v>16</v>
      </c>
      <c r="C160" s="45" t="n">
        <v>3</v>
      </c>
      <c r="D160" s="45" t="n">
        <v>33</v>
      </c>
      <c r="E160" s="45" t="n">
        <v>0</v>
      </c>
      <c r="F160" s="45" t="inlineStr">
        <is>
          <t>Tinggi</t>
        </is>
      </c>
    </row>
    <row r="161" s="1">
      <c r="A161" s="45" t="inlineStr">
        <is>
          <t>Diffa Cayriful</t>
        </is>
      </c>
      <c r="B161" s="45" t="n">
        <v>12</v>
      </c>
      <c r="C161" s="45" t="n">
        <v>3</v>
      </c>
      <c r="D161" s="45" t="n">
        <v>33</v>
      </c>
      <c r="E161" s="45" t="n">
        <v>1</v>
      </c>
      <c r="F161" s="45" t="inlineStr">
        <is>
          <t>Tinggi</t>
        </is>
      </c>
    </row>
    <row r="162" s="1">
      <c r="A162" s="45" t="inlineStr">
        <is>
          <t>Febrianto Angger</t>
        </is>
      </c>
      <c r="B162" s="45" t="n">
        <v>22</v>
      </c>
      <c r="C162" s="45" t="n">
        <v>3</v>
      </c>
      <c r="D162" s="45" t="n">
        <v>3</v>
      </c>
      <c r="E162" s="45" t="n">
        <v>1</v>
      </c>
      <c r="F162" s="45" t="inlineStr">
        <is>
          <t>Rendah</t>
        </is>
      </c>
    </row>
    <row r="163" s="1">
      <c r="A163" s="45" t="inlineStr">
        <is>
          <t>Desrizal</t>
        </is>
      </c>
      <c r="B163" s="45" t="n">
        <v>34</v>
      </c>
      <c r="C163" s="45" t="n">
        <v>4</v>
      </c>
      <c r="D163" s="45" t="n">
        <v>3</v>
      </c>
      <c r="E163" s="45" t="n">
        <v>1</v>
      </c>
      <c r="F163" s="45" t="inlineStr">
        <is>
          <t>Rendah</t>
        </is>
      </c>
    </row>
    <row r="164" s="1">
      <c r="A164" s="45" t="inlineStr">
        <is>
          <t>Aprillia Khairunnisa</t>
        </is>
      </c>
      <c r="B164" s="45" t="n">
        <v>10</v>
      </c>
      <c r="C164" s="45" t="n">
        <v>6</v>
      </c>
      <c r="D164" s="45" t="n">
        <v>3</v>
      </c>
      <c r="E164" s="45" t="n">
        <v>0</v>
      </c>
      <c r="F164" s="45" t="inlineStr">
        <is>
          <t>Rendah</t>
        </is>
      </c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2"/>
  <sheetViews>
    <sheetView topLeftCell="D127" zoomScale="93" zoomScaleNormal="93" workbookViewId="0">
      <selection activeCell="P197" sqref="P197"/>
    </sheetView>
  </sheetViews>
  <sheetFormatPr baseColWidth="8" defaultColWidth="9.00740740740741" defaultRowHeight="15"/>
  <cols>
    <col width="8.71851851851852" customWidth="1" style="1" min="2" max="2"/>
    <col width="15.8592592592593" customWidth="1" style="1" min="3" max="3"/>
    <col width="22" customWidth="1" style="1" min="4" max="4"/>
    <col width="13.2888888888889" customWidth="1" style="1" min="5" max="5"/>
    <col width="13.8592592592593" customWidth="1" style="1" min="6" max="6"/>
    <col width="12.4296296296296" customWidth="1" style="1" min="7" max="7"/>
    <col width="22.4296296296296" customWidth="1" style="1" min="10" max="11"/>
    <col width="16.1407407407407" customWidth="1" style="1" min="12" max="12"/>
    <col width="19.2814814814815" customWidth="1" style="1" min="13" max="13"/>
    <col width="26.4296296296296" customWidth="1" style="1" min="15" max="15"/>
    <col width="12.7185185185185" customWidth="1" style="1" min="16" max="16"/>
    <col width="17.7111111111111" customWidth="1" style="1" min="17" max="17"/>
    <col width="24.8592592592593" customWidth="1" style="1" min="20" max="20"/>
    <col width="12.7185185185185" customWidth="1" style="1" min="21" max="21"/>
    <col width="12" customWidth="1" style="1" min="22" max="22"/>
  </cols>
  <sheetData>
    <row r="1" s="1">
      <c r="A1" s="16" t="inlineStr">
        <is>
          <t>No</t>
        </is>
      </c>
      <c r="B1" s="16" t="inlineStr">
        <is>
          <t>Usia</t>
        </is>
      </c>
      <c r="C1" s="16" t="inlineStr">
        <is>
          <t>Lama Rawat Inap</t>
        </is>
      </c>
      <c r="D1" s="16" t="inlineStr">
        <is>
          <t>Jumlah Kasus Per Bulan</t>
        </is>
      </c>
      <c r="E1" s="16" t="inlineStr">
        <is>
          <t>Jenis Kelamin</t>
        </is>
      </c>
      <c r="F1" s="16" t="inlineStr">
        <is>
          <t>Tingkat Resiko</t>
        </is>
      </c>
      <c r="H1" s="16" t="inlineStr">
        <is>
          <t>No</t>
        </is>
      </c>
      <c r="I1" s="16" t="inlineStr">
        <is>
          <t>Usia</t>
        </is>
      </c>
      <c r="J1" s="16" t="inlineStr">
        <is>
          <t>Lama Rawat Inap</t>
        </is>
      </c>
      <c r="K1" s="16" t="inlineStr">
        <is>
          <t>Jumlah Kasus Per Bulan</t>
        </is>
      </c>
      <c r="L1" s="16" t="inlineStr">
        <is>
          <t>Jenis Kelamin</t>
        </is>
      </c>
      <c r="M1" s="16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INDEX(Data_DBD!$B:$B,$A2)</f>
        <v/>
      </c>
      <c r="C2" s="17">
        <f t="array" ref="C2">INDEX(Data_DBD!$C:$C,$A2)</f>
        <v/>
      </c>
      <c r="D2" s="17">
        <f t="array" ref="D2">INDEX(Data_DBD!$D:$D,$A2)</f>
        <v/>
      </c>
      <c r="E2" s="17">
        <f t="array" ref="E2">INDEX(Data_DBD!$E:$E,$A2)</f>
        <v/>
      </c>
      <c r="F2" s="17">
        <f t="array" ref="F2">INDEX(Data_DBD!$F:$F,$A2)</f>
        <v/>
      </c>
      <c r="H2" s="17" t="n">
        <v>42</v>
      </c>
      <c r="I2" s="17" t="n">
        <v>21</v>
      </c>
      <c r="J2" s="17" t="n">
        <v>5</v>
      </c>
      <c r="K2" s="17" t="n">
        <v>13</v>
      </c>
      <c r="L2" s="17" t="n">
        <v>1</v>
      </c>
      <c r="M2" s="17" t="inlineStr">
        <is>
          <t>Sedang</t>
        </is>
      </c>
      <c r="O2" s="19" t="inlineStr">
        <is>
          <t>Tinggi</t>
        </is>
      </c>
      <c r="P2" s="19">
        <f>COUNTIF(M2:M164,"Tinggi")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INDEX(Data_DBD!$B:$B,$A3)</f>
        <v/>
      </c>
      <c r="C3" s="17">
        <f t="array" ref="C3">INDEX(Data_DBD!$C:$C,$A3)</f>
        <v/>
      </c>
      <c r="D3" s="17">
        <f t="array" ref="D3">INDEX(Data_DBD!$D:$D,$A3)</f>
        <v/>
      </c>
      <c r="E3" s="17">
        <f t="array" ref="E3">INDEX(Data_DBD!$E:$E,$A3)</f>
        <v/>
      </c>
      <c r="F3" s="17">
        <f t="array" ref="F3">INDEX(Data_DBD!$F:$F,$A3)</f>
        <v/>
      </c>
      <c r="H3" s="17" t="n">
        <v>47</v>
      </c>
      <c r="I3" s="17" t="n">
        <v>19</v>
      </c>
      <c r="J3" s="17" t="n">
        <v>2</v>
      </c>
      <c r="K3" s="17" t="n">
        <v>13</v>
      </c>
      <c r="L3" s="17" t="n">
        <v>0</v>
      </c>
      <c r="M3" s="17" t="inlineStr">
        <is>
          <t>Sedang</t>
        </is>
      </c>
      <c r="O3" s="19" t="inlineStr">
        <is>
          <t>Sedang</t>
        </is>
      </c>
      <c r="P3" s="19">
        <f>COUNTIF(M2:M164,"Sedang")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INDEX(Data_DBD!$B:$B,$A4)</f>
        <v/>
      </c>
      <c r="C4" s="17">
        <f t="array" ref="C4">INDEX(Data_DBD!$C:$C,$A4)</f>
        <v/>
      </c>
      <c r="D4" s="17">
        <f t="array" ref="D4">INDEX(Data_DBD!$D:$D,$A4)</f>
        <v/>
      </c>
      <c r="E4" s="17">
        <f t="array" ref="E4">INDEX(Data_DBD!$E:$E,$A4)</f>
        <v/>
      </c>
      <c r="F4" s="17">
        <f t="array" ref="F4">INDEX(Data_DBD!$F:$F,$A4)</f>
        <v/>
      </c>
      <c r="H4" s="17" t="n">
        <v>123</v>
      </c>
      <c r="I4" s="17" t="n">
        <v>22</v>
      </c>
      <c r="J4" s="17" t="n">
        <v>4</v>
      </c>
      <c r="K4" s="17" t="n">
        <v>33</v>
      </c>
      <c r="L4" s="17" t="n">
        <v>0</v>
      </c>
      <c r="M4" s="17" t="inlineStr">
        <is>
          <t>Tinggi</t>
        </is>
      </c>
      <c r="O4" s="19" t="inlineStr">
        <is>
          <t>Rendah</t>
        </is>
      </c>
      <c r="P4" s="19">
        <f>COUNTIF(M2:M164,"Rendah")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INDEX(Data_DBD!$B:$B,$A5)</f>
        <v/>
      </c>
      <c r="C5" s="17">
        <f t="array" ref="C5">INDEX(Data_DBD!$C:$C,$A5)</f>
        <v/>
      </c>
      <c r="D5" s="17">
        <f t="array" ref="D5">INDEX(Data_DBD!$D:$D,$A5)</f>
        <v/>
      </c>
      <c r="E5" s="17">
        <f t="array" ref="E5">INDEX(Data_DBD!$E:$E,$A5)</f>
        <v/>
      </c>
      <c r="F5" s="17">
        <f t="array" ref="F5">INDEX(Data_DBD!$F:$F,$A5)</f>
        <v/>
      </c>
      <c r="H5" s="17" t="n">
        <v>52</v>
      </c>
      <c r="I5" s="17" t="n">
        <v>59</v>
      </c>
      <c r="J5" s="17" t="n">
        <v>4</v>
      </c>
      <c r="K5" s="17" t="n">
        <v>15</v>
      </c>
      <c r="L5" s="17" t="n">
        <v>1</v>
      </c>
      <c r="M5" s="17" t="inlineStr">
        <is>
          <t>Sedang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INDEX(Data_DBD!$B:$B,$A6)</f>
        <v/>
      </c>
      <c r="C6" s="17">
        <f t="array" ref="C6">INDEX(Data_DBD!$C:$C,$A6)</f>
        <v/>
      </c>
      <c r="D6" s="17">
        <f t="array" ref="D6">INDEX(Data_DBD!$D:$D,$A6)</f>
        <v/>
      </c>
      <c r="E6" s="17">
        <f t="array" ref="E6">INDEX(Data_DBD!$E:$E,$A6)</f>
        <v/>
      </c>
      <c r="F6" s="17">
        <f t="array" ref="F6">INDEX(Data_DBD!$F:$F,$A6)</f>
        <v/>
      </c>
      <c r="H6" s="17" t="n">
        <v>111</v>
      </c>
      <c r="I6" s="17" t="n">
        <v>25</v>
      </c>
      <c r="J6" s="17" t="n">
        <v>4</v>
      </c>
      <c r="K6" s="17" t="n">
        <v>33</v>
      </c>
      <c r="L6" s="17" t="n">
        <v>0</v>
      </c>
      <c r="M6" s="17" t="inlineStr">
        <is>
          <t>Tinggi</t>
        </is>
      </c>
    </row>
    <row r="7" s="1">
      <c r="A7" s="17">
        <f>RANDBETWEEN(2,164)</f>
        <v/>
      </c>
      <c r="B7" s="17">
        <f t="array" ref="B7">INDEX(Data_DBD!$B:$B,$A7)</f>
        <v/>
      </c>
      <c r="C7" s="17">
        <f t="array" ref="C7">INDEX(Data_DBD!$C:$C,$A7)</f>
        <v/>
      </c>
      <c r="D7" s="17">
        <f t="array" ref="D7">INDEX(Data_DBD!$D:$D,$A7)</f>
        <v/>
      </c>
      <c r="E7" s="17">
        <f t="array" ref="E7">INDEX(Data_DBD!$E:$E,$A7)</f>
        <v/>
      </c>
      <c r="F7" s="17">
        <f t="array" ref="F7">INDEX(Data_DBD!$F:$F,$A7)</f>
        <v/>
      </c>
      <c r="H7" s="17" t="n">
        <v>156</v>
      </c>
      <c r="I7" s="17" t="n">
        <v>5</v>
      </c>
      <c r="J7" s="17" t="n">
        <v>2</v>
      </c>
      <c r="K7" s="17" t="n">
        <v>21</v>
      </c>
      <c r="L7" s="17" t="n">
        <v>0</v>
      </c>
      <c r="M7" s="17" t="inlineStr">
        <is>
          <t>Tinggi</t>
        </is>
      </c>
    </row>
    <row r="8" s="1">
      <c r="A8" s="17">
        <f>RANDBETWEEN(2,164)</f>
        <v/>
      </c>
      <c r="B8" s="17">
        <f t="array" ref="B8">INDEX(Data_DBD!$B:$B,$A8)</f>
        <v/>
      </c>
      <c r="C8" s="17">
        <f t="array" ref="C8">INDEX(Data_DBD!$C:$C,$A8)</f>
        <v/>
      </c>
      <c r="D8" s="17">
        <f t="array" ref="D8">INDEX(Data_DBD!$D:$D,$A8)</f>
        <v/>
      </c>
      <c r="E8" s="17">
        <f t="array" ref="E8">INDEX(Data_DBD!$E:$E,$A8)</f>
        <v/>
      </c>
      <c r="F8" s="17">
        <f t="array" ref="F8">INDEX(Data_DBD!$F:$F,$A8)</f>
        <v/>
      </c>
      <c r="H8" s="17" t="n">
        <v>64</v>
      </c>
      <c r="I8" s="17" t="n">
        <v>35</v>
      </c>
      <c r="J8" s="17" t="n">
        <v>1</v>
      </c>
      <c r="K8" s="17" t="n">
        <v>15</v>
      </c>
      <c r="L8" s="17" t="n">
        <v>0</v>
      </c>
      <c r="M8" s="17" t="inlineStr">
        <is>
          <t>Sedang</t>
        </is>
      </c>
    </row>
    <row r="9" s="1">
      <c r="A9" s="17">
        <f>RANDBETWEEN(2,164)</f>
        <v/>
      </c>
      <c r="B9" s="17">
        <f t="array" ref="B9">INDEX(Data_DBD!$B:$B,$A9)</f>
        <v/>
      </c>
      <c r="C9" s="17">
        <f t="array" ref="C9">INDEX(Data_DBD!$C:$C,$A9)</f>
        <v/>
      </c>
      <c r="D9" s="17">
        <f t="array" ref="D9">INDEX(Data_DBD!$D:$D,$A9)</f>
        <v/>
      </c>
      <c r="E9" s="17">
        <f t="array" ref="E9">INDEX(Data_DBD!$E:$E,$A9)</f>
        <v/>
      </c>
      <c r="F9" s="17">
        <f t="array" ref="F9">INDEX(Data_DBD!$F:$F,$A9)</f>
        <v/>
      </c>
      <c r="H9" s="17" t="n">
        <v>160</v>
      </c>
      <c r="I9" s="17" t="n">
        <v>16</v>
      </c>
      <c r="J9" s="17" t="n">
        <v>3</v>
      </c>
      <c r="K9" s="17" t="n">
        <v>21</v>
      </c>
      <c r="L9" s="17" t="n">
        <v>0</v>
      </c>
      <c r="M9" s="17" t="inlineStr">
        <is>
          <t>Tinggi</t>
        </is>
      </c>
    </row>
    <row r="10" s="1">
      <c r="A10" s="17">
        <f>RANDBETWEEN(2,164)</f>
        <v/>
      </c>
      <c r="B10" s="17">
        <f t="array" ref="B10">INDEX(Data_DBD!$B:$B,$A10)</f>
        <v/>
      </c>
      <c r="C10" s="17">
        <f t="array" ref="C10">INDEX(Data_DBD!$C:$C,$A10)</f>
        <v/>
      </c>
      <c r="D10" s="17">
        <f t="array" ref="D10">INDEX(Data_DBD!$D:$D,$A10)</f>
        <v/>
      </c>
      <c r="E10" s="17">
        <f t="array" ref="E10">INDEX(Data_DBD!$E:$E,$A10)</f>
        <v/>
      </c>
      <c r="F10" s="17">
        <f t="array" ref="F10">INDEX(Data_DBD!$F:$F,$A10)</f>
        <v/>
      </c>
      <c r="H10" s="17" t="n">
        <v>82</v>
      </c>
      <c r="I10" s="17" t="n">
        <v>28</v>
      </c>
      <c r="J10" s="17" t="n">
        <v>3</v>
      </c>
      <c r="K10" s="17" t="n">
        <v>13</v>
      </c>
      <c r="L10" s="17" t="n">
        <v>1</v>
      </c>
      <c r="M10" s="17" t="inlineStr">
        <is>
          <t>Sedang</t>
        </is>
      </c>
    </row>
    <row r="11" s="1">
      <c r="A11" s="17">
        <f>RANDBETWEEN(2,164)</f>
        <v/>
      </c>
      <c r="B11" s="17">
        <f t="array" ref="B11">INDEX(Data_DBD!$B:$B,$A11)</f>
        <v/>
      </c>
      <c r="C11" s="17">
        <f t="array" ref="C11">INDEX(Data_DBD!$C:$C,$A11)</f>
        <v/>
      </c>
      <c r="D11" s="17">
        <f t="array" ref="D11">INDEX(Data_DBD!$D:$D,$A11)</f>
        <v/>
      </c>
      <c r="E11" s="17">
        <f t="array" ref="E11">INDEX(Data_DBD!$E:$E,$A11)</f>
        <v/>
      </c>
      <c r="F11" s="17">
        <f t="array" ref="F11">INDEX(Data_DBD!$F:$F,$A11)</f>
        <v/>
      </c>
      <c r="H11" s="17" t="n">
        <v>6</v>
      </c>
      <c r="I11" s="17" t="n">
        <v>14</v>
      </c>
      <c r="J11" s="17" t="n">
        <v>4</v>
      </c>
      <c r="K11" s="17" t="n">
        <v>12</v>
      </c>
      <c r="L11" s="17" t="n">
        <v>0</v>
      </c>
      <c r="M11" s="17" t="inlineStr">
        <is>
          <t>Sedang</t>
        </is>
      </c>
    </row>
    <row r="12" s="1">
      <c r="A12" s="17">
        <f>RANDBETWEEN(2,164)</f>
        <v/>
      </c>
      <c r="B12" s="17">
        <f t="array" ref="B12">INDEX(Data_DBD!$B:$B,$A12)</f>
        <v/>
      </c>
      <c r="C12" s="17">
        <f t="array" ref="C12">INDEX(Data_DBD!$C:$C,$A12)</f>
        <v/>
      </c>
      <c r="D12" s="17">
        <f t="array" ref="D12">INDEX(Data_DBD!$D:$D,$A12)</f>
        <v/>
      </c>
      <c r="E12" s="17">
        <f t="array" ref="E12">INDEX(Data_DBD!$E:$E,$A12)</f>
        <v/>
      </c>
      <c r="F12" s="17">
        <f t="array" ref="F12">INDEX(Data_DBD!$F:$F,$A12)</f>
        <v/>
      </c>
      <c r="H12" s="17" t="n">
        <v>121</v>
      </c>
      <c r="I12" s="17" t="n">
        <v>82</v>
      </c>
      <c r="J12" s="17" t="n">
        <v>5</v>
      </c>
      <c r="K12" s="17" t="n">
        <v>33</v>
      </c>
      <c r="L12" s="17" t="n">
        <v>1</v>
      </c>
      <c r="M12" s="17" t="inlineStr">
        <is>
          <t>Tinggi</t>
        </is>
      </c>
    </row>
    <row r="13" s="1">
      <c r="A13" s="17">
        <f>RANDBETWEEN(2,164)</f>
        <v/>
      </c>
      <c r="B13" s="17">
        <f t="array" ref="B13">INDEX(Data_DBD!$B:$B,$A13)</f>
        <v/>
      </c>
      <c r="C13" s="17">
        <f t="array" ref="C13">INDEX(Data_DBD!$C:$C,$A13)</f>
        <v/>
      </c>
      <c r="D13" s="17">
        <f t="array" ref="D13">INDEX(Data_DBD!$D:$D,$A13)</f>
        <v/>
      </c>
      <c r="E13" s="17">
        <f t="array" ref="E13">INDEX(Data_DBD!$E:$E,$A13)</f>
        <v/>
      </c>
      <c r="F13" s="17">
        <f t="array" ref="F13">INDEX(Data_DBD!$F:$F,$A13)</f>
        <v/>
      </c>
      <c r="H13" s="17" t="n">
        <v>138</v>
      </c>
      <c r="I13" s="17" t="n">
        <v>13</v>
      </c>
      <c r="J13" s="17" t="n">
        <v>3</v>
      </c>
      <c r="K13" s="17" t="n">
        <v>33</v>
      </c>
      <c r="L13" s="17" t="n">
        <v>1</v>
      </c>
      <c r="M13" s="17" t="inlineStr">
        <is>
          <t>Tinggi</t>
        </is>
      </c>
    </row>
    <row r="14" s="1">
      <c r="A14" s="17">
        <f>RANDBETWEEN(2,164)</f>
        <v/>
      </c>
      <c r="B14" s="17">
        <f t="array" ref="B14">INDEX(Data_DBD!$B:$B,$A14)</f>
        <v/>
      </c>
      <c r="C14" s="17">
        <f t="array" ref="C14">INDEX(Data_DBD!$C:$C,$A14)</f>
        <v/>
      </c>
      <c r="D14" s="17">
        <f t="array" ref="D14">INDEX(Data_DBD!$D:$D,$A14)</f>
        <v/>
      </c>
      <c r="E14" s="17">
        <f t="array" ref="E14">INDEX(Data_DBD!$E:$E,$A14)</f>
        <v/>
      </c>
      <c r="F14" s="17">
        <f t="array" ref="F14">INDEX(Data_DBD!$F:$F,$A14)</f>
        <v/>
      </c>
      <c r="H14" s="17" t="n">
        <v>122</v>
      </c>
      <c r="I14" s="17" t="n">
        <v>28</v>
      </c>
      <c r="J14" s="17" t="n">
        <v>3</v>
      </c>
      <c r="K14" s="17" t="n">
        <v>33</v>
      </c>
      <c r="L14" s="17" t="n">
        <v>1</v>
      </c>
      <c r="M14" s="17" t="inlineStr">
        <is>
          <t>Tinggi</t>
        </is>
      </c>
    </row>
    <row r="15" s="1">
      <c r="A15" s="17">
        <f>RANDBETWEEN(2,164)</f>
        <v/>
      </c>
      <c r="B15" s="17">
        <f t="array" ref="B15">INDEX(Data_DBD!$B:$B,$A15)</f>
        <v/>
      </c>
      <c r="C15" s="17">
        <f t="array" ref="C15">INDEX(Data_DBD!$C:$C,$A15)</f>
        <v/>
      </c>
      <c r="D15" s="17">
        <f t="array" ref="D15">INDEX(Data_DBD!$D:$D,$A15)</f>
        <v/>
      </c>
      <c r="E15" s="17">
        <f t="array" ref="E15">INDEX(Data_DBD!$E:$E,$A15)</f>
        <v/>
      </c>
      <c r="F15" s="17">
        <f t="array" ref="F15">INDEX(Data_DBD!$F:$F,$A15)</f>
        <v/>
      </c>
      <c r="H15" s="17" t="n">
        <v>10</v>
      </c>
      <c r="I15" s="17" t="n">
        <v>18</v>
      </c>
      <c r="J15" s="17" t="n">
        <v>5</v>
      </c>
      <c r="K15" s="17" t="n">
        <v>12</v>
      </c>
      <c r="L15" s="17" t="n">
        <v>0</v>
      </c>
      <c r="M15" s="17" t="inlineStr">
        <is>
          <t>Sedang</t>
        </is>
      </c>
    </row>
    <row r="16" s="1">
      <c r="A16" s="17">
        <f>RANDBETWEEN(2,164)</f>
        <v/>
      </c>
      <c r="B16" s="17">
        <f t="array" ref="B16">INDEX(Data_DBD!$B:$B,$A16)</f>
        <v/>
      </c>
      <c r="C16" s="17">
        <f t="array" ref="C16">INDEX(Data_DBD!$C:$C,$A16)</f>
        <v/>
      </c>
      <c r="D16" s="17">
        <f t="array" ref="D16">INDEX(Data_DBD!$D:$D,$A16)</f>
        <v/>
      </c>
      <c r="E16" s="17">
        <f t="array" ref="E16">INDEX(Data_DBD!$E:$E,$A16)</f>
        <v/>
      </c>
      <c r="F16" s="17">
        <f t="array" ref="F16">INDEX(Data_DBD!$F:$F,$A16)</f>
        <v/>
      </c>
      <c r="H16" s="17" t="n">
        <v>71</v>
      </c>
      <c r="I16" s="17" t="n">
        <v>84</v>
      </c>
      <c r="J16" s="17" t="n">
        <v>3</v>
      </c>
      <c r="K16" s="17" t="n">
        <v>10</v>
      </c>
      <c r="L16" s="17" t="n">
        <v>0</v>
      </c>
      <c r="M16" s="17" t="inlineStr">
        <is>
          <t>Sedang</t>
        </is>
      </c>
    </row>
    <row r="17" s="1">
      <c r="A17" s="17">
        <f>RANDBETWEEN(2,164)</f>
        <v/>
      </c>
      <c r="B17" s="17">
        <f t="array" ref="B17">INDEX(Data_DBD!$B:$B,$A17)</f>
        <v/>
      </c>
      <c r="C17" s="17">
        <f t="array" ref="C17">INDEX(Data_DBD!$C:$C,$A17)</f>
        <v/>
      </c>
      <c r="D17" s="17">
        <f t="array" ref="D17">INDEX(Data_DBD!$D:$D,$A17)</f>
        <v/>
      </c>
      <c r="E17" s="17">
        <f t="array" ref="E17">INDEX(Data_DBD!$E:$E,$A17)</f>
        <v/>
      </c>
      <c r="F17" s="17">
        <f t="array" ref="F17">INDEX(Data_DBD!$F:$F,$A17)</f>
        <v/>
      </c>
      <c r="H17" s="17" t="n">
        <v>128</v>
      </c>
      <c r="I17" s="17" t="n">
        <v>38</v>
      </c>
      <c r="J17" s="17" t="n">
        <v>2</v>
      </c>
      <c r="K17" s="17" t="n">
        <v>33</v>
      </c>
      <c r="L17" s="17" t="n">
        <v>0</v>
      </c>
      <c r="M17" s="17" t="inlineStr">
        <is>
          <t>Tinggi</t>
        </is>
      </c>
    </row>
    <row r="18" s="1">
      <c r="A18" s="17">
        <f>RANDBETWEEN(2,164)</f>
        <v/>
      </c>
      <c r="B18" s="17">
        <f t="array" ref="B18">INDEX(Data_DBD!$B:$B,$A18)</f>
        <v/>
      </c>
      <c r="C18" s="17">
        <f t="array" ref="C18">INDEX(Data_DBD!$C:$C,$A18)</f>
        <v/>
      </c>
      <c r="D18" s="17">
        <f t="array" ref="D18">INDEX(Data_DBD!$D:$D,$A18)</f>
        <v/>
      </c>
      <c r="E18" s="17">
        <f t="array" ref="E18">INDEX(Data_DBD!$E:$E,$A18)</f>
        <v/>
      </c>
      <c r="F18" s="17">
        <f t="array" ref="F18">INDEX(Data_DBD!$F:$F,$A18)</f>
        <v/>
      </c>
      <c r="H18" s="17" t="n">
        <v>147</v>
      </c>
      <c r="I18" s="17" t="n">
        <v>66</v>
      </c>
      <c r="J18" s="17" t="n">
        <v>10</v>
      </c>
      <c r="K18" s="17" t="n">
        <v>21</v>
      </c>
      <c r="L18" s="17" t="n">
        <v>1</v>
      </c>
      <c r="M18" s="17" t="inlineStr">
        <is>
          <t>Tinggi</t>
        </is>
      </c>
    </row>
    <row r="19" s="1">
      <c r="A19" s="17">
        <f>RANDBETWEEN(2,164)</f>
        <v/>
      </c>
      <c r="B19" s="17">
        <f t="array" ref="B19">INDEX(Data_DBD!$B:$B,$A19)</f>
        <v/>
      </c>
      <c r="C19" s="17">
        <f t="array" ref="C19">INDEX(Data_DBD!$C:$C,$A19)</f>
        <v/>
      </c>
      <c r="D19" s="17">
        <f t="array" ref="D19">INDEX(Data_DBD!$D:$D,$A19)</f>
        <v/>
      </c>
      <c r="E19" s="17">
        <f t="array" ref="E19">INDEX(Data_DBD!$E:$E,$A19)</f>
        <v/>
      </c>
      <c r="F19" s="17">
        <f t="array" ref="F19">INDEX(Data_DBD!$F:$F,$A19)</f>
        <v/>
      </c>
      <c r="H19" s="17" t="n">
        <v>15</v>
      </c>
      <c r="I19" s="17" t="n">
        <v>21</v>
      </c>
      <c r="J19" s="17" t="n">
        <v>2</v>
      </c>
      <c r="K19" s="17" t="n">
        <v>7</v>
      </c>
      <c r="L19" s="17" t="n">
        <v>0</v>
      </c>
      <c r="M19" s="17" t="inlineStr">
        <is>
          <t>Rendah</t>
        </is>
      </c>
    </row>
    <row r="20" s="1">
      <c r="A20" s="17">
        <f>RANDBETWEEN(2,164)</f>
        <v/>
      </c>
      <c r="B20" s="17">
        <f t="array" ref="B20">INDEX(Data_DBD!$B:$B,$A20)</f>
        <v/>
      </c>
      <c r="C20" s="17">
        <f t="array" ref="C20">INDEX(Data_DBD!$C:$C,$A20)</f>
        <v/>
      </c>
      <c r="D20" s="17">
        <f t="array" ref="D20">INDEX(Data_DBD!$D:$D,$A20)</f>
        <v/>
      </c>
      <c r="E20" s="17">
        <f t="array" ref="E20">INDEX(Data_DBD!$E:$E,$A20)</f>
        <v/>
      </c>
      <c r="F20" s="17">
        <f t="array" ref="F20">INDEX(Data_DBD!$F:$F,$A20)</f>
        <v/>
      </c>
      <c r="H20" s="17" t="n">
        <v>151</v>
      </c>
      <c r="I20" s="17" t="n">
        <v>24</v>
      </c>
      <c r="J20" s="17" t="n">
        <v>3</v>
      </c>
      <c r="K20" s="17" t="n">
        <v>21</v>
      </c>
      <c r="L20" s="17" t="n">
        <v>0</v>
      </c>
      <c r="M20" s="17" t="inlineStr">
        <is>
          <t>Tinggi</t>
        </is>
      </c>
    </row>
    <row r="21" s="1">
      <c r="A21" s="17">
        <f>RANDBETWEEN(2,164)</f>
        <v/>
      </c>
      <c r="B21" s="17">
        <f t="array" ref="B21">INDEX(Data_DBD!$B:$B,$A21)</f>
        <v/>
      </c>
      <c r="C21" s="17">
        <f t="array" ref="C21">INDEX(Data_DBD!$C:$C,$A21)</f>
        <v/>
      </c>
      <c r="D21" s="17">
        <f t="array" ref="D21">INDEX(Data_DBD!$D:$D,$A21)</f>
        <v/>
      </c>
      <c r="E21" s="17">
        <f t="array" ref="E21">INDEX(Data_DBD!$E:$E,$A21)</f>
        <v/>
      </c>
      <c r="F21" s="17">
        <f t="array" ref="F21">INDEX(Data_DBD!$F:$F,$A21)</f>
        <v/>
      </c>
      <c r="H21" s="17" t="n">
        <v>37</v>
      </c>
      <c r="I21" s="17" t="n">
        <v>28</v>
      </c>
      <c r="J21" s="17" t="n">
        <v>4</v>
      </c>
      <c r="K21" s="17" t="n">
        <v>4</v>
      </c>
      <c r="L21" s="17" t="n">
        <v>1</v>
      </c>
      <c r="M21" s="17" t="inlineStr">
        <is>
          <t>Rendah</t>
        </is>
      </c>
    </row>
    <row r="22" s="1">
      <c r="A22" s="17">
        <f>RANDBETWEEN(2,164)</f>
        <v/>
      </c>
      <c r="B22" s="17">
        <f t="array" ref="B22">INDEX(Data_DBD!$B:$B,$A22)</f>
        <v/>
      </c>
      <c r="C22" s="17">
        <f t="array" ref="C22">INDEX(Data_DBD!$C:$C,$A22)</f>
        <v/>
      </c>
      <c r="D22" s="17">
        <f t="array" ref="D22">INDEX(Data_DBD!$D:$D,$A22)</f>
        <v/>
      </c>
      <c r="E22" s="17">
        <f t="array" ref="E22">INDEX(Data_DBD!$E:$E,$A22)</f>
        <v/>
      </c>
      <c r="F22" s="17">
        <f t="array" ref="F22">INDEX(Data_DBD!$F:$F,$A22)</f>
        <v/>
      </c>
      <c r="H22" s="17" t="n">
        <v>106</v>
      </c>
      <c r="I22" s="17" t="n">
        <v>23</v>
      </c>
      <c r="J22" s="17" t="n">
        <v>3</v>
      </c>
      <c r="K22" s="17" t="n">
        <v>18</v>
      </c>
      <c r="L22" s="17" t="n">
        <v>1</v>
      </c>
      <c r="M22" s="17" t="inlineStr">
        <is>
          <t>Tinggi</t>
        </is>
      </c>
    </row>
    <row r="23" s="1">
      <c r="A23" s="17">
        <f>RANDBETWEEN(2,164)</f>
        <v/>
      </c>
      <c r="B23" s="17">
        <f t="array" ref="B23">INDEX(Data_DBD!$B:$B,$A23)</f>
        <v/>
      </c>
      <c r="C23" s="17">
        <f t="array" ref="C23">INDEX(Data_DBD!$C:$C,$A23)</f>
        <v/>
      </c>
      <c r="D23" s="17">
        <f t="array" ref="D23">INDEX(Data_DBD!$D:$D,$A23)</f>
        <v/>
      </c>
      <c r="E23" s="17">
        <f t="array" ref="E23">INDEX(Data_DBD!$E:$E,$A23)</f>
        <v/>
      </c>
      <c r="F23" s="17">
        <f t="array" ref="F23">INDEX(Data_DBD!$F:$F,$A23)</f>
        <v/>
      </c>
      <c r="H23" s="17" t="n">
        <v>60</v>
      </c>
      <c r="I23" s="17" t="n">
        <v>68</v>
      </c>
      <c r="J23" s="17" t="n">
        <v>4</v>
      </c>
      <c r="K23" s="17" t="n">
        <v>15</v>
      </c>
      <c r="L23" s="17" t="n">
        <v>0</v>
      </c>
      <c r="M23" s="17" t="inlineStr">
        <is>
          <t>Sedang</t>
        </is>
      </c>
    </row>
    <row r="24" s="1">
      <c r="A24" s="17">
        <f>RANDBETWEEN(2,164)</f>
        <v/>
      </c>
      <c r="B24" s="17">
        <f t="array" ref="B24">INDEX(Data_DBD!$B:$B,$A24)</f>
        <v/>
      </c>
      <c r="C24" s="17">
        <f t="array" ref="C24">INDEX(Data_DBD!$C:$C,$A24)</f>
        <v/>
      </c>
      <c r="D24" s="17">
        <f t="array" ref="D24">INDEX(Data_DBD!$D:$D,$A24)</f>
        <v/>
      </c>
      <c r="E24" s="17">
        <f t="array" ref="E24">INDEX(Data_DBD!$E:$E,$A24)</f>
        <v/>
      </c>
      <c r="F24" s="17">
        <f t="array" ref="F24">INDEX(Data_DBD!$F:$F,$A24)</f>
        <v/>
      </c>
      <c r="H24" s="17" t="n">
        <v>41</v>
      </c>
      <c r="I24" s="17" t="n">
        <v>8</v>
      </c>
      <c r="J24" s="17" t="n">
        <v>4</v>
      </c>
      <c r="K24" s="17" t="n">
        <v>13</v>
      </c>
      <c r="L24" s="17" t="n">
        <v>0</v>
      </c>
      <c r="M24" s="17" t="inlineStr">
        <is>
          <t>Sedang</t>
        </is>
      </c>
    </row>
    <row r="25" s="1">
      <c r="A25" s="17">
        <f>RANDBETWEEN(2,164)</f>
        <v/>
      </c>
      <c r="B25" s="17">
        <f t="array" ref="B25">INDEX(Data_DBD!$B:$B,$A25)</f>
        <v/>
      </c>
      <c r="C25" s="17">
        <f t="array" ref="C25">INDEX(Data_DBD!$C:$C,$A25)</f>
        <v/>
      </c>
      <c r="D25" s="17">
        <f t="array" ref="D25">INDEX(Data_DBD!$D:$D,$A25)</f>
        <v/>
      </c>
      <c r="E25" s="17">
        <f t="array" ref="E25">INDEX(Data_DBD!$E:$E,$A25)</f>
        <v/>
      </c>
      <c r="F25" s="17">
        <f t="array" ref="F25">INDEX(Data_DBD!$F:$F,$A25)</f>
        <v/>
      </c>
      <c r="H25" s="17" t="n">
        <v>127</v>
      </c>
      <c r="I25" s="17" t="n">
        <v>21</v>
      </c>
      <c r="J25" s="17" t="n">
        <v>2</v>
      </c>
      <c r="K25" s="17" t="n">
        <v>33</v>
      </c>
      <c r="L25" s="17" t="n">
        <v>0</v>
      </c>
      <c r="M25" s="17" t="inlineStr">
        <is>
          <t>Tinggi</t>
        </is>
      </c>
    </row>
    <row r="26" s="1">
      <c r="A26" s="17">
        <f>RANDBETWEEN(2,164)</f>
        <v/>
      </c>
      <c r="B26" s="17">
        <f t="array" ref="B26">INDEX(Data_DBD!$B:$B,$A26)</f>
        <v/>
      </c>
      <c r="C26" s="17">
        <f t="array" ref="C26">INDEX(Data_DBD!$C:$C,$A26)</f>
        <v/>
      </c>
      <c r="D26" s="17">
        <f t="array" ref="D26">INDEX(Data_DBD!$D:$D,$A26)</f>
        <v/>
      </c>
      <c r="E26" s="17">
        <f t="array" ref="E26">INDEX(Data_DBD!$E:$E,$A26)</f>
        <v/>
      </c>
      <c r="F26" s="17">
        <f t="array" ref="F26">INDEX(Data_DBD!$F:$F,$A26)</f>
        <v/>
      </c>
      <c r="H26" s="17" t="n">
        <v>105</v>
      </c>
      <c r="I26" s="17" t="n">
        <v>61</v>
      </c>
      <c r="J26" s="17" t="n">
        <v>3</v>
      </c>
      <c r="K26" s="17" t="n">
        <v>18</v>
      </c>
      <c r="L26" s="17" t="n">
        <v>1</v>
      </c>
      <c r="M26" s="17" t="inlineStr">
        <is>
          <t>Tinggi</t>
        </is>
      </c>
    </row>
    <row r="27" s="1">
      <c r="A27" s="17">
        <f>RANDBETWEEN(2,164)</f>
        <v/>
      </c>
      <c r="B27" s="17">
        <f t="array" ref="B27">INDEX(Data_DBD!$B:$B,$A27)</f>
        <v/>
      </c>
      <c r="C27" s="17">
        <f t="array" ref="C27">INDEX(Data_DBD!$C:$C,$A27)</f>
        <v/>
      </c>
      <c r="D27" s="17">
        <f t="array" ref="D27">INDEX(Data_DBD!$D:$D,$A27)</f>
        <v/>
      </c>
      <c r="E27" s="17">
        <f t="array" ref="E27">INDEX(Data_DBD!$E:$E,$A27)</f>
        <v/>
      </c>
      <c r="F27" s="17">
        <f t="array" ref="F27">INDEX(Data_DBD!$F:$F,$A27)</f>
        <v/>
      </c>
      <c r="H27" s="17" t="n">
        <v>32</v>
      </c>
      <c r="I27" s="17" t="n">
        <v>54</v>
      </c>
      <c r="J27" s="17" t="n">
        <v>4</v>
      </c>
      <c r="K27" s="17" t="n">
        <v>14</v>
      </c>
      <c r="L27" s="17" t="n">
        <v>0</v>
      </c>
      <c r="M27" s="17" t="inlineStr">
        <is>
          <t>Sedang</t>
        </is>
      </c>
    </row>
    <row r="28" s="1">
      <c r="A28" s="17">
        <f>RANDBETWEEN(2,164)</f>
        <v/>
      </c>
      <c r="B28" s="17">
        <f t="array" ref="B28">INDEX(Data_DBD!$B:$B,$A28)</f>
        <v/>
      </c>
      <c r="C28" s="17">
        <f t="array" ref="C28">INDEX(Data_DBD!$C:$C,$A28)</f>
        <v/>
      </c>
      <c r="D28" s="17">
        <f t="array" ref="D28">INDEX(Data_DBD!$D:$D,$A28)</f>
        <v/>
      </c>
      <c r="E28" s="17">
        <f t="array" ref="E28">INDEX(Data_DBD!$E:$E,$A28)</f>
        <v/>
      </c>
      <c r="F28" s="17">
        <f t="array" ref="F28">INDEX(Data_DBD!$F:$F,$A28)</f>
        <v/>
      </c>
      <c r="H28" s="17" t="n">
        <v>56</v>
      </c>
      <c r="I28" s="17" t="n">
        <v>4</v>
      </c>
      <c r="J28" s="17" t="n">
        <v>3</v>
      </c>
      <c r="K28" s="17" t="n">
        <v>15</v>
      </c>
      <c r="L28" s="17" t="n">
        <v>0</v>
      </c>
      <c r="M28" s="17" t="inlineStr">
        <is>
          <t>Sedang</t>
        </is>
      </c>
    </row>
    <row r="29" s="1">
      <c r="A29" s="17">
        <f>RANDBETWEEN(2,164)</f>
        <v/>
      </c>
      <c r="B29" s="17">
        <f t="array" ref="B29">INDEX(Data_DBD!$B:$B,$A29)</f>
        <v/>
      </c>
      <c r="C29" s="17">
        <f t="array" ref="C29">INDEX(Data_DBD!$C:$C,$A29)</f>
        <v/>
      </c>
      <c r="D29" s="17">
        <f t="array" ref="D29">INDEX(Data_DBD!$D:$D,$A29)</f>
        <v/>
      </c>
      <c r="E29" s="17">
        <f t="array" ref="E29">INDEX(Data_DBD!$E:$E,$A29)</f>
        <v/>
      </c>
      <c r="F29" s="17">
        <f t="array" ref="F29">INDEX(Data_DBD!$F:$F,$A29)</f>
        <v/>
      </c>
      <c r="H29" s="17" t="n">
        <v>139</v>
      </c>
      <c r="I29" s="17" t="n">
        <v>52</v>
      </c>
      <c r="J29" s="17" t="n">
        <v>7</v>
      </c>
      <c r="K29" s="17" t="n">
        <v>21</v>
      </c>
      <c r="L29" s="17" t="n">
        <v>0</v>
      </c>
      <c r="M29" s="17" t="inlineStr">
        <is>
          <t>Tinggi</t>
        </is>
      </c>
    </row>
    <row r="30" s="1">
      <c r="A30" s="17">
        <f>RANDBETWEEN(2,164)</f>
        <v/>
      </c>
      <c r="B30" s="17">
        <f t="array" ref="B30">INDEX(Data_DBD!$B:$B,$A30)</f>
        <v/>
      </c>
      <c r="C30" s="17">
        <f t="array" ref="C30">INDEX(Data_DBD!$C:$C,$A30)</f>
        <v/>
      </c>
      <c r="D30" s="17">
        <f t="array" ref="D30">INDEX(Data_DBD!$D:$D,$A30)</f>
        <v/>
      </c>
      <c r="E30" s="17">
        <f t="array" ref="E30">INDEX(Data_DBD!$E:$E,$A30)</f>
        <v/>
      </c>
      <c r="F30" s="17">
        <f t="array" ref="F30">INDEX(Data_DBD!$F:$F,$A30)</f>
        <v/>
      </c>
      <c r="H30" s="17" t="n">
        <v>106</v>
      </c>
      <c r="I30" s="17" t="n">
        <v>23</v>
      </c>
      <c r="J30" s="17" t="n">
        <v>3</v>
      </c>
      <c r="K30" s="17" t="n">
        <v>18</v>
      </c>
      <c r="L30" s="17" t="n">
        <v>1</v>
      </c>
      <c r="M30" s="17" t="inlineStr">
        <is>
          <t>Tinggi</t>
        </is>
      </c>
    </row>
    <row r="31" s="1">
      <c r="A31" s="17">
        <f>RANDBETWEEN(2,164)</f>
        <v/>
      </c>
      <c r="B31" s="17">
        <f t="array" ref="B31">INDEX(Data_DBD!$B:$B,$A31)</f>
        <v/>
      </c>
      <c r="C31" s="17">
        <f t="array" ref="C31">INDEX(Data_DBD!$C:$C,$A31)</f>
        <v/>
      </c>
      <c r="D31" s="17">
        <f t="array" ref="D31">INDEX(Data_DBD!$D:$D,$A31)</f>
        <v/>
      </c>
      <c r="E31" s="17">
        <f t="array" ref="E31">INDEX(Data_DBD!$E:$E,$A31)</f>
        <v/>
      </c>
      <c r="F31" s="17">
        <f t="array" ref="F31">INDEX(Data_DBD!$F:$F,$A31)</f>
        <v/>
      </c>
      <c r="H31" s="17" t="n">
        <v>108</v>
      </c>
      <c r="I31" s="17" t="n">
        <v>69</v>
      </c>
      <c r="J31" s="17" t="n">
        <v>7</v>
      </c>
      <c r="K31" s="17" t="n">
        <v>33</v>
      </c>
      <c r="L31" s="17" t="n">
        <v>1</v>
      </c>
      <c r="M31" s="17" t="inlineStr">
        <is>
          <t>Tinggi</t>
        </is>
      </c>
    </row>
    <row r="32" s="1">
      <c r="A32" s="17">
        <f>RANDBETWEEN(2,164)</f>
        <v/>
      </c>
      <c r="B32" s="17">
        <f t="array" ref="B32">INDEX(Data_DBD!$B:$B,$A32)</f>
        <v/>
      </c>
      <c r="C32" s="17">
        <f t="array" ref="C32">INDEX(Data_DBD!$C:$C,$A32)</f>
        <v/>
      </c>
      <c r="D32" s="17">
        <f t="array" ref="D32">INDEX(Data_DBD!$D:$D,$A32)</f>
        <v/>
      </c>
      <c r="E32" s="17">
        <f t="array" ref="E32">INDEX(Data_DBD!$E:$E,$A32)</f>
        <v/>
      </c>
      <c r="F32" s="17">
        <f t="array" ref="F32">INDEX(Data_DBD!$F:$F,$A32)</f>
        <v/>
      </c>
      <c r="H32" s="17" t="n">
        <v>58</v>
      </c>
      <c r="I32" s="17" t="n">
        <v>17</v>
      </c>
      <c r="J32" s="17" t="n">
        <v>3</v>
      </c>
      <c r="K32" s="17" t="n">
        <v>15</v>
      </c>
      <c r="L32" s="17" t="n">
        <v>0</v>
      </c>
      <c r="M32" s="17" t="inlineStr">
        <is>
          <t>Sedang</t>
        </is>
      </c>
    </row>
    <row r="33" s="1">
      <c r="A33" s="17">
        <f>RANDBETWEEN(2,164)</f>
        <v/>
      </c>
      <c r="B33" s="17">
        <f t="array" ref="B33">INDEX(Data_DBD!$B:$B,$A33)</f>
        <v/>
      </c>
      <c r="C33" s="17">
        <f t="array" ref="C33">INDEX(Data_DBD!$C:$C,$A33)</f>
        <v/>
      </c>
      <c r="D33" s="17">
        <f t="array" ref="D33">INDEX(Data_DBD!$D:$D,$A33)</f>
        <v/>
      </c>
      <c r="E33" s="17">
        <f t="array" ref="E33">INDEX(Data_DBD!$E:$E,$A33)</f>
        <v/>
      </c>
      <c r="F33" s="17">
        <f t="array" ref="F33">INDEX(Data_DBD!$F:$F,$A33)</f>
        <v/>
      </c>
      <c r="H33" s="17" t="n">
        <v>21</v>
      </c>
      <c r="I33" s="17" t="n">
        <v>10</v>
      </c>
      <c r="J33" s="17" t="n">
        <v>5</v>
      </c>
      <c r="K33" s="17" t="n">
        <v>14</v>
      </c>
      <c r="L33" s="17" t="n">
        <v>1</v>
      </c>
      <c r="M33" s="17" t="inlineStr">
        <is>
          <t>Sedang</t>
        </is>
      </c>
    </row>
    <row r="34" s="1">
      <c r="A34" s="17">
        <f>RANDBETWEEN(2,164)</f>
        <v/>
      </c>
      <c r="B34" s="17">
        <f t="array" ref="B34">INDEX(Data_DBD!$B:$B,$A34)</f>
        <v/>
      </c>
      <c r="C34" s="17">
        <f t="array" ref="C34">INDEX(Data_DBD!$C:$C,$A34)</f>
        <v/>
      </c>
      <c r="D34" s="17">
        <f t="array" ref="D34">INDEX(Data_DBD!$D:$D,$A34)</f>
        <v/>
      </c>
      <c r="E34" s="17">
        <f t="array" ref="E34">INDEX(Data_DBD!$E:$E,$A34)</f>
        <v/>
      </c>
      <c r="F34" s="17">
        <f t="array" ref="F34">INDEX(Data_DBD!$F:$F,$A34)</f>
        <v/>
      </c>
      <c r="H34" s="17" t="n">
        <v>106</v>
      </c>
      <c r="I34" s="17" t="n">
        <v>23</v>
      </c>
      <c r="J34" s="17" t="n">
        <v>3</v>
      </c>
      <c r="K34" s="17" t="n">
        <v>18</v>
      </c>
      <c r="L34" s="17" t="n">
        <v>1</v>
      </c>
      <c r="M34" s="17" t="inlineStr">
        <is>
          <t>Tinggi</t>
        </is>
      </c>
    </row>
    <row r="35" s="1">
      <c r="A35" s="17">
        <f>RANDBETWEEN(2,164)</f>
        <v/>
      </c>
      <c r="B35" s="17">
        <f t="array" ref="B35">INDEX(Data_DBD!$B:$B,$A35)</f>
        <v/>
      </c>
      <c r="C35" s="17">
        <f t="array" ref="C35">INDEX(Data_DBD!$C:$C,$A35)</f>
        <v/>
      </c>
      <c r="D35" s="17">
        <f t="array" ref="D35">INDEX(Data_DBD!$D:$D,$A35)</f>
        <v/>
      </c>
      <c r="E35" s="17">
        <f t="array" ref="E35">INDEX(Data_DBD!$E:$E,$A35)</f>
        <v/>
      </c>
      <c r="F35" s="17">
        <f t="array" ref="F35">INDEX(Data_DBD!$F:$F,$A35)</f>
        <v/>
      </c>
      <c r="H35" s="17" t="n">
        <v>84</v>
      </c>
      <c r="I35" s="17" t="n">
        <v>42</v>
      </c>
      <c r="J35" s="17" t="n">
        <v>4</v>
      </c>
      <c r="K35" s="17" t="n">
        <v>13</v>
      </c>
      <c r="L35" s="17" t="n">
        <v>1</v>
      </c>
      <c r="M35" s="17" t="inlineStr">
        <is>
          <t>Sedang</t>
        </is>
      </c>
    </row>
    <row r="36" s="1">
      <c r="A36" s="17">
        <f>RANDBETWEEN(2,164)</f>
        <v/>
      </c>
      <c r="B36" s="17">
        <f t="array" ref="B36">INDEX(Data_DBD!$B:$B,$A36)</f>
        <v/>
      </c>
      <c r="C36" s="17">
        <f t="array" ref="C36">INDEX(Data_DBD!$C:$C,$A36)</f>
        <v/>
      </c>
      <c r="D36" s="17">
        <f t="array" ref="D36">INDEX(Data_DBD!$D:$D,$A36)</f>
        <v/>
      </c>
      <c r="E36" s="17">
        <f t="array" ref="E36">INDEX(Data_DBD!$E:$E,$A36)</f>
        <v/>
      </c>
      <c r="F36" s="17">
        <f t="array" ref="F36">INDEX(Data_DBD!$F:$F,$A36)</f>
        <v/>
      </c>
      <c r="H36" s="17" t="n">
        <v>83</v>
      </c>
      <c r="I36" s="17" t="n">
        <v>50</v>
      </c>
      <c r="J36" s="17" t="n">
        <v>3</v>
      </c>
      <c r="K36" s="17" t="n">
        <v>13</v>
      </c>
      <c r="L36" s="17" t="n">
        <v>0</v>
      </c>
      <c r="M36" s="17" t="inlineStr">
        <is>
          <t>Sedang</t>
        </is>
      </c>
    </row>
    <row r="37" s="1">
      <c r="A37" s="17">
        <f>RANDBETWEEN(2,164)</f>
        <v/>
      </c>
      <c r="B37" s="17">
        <f t="array" ref="B37">INDEX(Data_DBD!$B:$B,$A37)</f>
        <v/>
      </c>
      <c r="C37" s="17">
        <f t="array" ref="C37">INDEX(Data_DBD!$C:$C,$A37)</f>
        <v/>
      </c>
      <c r="D37" s="17">
        <f t="array" ref="D37">INDEX(Data_DBD!$D:$D,$A37)</f>
        <v/>
      </c>
      <c r="E37" s="17">
        <f t="array" ref="E37">INDEX(Data_DBD!$E:$E,$A37)</f>
        <v/>
      </c>
      <c r="F37" s="17">
        <f t="array" ref="F37">INDEX(Data_DBD!$F:$F,$A37)</f>
        <v/>
      </c>
      <c r="H37" s="17" t="n">
        <v>148</v>
      </c>
      <c r="I37" s="17" t="n">
        <v>55</v>
      </c>
      <c r="J37" s="17" t="n">
        <v>3</v>
      </c>
      <c r="K37" s="17" t="n">
        <v>21</v>
      </c>
      <c r="L37" s="17" t="n">
        <v>1</v>
      </c>
      <c r="M37" s="17" t="inlineStr">
        <is>
          <t>Tinggi</t>
        </is>
      </c>
    </row>
    <row r="38" s="1">
      <c r="A38" s="17">
        <f>RANDBETWEEN(2,164)</f>
        <v/>
      </c>
      <c r="B38" s="17">
        <f t="array" ref="B38">INDEX(Data_DBD!$B:$B,$A38)</f>
        <v/>
      </c>
      <c r="C38" s="17">
        <f t="array" ref="C38">INDEX(Data_DBD!$C:$C,$A38)</f>
        <v/>
      </c>
      <c r="D38" s="17">
        <f t="array" ref="D38">INDEX(Data_DBD!$D:$D,$A38)</f>
        <v/>
      </c>
      <c r="E38" s="17">
        <f t="array" ref="E38">INDEX(Data_DBD!$E:$E,$A38)</f>
        <v/>
      </c>
      <c r="F38" s="17">
        <f t="array" ref="F38">INDEX(Data_DBD!$F:$F,$A38)</f>
        <v/>
      </c>
      <c r="H38" s="17" t="n">
        <v>20</v>
      </c>
      <c r="I38" s="17" t="n">
        <v>15</v>
      </c>
      <c r="J38" s="17" t="n">
        <v>5</v>
      </c>
      <c r="K38" s="17" t="n">
        <v>7</v>
      </c>
      <c r="L38" s="17" t="n">
        <v>0</v>
      </c>
      <c r="M38" s="17" t="inlineStr">
        <is>
          <t>Rendah</t>
        </is>
      </c>
    </row>
    <row r="39" s="1">
      <c r="A39" s="17">
        <f>RANDBETWEEN(2,164)</f>
        <v/>
      </c>
      <c r="B39" s="17">
        <f t="array" ref="B39">INDEX(Data_DBD!$B:$B,$A39)</f>
        <v/>
      </c>
      <c r="C39" s="17">
        <f t="array" ref="C39">INDEX(Data_DBD!$C:$C,$A39)</f>
        <v/>
      </c>
      <c r="D39" s="17">
        <f t="array" ref="D39">INDEX(Data_DBD!$D:$D,$A39)</f>
        <v/>
      </c>
      <c r="E39" s="17">
        <f t="array" ref="E39">INDEX(Data_DBD!$E:$E,$A39)</f>
        <v/>
      </c>
      <c r="F39" s="17">
        <f t="array" ref="F39">INDEX(Data_DBD!$F:$F,$A39)</f>
        <v/>
      </c>
      <c r="H39" s="17" t="n">
        <v>56</v>
      </c>
      <c r="I39" s="17" t="n">
        <v>4</v>
      </c>
      <c r="J39" s="17" t="n">
        <v>3</v>
      </c>
      <c r="K39" s="17" t="n">
        <v>15</v>
      </c>
      <c r="L39" s="17" t="n">
        <v>0</v>
      </c>
      <c r="M39" s="17" t="inlineStr">
        <is>
          <t>Sedang</t>
        </is>
      </c>
    </row>
    <row r="40" s="1">
      <c r="A40" s="17">
        <f>RANDBETWEEN(2,164)</f>
        <v/>
      </c>
      <c r="B40" s="17">
        <f t="array" ref="B40">INDEX(Data_DBD!$B:$B,$A40)</f>
        <v/>
      </c>
      <c r="C40" s="17">
        <f t="array" ref="C40">INDEX(Data_DBD!$C:$C,$A40)</f>
        <v/>
      </c>
      <c r="D40" s="17">
        <f t="array" ref="D40">INDEX(Data_DBD!$D:$D,$A40)</f>
        <v/>
      </c>
      <c r="E40" s="17">
        <f t="array" ref="E40">INDEX(Data_DBD!$E:$E,$A40)</f>
        <v/>
      </c>
      <c r="F40" s="17">
        <f t="array" ref="F40">INDEX(Data_DBD!$F:$F,$A40)</f>
        <v/>
      </c>
      <c r="H40" s="17" t="n">
        <v>144</v>
      </c>
      <c r="I40" s="17" t="n">
        <v>61</v>
      </c>
      <c r="J40" s="17" t="n">
        <v>4</v>
      </c>
      <c r="K40" s="17" t="n">
        <v>21</v>
      </c>
      <c r="L40" s="17" t="n">
        <v>1</v>
      </c>
      <c r="M40" s="17" t="inlineStr">
        <is>
          <t>Tinggi</t>
        </is>
      </c>
    </row>
    <row r="41" s="1">
      <c r="A41" s="17">
        <f>RANDBETWEEN(2,164)</f>
        <v/>
      </c>
      <c r="B41" s="17">
        <f t="array" ref="B41">INDEX(Data_DBD!$B:$B,$A41)</f>
        <v/>
      </c>
      <c r="C41" s="17">
        <f t="array" ref="C41">INDEX(Data_DBD!$C:$C,$A41)</f>
        <v/>
      </c>
      <c r="D41" s="17">
        <f t="array" ref="D41">INDEX(Data_DBD!$D:$D,$A41)</f>
        <v/>
      </c>
      <c r="E41" s="17">
        <f t="array" ref="E41">INDEX(Data_DBD!$E:$E,$A41)</f>
        <v/>
      </c>
      <c r="F41" s="17">
        <f t="array" ref="F41">INDEX(Data_DBD!$F:$F,$A41)</f>
        <v/>
      </c>
      <c r="H41" s="17" t="n">
        <v>135</v>
      </c>
      <c r="I41" s="17" t="n">
        <v>10</v>
      </c>
      <c r="J41" s="17" t="n">
        <v>2</v>
      </c>
      <c r="K41" s="17" t="n">
        <v>33</v>
      </c>
      <c r="L41" s="17" t="n">
        <v>0</v>
      </c>
      <c r="M41" s="17" t="inlineStr">
        <is>
          <t>Tinggi</t>
        </is>
      </c>
    </row>
    <row r="42" s="1">
      <c r="A42" s="17">
        <f>RANDBETWEEN(2,164)</f>
        <v/>
      </c>
      <c r="B42" s="17">
        <f t="array" ref="B42">INDEX(Data_DBD!$B:$B,$A42)</f>
        <v/>
      </c>
      <c r="C42" s="17">
        <f t="array" ref="C42">INDEX(Data_DBD!$C:$C,$A42)</f>
        <v/>
      </c>
      <c r="D42" s="17">
        <f t="array" ref="D42">INDEX(Data_DBD!$D:$D,$A42)</f>
        <v/>
      </c>
      <c r="E42" s="17">
        <f t="array" ref="E42">INDEX(Data_DBD!$E:$E,$A42)</f>
        <v/>
      </c>
      <c r="F42" s="17">
        <f t="array" ref="F42">INDEX(Data_DBD!$F:$F,$A42)</f>
        <v/>
      </c>
      <c r="H42" s="17" t="n">
        <v>112</v>
      </c>
      <c r="I42" s="17" t="n">
        <v>61</v>
      </c>
      <c r="J42" s="17" t="n">
        <v>3</v>
      </c>
      <c r="K42" s="17" t="n">
        <v>33</v>
      </c>
      <c r="L42" s="17" t="n">
        <v>1</v>
      </c>
      <c r="M42" s="17" t="inlineStr">
        <is>
          <t>Tinggi</t>
        </is>
      </c>
    </row>
    <row r="43" s="1">
      <c r="A43" s="17">
        <f>RANDBETWEEN(2,164)</f>
        <v/>
      </c>
      <c r="B43" s="17">
        <f t="array" ref="B43">INDEX(Data_DBD!$B:$B,$A43)</f>
        <v/>
      </c>
      <c r="C43" s="17">
        <f t="array" ref="C43">INDEX(Data_DBD!$C:$C,$A43)</f>
        <v/>
      </c>
      <c r="D43" s="17">
        <f t="array" ref="D43">INDEX(Data_DBD!$D:$D,$A43)</f>
        <v/>
      </c>
      <c r="E43" s="17">
        <f t="array" ref="E43">INDEX(Data_DBD!$E:$E,$A43)</f>
        <v/>
      </c>
      <c r="F43" s="17">
        <f t="array" ref="F43">INDEX(Data_DBD!$F:$F,$A43)</f>
        <v/>
      </c>
      <c r="H43" s="17" t="n">
        <v>61</v>
      </c>
      <c r="I43" s="17" t="n">
        <v>29</v>
      </c>
      <c r="J43" s="17" t="n">
        <v>3</v>
      </c>
      <c r="K43" s="17" t="n">
        <v>15</v>
      </c>
      <c r="L43" s="17" t="n">
        <v>1</v>
      </c>
      <c r="M43" s="17" t="inlineStr">
        <is>
          <t>Sedang</t>
        </is>
      </c>
    </row>
    <row r="44" s="1">
      <c r="A44" s="17">
        <f>RANDBETWEEN(2,164)</f>
        <v/>
      </c>
      <c r="B44" s="17">
        <f t="array" ref="B44">INDEX(Data_DBD!$B:$B,$A44)</f>
        <v/>
      </c>
      <c r="C44" s="17">
        <f t="array" ref="C44">INDEX(Data_DBD!$C:$C,$A44)</f>
        <v/>
      </c>
      <c r="D44" s="17">
        <f t="array" ref="D44">INDEX(Data_DBD!$D:$D,$A44)</f>
        <v/>
      </c>
      <c r="E44" s="17">
        <f t="array" ref="E44">INDEX(Data_DBD!$E:$E,$A44)</f>
        <v/>
      </c>
      <c r="F44" s="17">
        <f t="array" ref="F44">INDEX(Data_DBD!$F:$F,$A44)</f>
        <v/>
      </c>
      <c r="H44" s="17" t="n">
        <v>93</v>
      </c>
      <c r="I44" s="17" t="n">
        <v>65</v>
      </c>
      <c r="J44" s="17" t="n">
        <v>4</v>
      </c>
      <c r="K44" s="17" t="n">
        <v>18</v>
      </c>
      <c r="L44" s="17" t="n">
        <v>0</v>
      </c>
      <c r="M44" s="17" t="inlineStr">
        <is>
          <t>Tinggi</t>
        </is>
      </c>
    </row>
    <row r="45" s="1">
      <c r="A45" s="17">
        <f>RANDBETWEEN(2,164)</f>
        <v/>
      </c>
      <c r="B45" s="17">
        <f t="array" ref="B45">INDEX(Data_DBD!$B:$B,$A45)</f>
        <v/>
      </c>
      <c r="C45" s="17">
        <f t="array" ref="C45">INDEX(Data_DBD!$C:$C,$A45)</f>
        <v/>
      </c>
      <c r="D45" s="17">
        <f t="array" ref="D45">INDEX(Data_DBD!$D:$D,$A45)</f>
        <v/>
      </c>
      <c r="E45" s="17">
        <f t="array" ref="E45">INDEX(Data_DBD!$E:$E,$A45)</f>
        <v/>
      </c>
      <c r="F45" s="17">
        <f t="array" ref="F45">INDEX(Data_DBD!$F:$F,$A45)</f>
        <v/>
      </c>
      <c r="H45" s="17" t="n">
        <v>158</v>
      </c>
      <c r="I45" s="17" t="n">
        <v>5</v>
      </c>
      <c r="J45" s="17" t="n">
        <v>2</v>
      </c>
      <c r="K45" s="17" t="n">
        <v>21</v>
      </c>
      <c r="L45" s="17" t="n">
        <v>0</v>
      </c>
      <c r="M45" s="17" t="inlineStr">
        <is>
          <t>Tinggi</t>
        </is>
      </c>
    </row>
    <row r="46" s="1">
      <c r="A46" s="17">
        <f>RANDBETWEEN(2,164)</f>
        <v/>
      </c>
      <c r="B46" s="17">
        <f t="array" ref="B46">INDEX(Data_DBD!$B:$B,$A46)</f>
        <v/>
      </c>
      <c r="C46" s="17">
        <f t="array" ref="C46">INDEX(Data_DBD!$C:$C,$A46)</f>
        <v/>
      </c>
      <c r="D46" s="17">
        <f t="array" ref="D46">INDEX(Data_DBD!$D:$D,$A46)</f>
        <v/>
      </c>
      <c r="E46" s="17">
        <f t="array" ref="E46">INDEX(Data_DBD!$E:$E,$A46)</f>
        <v/>
      </c>
      <c r="F46" s="17">
        <f t="array" ref="F46">INDEX(Data_DBD!$F:$F,$A46)</f>
        <v/>
      </c>
      <c r="H46" s="17" t="n">
        <v>119</v>
      </c>
      <c r="I46" s="17" t="n">
        <v>30</v>
      </c>
      <c r="J46" s="17" t="n">
        <v>7</v>
      </c>
      <c r="K46" s="17" t="n">
        <v>33</v>
      </c>
      <c r="L46" s="17" t="n">
        <v>0</v>
      </c>
      <c r="M46" s="17" t="inlineStr">
        <is>
          <t>Tinggi</t>
        </is>
      </c>
    </row>
    <row r="47" s="1">
      <c r="A47" s="17">
        <f>RANDBETWEEN(2,164)</f>
        <v/>
      </c>
      <c r="B47" s="17">
        <f t="array" ref="B47">INDEX(Data_DBD!$B:$B,$A47)</f>
        <v/>
      </c>
      <c r="C47" s="17">
        <f t="array" ref="C47">INDEX(Data_DBD!$C:$C,$A47)</f>
        <v/>
      </c>
      <c r="D47" s="17">
        <f t="array" ref="D47">INDEX(Data_DBD!$D:$D,$A47)</f>
        <v/>
      </c>
      <c r="E47" s="17">
        <f t="array" ref="E47">INDEX(Data_DBD!$E:$E,$A47)</f>
        <v/>
      </c>
      <c r="F47" s="17">
        <f t="array" ref="F47">INDEX(Data_DBD!$F:$F,$A47)</f>
        <v/>
      </c>
      <c r="H47" s="17" t="n">
        <v>105</v>
      </c>
      <c r="I47" s="17" t="n">
        <v>61</v>
      </c>
      <c r="J47" s="17" t="n">
        <v>3</v>
      </c>
      <c r="K47" s="17" t="n">
        <v>18</v>
      </c>
      <c r="L47" s="17" t="n">
        <v>1</v>
      </c>
      <c r="M47" s="17" t="inlineStr">
        <is>
          <t>Tinggi</t>
        </is>
      </c>
    </row>
    <row r="48" s="1">
      <c r="A48" s="17">
        <f>RANDBETWEEN(2,164)</f>
        <v/>
      </c>
      <c r="B48" s="17">
        <f t="array" ref="B48">INDEX(Data_DBD!$B:$B,$A48)</f>
        <v/>
      </c>
      <c r="C48" s="17">
        <f t="array" ref="C48">INDEX(Data_DBD!$C:$C,$A48)</f>
        <v/>
      </c>
      <c r="D48" s="17">
        <f t="array" ref="D48">INDEX(Data_DBD!$D:$D,$A48)</f>
        <v/>
      </c>
      <c r="E48" s="17">
        <f t="array" ref="E48">INDEX(Data_DBD!$E:$E,$A48)</f>
        <v/>
      </c>
      <c r="F48" s="17">
        <f t="array" ref="F48">INDEX(Data_DBD!$F:$F,$A48)</f>
        <v/>
      </c>
      <c r="H48" s="17" t="n">
        <v>26</v>
      </c>
      <c r="I48" s="17" t="n">
        <v>75</v>
      </c>
      <c r="J48" s="17" t="n">
        <v>4</v>
      </c>
      <c r="K48" s="17" t="n">
        <v>14</v>
      </c>
      <c r="L48" s="17" t="n">
        <v>1</v>
      </c>
      <c r="M48" s="17" t="inlineStr">
        <is>
          <t>Sedang</t>
        </is>
      </c>
    </row>
    <row r="49" s="1">
      <c r="A49" s="17">
        <f>RANDBETWEEN(2,164)</f>
        <v/>
      </c>
      <c r="B49" s="17">
        <f t="array" ref="B49">INDEX(Data_DBD!$B:$B,$A49)</f>
        <v/>
      </c>
      <c r="C49" s="17">
        <f t="array" ref="C49">INDEX(Data_DBD!$C:$C,$A49)</f>
        <v/>
      </c>
      <c r="D49" s="17">
        <f t="array" ref="D49">INDEX(Data_DBD!$D:$D,$A49)</f>
        <v/>
      </c>
      <c r="E49" s="17">
        <f t="array" ref="E49">INDEX(Data_DBD!$E:$E,$A49)</f>
        <v/>
      </c>
      <c r="F49" s="17">
        <f t="array" ref="F49">INDEX(Data_DBD!$F:$F,$A49)</f>
        <v/>
      </c>
      <c r="H49" s="17" t="n">
        <v>124</v>
      </c>
      <c r="I49" s="17" t="n">
        <v>24</v>
      </c>
      <c r="J49" s="17" t="n">
        <v>3</v>
      </c>
      <c r="K49" s="17" t="n">
        <v>33</v>
      </c>
      <c r="L49" s="17" t="n">
        <v>1</v>
      </c>
      <c r="M49" s="17" t="inlineStr">
        <is>
          <t>Tinggi</t>
        </is>
      </c>
    </row>
    <row r="50" s="1">
      <c r="A50" s="17">
        <f>RANDBETWEEN(2,164)</f>
        <v/>
      </c>
      <c r="B50" s="17">
        <f t="array" ref="B50">INDEX(Data_DBD!$B:$B,$A50)</f>
        <v/>
      </c>
      <c r="C50" s="17">
        <f t="array" ref="C50">INDEX(Data_DBD!$C:$C,$A50)</f>
        <v/>
      </c>
      <c r="D50" s="17">
        <f t="array" ref="D50">INDEX(Data_DBD!$D:$D,$A50)</f>
        <v/>
      </c>
      <c r="E50" s="17">
        <f t="array" ref="E50">INDEX(Data_DBD!$E:$E,$A50)</f>
        <v/>
      </c>
      <c r="F50" s="17">
        <f t="array" ref="F50">INDEX(Data_DBD!$F:$F,$A50)</f>
        <v/>
      </c>
      <c r="H50" s="17" t="n">
        <v>15</v>
      </c>
      <c r="I50" s="17" t="n">
        <v>21</v>
      </c>
      <c r="J50" s="17" t="n">
        <v>2</v>
      </c>
      <c r="K50" s="17" t="n">
        <v>7</v>
      </c>
      <c r="L50" s="17" t="n">
        <v>0</v>
      </c>
      <c r="M50" s="17" t="inlineStr">
        <is>
          <t>Rendah</t>
        </is>
      </c>
    </row>
    <row r="51" s="1">
      <c r="A51" s="17">
        <f>RANDBETWEEN(2,164)</f>
        <v/>
      </c>
      <c r="B51" s="17">
        <f t="array" ref="B51">INDEX(Data_DBD!$B:$B,$A51)</f>
        <v/>
      </c>
      <c r="C51" s="17">
        <f t="array" ref="C51">INDEX(Data_DBD!$C:$C,$A51)</f>
        <v/>
      </c>
      <c r="D51" s="17">
        <f t="array" ref="D51">INDEX(Data_DBD!$D:$D,$A51)</f>
        <v/>
      </c>
      <c r="E51" s="17">
        <f t="array" ref="E51">INDEX(Data_DBD!$E:$E,$A51)</f>
        <v/>
      </c>
      <c r="F51" s="17">
        <f t="array" ref="F51">INDEX(Data_DBD!$F:$F,$A51)</f>
        <v/>
      </c>
      <c r="H51" s="17" t="n">
        <v>3</v>
      </c>
      <c r="I51" s="17" t="n">
        <v>43</v>
      </c>
      <c r="J51" s="17" t="n">
        <v>3</v>
      </c>
      <c r="K51" s="17" t="n">
        <v>12</v>
      </c>
      <c r="L51" s="17" t="n">
        <v>1</v>
      </c>
      <c r="M51" s="17" t="inlineStr">
        <is>
          <t>Sedang</t>
        </is>
      </c>
    </row>
    <row r="52" s="1">
      <c r="A52" s="17">
        <f>RANDBETWEEN(2,164)</f>
        <v/>
      </c>
      <c r="B52" s="17">
        <f t="array" ref="B52">INDEX(Data_DBD!$B:$B,$A52)</f>
        <v/>
      </c>
      <c r="C52" s="17">
        <f t="array" ref="C52">INDEX(Data_DBD!$C:$C,$A52)</f>
        <v/>
      </c>
      <c r="D52" s="17">
        <f t="array" ref="D52">INDEX(Data_DBD!$D:$D,$A52)</f>
        <v/>
      </c>
      <c r="E52" s="17">
        <f t="array" ref="E52">INDEX(Data_DBD!$E:$E,$A52)</f>
        <v/>
      </c>
      <c r="F52" s="17">
        <f t="array" ref="F52">INDEX(Data_DBD!$F:$F,$A52)</f>
        <v/>
      </c>
      <c r="H52" s="17" t="n">
        <v>10</v>
      </c>
      <c r="I52" s="17" t="n">
        <v>18</v>
      </c>
      <c r="J52" s="17" t="n">
        <v>5</v>
      </c>
      <c r="K52" s="17" t="n">
        <v>12</v>
      </c>
      <c r="L52" s="17" t="n">
        <v>0</v>
      </c>
      <c r="M52" s="17" t="inlineStr">
        <is>
          <t>Sedang</t>
        </is>
      </c>
    </row>
    <row r="53" s="1">
      <c r="A53" s="17">
        <f>RANDBETWEEN(2,164)</f>
        <v/>
      </c>
      <c r="B53" s="17">
        <f t="array" ref="B53">INDEX(Data_DBD!$B:$B,$A53)</f>
        <v/>
      </c>
      <c r="C53" s="17">
        <f t="array" ref="C53">INDEX(Data_DBD!$C:$C,$A53)</f>
        <v/>
      </c>
      <c r="D53" s="17">
        <f t="array" ref="D53">INDEX(Data_DBD!$D:$D,$A53)</f>
        <v/>
      </c>
      <c r="E53" s="17">
        <f t="array" ref="E53">INDEX(Data_DBD!$E:$E,$A53)</f>
        <v/>
      </c>
      <c r="F53" s="17">
        <f t="array" ref="F53">INDEX(Data_DBD!$F:$F,$A53)</f>
        <v/>
      </c>
      <c r="H53" s="17" t="n">
        <v>37</v>
      </c>
      <c r="I53" s="17" t="n">
        <v>28</v>
      </c>
      <c r="J53" s="17" t="n">
        <v>4</v>
      </c>
      <c r="K53" s="17" t="n">
        <v>4</v>
      </c>
      <c r="L53" s="17" t="n">
        <v>1</v>
      </c>
      <c r="M53" s="17" t="inlineStr">
        <is>
          <t>Rendah</t>
        </is>
      </c>
    </row>
    <row r="54" s="1">
      <c r="A54" s="17">
        <f>RANDBETWEEN(2,164)</f>
        <v/>
      </c>
      <c r="B54" s="17">
        <f t="array" ref="B54">INDEX(Data_DBD!$B:$B,$A54)</f>
        <v/>
      </c>
      <c r="C54" s="17">
        <f t="array" ref="C54">INDEX(Data_DBD!$C:$C,$A54)</f>
        <v/>
      </c>
      <c r="D54" s="17">
        <f t="array" ref="D54">INDEX(Data_DBD!$D:$D,$A54)</f>
        <v/>
      </c>
      <c r="E54" s="17">
        <f t="array" ref="E54">INDEX(Data_DBD!$E:$E,$A54)</f>
        <v/>
      </c>
      <c r="F54" s="17">
        <f t="array" ref="F54">INDEX(Data_DBD!$F:$F,$A54)</f>
        <v/>
      </c>
      <c r="H54" s="17" t="n">
        <v>161</v>
      </c>
      <c r="I54" s="17" t="n">
        <v>12</v>
      </c>
      <c r="J54" s="17" t="n">
        <v>3</v>
      </c>
      <c r="K54" s="17" t="n">
        <v>21</v>
      </c>
      <c r="L54" s="17" t="n">
        <v>1</v>
      </c>
      <c r="M54" s="17" t="inlineStr">
        <is>
          <t>Tinggi</t>
        </is>
      </c>
    </row>
    <row r="55" s="1">
      <c r="A55" s="17">
        <f>RANDBETWEEN(2,164)</f>
        <v/>
      </c>
      <c r="B55" s="17">
        <f t="array" ref="B55">INDEX(Data_DBD!$B:$B,$A55)</f>
        <v/>
      </c>
      <c r="C55" s="17">
        <f t="array" ref="C55">INDEX(Data_DBD!$C:$C,$A55)</f>
        <v/>
      </c>
      <c r="D55" s="17">
        <f t="array" ref="D55">INDEX(Data_DBD!$D:$D,$A55)</f>
        <v/>
      </c>
      <c r="E55" s="17">
        <f t="array" ref="E55">INDEX(Data_DBD!$E:$E,$A55)</f>
        <v/>
      </c>
      <c r="F55" s="17">
        <f t="array" ref="F55">INDEX(Data_DBD!$F:$F,$A55)</f>
        <v/>
      </c>
      <c r="H55" s="17" t="n">
        <v>45</v>
      </c>
      <c r="I55" s="17" t="n">
        <v>75</v>
      </c>
      <c r="J55" s="17" t="n">
        <v>3</v>
      </c>
      <c r="K55" s="17" t="n">
        <v>13</v>
      </c>
      <c r="L55" s="17" t="n">
        <v>1</v>
      </c>
      <c r="M55" s="17" t="inlineStr">
        <is>
          <t>Sedang</t>
        </is>
      </c>
    </row>
    <row r="56" s="1">
      <c r="A56" s="17">
        <f>RANDBETWEEN(2,164)</f>
        <v/>
      </c>
      <c r="B56" s="17">
        <f t="array" ref="B56">INDEX(Data_DBD!$B:$B,$A56)</f>
        <v/>
      </c>
      <c r="C56" s="17">
        <f t="array" ref="C56">INDEX(Data_DBD!$C:$C,$A56)</f>
        <v/>
      </c>
      <c r="D56" s="17">
        <f t="array" ref="D56">INDEX(Data_DBD!$D:$D,$A56)</f>
        <v/>
      </c>
      <c r="E56" s="17">
        <f t="array" ref="E56">INDEX(Data_DBD!$E:$E,$A56)</f>
        <v/>
      </c>
      <c r="F56" s="17">
        <f t="array" ref="F56">INDEX(Data_DBD!$F:$F,$A56)</f>
        <v/>
      </c>
      <c r="H56" s="17" t="n">
        <v>151</v>
      </c>
      <c r="I56" s="17" t="n">
        <v>24</v>
      </c>
      <c r="J56" s="17" t="n">
        <v>3</v>
      </c>
      <c r="K56" s="17" t="n">
        <v>21</v>
      </c>
      <c r="L56" s="17" t="n">
        <v>0</v>
      </c>
      <c r="M56" s="17" t="inlineStr">
        <is>
          <t>Tinggi</t>
        </is>
      </c>
    </row>
    <row r="57" s="1">
      <c r="A57" s="17">
        <f>RANDBETWEEN(2,164)</f>
        <v/>
      </c>
      <c r="B57" s="17">
        <f t="array" ref="B57">INDEX(Data_DBD!$B:$B,$A57)</f>
        <v/>
      </c>
      <c r="C57" s="17">
        <f t="array" ref="C57">INDEX(Data_DBD!$C:$C,$A57)</f>
        <v/>
      </c>
      <c r="D57" s="17">
        <f t="array" ref="D57">INDEX(Data_DBD!$D:$D,$A57)</f>
        <v/>
      </c>
      <c r="E57" s="17">
        <f t="array" ref="E57">INDEX(Data_DBD!$E:$E,$A57)</f>
        <v/>
      </c>
      <c r="F57" s="17">
        <f t="array" ref="F57">INDEX(Data_DBD!$F:$F,$A57)</f>
        <v/>
      </c>
      <c r="H57" s="17" t="n">
        <v>56</v>
      </c>
      <c r="I57" s="17" t="n">
        <v>4</v>
      </c>
      <c r="J57" s="17" t="n">
        <v>3</v>
      </c>
      <c r="K57" s="17" t="n">
        <v>15</v>
      </c>
      <c r="L57" s="17" t="n">
        <v>0</v>
      </c>
      <c r="M57" s="17" t="inlineStr">
        <is>
          <t>Sedang</t>
        </is>
      </c>
    </row>
    <row r="58" s="1">
      <c r="A58" s="17">
        <f>RANDBETWEEN(2,164)</f>
        <v/>
      </c>
      <c r="B58" s="17">
        <f t="array" ref="B58">INDEX(Data_DBD!$B:$B,$A58)</f>
        <v/>
      </c>
      <c r="C58" s="17">
        <f t="array" ref="C58">INDEX(Data_DBD!$C:$C,$A58)</f>
        <v/>
      </c>
      <c r="D58" s="17">
        <f t="array" ref="D58">INDEX(Data_DBD!$D:$D,$A58)</f>
        <v/>
      </c>
      <c r="E58" s="17">
        <f t="array" ref="E58">INDEX(Data_DBD!$E:$E,$A58)</f>
        <v/>
      </c>
      <c r="F58" s="17">
        <f t="array" ref="F58">INDEX(Data_DBD!$F:$F,$A58)</f>
        <v/>
      </c>
      <c r="H58" s="17" t="n">
        <v>32</v>
      </c>
      <c r="I58" s="17" t="n">
        <v>54</v>
      </c>
      <c r="J58" s="17" t="n">
        <v>4</v>
      </c>
      <c r="K58" s="17" t="n">
        <v>14</v>
      </c>
      <c r="L58" s="17" t="n">
        <v>0</v>
      </c>
      <c r="M58" s="17" t="inlineStr">
        <is>
          <t>Sedang</t>
        </is>
      </c>
    </row>
    <row r="59" s="1">
      <c r="A59" s="17">
        <f>RANDBETWEEN(2,164)</f>
        <v/>
      </c>
      <c r="B59" s="17">
        <f t="array" ref="B59">INDEX(Data_DBD!$B:$B,$A59)</f>
        <v/>
      </c>
      <c r="C59" s="17">
        <f t="array" ref="C59">INDEX(Data_DBD!$C:$C,$A59)</f>
        <v/>
      </c>
      <c r="D59" s="17">
        <f t="array" ref="D59">INDEX(Data_DBD!$D:$D,$A59)</f>
        <v/>
      </c>
      <c r="E59" s="17">
        <f t="array" ref="E59">INDEX(Data_DBD!$E:$E,$A59)</f>
        <v/>
      </c>
      <c r="F59" s="17">
        <f t="array" ref="F59">INDEX(Data_DBD!$F:$F,$A59)</f>
        <v/>
      </c>
      <c r="H59" s="17" t="n">
        <v>23</v>
      </c>
      <c r="I59" s="17" t="n">
        <v>28</v>
      </c>
      <c r="J59" s="17" t="n">
        <v>4</v>
      </c>
      <c r="K59" s="17" t="n">
        <v>14</v>
      </c>
      <c r="L59" s="17" t="n">
        <v>1</v>
      </c>
      <c r="M59" s="17" t="inlineStr">
        <is>
          <t>Sedang</t>
        </is>
      </c>
    </row>
    <row r="60" s="1">
      <c r="A60" s="17">
        <f>RANDBETWEEN(2,164)</f>
        <v/>
      </c>
      <c r="B60" s="17">
        <f t="array" ref="B60">INDEX(Data_DBD!$B:$B,$A60)</f>
        <v/>
      </c>
      <c r="C60" s="17">
        <f t="array" ref="C60">INDEX(Data_DBD!$C:$C,$A60)</f>
        <v/>
      </c>
      <c r="D60" s="17">
        <f t="array" ref="D60">INDEX(Data_DBD!$D:$D,$A60)</f>
        <v/>
      </c>
      <c r="E60" s="17">
        <f t="array" ref="E60">INDEX(Data_DBD!$E:$E,$A60)</f>
        <v/>
      </c>
      <c r="F60" s="17">
        <f t="array" ref="F60">INDEX(Data_DBD!$F:$F,$A60)</f>
        <v/>
      </c>
      <c r="H60" s="17" t="n">
        <v>66</v>
      </c>
      <c r="I60" s="17" t="n">
        <v>21</v>
      </c>
      <c r="J60" s="17" t="n">
        <v>5</v>
      </c>
      <c r="K60" s="17" t="n">
        <v>15</v>
      </c>
      <c r="L60" s="17" t="n">
        <v>1</v>
      </c>
      <c r="M60" s="17" t="inlineStr">
        <is>
          <t>Sedang</t>
        </is>
      </c>
    </row>
    <row r="61" s="1">
      <c r="A61" s="17">
        <f>RANDBETWEEN(2,164)</f>
        <v/>
      </c>
      <c r="B61" s="17">
        <f t="array" ref="B61">INDEX(Data_DBD!$B:$B,$A61)</f>
        <v/>
      </c>
      <c r="C61" s="17">
        <f t="array" ref="C61">INDEX(Data_DBD!$C:$C,$A61)</f>
        <v/>
      </c>
      <c r="D61" s="17">
        <f t="array" ref="D61">INDEX(Data_DBD!$D:$D,$A61)</f>
        <v/>
      </c>
      <c r="E61" s="17">
        <f t="array" ref="E61">INDEX(Data_DBD!$E:$E,$A61)</f>
        <v/>
      </c>
      <c r="F61" s="17">
        <f t="array" ref="F61">INDEX(Data_DBD!$F:$F,$A61)</f>
        <v/>
      </c>
      <c r="H61" s="17" t="n">
        <v>105</v>
      </c>
      <c r="I61" s="17" t="n">
        <v>61</v>
      </c>
      <c r="J61" s="17" t="n">
        <v>3</v>
      </c>
      <c r="K61" s="17" t="n">
        <v>18</v>
      </c>
      <c r="L61" s="17" t="n">
        <v>1</v>
      </c>
      <c r="M61" s="17" t="inlineStr">
        <is>
          <t>Tinggi</t>
        </is>
      </c>
    </row>
    <row r="62" s="1">
      <c r="A62" s="17">
        <f>RANDBETWEEN(2,164)</f>
        <v/>
      </c>
      <c r="B62" s="17">
        <f t="array" ref="B62">INDEX(Data_DBD!$B:$B,$A62)</f>
        <v/>
      </c>
      <c r="C62" s="17">
        <f t="array" ref="C62">INDEX(Data_DBD!$C:$C,$A62)</f>
        <v/>
      </c>
      <c r="D62" s="17">
        <f t="array" ref="D62">INDEX(Data_DBD!$D:$D,$A62)</f>
        <v/>
      </c>
      <c r="E62" s="17">
        <f t="array" ref="E62">INDEX(Data_DBD!$E:$E,$A62)</f>
        <v/>
      </c>
      <c r="F62" s="17">
        <f t="array" ref="F62">INDEX(Data_DBD!$F:$F,$A62)</f>
        <v/>
      </c>
      <c r="H62" s="17" t="n">
        <v>157</v>
      </c>
      <c r="I62" s="17" t="n">
        <v>15</v>
      </c>
      <c r="J62" s="17" t="n">
        <v>4</v>
      </c>
      <c r="K62" s="17" t="n">
        <v>21</v>
      </c>
      <c r="L62" s="17" t="n">
        <v>1</v>
      </c>
      <c r="M62" s="17" t="inlineStr">
        <is>
          <t>Tinggi</t>
        </is>
      </c>
    </row>
    <row r="63" s="1">
      <c r="A63" s="17">
        <f>RANDBETWEEN(2,164)</f>
        <v/>
      </c>
      <c r="B63" s="17">
        <f t="array" ref="B63">INDEX(Data_DBD!$B:$B,$A63)</f>
        <v/>
      </c>
      <c r="C63" s="17">
        <f t="array" ref="C63">INDEX(Data_DBD!$C:$C,$A63)</f>
        <v/>
      </c>
      <c r="D63" s="17">
        <f t="array" ref="D63">INDEX(Data_DBD!$D:$D,$A63)</f>
        <v/>
      </c>
      <c r="E63" s="17">
        <f t="array" ref="E63">INDEX(Data_DBD!$E:$E,$A63)</f>
        <v/>
      </c>
      <c r="F63" s="17">
        <f t="array" ref="F63">INDEX(Data_DBD!$F:$F,$A63)</f>
        <v/>
      </c>
      <c r="H63" s="17" t="n">
        <v>99</v>
      </c>
      <c r="I63" s="17" t="n">
        <v>4</v>
      </c>
      <c r="J63" s="17" t="n">
        <v>2</v>
      </c>
      <c r="K63" s="17" t="n">
        <v>18</v>
      </c>
      <c r="L63" s="17" t="n">
        <v>1</v>
      </c>
      <c r="M63" s="17" t="inlineStr">
        <is>
          <t>Tinggi</t>
        </is>
      </c>
    </row>
    <row r="64" s="1">
      <c r="A64" s="17">
        <f>RANDBETWEEN(2,164)</f>
        <v/>
      </c>
      <c r="B64" s="17">
        <f t="array" ref="B64">INDEX(Data_DBD!$B:$B,$A64)</f>
        <v/>
      </c>
      <c r="C64" s="17">
        <f t="array" ref="C64">INDEX(Data_DBD!$C:$C,$A64)</f>
        <v/>
      </c>
      <c r="D64" s="17">
        <f t="array" ref="D64">INDEX(Data_DBD!$D:$D,$A64)</f>
        <v/>
      </c>
      <c r="E64" s="17">
        <f t="array" ref="E64">INDEX(Data_DBD!$E:$E,$A64)</f>
        <v/>
      </c>
      <c r="F64" s="17">
        <f t="array" ref="F64">INDEX(Data_DBD!$F:$F,$A64)</f>
        <v/>
      </c>
      <c r="H64" s="17" t="n">
        <v>60</v>
      </c>
      <c r="I64" s="17" t="n">
        <v>68</v>
      </c>
      <c r="J64" s="17" t="n">
        <v>4</v>
      </c>
      <c r="K64" s="17" t="n">
        <v>15</v>
      </c>
      <c r="L64" s="17" t="n">
        <v>0</v>
      </c>
      <c r="M64" s="17" t="inlineStr">
        <is>
          <t>Sedang</t>
        </is>
      </c>
    </row>
    <row r="65" s="1">
      <c r="A65" s="17">
        <f>RANDBETWEEN(2,164)</f>
        <v/>
      </c>
      <c r="B65" s="17">
        <f t="array" ref="B65">INDEX(Data_DBD!$B:$B,$A65)</f>
        <v/>
      </c>
      <c r="C65" s="17">
        <f t="array" ref="C65">INDEX(Data_DBD!$C:$C,$A65)</f>
        <v/>
      </c>
      <c r="D65" s="17">
        <f t="array" ref="D65">INDEX(Data_DBD!$D:$D,$A65)</f>
        <v/>
      </c>
      <c r="E65" s="17">
        <f t="array" ref="E65">INDEX(Data_DBD!$E:$E,$A65)</f>
        <v/>
      </c>
      <c r="F65" s="17">
        <f t="array" ref="F65">INDEX(Data_DBD!$F:$F,$A65)</f>
        <v/>
      </c>
      <c r="H65" s="17" t="n">
        <v>141</v>
      </c>
      <c r="I65" s="17" t="n">
        <v>36</v>
      </c>
      <c r="J65" s="17" t="n">
        <v>2</v>
      </c>
      <c r="K65" s="17" t="n">
        <v>21</v>
      </c>
      <c r="L65" s="17" t="n">
        <v>0</v>
      </c>
      <c r="M65" s="17" t="inlineStr">
        <is>
          <t>Tinggi</t>
        </is>
      </c>
    </row>
    <row r="66" s="1">
      <c r="A66" s="17">
        <f>RANDBETWEEN(2,164)</f>
        <v/>
      </c>
      <c r="B66" s="17">
        <f t="array" ref="B66">INDEX(Data_DBD!$B:$B,$A66)</f>
        <v/>
      </c>
      <c r="C66" s="17">
        <f t="array" ref="C66">INDEX(Data_DBD!$C:$C,$A66)</f>
        <v/>
      </c>
      <c r="D66" s="17">
        <f t="array" ref="D66">INDEX(Data_DBD!$D:$D,$A66)</f>
        <v/>
      </c>
      <c r="E66" s="17">
        <f t="array" ref="E66">INDEX(Data_DBD!$E:$E,$A66)</f>
        <v/>
      </c>
      <c r="F66" s="17">
        <f t="array" ref="F66">INDEX(Data_DBD!$F:$F,$A66)</f>
        <v/>
      </c>
      <c r="H66" s="17" t="n">
        <v>128</v>
      </c>
      <c r="I66" s="17" t="n">
        <v>38</v>
      </c>
      <c r="J66" s="17" t="n">
        <v>2</v>
      </c>
      <c r="K66" s="17" t="n">
        <v>33</v>
      </c>
      <c r="L66" s="17" t="n">
        <v>0</v>
      </c>
      <c r="M66" s="17" t="inlineStr">
        <is>
          <t>Tinggi</t>
        </is>
      </c>
    </row>
    <row r="67" s="1">
      <c r="A67" s="17">
        <f>RANDBETWEEN(2,164)</f>
        <v/>
      </c>
      <c r="B67" s="17">
        <f t="array" ref="B67">INDEX(Data_DBD!$B:$B,$A67)</f>
        <v/>
      </c>
      <c r="C67" s="17">
        <f t="array" ref="C67">INDEX(Data_DBD!$C:$C,$A67)</f>
        <v/>
      </c>
      <c r="D67" s="17">
        <f t="array" ref="D67">INDEX(Data_DBD!$D:$D,$A67)</f>
        <v/>
      </c>
      <c r="E67" s="17">
        <f t="array" ref="E67">INDEX(Data_DBD!$E:$E,$A67)</f>
        <v/>
      </c>
      <c r="F67" s="17">
        <f t="array" ref="F67">INDEX(Data_DBD!$F:$F,$A67)</f>
        <v/>
      </c>
      <c r="H67" s="17" t="n">
        <v>89</v>
      </c>
      <c r="I67" s="17" t="n">
        <v>32</v>
      </c>
      <c r="J67" s="17" t="n">
        <v>4</v>
      </c>
      <c r="K67" s="17" t="n">
        <v>13</v>
      </c>
      <c r="L67" s="17" t="n">
        <v>0</v>
      </c>
      <c r="M67" s="17" t="inlineStr">
        <is>
          <t>Sedang</t>
        </is>
      </c>
    </row>
    <row r="68" s="1">
      <c r="A68" s="17">
        <f>RANDBETWEEN(2,164)</f>
        <v/>
      </c>
      <c r="B68" s="17">
        <f t="array" ref="B68">INDEX(Data_DBD!$B:$B,$A68)</f>
        <v/>
      </c>
      <c r="C68" s="17">
        <f t="array" ref="C68">INDEX(Data_DBD!$C:$C,$A68)</f>
        <v/>
      </c>
      <c r="D68" s="17">
        <f t="array" ref="D68">INDEX(Data_DBD!$D:$D,$A68)</f>
        <v/>
      </c>
      <c r="E68" s="17">
        <f t="array" ref="E68">INDEX(Data_DBD!$E:$E,$A68)</f>
        <v/>
      </c>
      <c r="F68" s="17">
        <f t="array" ref="F68">INDEX(Data_DBD!$F:$F,$A68)</f>
        <v/>
      </c>
      <c r="H68" s="17" t="n">
        <v>11</v>
      </c>
      <c r="I68" s="17" t="n">
        <v>24</v>
      </c>
      <c r="J68" s="17" t="n">
        <v>5</v>
      </c>
      <c r="K68" s="17" t="n">
        <v>12</v>
      </c>
      <c r="L68" s="17" t="n">
        <v>1</v>
      </c>
      <c r="M68" s="17" t="inlineStr">
        <is>
          <t>Sedang</t>
        </is>
      </c>
      <c r="U68" s="43" t="n"/>
    </row>
    <row r="69" s="1">
      <c r="A69" s="17">
        <f>RANDBETWEEN(2,164)</f>
        <v/>
      </c>
      <c r="B69" s="17">
        <f t="array" ref="B69">INDEX(Data_DBD!$B:$B,$A69)</f>
        <v/>
      </c>
      <c r="C69" s="17">
        <f t="array" ref="C69">INDEX(Data_DBD!$C:$C,$A69)</f>
        <v/>
      </c>
      <c r="D69" s="17">
        <f t="array" ref="D69">INDEX(Data_DBD!$D:$D,$A69)</f>
        <v/>
      </c>
      <c r="E69" s="17">
        <f t="array" ref="E69">INDEX(Data_DBD!$E:$E,$A69)</f>
        <v/>
      </c>
      <c r="F69" s="17">
        <f t="array" ref="F69">INDEX(Data_DBD!$F:$F,$A69)</f>
        <v/>
      </c>
      <c r="H69" s="17" t="n">
        <v>79</v>
      </c>
      <c r="I69" s="17" t="n">
        <v>29</v>
      </c>
      <c r="J69" s="17" t="n">
        <v>3</v>
      </c>
      <c r="K69" s="17" t="n">
        <v>13</v>
      </c>
      <c r="L69" s="17" t="n">
        <v>0</v>
      </c>
      <c r="M69" s="17" t="inlineStr">
        <is>
          <t>Sedang</t>
        </is>
      </c>
    </row>
    <row r="70" s="1">
      <c r="A70" s="17">
        <f>RANDBETWEEN(2,164)</f>
        <v/>
      </c>
      <c r="B70" s="17">
        <f t="array" ref="B70">INDEX(Data_DBD!$B:$B,$A70)</f>
        <v/>
      </c>
      <c r="C70" s="17">
        <f t="array" ref="C70">INDEX(Data_DBD!$C:$C,$A70)</f>
        <v/>
      </c>
      <c r="D70" s="17">
        <f t="array" ref="D70">INDEX(Data_DBD!$D:$D,$A70)</f>
        <v/>
      </c>
      <c r="E70" s="17">
        <f t="array" ref="E70">INDEX(Data_DBD!$E:$E,$A70)</f>
        <v/>
      </c>
      <c r="F70" s="17">
        <f t="array" ref="F70">INDEX(Data_DBD!$F:$F,$A70)</f>
        <v/>
      </c>
      <c r="H70" s="17" t="n">
        <v>133</v>
      </c>
      <c r="I70" s="17" t="n">
        <v>6</v>
      </c>
      <c r="J70" s="17" t="n">
        <v>4</v>
      </c>
      <c r="K70" s="17" t="n">
        <v>33</v>
      </c>
      <c r="L70" s="17" t="n">
        <v>0</v>
      </c>
      <c r="M70" s="17" t="inlineStr">
        <is>
          <t>Tinggi</t>
        </is>
      </c>
    </row>
    <row r="71" s="1">
      <c r="A71" s="17">
        <f>RANDBETWEEN(2,164)</f>
        <v/>
      </c>
      <c r="B71" s="17">
        <f t="array" ref="B71">INDEX(Data_DBD!$B:$B,$A71)</f>
        <v/>
      </c>
      <c r="C71" s="17">
        <f t="array" ref="C71">INDEX(Data_DBD!$C:$C,$A71)</f>
        <v/>
      </c>
      <c r="D71" s="17">
        <f t="array" ref="D71">INDEX(Data_DBD!$D:$D,$A71)</f>
        <v/>
      </c>
      <c r="E71" s="17">
        <f t="array" ref="E71">INDEX(Data_DBD!$E:$E,$A71)</f>
        <v/>
      </c>
      <c r="F71" s="17">
        <f t="array" ref="F71">INDEX(Data_DBD!$F:$F,$A71)</f>
        <v/>
      </c>
      <c r="H71" s="17" t="n">
        <v>133</v>
      </c>
      <c r="I71" s="17" t="n">
        <v>6</v>
      </c>
      <c r="J71" s="17" t="n">
        <v>4</v>
      </c>
      <c r="K71" s="17" t="n">
        <v>33</v>
      </c>
      <c r="L71" s="17" t="n">
        <v>0</v>
      </c>
      <c r="M71" s="17" t="inlineStr">
        <is>
          <t>Tinggi</t>
        </is>
      </c>
    </row>
    <row r="72" s="1">
      <c r="A72" s="17">
        <f>RANDBETWEEN(2,164)</f>
        <v/>
      </c>
      <c r="B72" s="17">
        <f t="array" ref="B72">INDEX(Data_DBD!$B:$B,$A72)</f>
        <v/>
      </c>
      <c r="C72" s="17">
        <f t="array" ref="C72">INDEX(Data_DBD!$C:$C,$A72)</f>
        <v/>
      </c>
      <c r="D72" s="17">
        <f t="array" ref="D72">INDEX(Data_DBD!$D:$D,$A72)</f>
        <v/>
      </c>
      <c r="E72" s="17">
        <f t="array" ref="E72">INDEX(Data_DBD!$E:$E,$A72)</f>
        <v/>
      </c>
      <c r="F72" s="17">
        <f t="array" ref="F72">INDEX(Data_DBD!$F:$F,$A72)</f>
        <v/>
      </c>
      <c r="H72" s="17" t="n">
        <v>94</v>
      </c>
      <c r="I72" s="17" t="n">
        <v>12</v>
      </c>
      <c r="J72" s="17" t="n">
        <v>4</v>
      </c>
      <c r="K72" s="17" t="n">
        <v>18</v>
      </c>
      <c r="L72" s="17" t="n">
        <v>0</v>
      </c>
      <c r="M72" s="17" t="inlineStr">
        <is>
          <t>Tinggi</t>
        </is>
      </c>
    </row>
    <row r="73" s="1">
      <c r="A73" s="17">
        <f>RANDBETWEEN(2,164)</f>
        <v/>
      </c>
      <c r="B73" s="17">
        <f t="array" ref="B73">INDEX(Data_DBD!$B:$B,$A73)</f>
        <v/>
      </c>
      <c r="C73" s="17">
        <f t="array" ref="C73">INDEX(Data_DBD!$C:$C,$A73)</f>
        <v/>
      </c>
      <c r="D73" s="17">
        <f t="array" ref="D73">INDEX(Data_DBD!$D:$D,$A73)</f>
        <v/>
      </c>
      <c r="E73" s="17">
        <f t="array" ref="E73">INDEX(Data_DBD!$E:$E,$A73)</f>
        <v/>
      </c>
      <c r="F73" s="17">
        <f t="array" ref="F73">INDEX(Data_DBD!$F:$F,$A73)</f>
        <v/>
      </c>
      <c r="H73" s="17" t="n">
        <v>84</v>
      </c>
      <c r="I73" s="17" t="n">
        <v>42</v>
      </c>
      <c r="J73" s="17" t="n">
        <v>4</v>
      </c>
      <c r="K73" s="17" t="n">
        <v>13</v>
      </c>
      <c r="L73" s="17" t="n">
        <v>1</v>
      </c>
      <c r="M73" s="17" t="inlineStr">
        <is>
          <t>Sedang</t>
        </is>
      </c>
    </row>
    <row r="74" s="1">
      <c r="A74" s="17">
        <f>RANDBETWEEN(2,164)</f>
        <v/>
      </c>
      <c r="B74" s="17">
        <f t="array" ref="B74">INDEX(Data_DBD!$B:$B,$A74)</f>
        <v/>
      </c>
      <c r="C74" s="17">
        <f t="array" ref="C74">INDEX(Data_DBD!$C:$C,$A74)</f>
        <v/>
      </c>
      <c r="D74" s="17">
        <f t="array" ref="D74">INDEX(Data_DBD!$D:$D,$A74)</f>
        <v/>
      </c>
      <c r="E74" s="17">
        <f t="array" ref="E74">INDEX(Data_DBD!$E:$E,$A74)</f>
        <v/>
      </c>
      <c r="F74" s="17">
        <f t="array" ref="F74">INDEX(Data_DBD!$F:$F,$A74)</f>
        <v/>
      </c>
      <c r="H74" s="17" t="n">
        <v>33</v>
      </c>
      <c r="I74" s="17" t="n">
        <v>19</v>
      </c>
      <c r="J74" s="17" t="n">
        <v>4</v>
      </c>
      <c r="K74" s="17" t="n">
        <v>14</v>
      </c>
      <c r="L74" s="17" t="n">
        <v>1</v>
      </c>
      <c r="M74" s="17" t="inlineStr">
        <is>
          <t>Sedang</t>
        </is>
      </c>
    </row>
    <row r="75" s="1">
      <c r="A75" s="17">
        <f>RANDBETWEEN(2,164)</f>
        <v/>
      </c>
      <c r="B75" s="17">
        <f t="array" ref="B75">INDEX(Data_DBD!$B:$B,$A75)</f>
        <v/>
      </c>
      <c r="C75" s="17">
        <f t="array" ref="C75">INDEX(Data_DBD!$C:$C,$A75)</f>
        <v/>
      </c>
      <c r="D75" s="17">
        <f t="array" ref="D75">INDEX(Data_DBD!$D:$D,$A75)</f>
        <v/>
      </c>
      <c r="E75" s="17">
        <f t="array" ref="E75">INDEX(Data_DBD!$E:$E,$A75)</f>
        <v/>
      </c>
      <c r="F75" s="17">
        <f t="array" ref="F75">INDEX(Data_DBD!$F:$F,$A75)</f>
        <v/>
      </c>
      <c r="H75" s="17" t="n">
        <v>114</v>
      </c>
      <c r="I75" s="17" t="n">
        <v>14</v>
      </c>
      <c r="J75" s="17" t="n">
        <v>2</v>
      </c>
      <c r="K75" s="17" t="n">
        <v>33</v>
      </c>
      <c r="L75" s="17" t="n">
        <v>1</v>
      </c>
      <c r="M75" s="17" t="inlineStr">
        <is>
          <t>Tinggi</t>
        </is>
      </c>
    </row>
    <row r="76" s="1">
      <c r="A76" s="17">
        <f>RANDBETWEEN(2,164)</f>
        <v/>
      </c>
      <c r="B76" s="17">
        <f t="array" ref="B76">INDEX(Data_DBD!$B:$B,$A76)</f>
        <v/>
      </c>
      <c r="C76" s="17">
        <f t="array" ref="C76">INDEX(Data_DBD!$C:$C,$A76)</f>
        <v/>
      </c>
      <c r="D76" s="17">
        <f t="array" ref="D76">INDEX(Data_DBD!$D:$D,$A76)</f>
        <v/>
      </c>
      <c r="E76" s="17">
        <f t="array" ref="E76">INDEX(Data_DBD!$E:$E,$A76)</f>
        <v/>
      </c>
      <c r="F76" s="17">
        <f t="array" ref="F76">INDEX(Data_DBD!$F:$F,$A76)</f>
        <v/>
      </c>
      <c r="H76" s="17" t="n">
        <v>77</v>
      </c>
      <c r="I76" s="17" t="n">
        <v>16</v>
      </c>
      <c r="J76" s="17" t="n">
        <v>4</v>
      </c>
      <c r="K76" s="17" t="n">
        <v>13</v>
      </c>
      <c r="L76" s="17" t="n">
        <v>1</v>
      </c>
      <c r="M76" s="17" t="inlineStr">
        <is>
          <t>Sedang</t>
        </is>
      </c>
    </row>
    <row r="77" s="1">
      <c r="A77" s="17">
        <f>RANDBETWEEN(2,164)</f>
        <v/>
      </c>
      <c r="B77" s="17">
        <f t="array" ref="B77">INDEX(Data_DBD!$B:$B,$A77)</f>
        <v/>
      </c>
      <c r="C77" s="17">
        <f t="array" ref="C77">INDEX(Data_DBD!$C:$C,$A77)</f>
        <v/>
      </c>
      <c r="D77" s="17">
        <f t="array" ref="D77">INDEX(Data_DBD!$D:$D,$A77)</f>
        <v/>
      </c>
      <c r="E77" s="17">
        <f t="array" ref="E77">INDEX(Data_DBD!$E:$E,$A77)</f>
        <v/>
      </c>
      <c r="F77" s="17">
        <f t="array" ref="F77">INDEX(Data_DBD!$F:$F,$A77)</f>
        <v/>
      </c>
      <c r="H77" s="17" t="n">
        <v>114</v>
      </c>
      <c r="I77" s="17" t="n">
        <v>14</v>
      </c>
      <c r="J77" s="17" t="n">
        <v>2</v>
      </c>
      <c r="K77" s="17" t="n">
        <v>33</v>
      </c>
      <c r="L77" s="17" t="n">
        <v>1</v>
      </c>
      <c r="M77" s="17" t="inlineStr">
        <is>
          <t>Tinggi</t>
        </is>
      </c>
    </row>
    <row r="78" s="1">
      <c r="A78" s="17">
        <f>RANDBETWEEN(2,164)</f>
        <v/>
      </c>
      <c r="B78" s="17">
        <f t="array" ref="B78">INDEX(Data_DBD!$B:$B,$A78)</f>
        <v/>
      </c>
      <c r="C78" s="17">
        <f t="array" ref="C78">INDEX(Data_DBD!$C:$C,$A78)</f>
        <v/>
      </c>
      <c r="D78" s="17">
        <f t="array" ref="D78">INDEX(Data_DBD!$D:$D,$A78)</f>
        <v/>
      </c>
      <c r="E78" s="17">
        <f t="array" ref="E78">INDEX(Data_DBD!$E:$E,$A78)</f>
        <v/>
      </c>
      <c r="F78" s="17">
        <f t="array" ref="F78">INDEX(Data_DBD!$F:$F,$A78)</f>
        <v/>
      </c>
      <c r="H78" s="17" t="n">
        <v>102</v>
      </c>
      <c r="I78" s="17" t="n">
        <v>41</v>
      </c>
      <c r="J78" s="17" t="n">
        <v>4</v>
      </c>
      <c r="K78" s="17" t="n">
        <v>18</v>
      </c>
      <c r="L78" s="17" t="n">
        <v>0</v>
      </c>
      <c r="M78" s="17" t="inlineStr">
        <is>
          <t>Tinggi</t>
        </is>
      </c>
    </row>
    <row r="79" s="1">
      <c r="A79" s="17">
        <f>RANDBETWEEN(2,164)</f>
        <v/>
      </c>
      <c r="B79" s="17">
        <f t="array" ref="B79">INDEX(Data_DBD!$B:$B,$A79)</f>
        <v/>
      </c>
      <c r="C79" s="17">
        <f t="array" ref="C79">INDEX(Data_DBD!$C:$C,$A79)</f>
        <v/>
      </c>
      <c r="D79" s="17">
        <f t="array" ref="D79">INDEX(Data_DBD!$D:$D,$A79)</f>
        <v/>
      </c>
      <c r="E79" s="17">
        <f t="array" ref="E79">INDEX(Data_DBD!$E:$E,$A79)</f>
        <v/>
      </c>
      <c r="F79" s="17">
        <f t="array" ref="F79">INDEX(Data_DBD!$F:$F,$A79)</f>
        <v/>
      </c>
      <c r="H79" s="17" t="n">
        <v>3</v>
      </c>
      <c r="I79" s="17" t="n">
        <v>43</v>
      </c>
      <c r="J79" s="17" t="n">
        <v>3</v>
      </c>
      <c r="K79" s="17" t="n">
        <v>12</v>
      </c>
      <c r="L79" s="17" t="n">
        <v>1</v>
      </c>
      <c r="M79" s="17" t="inlineStr">
        <is>
          <t>Sedang</t>
        </is>
      </c>
    </row>
    <row r="80" s="1">
      <c r="A80" s="17">
        <f>RANDBETWEEN(2,164)</f>
        <v/>
      </c>
      <c r="B80" s="17">
        <f t="array" ref="B80">INDEX(Data_DBD!$B:$B,$A80)</f>
        <v/>
      </c>
      <c r="C80" s="17">
        <f t="array" ref="C80">INDEX(Data_DBD!$C:$C,$A80)</f>
        <v/>
      </c>
      <c r="D80" s="17">
        <f t="array" ref="D80">INDEX(Data_DBD!$D:$D,$A80)</f>
        <v/>
      </c>
      <c r="E80" s="17">
        <f t="array" ref="E80">INDEX(Data_DBD!$E:$E,$A80)</f>
        <v/>
      </c>
      <c r="F80" s="17">
        <f t="array" ref="F80">INDEX(Data_DBD!$F:$F,$A80)</f>
        <v/>
      </c>
      <c r="H80" s="17" t="n">
        <v>72</v>
      </c>
      <c r="I80" s="17" t="n">
        <v>3</v>
      </c>
      <c r="J80" s="17" t="n">
        <v>5</v>
      </c>
      <c r="K80" s="17" t="n">
        <v>10</v>
      </c>
      <c r="L80" s="17" t="n">
        <v>1</v>
      </c>
      <c r="M80" s="17" t="inlineStr">
        <is>
          <t>Sedang</t>
        </is>
      </c>
    </row>
    <row r="81" s="1">
      <c r="A81" s="17">
        <f>RANDBETWEEN(2,164)</f>
        <v/>
      </c>
      <c r="B81" s="17">
        <f t="array" ref="B81">INDEX(Data_DBD!$B:$B,$A81)</f>
        <v/>
      </c>
      <c r="C81" s="17">
        <f t="array" ref="C81">INDEX(Data_DBD!$C:$C,$A81)</f>
        <v/>
      </c>
      <c r="D81" s="17">
        <f t="array" ref="D81">INDEX(Data_DBD!$D:$D,$A81)</f>
        <v/>
      </c>
      <c r="E81" s="17">
        <f t="array" ref="E81">INDEX(Data_DBD!$E:$E,$A81)</f>
        <v/>
      </c>
      <c r="F81" s="17">
        <f t="array" ref="F81">INDEX(Data_DBD!$F:$F,$A81)</f>
        <v/>
      </c>
      <c r="H81" s="17" t="n">
        <v>92</v>
      </c>
      <c r="I81" s="17" t="n">
        <v>55</v>
      </c>
      <c r="J81" s="17" t="n">
        <v>7</v>
      </c>
      <c r="K81" s="17" t="n">
        <v>18</v>
      </c>
      <c r="L81" s="17" t="n">
        <v>0</v>
      </c>
      <c r="M81" s="17" t="inlineStr">
        <is>
          <t>Tinggi</t>
        </is>
      </c>
    </row>
    <row r="82" s="1">
      <c r="A82" s="17">
        <f>RANDBETWEEN(2,164)</f>
        <v/>
      </c>
      <c r="B82" s="17">
        <f t="array" ref="B82">INDEX(Data_DBD!$B:$B,$A82)</f>
        <v/>
      </c>
      <c r="C82" s="17">
        <f t="array" ref="C82">INDEX(Data_DBD!$C:$C,$A82)</f>
        <v/>
      </c>
      <c r="D82" s="17">
        <f t="array" ref="D82">INDEX(Data_DBD!$D:$D,$A82)</f>
        <v/>
      </c>
      <c r="E82" s="17">
        <f t="array" ref="E82">INDEX(Data_DBD!$E:$E,$A82)</f>
        <v/>
      </c>
      <c r="F82" s="17">
        <f t="array" ref="F82">INDEX(Data_DBD!$F:$F,$A82)</f>
        <v/>
      </c>
      <c r="H82" s="17" t="n">
        <v>65</v>
      </c>
      <c r="I82" s="17" t="n">
        <v>49</v>
      </c>
      <c r="J82" s="17" t="n">
        <v>3</v>
      </c>
      <c r="K82" s="17" t="n">
        <v>15</v>
      </c>
      <c r="L82" s="17" t="n">
        <v>0</v>
      </c>
      <c r="M82" s="17" t="inlineStr">
        <is>
          <t>Sedang</t>
        </is>
      </c>
    </row>
    <row r="83" s="1">
      <c r="A83" s="17">
        <f>RANDBETWEEN(2,164)</f>
        <v/>
      </c>
      <c r="B83" s="17">
        <f t="array" ref="B83">INDEX(Data_DBD!$B:$B,$A83)</f>
        <v/>
      </c>
      <c r="C83" s="17">
        <f t="array" ref="C83">INDEX(Data_DBD!$C:$C,$A83)</f>
        <v/>
      </c>
      <c r="D83" s="17">
        <f t="array" ref="D83">INDEX(Data_DBD!$D:$D,$A83)</f>
        <v/>
      </c>
      <c r="E83" s="17">
        <f t="array" ref="E83">INDEX(Data_DBD!$E:$E,$A83)</f>
        <v/>
      </c>
      <c r="F83" s="17">
        <f t="array" ref="F83">INDEX(Data_DBD!$F:$F,$A83)</f>
        <v/>
      </c>
      <c r="H83" s="17" t="n">
        <v>90</v>
      </c>
      <c r="I83" s="17" t="n">
        <v>47</v>
      </c>
      <c r="J83" s="17" t="n">
        <v>3</v>
      </c>
      <c r="K83" s="17" t="n">
        <v>18</v>
      </c>
      <c r="L83" s="17" t="n">
        <v>0</v>
      </c>
      <c r="M83" s="17" t="inlineStr">
        <is>
          <t>Tinggi</t>
        </is>
      </c>
    </row>
    <row r="84" s="1">
      <c r="A84" s="17">
        <f>RANDBETWEEN(2,164)</f>
        <v/>
      </c>
      <c r="B84" s="17">
        <f t="array" ref="B84">INDEX(Data_DBD!$B:$B,$A84)</f>
        <v/>
      </c>
      <c r="C84" s="17">
        <f t="array" ref="C84">INDEX(Data_DBD!$C:$C,$A84)</f>
        <v/>
      </c>
      <c r="D84" s="17">
        <f t="array" ref="D84">INDEX(Data_DBD!$D:$D,$A84)</f>
        <v/>
      </c>
      <c r="E84" s="17">
        <f t="array" ref="E84">INDEX(Data_DBD!$E:$E,$A84)</f>
        <v/>
      </c>
      <c r="F84" s="17">
        <f t="array" ref="F84">INDEX(Data_DBD!$F:$F,$A84)</f>
        <v/>
      </c>
      <c r="H84" s="17" t="n">
        <v>93</v>
      </c>
      <c r="I84" s="17" t="n">
        <v>65</v>
      </c>
      <c r="J84" s="17" t="n">
        <v>4</v>
      </c>
      <c r="K84" s="17" t="n">
        <v>18</v>
      </c>
      <c r="L84" s="17" t="n">
        <v>0</v>
      </c>
      <c r="M84" s="17" t="inlineStr">
        <is>
          <t>Tinggi</t>
        </is>
      </c>
    </row>
    <row r="85" s="1">
      <c r="A85" s="17">
        <f>RANDBETWEEN(2,164)</f>
        <v/>
      </c>
      <c r="B85" s="17">
        <f t="array" ref="B85">INDEX(Data_DBD!$B:$B,$A85)</f>
        <v/>
      </c>
      <c r="C85" s="17">
        <f t="array" ref="C85">INDEX(Data_DBD!$C:$C,$A85)</f>
        <v/>
      </c>
      <c r="D85" s="17">
        <f t="array" ref="D85">INDEX(Data_DBD!$D:$D,$A85)</f>
        <v/>
      </c>
      <c r="E85" s="17">
        <f t="array" ref="E85">INDEX(Data_DBD!$E:$E,$A85)</f>
        <v/>
      </c>
      <c r="F85" s="17">
        <f t="array" ref="F85">INDEX(Data_DBD!$F:$F,$A85)</f>
        <v/>
      </c>
      <c r="H85" s="17" t="n">
        <v>16</v>
      </c>
      <c r="I85" s="17" t="n">
        <v>66</v>
      </c>
      <c r="J85" s="17" t="n">
        <v>5</v>
      </c>
      <c r="K85" s="17" t="n">
        <v>7</v>
      </c>
      <c r="L85" s="17" t="n">
        <v>1</v>
      </c>
      <c r="M85" s="17" t="inlineStr">
        <is>
          <t>Rendah</t>
        </is>
      </c>
    </row>
    <row r="86" s="1">
      <c r="A86" s="17">
        <f>RANDBETWEEN(2,164)</f>
        <v/>
      </c>
      <c r="B86" s="17">
        <f t="array" ref="B86">INDEX(Data_DBD!$B:$B,$A86)</f>
        <v/>
      </c>
      <c r="C86" s="17">
        <f t="array" ref="C86">INDEX(Data_DBD!$C:$C,$A86)</f>
        <v/>
      </c>
      <c r="D86" s="17">
        <f t="array" ref="D86">INDEX(Data_DBD!$D:$D,$A86)</f>
        <v/>
      </c>
      <c r="E86" s="17">
        <f t="array" ref="E86">INDEX(Data_DBD!$E:$E,$A86)</f>
        <v/>
      </c>
      <c r="F86" s="17">
        <f t="array" ref="F86">INDEX(Data_DBD!$F:$F,$A86)</f>
        <v/>
      </c>
      <c r="H86" s="17" t="n">
        <v>146</v>
      </c>
      <c r="I86" s="17" t="n">
        <v>34</v>
      </c>
      <c r="J86" s="17" t="n">
        <v>2</v>
      </c>
      <c r="K86" s="17" t="n">
        <v>21</v>
      </c>
      <c r="L86" s="17" t="n">
        <v>1</v>
      </c>
      <c r="M86" s="17" t="inlineStr">
        <is>
          <t>Tinggi</t>
        </is>
      </c>
    </row>
    <row r="87" s="1">
      <c r="A87" s="17">
        <f>RANDBETWEEN(2,164)</f>
        <v/>
      </c>
      <c r="B87" s="17">
        <f t="array" ref="B87">INDEX(Data_DBD!$B:$B,$A87)</f>
        <v/>
      </c>
      <c r="C87" s="17">
        <f t="array" ref="C87">INDEX(Data_DBD!$C:$C,$A87)</f>
        <v/>
      </c>
      <c r="D87" s="17">
        <f t="array" ref="D87">INDEX(Data_DBD!$D:$D,$A87)</f>
        <v/>
      </c>
      <c r="E87" s="17">
        <f t="array" ref="E87">INDEX(Data_DBD!$E:$E,$A87)</f>
        <v/>
      </c>
      <c r="F87" s="17">
        <f t="array" ref="F87">INDEX(Data_DBD!$F:$F,$A87)</f>
        <v/>
      </c>
      <c r="H87" s="17" t="n">
        <v>10</v>
      </c>
      <c r="I87" s="17" t="n">
        <v>18</v>
      </c>
      <c r="J87" s="17" t="n">
        <v>5</v>
      </c>
      <c r="K87" s="17" t="n">
        <v>12</v>
      </c>
      <c r="L87" s="17" t="n">
        <v>0</v>
      </c>
      <c r="M87" s="17" t="inlineStr">
        <is>
          <t>Sedang</t>
        </is>
      </c>
    </row>
    <row r="88" s="1">
      <c r="A88" s="17">
        <f>RANDBETWEEN(2,164)</f>
        <v/>
      </c>
      <c r="B88" s="17">
        <f t="array" ref="B88">INDEX(Data_DBD!$B:$B,$A88)</f>
        <v/>
      </c>
      <c r="C88" s="17">
        <f t="array" ref="C88">INDEX(Data_DBD!$C:$C,$A88)</f>
        <v/>
      </c>
      <c r="D88" s="17">
        <f t="array" ref="D88">INDEX(Data_DBD!$D:$D,$A88)</f>
        <v/>
      </c>
      <c r="E88" s="17">
        <f t="array" ref="E88">INDEX(Data_DBD!$E:$E,$A88)</f>
        <v/>
      </c>
      <c r="F88" s="17">
        <f t="array" ref="F88">INDEX(Data_DBD!$F:$F,$A88)</f>
        <v/>
      </c>
      <c r="H88" s="17" t="n">
        <v>116</v>
      </c>
      <c r="I88" s="17" t="n">
        <v>32</v>
      </c>
      <c r="J88" s="17" t="n">
        <v>4</v>
      </c>
      <c r="K88" s="17" t="n">
        <v>33</v>
      </c>
      <c r="L88" s="17" t="n">
        <v>1</v>
      </c>
      <c r="M88" s="17" t="inlineStr">
        <is>
          <t>Tinggi</t>
        </is>
      </c>
    </row>
    <row r="89" s="1">
      <c r="A89" s="17">
        <f>RANDBETWEEN(2,164)</f>
        <v/>
      </c>
      <c r="B89" s="17">
        <f t="array" ref="B89">INDEX(Data_DBD!$B:$B,$A89)</f>
        <v/>
      </c>
      <c r="C89" s="17">
        <f t="array" ref="C89">INDEX(Data_DBD!$C:$C,$A89)</f>
        <v/>
      </c>
      <c r="D89" s="17">
        <f t="array" ref="D89">INDEX(Data_DBD!$D:$D,$A89)</f>
        <v/>
      </c>
      <c r="E89" s="17">
        <f t="array" ref="E89">INDEX(Data_DBD!$E:$E,$A89)</f>
        <v/>
      </c>
      <c r="F89" s="17">
        <f t="array" ref="F89">INDEX(Data_DBD!$F:$F,$A89)</f>
        <v/>
      </c>
      <c r="H89" s="17" t="n">
        <v>144</v>
      </c>
      <c r="I89" s="17" t="n">
        <v>61</v>
      </c>
      <c r="J89" s="17" t="n">
        <v>4</v>
      </c>
      <c r="K89" s="17" t="n">
        <v>21</v>
      </c>
      <c r="L89" s="17" t="n">
        <v>1</v>
      </c>
      <c r="M89" s="17" t="inlineStr">
        <is>
          <t>Tinggi</t>
        </is>
      </c>
    </row>
    <row r="90" s="1">
      <c r="A90" s="17">
        <f>RANDBETWEEN(2,164)</f>
        <v/>
      </c>
      <c r="B90" s="17">
        <f t="array" ref="B90">INDEX(Data_DBD!$B:$B,$A90)</f>
        <v/>
      </c>
      <c r="C90" s="17">
        <f t="array" ref="C90">INDEX(Data_DBD!$C:$C,$A90)</f>
        <v/>
      </c>
      <c r="D90" s="17">
        <f t="array" ref="D90">INDEX(Data_DBD!$D:$D,$A90)</f>
        <v/>
      </c>
      <c r="E90" s="17">
        <f t="array" ref="E90">INDEX(Data_DBD!$E:$E,$A90)</f>
        <v/>
      </c>
      <c r="F90" s="17">
        <f t="array" ref="F90">INDEX(Data_DBD!$F:$F,$A90)</f>
        <v/>
      </c>
      <c r="H90" s="17" t="n">
        <v>45</v>
      </c>
      <c r="I90" s="17" t="n">
        <v>75</v>
      </c>
      <c r="J90" s="17" t="n">
        <v>3</v>
      </c>
      <c r="K90" s="17" t="n">
        <v>13</v>
      </c>
      <c r="L90" s="17" t="n">
        <v>1</v>
      </c>
      <c r="M90" s="17" t="inlineStr">
        <is>
          <t>Sedang</t>
        </is>
      </c>
    </row>
    <row r="91" s="1">
      <c r="A91" s="17">
        <f>RANDBETWEEN(2,164)</f>
        <v/>
      </c>
      <c r="B91" s="17">
        <f t="array" ref="B91">INDEX(Data_DBD!$B:$B,$A91)</f>
        <v/>
      </c>
      <c r="C91" s="17">
        <f t="array" ref="C91">INDEX(Data_DBD!$C:$C,$A91)</f>
        <v/>
      </c>
      <c r="D91" s="17">
        <f t="array" ref="D91">INDEX(Data_DBD!$D:$D,$A91)</f>
        <v/>
      </c>
      <c r="E91" s="17">
        <f t="array" ref="E91">INDEX(Data_DBD!$E:$E,$A91)</f>
        <v/>
      </c>
      <c r="F91" s="17">
        <f t="array" ref="F91">INDEX(Data_DBD!$F:$F,$A91)</f>
        <v/>
      </c>
      <c r="H91" s="17" t="n">
        <v>66</v>
      </c>
      <c r="I91" s="17" t="n">
        <v>21</v>
      </c>
      <c r="J91" s="17" t="n">
        <v>5</v>
      </c>
      <c r="K91" s="17" t="n">
        <v>15</v>
      </c>
      <c r="L91" s="17" t="n">
        <v>1</v>
      </c>
      <c r="M91" s="17" t="inlineStr">
        <is>
          <t>Sedang</t>
        </is>
      </c>
    </row>
    <row r="92" s="1">
      <c r="A92" s="17">
        <f>RANDBETWEEN(2,164)</f>
        <v/>
      </c>
      <c r="B92" s="17">
        <f t="array" ref="B92">INDEX(Data_DBD!$B:$B,$A92)</f>
        <v/>
      </c>
      <c r="C92" s="17">
        <f t="array" ref="C92">INDEX(Data_DBD!$C:$C,$A92)</f>
        <v/>
      </c>
      <c r="D92" s="17">
        <f t="array" ref="D92">INDEX(Data_DBD!$D:$D,$A92)</f>
        <v/>
      </c>
      <c r="E92" s="17">
        <f t="array" ref="E92">INDEX(Data_DBD!$E:$E,$A92)</f>
        <v/>
      </c>
      <c r="F92" s="17">
        <f t="array" ref="F92">INDEX(Data_DBD!$F:$F,$A92)</f>
        <v/>
      </c>
      <c r="H92" s="17" t="n">
        <v>41</v>
      </c>
      <c r="I92" s="17" t="n">
        <v>8</v>
      </c>
      <c r="J92" s="17" t="n">
        <v>4</v>
      </c>
      <c r="K92" s="17" t="n">
        <v>13</v>
      </c>
      <c r="L92" s="17" t="n">
        <v>0</v>
      </c>
      <c r="M92" s="17" t="inlineStr">
        <is>
          <t>Sedang</t>
        </is>
      </c>
    </row>
    <row r="93" s="1">
      <c r="A93" s="17">
        <f>RANDBETWEEN(2,164)</f>
        <v/>
      </c>
      <c r="B93" s="17">
        <f t="array" ref="B93">INDEX(Data_DBD!$B:$B,$A93)</f>
        <v/>
      </c>
      <c r="C93" s="17">
        <f t="array" ref="C93">INDEX(Data_DBD!$C:$C,$A93)</f>
        <v/>
      </c>
      <c r="D93" s="17">
        <f t="array" ref="D93">INDEX(Data_DBD!$D:$D,$A93)</f>
        <v/>
      </c>
      <c r="E93" s="17">
        <f t="array" ref="E93">INDEX(Data_DBD!$E:$E,$A93)</f>
        <v/>
      </c>
      <c r="F93" s="17">
        <f t="array" ref="F93">INDEX(Data_DBD!$F:$F,$A93)</f>
        <v/>
      </c>
      <c r="H93" s="17" t="n">
        <v>83</v>
      </c>
      <c r="I93" s="17" t="n">
        <v>50</v>
      </c>
      <c r="J93" s="17" t="n">
        <v>3</v>
      </c>
      <c r="K93" s="17" t="n">
        <v>13</v>
      </c>
      <c r="L93" s="17" t="n">
        <v>0</v>
      </c>
      <c r="M93" s="17" t="inlineStr">
        <is>
          <t>Sedang</t>
        </is>
      </c>
    </row>
    <row r="94" s="1">
      <c r="A94" s="17">
        <f>RANDBETWEEN(2,164)</f>
        <v/>
      </c>
      <c r="B94" s="17">
        <f t="array" ref="B94">INDEX(Data_DBD!$B:$B,$A94)</f>
        <v/>
      </c>
      <c r="C94" s="17">
        <f t="array" ref="C94">INDEX(Data_DBD!$C:$C,$A94)</f>
        <v/>
      </c>
      <c r="D94" s="17">
        <f t="array" ref="D94">INDEX(Data_DBD!$D:$D,$A94)</f>
        <v/>
      </c>
      <c r="E94" s="17">
        <f t="array" ref="E94">INDEX(Data_DBD!$E:$E,$A94)</f>
        <v/>
      </c>
      <c r="F94" s="17">
        <f t="array" ref="F94">INDEX(Data_DBD!$F:$F,$A94)</f>
        <v/>
      </c>
      <c r="H94" s="17" t="n">
        <v>82</v>
      </c>
      <c r="I94" s="17" t="n">
        <v>28</v>
      </c>
      <c r="J94" s="17" t="n">
        <v>3</v>
      </c>
      <c r="K94" s="17" t="n">
        <v>13</v>
      </c>
      <c r="L94" s="17" t="n">
        <v>1</v>
      </c>
      <c r="M94" s="17" t="inlineStr">
        <is>
          <t>Sedang</t>
        </is>
      </c>
    </row>
    <row r="95" s="1">
      <c r="A95" s="17">
        <f>RANDBETWEEN(2,164)</f>
        <v/>
      </c>
      <c r="B95" s="17">
        <f t="array" ref="B95">INDEX(Data_DBD!$B:$B,$A95)</f>
        <v/>
      </c>
      <c r="C95" s="17">
        <f t="array" ref="C95">INDEX(Data_DBD!$C:$C,$A95)</f>
        <v/>
      </c>
      <c r="D95" s="17">
        <f t="array" ref="D95">INDEX(Data_DBD!$D:$D,$A95)</f>
        <v/>
      </c>
      <c r="E95" s="17">
        <f t="array" ref="E95">INDEX(Data_DBD!$E:$E,$A95)</f>
        <v/>
      </c>
      <c r="F95" s="17">
        <f t="array" ref="F95">INDEX(Data_DBD!$F:$F,$A95)</f>
        <v/>
      </c>
      <c r="H95" s="17" t="n">
        <v>121</v>
      </c>
      <c r="I95" s="17" t="n">
        <v>82</v>
      </c>
      <c r="J95" s="17" t="n">
        <v>5</v>
      </c>
      <c r="K95" s="17" t="n">
        <v>33</v>
      </c>
      <c r="L95" s="17" t="n">
        <v>1</v>
      </c>
      <c r="M95" s="17" t="inlineStr">
        <is>
          <t>Tinggi</t>
        </is>
      </c>
    </row>
    <row r="96" s="1">
      <c r="A96" s="17">
        <f>RANDBETWEEN(2,164)</f>
        <v/>
      </c>
      <c r="B96" s="17">
        <f t="array" ref="B96">INDEX(Data_DBD!$B:$B,$A96)</f>
        <v/>
      </c>
      <c r="C96" s="17">
        <f t="array" ref="C96">INDEX(Data_DBD!$C:$C,$A96)</f>
        <v/>
      </c>
      <c r="D96" s="17">
        <f t="array" ref="D96">INDEX(Data_DBD!$D:$D,$A96)</f>
        <v/>
      </c>
      <c r="E96" s="17">
        <f t="array" ref="E96">INDEX(Data_DBD!$E:$E,$A96)</f>
        <v/>
      </c>
      <c r="F96" s="17">
        <f t="array" ref="F96">INDEX(Data_DBD!$F:$F,$A96)</f>
        <v/>
      </c>
      <c r="H96" s="17" t="n">
        <v>51</v>
      </c>
      <c r="I96" s="17" t="n">
        <v>48</v>
      </c>
      <c r="J96" s="17" t="n">
        <v>4</v>
      </c>
      <c r="K96" s="17" t="n">
        <v>13</v>
      </c>
      <c r="L96" s="17" t="n">
        <v>0</v>
      </c>
      <c r="M96" s="17" t="inlineStr">
        <is>
          <t>Sedang</t>
        </is>
      </c>
    </row>
    <row r="97" s="1">
      <c r="A97" s="17">
        <f>RANDBETWEEN(2,164)</f>
        <v/>
      </c>
      <c r="B97" s="17">
        <f t="array" ref="B97">INDEX(Data_DBD!$B:$B,$A97)</f>
        <v/>
      </c>
      <c r="C97" s="17">
        <f t="array" ref="C97">INDEX(Data_DBD!$C:$C,$A97)</f>
        <v/>
      </c>
      <c r="D97" s="17">
        <f t="array" ref="D97">INDEX(Data_DBD!$D:$D,$A97)</f>
        <v/>
      </c>
      <c r="E97" s="17">
        <f t="array" ref="E97">INDEX(Data_DBD!$E:$E,$A97)</f>
        <v/>
      </c>
      <c r="F97" s="17">
        <f t="array" ref="F97">INDEX(Data_DBD!$F:$F,$A97)</f>
        <v/>
      </c>
      <c r="H97" s="17" t="n">
        <v>126</v>
      </c>
      <c r="I97" s="17" t="n">
        <v>51</v>
      </c>
      <c r="J97" s="17" t="n">
        <v>3</v>
      </c>
      <c r="K97" s="17" t="n">
        <v>33</v>
      </c>
      <c r="L97" s="17" t="n">
        <v>1</v>
      </c>
      <c r="M97" s="17" t="inlineStr">
        <is>
          <t>Tinggi</t>
        </is>
      </c>
    </row>
    <row r="98" s="1">
      <c r="A98" s="17">
        <f>RANDBETWEEN(2,164)</f>
        <v/>
      </c>
      <c r="B98" s="17">
        <f t="array" ref="B98">INDEX(Data_DBD!$B:$B,$A98)</f>
        <v/>
      </c>
      <c r="C98" s="17">
        <f t="array" ref="C98">INDEX(Data_DBD!$C:$C,$A98)</f>
        <v/>
      </c>
      <c r="D98" s="17">
        <f t="array" ref="D98">INDEX(Data_DBD!$D:$D,$A98)</f>
        <v/>
      </c>
      <c r="E98" s="17">
        <f t="array" ref="E98">INDEX(Data_DBD!$E:$E,$A98)</f>
        <v/>
      </c>
      <c r="F98" s="17">
        <f t="array" ref="F98">INDEX(Data_DBD!$F:$F,$A98)</f>
        <v/>
      </c>
      <c r="H98" s="17" t="n">
        <v>125</v>
      </c>
      <c r="I98" s="17" t="n">
        <v>39</v>
      </c>
      <c r="J98" s="17" t="n">
        <v>4</v>
      </c>
      <c r="K98" s="17" t="n">
        <v>33</v>
      </c>
      <c r="L98" s="17" t="n">
        <v>0</v>
      </c>
      <c r="M98" s="17" t="inlineStr">
        <is>
          <t>Tinggi</t>
        </is>
      </c>
    </row>
    <row r="99" s="1">
      <c r="A99" s="17">
        <f>RANDBETWEEN(2,164)</f>
        <v/>
      </c>
      <c r="B99" s="17">
        <f t="array" ref="B99">INDEX(Data_DBD!$B:$B,$A99)</f>
        <v/>
      </c>
      <c r="C99" s="17">
        <f t="array" ref="C99">INDEX(Data_DBD!$C:$C,$A99)</f>
        <v/>
      </c>
      <c r="D99" s="17">
        <f t="array" ref="D99">INDEX(Data_DBD!$D:$D,$A99)</f>
        <v/>
      </c>
      <c r="E99" s="17">
        <f t="array" ref="E99">INDEX(Data_DBD!$E:$E,$A99)</f>
        <v/>
      </c>
      <c r="F99" s="17">
        <f t="array" ref="F99">INDEX(Data_DBD!$F:$F,$A99)</f>
        <v/>
      </c>
      <c r="H99" s="17" t="n">
        <v>39</v>
      </c>
      <c r="I99" s="17" t="n">
        <v>12</v>
      </c>
      <c r="J99" s="17" t="n">
        <v>5</v>
      </c>
      <c r="K99" s="17" t="n">
        <v>13</v>
      </c>
      <c r="L99" s="17" t="n">
        <v>1</v>
      </c>
      <c r="M99" s="17" t="inlineStr">
        <is>
          <t>Sedang</t>
        </is>
      </c>
    </row>
    <row r="100" s="1">
      <c r="A100" s="17">
        <f>RANDBETWEEN(2,164)</f>
        <v/>
      </c>
      <c r="B100" s="17">
        <f t="array" ref="B100">INDEX(Data_DBD!$B:$B,$A100)</f>
        <v/>
      </c>
      <c r="C100" s="17">
        <f t="array" ref="C100">INDEX(Data_DBD!$C:$C,$A100)</f>
        <v/>
      </c>
      <c r="D100" s="17">
        <f t="array" ref="D100">INDEX(Data_DBD!$D:$D,$A100)</f>
        <v/>
      </c>
      <c r="E100" s="17">
        <f t="array" ref="E100">INDEX(Data_DBD!$E:$E,$A100)</f>
        <v/>
      </c>
      <c r="F100" s="17">
        <f t="array" ref="F100">INDEX(Data_DBD!$F:$F,$A100)</f>
        <v/>
      </c>
      <c r="H100" s="17" t="n">
        <v>8</v>
      </c>
      <c r="I100" s="17" t="n">
        <v>4</v>
      </c>
      <c r="J100" s="17" t="n">
        <v>2</v>
      </c>
      <c r="K100" s="17" t="n">
        <v>12</v>
      </c>
      <c r="L100" s="17" t="n">
        <v>0</v>
      </c>
      <c r="M100" s="17" t="inlineStr">
        <is>
          <t>Sedang</t>
        </is>
      </c>
    </row>
    <row r="101" s="1">
      <c r="A101" s="17">
        <f>RANDBETWEEN(2,164)</f>
        <v/>
      </c>
      <c r="B101" s="17">
        <f t="array" ref="B101">INDEX(Data_DBD!$B:$B,$A101)</f>
        <v/>
      </c>
      <c r="C101" s="17">
        <f t="array" ref="C101">INDEX(Data_DBD!$C:$C,$A101)</f>
        <v/>
      </c>
      <c r="D101" s="17">
        <f t="array" ref="D101">INDEX(Data_DBD!$D:$D,$A101)</f>
        <v/>
      </c>
      <c r="E101" s="17">
        <f t="array" ref="E101">INDEX(Data_DBD!$E:$E,$A101)</f>
        <v/>
      </c>
      <c r="F101" s="17">
        <f t="array" ref="F101">INDEX(Data_DBD!$F:$F,$A101)</f>
        <v/>
      </c>
      <c r="H101" s="17" t="n">
        <v>14</v>
      </c>
      <c r="I101" s="17" t="n">
        <v>49</v>
      </c>
      <c r="J101" s="17" t="n">
        <v>4</v>
      </c>
      <c r="K101" s="17" t="n">
        <v>7</v>
      </c>
      <c r="L101" s="17" t="n">
        <v>1</v>
      </c>
      <c r="M101" s="17" t="inlineStr">
        <is>
          <t>Rendah</t>
        </is>
      </c>
    </row>
    <row r="102" s="1">
      <c r="A102" s="17">
        <f>RANDBETWEEN(2,164)</f>
        <v/>
      </c>
      <c r="B102" s="17">
        <f t="array" ref="B102">INDEX(Data_DBD!$B:$B,$A102)</f>
        <v/>
      </c>
      <c r="C102" s="17">
        <f t="array" ref="C102">INDEX(Data_DBD!$C:$C,$A102)</f>
        <v/>
      </c>
      <c r="D102" s="17">
        <f t="array" ref="D102">INDEX(Data_DBD!$D:$D,$A102)</f>
        <v/>
      </c>
      <c r="E102" s="17">
        <f t="array" ref="E102">INDEX(Data_DBD!$E:$E,$A102)</f>
        <v/>
      </c>
      <c r="F102" s="17">
        <f t="array" ref="F102">INDEX(Data_DBD!$F:$F,$A102)</f>
        <v/>
      </c>
      <c r="H102" s="17" t="n">
        <v>135</v>
      </c>
      <c r="I102" s="17" t="n">
        <v>10</v>
      </c>
      <c r="J102" s="17" t="n">
        <v>2</v>
      </c>
      <c r="K102" s="17" t="n">
        <v>33</v>
      </c>
      <c r="L102" s="17" t="n">
        <v>0</v>
      </c>
      <c r="M102" s="17" t="inlineStr">
        <is>
          <t>Tinggi</t>
        </is>
      </c>
    </row>
    <row r="103" s="1">
      <c r="A103" s="17">
        <f>RANDBETWEEN(2,164)</f>
        <v/>
      </c>
      <c r="B103" s="17">
        <f t="array" ref="B103">INDEX(Data_DBD!$B:$B,$A103)</f>
        <v/>
      </c>
      <c r="C103" s="17">
        <f t="array" ref="C103">INDEX(Data_DBD!$C:$C,$A103)</f>
        <v/>
      </c>
      <c r="D103" s="17">
        <f t="array" ref="D103">INDEX(Data_DBD!$D:$D,$A103)</f>
        <v/>
      </c>
      <c r="E103" s="17">
        <f t="array" ref="E103">INDEX(Data_DBD!$E:$E,$A103)</f>
        <v/>
      </c>
      <c r="F103" s="17">
        <f t="array" ref="F103">INDEX(Data_DBD!$F:$F,$A103)</f>
        <v/>
      </c>
      <c r="H103" s="17" t="n">
        <v>80</v>
      </c>
      <c r="I103" s="17" t="n">
        <v>27</v>
      </c>
      <c r="J103" s="17" t="n">
        <v>3</v>
      </c>
      <c r="K103" s="17" t="n">
        <v>13</v>
      </c>
      <c r="L103" s="17" t="n">
        <v>1</v>
      </c>
      <c r="M103" s="17" t="inlineStr">
        <is>
          <t>Sedang</t>
        </is>
      </c>
    </row>
    <row r="104" s="1">
      <c r="A104" s="17">
        <f>RANDBETWEEN(2,164)</f>
        <v/>
      </c>
      <c r="B104" s="17">
        <f t="array" ref="B104">INDEX(Data_DBD!$B:$B,$A104)</f>
        <v/>
      </c>
      <c r="C104" s="17">
        <f t="array" ref="C104">INDEX(Data_DBD!$C:$C,$A104)</f>
        <v/>
      </c>
      <c r="D104" s="17">
        <f t="array" ref="D104">INDEX(Data_DBD!$D:$D,$A104)</f>
        <v/>
      </c>
      <c r="E104" s="17">
        <f t="array" ref="E104">INDEX(Data_DBD!$E:$E,$A104)</f>
        <v/>
      </c>
      <c r="F104" s="17">
        <f t="array" ref="F104">INDEX(Data_DBD!$F:$F,$A104)</f>
        <v/>
      </c>
      <c r="H104" s="17" t="n">
        <v>53</v>
      </c>
      <c r="I104" s="17" t="n">
        <v>35</v>
      </c>
      <c r="J104" s="17" t="n">
        <v>4</v>
      </c>
      <c r="K104" s="17" t="n">
        <v>15</v>
      </c>
      <c r="L104" s="17" t="n">
        <v>1</v>
      </c>
      <c r="M104" s="17" t="inlineStr">
        <is>
          <t>Sedang</t>
        </is>
      </c>
    </row>
    <row r="105" s="1">
      <c r="A105" s="17">
        <f>RANDBETWEEN(2,164)</f>
        <v/>
      </c>
      <c r="B105" s="17">
        <f t="array" ref="B105">INDEX(Data_DBD!$B:$B,$A105)</f>
        <v/>
      </c>
      <c r="C105" s="17">
        <f t="array" ref="C105">INDEX(Data_DBD!$C:$C,$A105)</f>
        <v/>
      </c>
      <c r="D105" s="17">
        <f t="array" ref="D105">INDEX(Data_DBD!$D:$D,$A105)</f>
        <v/>
      </c>
      <c r="E105" s="17">
        <f t="array" ref="E105">INDEX(Data_DBD!$E:$E,$A105)</f>
        <v/>
      </c>
      <c r="F105" s="17">
        <f t="array" ref="F105">INDEX(Data_DBD!$F:$F,$A105)</f>
        <v/>
      </c>
      <c r="H105" s="17" t="n">
        <v>84</v>
      </c>
      <c r="I105" s="17" t="n">
        <v>42</v>
      </c>
      <c r="J105" s="17" t="n">
        <v>4</v>
      </c>
      <c r="K105" s="17" t="n">
        <v>13</v>
      </c>
      <c r="L105" s="17" t="n">
        <v>1</v>
      </c>
      <c r="M105" s="17" t="inlineStr">
        <is>
          <t>Sedang</t>
        </is>
      </c>
    </row>
    <row r="106" s="1">
      <c r="A106" s="17">
        <f>RANDBETWEEN(2,164)</f>
        <v/>
      </c>
      <c r="B106" s="17">
        <f t="array" ref="B106">INDEX(Data_DBD!$B:$B,$A106)</f>
        <v/>
      </c>
      <c r="C106" s="17">
        <f t="array" ref="C106">INDEX(Data_DBD!$C:$C,$A106)</f>
        <v/>
      </c>
      <c r="D106" s="17">
        <f t="array" ref="D106">INDEX(Data_DBD!$D:$D,$A106)</f>
        <v/>
      </c>
      <c r="E106" s="17">
        <f t="array" ref="E106">INDEX(Data_DBD!$E:$E,$A106)</f>
        <v/>
      </c>
      <c r="F106" s="17">
        <f t="array" ref="F106">INDEX(Data_DBD!$F:$F,$A106)</f>
        <v/>
      </c>
      <c r="H106" s="17" t="n">
        <v>81</v>
      </c>
      <c r="I106" s="17" t="n">
        <v>23</v>
      </c>
      <c r="J106" s="17" t="n">
        <v>5</v>
      </c>
      <c r="K106" s="17" t="n">
        <v>13</v>
      </c>
      <c r="L106" s="17" t="n">
        <v>1</v>
      </c>
      <c r="M106" s="17" t="inlineStr">
        <is>
          <t>Sedang</t>
        </is>
      </c>
    </row>
    <row r="107" s="1">
      <c r="A107" s="17">
        <f>RANDBETWEEN(2,164)</f>
        <v/>
      </c>
      <c r="B107" s="17">
        <f t="array" ref="B107">INDEX(Data_DBD!$B:$B,$A107)</f>
        <v/>
      </c>
      <c r="C107" s="17">
        <f t="array" ref="C107">INDEX(Data_DBD!$C:$C,$A107)</f>
        <v/>
      </c>
      <c r="D107" s="17">
        <f t="array" ref="D107">INDEX(Data_DBD!$D:$D,$A107)</f>
        <v/>
      </c>
      <c r="E107" s="17">
        <f t="array" ref="E107">INDEX(Data_DBD!$E:$E,$A107)</f>
        <v/>
      </c>
      <c r="F107" s="17">
        <f t="array" ref="F107">INDEX(Data_DBD!$F:$F,$A107)</f>
        <v/>
      </c>
      <c r="H107" s="17" t="n">
        <v>12</v>
      </c>
      <c r="I107" s="17" t="n">
        <v>23</v>
      </c>
      <c r="J107" s="17" t="n">
        <v>3</v>
      </c>
      <c r="K107" s="17" t="n">
        <v>12</v>
      </c>
      <c r="L107" s="17" t="n">
        <v>0</v>
      </c>
      <c r="M107" s="17" t="inlineStr">
        <is>
          <t>Sedang</t>
        </is>
      </c>
    </row>
    <row r="108" s="1">
      <c r="A108" s="17">
        <f>RANDBETWEEN(2,164)</f>
        <v/>
      </c>
      <c r="B108" s="17">
        <f t="array" ref="B108">INDEX(Data_DBD!$B:$B,$A108)</f>
        <v/>
      </c>
      <c r="C108" s="17">
        <f t="array" ref="C108">INDEX(Data_DBD!$C:$C,$A108)</f>
        <v/>
      </c>
      <c r="D108" s="17">
        <f t="array" ref="D108">INDEX(Data_DBD!$D:$D,$A108)</f>
        <v/>
      </c>
      <c r="E108" s="17">
        <f t="array" ref="E108">INDEX(Data_DBD!$E:$E,$A108)</f>
        <v/>
      </c>
      <c r="F108" s="17">
        <f t="array" ref="F108">INDEX(Data_DBD!$F:$F,$A108)</f>
        <v/>
      </c>
      <c r="H108" s="17" t="n">
        <v>115</v>
      </c>
      <c r="I108" s="17" t="n">
        <v>52</v>
      </c>
      <c r="J108" s="17" t="n">
        <v>3</v>
      </c>
      <c r="K108" s="17" t="n">
        <v>33</v>
      </c>
      <c r="L108" s="17" t="n">
        <v>1</v>
      </c>
      <c r="M108" s="17" t="inlineStr">
        <is>
          <t>Tinggi</t>
        </is>
      </c>
    </row>
    <row r="109" s="1">
      <c r="A109" s="17">
        <f>RANDBETWEEN(2,164)</f>
        <v/>
      </c>
      <c r="B109" s="17">
        <f t="array" ref="B109">INDEX(Data_DBD!$B:$B,$A109)</f>
        <v/>
      </c>
      <c r="C109" s="17">
        <f t="array" ref="C109">INDEX(Data_DBD!$C:$C,$A109)</f>
        <v/>
      </c>
      <c r="D109" s="17">
        <f t="array" ref="D109">INDEX(Data_DBD!$D:$D,$A109)</f>
        <v/>
      </c>
      <c r="E109" s="17">
        <f t="array" ref="E109">INDEX(Data_DBD!$E:$E,$A109)</f>
        <v/>
      </c>
      <c r="F109" s="17">
        <f t="array" ref="F109">INDEX(Data_DBD!$F:$F,$A109)</f>
        <v/>
      </c>
      <c r="H109" s="17" t="n">
        <v>107</v>
      </c>
      <c r="I109" s="17" t="n">
        <v>48</v>
      </c>
      <c r="J109" s="17" t="n">
        <v>5</v>
      </c>
      <c r="K109" s="17" t="n">
        <v>18</v>
      </c>
      <c r="L109" s="17" t="n">
        <v>0</v>
      </c>
      <c r="M109" s="17" t="inlineStr">
        <is>
          <t>Tinggi</t>
        </is>
      </c>
    </row>
    <row r="110" s="1">
      <c r="A110" s="17">
        <f>RANDBETWEEN(2,164)</f>
        <v/>
      </c>
      <c r="B110" s="17">
        <f t="array" ref="B110">INDEX(Data_DBD!$B:$B,$A110)</f>
        <v/>
      </c>
      <c r="C110" s="17">
        <f t="array" ref="C110">INDEX(Data_DBD!$C:$C,$A110)</f>
        <v/>
      </c>
      <c r="D110" s="17">
        <f t="array" ref="D110">INDEX(Data_DBD!$D:$D,$A110)</f>
        <v/>
      </c>
      <c r="E110" s="17">
        <f t="array" ref="E110">INDEX(Data_DBD!$E:$E,$A110)</f>
        <v/>
      </c>
      <c r="F110" s="17">
        <f t="array" ref="F110">INDEX(Data_DBD!$F:$F,$A110)</f>
        <v/>
      </c>
      <c r="H110" s="17" t="n">
        <v>76</v>
      </c>
      <c r="I110" s="17" t="n">
        <v>70</v>
      </c>
      <c r="J110" s="17" t="n">
        <v>2</v>
      </c>
      <c r="K110" s="17" t="n">
        <v>10</v>
      </c>
      <c r="L110" s="17" t="n">
        <v>0</v>
      </c>
      <c r="M110" s="17" t="inlineStr">
        <is>
          <t>Sedang</t>
        </is>
      </c>
    </row>
    <row r="111" s="1">
      <c r="A111" s="17">
        <f>RANDBETWEEN(2,164)</f>
        <v/>
      </c>
      <c r="B111" s="17">
        <f t="array" ref="B111">INDEX(Data_DBD!$B:$B,$A111)</f>
        <v/>
      </c>
      <c r="C111" s="17">
        <f t="array" ref="C111">INDEX(Data_DBD!$C:$C,$A111)</f>
        <v/>
      </c>
      <c r="D111" s="17">
        <f t="array" ref="D111">INDEX(Data_DBD!$D:$D,$A111)</f>
        <v/>
      </c>
      <c r="E111" s="17">
        <f t="array" ref="E111">INDEX(Data_DBD!$E:$E,$A111)</f>
        <v/>
      </c>
      <c r="F111" s="17">
        <f t="array" ref="F111">INDEX(Data_DBD!$F:$F,$A111)</f>
        <v/>
      </c>
      <c r="H111" s="17" t="n">
        <v>84</v>
      </c>
      <c r="I111" s="17" t="n">
        <v>42</v>
      </c>
      <c r="J111" s="17" t="n">
        <v>4</v>
      </c>
      <c r="K111" s="17" t="n">
        <v>13</v>
      </c>
      <c r="L111" s="17" t="n">
        <v>1</v>
      </c>
      <c r="M111" s="17" t="inlineStr">
        <is>
          <t>Sedang</t>
        </is>
      </c>
    </row>
    <row r="112" s="1">
      <c r="A112" s="17">
        <f>RANDBETWEEN(2,164)</f>
        <v/>
      </c>
      <c r="B112" s="17">
        <f t="array" ref="B112">INDEX(Data_DBD!$B:$B,$A112)</f>
        <v/>
      </c>
      <c r="C112" s="17">
        <f t="array" ref="C112">INDEX(Data_DBD!$C:$C,$A112)</f>
        <v/>
      </c>
      <c r="D112" s="17">
        <f t="array" ref="D112">INDEX(Data_DBD!$D:$D,$A112)</f>
        <v/>
      </c>
      <c r="E112" s="17">
        <f t="array" ref="E112">INDEX(Data_DBD!$E:$E,$A112)</f>
        <v/>
      </c>
      <c r="F112" s="17">
        <f t="array" ref="F112">INDEX(Data_DBD!$F:$F,$A112)</f>
        <v/>
      </c>
      <c r="H112" s="17" t="n">
        <v>60</v>
      </c>
      <c r="I112" s="17" t="n">
        <v>68</v>
      </c>
      <c r="J112" s="17" t="n">
        <v>4</v>
      </c>
      <c r="K112" s="17" t="n">
        <v>15</v>
      </c>
      <c r="L112" s="17" t="n">
        <v>0</v>
      </c>
      <c r="M112" s="17" t="inlineStr">
        <is>
          <t>Sedang</t>
        </is>
      </c>
    </row>
    <row r="113" s="1">
      <c r="A113" s="17">
        <f>RANDBETWEEN(2,164)</f>
        <v/>
      </c>
      <c r="B113" s="17">
        <f t="array" ref="B113">INDEX(Data_DBD!$B:$B,$A113)</f>
        <v/>
      </c>
      <c r="C113" s="17">
        <f t="array" ref="C113">INDEX(Data_DBD!$C:$C,$A113)</f>
        <v/>
      </c>
      <c r="D113" s="17">
        <f t="array" ref="D113">INDEX(Data_DBD!$D:$D,$A113)</f>
        <v/>
      </c>
      <c r="E113" s="17">
        <f t="array" ref="E113">INDEX(Data_DBD!$E:$E,$A113)</f>
        <v/>
      </c>
      <c r="F113" s="17">
        <f t="array" ref="F113">INDEX(Data_DBD!$F:$F,$A113)</f>
        <v/>
      </c>
      <c r="H113" s="17" t="n">
        <v>86</v>
      </c>
      <c r="I113" s="17" t="n">
        <v>23</v>
      </c>
      <c r="J113" s="17" t="n">
        <v>3</v>
      </c>
      <c r="K113" s="17" t="n">
        <v>13</v>
      </c>
      <c r="L113" s="17" t="n">
        <v>0</v>
      </c>
      <c r="M113" s="17" t="inlineStr">
        <is>
          <t>Sedang</t>
        </is>
      </c>
    </row>
    <row r="114" s="1">
      <c r="A114" s="17">
        <f>RANDBETWEEN(2,164)</f>
        <v/>
      </c>
      <c r="B114" s="17">
        <f t="array" ref="B114">INDEX(Data_DBD!$B:$B,$A114)</f>
        <v/>
      </c>
      <c r="C114" s="17">
        <f t="array" ref="C114">INDEX(Data_DBD!$C:$C,$A114)</f>
        <v/>
      </c>
      <c r="D114" s="17">
        <f t="array" ref="D114">INDEX(Data_DBD!$D:$D,$A114)</f>
        <v/>
      </c>
      <c r="E114" s="17">
        <f t="array" ref="E114">INDEX(Data_DBD!$E:$E,$A114)</f>
        <v/>
      </c>
      <c r="F114" s="17">
        <f t="array" ref="F114">INDEX(Data_DBD!$F:$F,$A114)</f>
        <v/>
      </c>
      <c r="H114" s="17" t="n">
        <v>134</v>
      </c>
      <c r="I114" s="17" t="n">
        <v>4</v>
      </c>
      <c r="J114" s="17" t="n">
        <v>2</v>
      </c>
      <c r="K114" s="17" t="n">
        <v>33</v>
      </c>
      <c r="L114" s="17" t="n">
        <v>1</v>
      </c>
      <c r="M114" s="17" t="inlineStr">
        <is>
          <t>Tinggi</t>
        </is>
      </c>
    </row>
    <row r="115" s="1">
      <c r="A115" s="17">
        <f>RANDBETWEEN(2,164)</f>
        <v/>
      </c>
      <c r="B115" s="17">
        <f t="array" ref="B115">INDEX(Data_DBD!$B:$B,$A115)</f>
        <v/>
      </c>
      <c r="C115" s="17">
        <f t="array" ref="C115">INDEX(Data_DBD!$C:$C,$A115)</f>
        <v/>
      </c>
      <c r="D115" s="17">
        <f t="array" ref="D115">INDEX(Data_DBD!$D:$D,$A115)</f>
        <v/>
      </c>
      <c r="E115" s="17">
        <f t="array" ref="E115">INDEX(Data_DBD!$E:$E,$A115)</f>
        <v/>
      </c>
      <c r="F115" s="17">
        <f t="array" ref="F115">INDEX(Data_DBD!$F:$F,$A115)</f>
        <v/>
      </c>
      <c r="H115" s="17" t="n">
        <v>163</v>
      </c>
      <c r="I115" s="17" t="n">
        <v>34</v>
      </c>
      <c r="J115" s="17" t="n">
        <v>4</v>
      </c>
      <c r="K115" s="17" t="n">
        <v>3</v>
      </c>
      <c r="L115" s="17" t="n">
        <v>1</v>
      </c>
      <c r="M115" s="17" t="inlineStr">
        <is>
          <t>Rendah</t>
        </is>
      </c>
    </row>
    <row r="116" s="1">
      <c r="A116" s="17">
        <f>RANDBETWEEN(2,164)</f>
        <v/>
      </c>
      <c r="B116" s="17">
        <f t="array" ref="B116">INDEX(Data_DBD!$B:$B,$A116)</f>
        <v/>
      </c>
      <c r="C116" s="17">
        <f t="array" ref="C116">INDEX(Data_DBD!$C:$C,$A116)</f>
        <v/>
      </c>
      <c r="D116" s="17">
        <f t="array" ref="D116">INDEX(Data_DBD!$D:$D,$A116)</f>
        <v/>
      </c>
      <c r="E116" s="17">
        <f t="array" ref="E116">INDEX(Data_DBD!$E:$E,$A116)</f>
        <v/>
      </c>
      <c r="F116" s="17">
        <f t="array" ref="F116">INDEX(Data_DBD!$F:$F,$A116)</f>
        <v/>
      </c>
      <c r="H116" s="17" t="n">
        <v>115</v>
      </c>
      <c r="I116" s="17" t="n">
        <v>52</v>
      </c>
      <c r="J116" s="17" t="n">
        <v>3</v>
      </c>
      <c r="K116" s="17" t="n">
        <v>33</v>
      </c>
      <c r="L116" s="17" t="n">
        <v>1</v>
      </c>
      <c r="M116" s="17" t="inlineStr">
        <is>
          <t>Tinggi</t>
        </is>
      </c>
    </row>
    <row r="117" s="1">
      <c r="A117" s="17">
        <f>RANDBETWEEN(2,164)</f>
        <v/>
      </c>
      <c r="B117" s="17">
        <f t="array" ref="B117">INDEX(Data_DBD!$B:$B,$A117)</f>
        <v/>
      </c>
      <c r="C117" s="17">
        <f t="array" ref="C117">INDEX(Data_DBD!$C:$C,$A117)</f>
        <v/>
      </c>
      <c r="D117" s="17">
        <f t="array" ref="D117">INDEX(Data_DBD!$D:$D,$A117)</f>
        <v/>
      </c>
      <c r="E117" s="17">
        <f t="array" ref="E117">INDEX(Data_DBD!$E:$E,$A117)</f>
        <v/>
      </c>
      <c r="F117" s="17">
        <f t="array" ref="F117">INDEX(Data_DBD!$F:$F,$A117)</f>
        <v/>
      </c>
      <c r="H117" s="17" t="n">
        <v>21</v>
      </c>
      <c r="I117" s="17" t="n">
        <v>10</v>
      </c>
      <c r="J117" s="17" t="n">
        <v>5</v>
      </c>
      <c r="K117" s="17" t="n">
        <v>14</v>
      </c>
      <c r="L117" s="17" t="n">
        <v>1</v>
      </c>
      <c r="M117" s="17" t="inlineStr">
        <is>
          <t>Sedang</t>
        </is>
      </c>
    </row>
    <row r="118" s="1">
      <c r="A118" s="17">
        <f>RANDBETWEEN(2,164)</f>
        <v/>
      </c>
      <c r="B118" s="17">
        <f t="array" ref="B118">INDEX(Data_DBD!$B:$B,$A118)</f>
        <v/>
      </c>
      <c r="C118" s="17">
        <f t="array" ref="C118">INDEX(Data_DBD!$C:$C,$A118)</f>
        <v/>
      </c>
      <c r="D118" s="17">
        <f t="array" ref="D118">INDEX(Data_DBD!$D:$D,$A118)</f>
        <v/>
      </c>
      <c r="E118" s="17">
        <f t="array" ref="E118">INDEX(Data_DBD!$E:$E,$A118)</f>
        <v/>
      </c>
      <c r="F118" s="17">
        <f t="array" ref="F118">INDEX(Data_DBD!$F:$F,$A118)</f>
        <v/>
      </c>
      <c r="H118" s="17" t="n">
        <v>145</v>
      </c>
      <c r="I118" s="17" t="n">
        <v>28</v>
      </c>
      <c r="J118" s="17" t="n">
        <v>4</v>
      </c>
      <c r="K118" s="17" t="n">
        <v>21</v>
      </c>
      <c r="L118" s="17" t="n">
        <v>1</v>
      </c>
      <c r="M118" s="17" t="inlineStr">
        <is>
          <t>Tinggi</t>
        </is>
      </c>
    </row>
    <row r="119" s="1">
      <c r="A119" s="17">
        <f>RANDBETWEEN(2,164)</f>
        <v/>
      </c>
      <c r="B119" s="17">
        <f t="array" ref="B119">INDEX(Data_DBD!$B:$B,$A119)</f>
        <v/>
      </c>
      <c r="C119" s="17">
        <f t="array" ref="C119">INDEX(Data_DBD!$C:$C,$A119)</f>
        <v/>
      </c>
      <c r="D119" s="17">
        <f t="array" ref="D119">INDEX(Data_DBD!$D:$D,$A119)</f>
        <v/>
      </c>
      <c r="E119" s="17">
        <f t="array" ref="E119">INDEX(Data_DBD!$E:$E,$A119)</f>
        <v/>
      </c>
      <c r="F119" s="17">
        <f t="array" ref="F119">INDEX(Data_DBD!$F:$F,$A119)</f>
        <v/>
      </c>
      <c r="H119" s="17" t="n">
        <v>117</v>
      </c>
      <c r="I119" s="17" t="n">
        <v>49</v>
      </c>
      <c r="J119" s="17" t="n">
        <v>4</v>
      </c>
      <c r="K119" s="17" t="n">
        <v>33</v>
      </c>
      <c r="L119" s="17" t="n">
        <v>1</v>
      </c>
      <c r="M119" s="17" t="inlineStr">
        <is>
          <t>Tinggi</t>
        </is>
      </c>
    </row>
    <row r="120" s="1">
      <c r="A120" s="17">
        <f>RANDBETWEEN(2,164)</f>
        <v/>
      </c>
      <c r="B120" s="17">
        <f t="array" ref="B120">INDEX(Data_DBD!$B:$B,$A120)</f>
        <v/>
      </c>
      <c r="C120" s="17">
        <f t="array" ref="C120">INDEX(Data_DBD!$C:$C,$A120)</f>
        <v/>
      </c>
      <c r="D120" s="17">
        <f t="array" ref="D120">INDEX(Data_DBD!$D:$D,$A120)</f>
        <v/>
      </c>
      <c r="E120" s="17">
        <f t="array" ref="E120">INDEX(Data_DBD!$E:$E,$A120)</f>
        <v/>
      </c>
      <c r="F120" s="17">
        <f t="array" ref="F120">INDEX(Data_DBD!$F:$F,$A120)</f>
        <v/>
      </c>
      <c r="H120" s="17" t="n">
        <v>93</v>
      </c>
      <c r="I120" s="17" t="n">
        <v>65</v>
      </c>
      <c r="J120" s="17" t="n">
        <v>4</v>
      </c>
      <c r="K120" s="17" t="n">
        <v>18</v>
      </c>
      <c r="L120" s="17" t="n">
        <v>0</v>
      </c>
      <c r="M120" s="17" t="inlineStr">
        <is>
          <t>Tinggi</t>
        </is>
      </c>
    </row>
    <row r="121" s="1">
      <c r="A121" s="17">
        <f>RANDBETWEEN(2,164)</f>
        <v/>
      </c>
      <c r="B121" s="17">
        <f t="array" ref="B121">INDEX(Data_DBD!$B:$B,$A121)</f>
        <v/>
      </c>
      <c r="C121" s="17">
        <f t="array" ref="C121">INDEX(Data_DBD!$C:$C,$A121)</f>
        <v/>
      </c>
      <c r="D121" s="17">
        <f t="array" ref="D121">INDEX(Data_DBD!$D:$D,$A121)</f>
        <v/>
      </c>
      <c r="E121" s="17">
        <f t="array" ref="E121">INDEX(Data_DBD!$E:$E,$A121)</f>
        <v/>
      </c>
      <c r="F121" s="17">
        <f t="array" ref="F121">INDEX(Data_DBD!$F:$F,$A121)</f>
        <v/>
      </c>
      <c r="H121" s="17" t="n">
        <v>78</v>
      </c>
      <c r="I121" s="17" t="n">
        <v>6</v>
      </c>
      <c r="J121" s="17" t="n">
        <v>3</v>
      </c>
      <c r="K121" s="17" t="n">
        <v>13</v>
      </c>
      <c r="L121" s="17" t="n">
        <v>0</v>
      </c>
      <c r="M121" s="17" t="inlineStr">
        <is>
          <t>Sedang</t>
        </is>
      </c>
    </row>
    <row r="122" s="1">
      <c r="A122" s="17">
        <f>RANDBETWEEN(2,164)</f>
        <v/>
      </c>
      <c r="B122" s="17">
        <f t="array" ref="B122">INDEX(Data_DBD!$B:$B,$A122)</f>
        <v/>
      </c>
      <c r="C122" s="17">
        <f t="array" ref="C122">INDEX(Data_DBD!$C:$C,$A122)</f>
        <v/>
      </c>
      <c r="D122" s="17">
        <f t="array" ref="D122">INDEX(Data_DBD!$D:$D,$A122)</f>
        <v/>
      </c>
      <c r="E122" s="17">
        <f t="array" ref="E122">INDEX(Data_DBD!$E:$E,$A122)</f>
        <v/>
      </c>
      <c r="F122" s="17">
        <f t="array" ref="F122">INDEX(Data_DBD!$F:$F,$A122)</f>
        <v/>
      </c>
      <c r="H122" s="17" t="n">
        <v>27</v>
      </c>
      <c r="I122" s="17" t="n">
        <v>37</v>
      </c>
      <c r="J122" s="17" t="n">
        <v>4</v>
      </c>
      <c r="K122" s="17" t="n">
        <v>14</v>
      </c>
      <c r="L122" s="17" t="n">
        <v>1</v>
      </c>
      <c r="M122" s="17" t="inlineStr">
        <is>
          <t>Sedang</t>
        </is>
      </c>
    </row>
    <row r="123" s="1">
      <c r="A123" s="17">
        <f>RANDBETWEEN(2,164)</f>
        <v/>
      </c>
      <c r="B123" s="17">
        <f t="array" ref="B123">INDEX(Data_DBD!$B:$B,$A123)</f>
        <v/>
      </c>
      <c r="C123" s="17">
        <f t="array" ref="C123">INDEX(Data_DBD!$C:$C,$A123)</f>
        <v/>
      </c>
      <c r="D123" s="17">
        <f t="array" ref="D123">INDEX(Data_DBD!$D:$D,$A123)</f>
        <v/>
      </c>
      <c r="E123" s="17">
        <f t="array" ref="E123">INDEX(Data_DBD!$E:$E,$A123)</f>
        <v/>
      </c>
      <c r="F123" s="17">
        <f t="array" ref="F123">INDEX(Data_DBD!$F:$F,$A123)</f>
        <v/>
      </c>
      <c r="H123" s="17" t="n">
        <v>79</v>
      </c>
      <c r="I123" s="17" t="n">
        <v>29</v>
      </c>
      <c r="J123" s="17" t="n">
        <v>3</v>
      </c>
      <c r="K123" s="17" t="n">
        <v>13</v>
      </c>
      <c r="L123" s="17" t="n">
        <v>0</v>
      </c>
      <c r="M123" s="17" t="inlineStr">
        <is>
          <t>Sedang</t>
        </is>
      </c>
    </row>
    <row r="124" s="1">
      <c r="A124" s="17">
        <f>RANDBETWEEN(2,164)</f>
        <v/>
      </c>
      <c r="B124" s="17">
        <f t="array" ref="B124">INDEX(Data_DBD!$B:$B,$A124)</f>
        <v/>
      </c>
      <c r="C124" s="17">
        <f t="array" ref="C124">INDEX(Data_DBD!$C:$C,$A124)</f>
        <v/>
      </c>
      <c r="D124" s="17">
        <f t="array" ref="D124">INDEX(Data_DBD!$D:$D,$A124)</f>
        <v/>
      </c>
      <c r="E124" s="17">
        <f t="array" ref="E124">INDEX(Data_DBD!$E:$E,$A124)</f>
        <v/>
      </c>
      <c r="F124" s="17">
        <f t="array" ref="F124">INDEX(Data_DBD!$F:$F,$A124)</f>
        <v/>
      </c>
      <c r="H124" s="17" t="n">
        <v>2</v>
      </c>
      <c r="I124" s="17" t="n">
        <v>34</v>
      </c>
      <c r="J124" s="17" t="n">
        <v>3</v>
      </c>
      <c r="K124" s="17" t="n">
        <v>12</v>
      </c>
      <c r="L124" s="17" t="n">
        <v>0</v>
      </c>
      <c r="M124" s="17" t="inlineStr">
        <is>
          <t>Sedang</t>
        </is>
      </c>
    </row>
    <row r="125" s="1">
      <c r="A125" s="17">
        <f>RANDBETWEEN(2,164)</f>
        <v/>
      </c>
      <c r="B125" s="17">
        <f t="array" ref="B125">INDEX(Data_DBD!$B:$B,$A125)</f>
        <v/>
      </c>
      <c r="C125" s="17">
        <f t="array" ref="C125">INDEX(Data_DBD!$C:$C,$A125)</f>
        <v/>
      </c>
      <c r="D125" s="17">
        <f t="array" ref="D125">INDEX(Data_DBD!$D:$D,$A125)</f>
        <v/>
      </c>
      <c r="E125" s="17">
        <f t="array" ref="E125">INDEX(Data_DBD!$E:$E,$A125)</f>
        <v/>
      </c>
      <c r="F125" s="17">
        <f t="array" ref="F125">INDEX(Data_DBD!$F:$F,$A125)</f>
        <v/>
      </c>
      <c r="H125" s="17" t="n">
        <v>112</v>
      </c>
      <c r="I125" s="17" t="n">
        <v>61</v>
      </c>
      <c r="J125" s="17" t="n">
        <v>3</v>
      </c>
      <c r="K125" s="17" t="n">
        <v>33</v>
      </c>
      <c r="L125" s="17" t="n">
        <v>1</v>
      </c>
      <c r="M125" s="17" t="inlineStr">
        <is>
          <t>Tinggi</t>
        </is>
      </c>
    </row>
    <row r="126" s="1">
      <c r="A126" s="17">
        <f>RANDBETWEEN(2,164)</f>
        <v/>
      </c>
      <c r="B126" s="17">
        <f t="array" ref="B126">INDEX(Data_DBD!$B:$B,$A126)</f>
        <v/>
      </c>
      <c r="C126" s="17">
        <f t="array" ref="C126">INDEX(Data_DBD!$C:$C,$A126)</f>
        <v/>
      </c>
      <c r="D126" s="17">
        <f t="array" ref="D126">INDEX(Data_DBD!$D:$D,$A126)</f>
        <v/>
      </c>
      <c r="E126" s="17">
        <f t="array" ref="E126">INDEX(Data_DBD!$E:$E,$A126)</f>
        <v/>
      </c>
      <c r="F126" s="17">
        <f t="array" ref="F126">INDEX(Data_DBD!$F:$F,$A126)</f>
        <v/>
      </c>
      <c r="H126" s="17" t="n">
        <v>86</v>
      </c>
      <c r="I126" s="17" t="n">
        <v>23</v>
      </c>
      <c r="J126" s="17" t="n">
        <v>3</v>
      </c>
      <c r="K126" s="17" t="n">
        <v>13</v>
      </c>
      <c r="L126" s="17" t="n">
        <v>0</v>
      </c>
      <c r="M126" s="17" t="inlineStr">
        <is>
          <t>Sedang</t>
        </is>
      </c>
    </row>
    <row r="127" s="1">
      <c r="A127" s="17">
        <f>RANDBETWEEN(2,164)</f>
        <v/>
      </c>
      <c r="B127" s="17">
        <f t="array" ref="B127">INDEX(Data_DBD!$B:$B,$A127)</f>
        <v/>
      </c>
      <c r="C127" s="17">
        <f t="array" ref="C127">INDEX(Data_DBD!$C:$C,$A127)</f>
        <v/>
      </c>
      <c r="D127" s="17">
        <f t="array" ref="D127">INDEX(Data_DBD!$D:$D,$A127)</f>
        <v/>
      </c>
      <c r="E127" s="17">
        <f t="array" ref="E127">INDEX(Data_DBD!$E:$E,$A127)</f>
        <v/>
      </c>
      <c r="F127" s="17">
        <f t="array" ref="F127">INDEX(Data_DBD!$F:$F,$A127)</f>
        <v/>
      </c>
      <c r="H127" s="17" t="n">
        <v>71</v>
      </c>
      <c r="I127" s="17" t="n">
        <v>84</v>
      </c>
      <c r="J127" s="17" t="n">
        <v>3</v>
      </c>
      <c r="K127" s="17" t="n">
        <v>10</v>
      </c>
      <c r="L127" s="17" t="n">
        <v>0</v>
      </c>
      <c r="M127" s="17" t="inlineStr">
        <is>
          <t>Sedang</t>
        </is>
      </c>
    </row>
    <row r="128" s="1">
      <c r="A128" s="17">
        <f>RANDBETWEEN(2,164)</f>
        <v/>
      </c>
      <c r="B128" s="17">
        <f t="array" ref="B128">INDEX(Data_DBD!$B:$B,$A128)</f>
        <v/>
      </c>
      <c r="C128" s="17">
        <f t="array" ref="C128">INDEX(Data_DBD!$C:$C,$A128)</f>
        <v/>
      </c>
      <c r="D128" s="17">
        <f t="array" ref="D128">INDEX(Data_DBD!$D:$D,$A128)</f>
        <v/>
      </c>
      <c r="E128" s="17">
        <f t="array" ref="E128">INDEX(Data_DBD!$E:$E,$A128)</f>
        <v/>
      </c>
      <c r="F128" s="17">
        <f t="array" ref="F128">INDEX(Data_DBD!$F:$F,$A128)</f>
        <v/>
      </c>
      <c r="H128" s="17" t="n">
        <v>148</v>
      </c>
      <c r="I128" s="17" t="n">
        <v>55</v>
      </c>
      <c r="J128" s="17" t="n">
        <v>3</v>
      </c>
      <c r="K128" s="17" t="n">
        <v>21</v>
      </c>
      <c r="L128" s="17" t="n">
        <v>1</v>
      </c>
      <c r="M128" s="17" t="inlineStr">
        <is>
          <t>Tinggi</t>
        </is>
      </c>
    </row>
    <row r="129" s="1">
      <c r="A129" s="17">
        <f>RANDBETWEEN(2,164)</f>
        <v/>
      </c>
      <c r="B129" s="17">
        <f t="array" ref="B129">INDEX(Data_DBD!$B:$B,$A129)</f>
        <v/>
      </c>
      <c r="C129" s="17">
        <f t="array" ref="C129">INDEX(Data_DBD!$C:$C,$A129)</f>
        <v/>
      </c>
      <c r="D129" s="17">
        <f t="array" ref="D129">INDEX(Data_DBD!$D:$D,$A129)</f>
        <v/>
      </c>
      <c r="E129" s="17">
        <f t="array" ref="E129">INDEX(Data_DBD!$E:$E,$A129)</f>
        <v/>
      </c>
      <c r="F129" s="17">
        <f t="array" ref="F129">INDEX(Data_DBD!$F:$F,$A129)</f>
        <v/>
      </c>
      <c r="H129" s="17" t="n">
        <v>110</v>
      </c>
      <c r="I129" s="17" t="n">
        <v>42</v>
      </c>
      <c r="J129" s="17" t="n">
        <v>2</v>
      </c>
      <c r="K129" s="17" t="n">
        <v>33</v>
      </c>
      <c r="L129" s="17" t="n">
        <v>1</v>
      </c>
      <c r="M129" s="17" t="inlineStr">
        <is>
          <t>Tinggi</t>
        </is>
      </c>
    </row>
    <row r="130" s="1">
      <c r="A130" s="17">
        <f>RANDBETWEEN(2,164)</f>
        <v/>
      </c>
      <c r="B130" s="17">
        <f t="array" ref="B130">INDEX(Data_DBD!$B:$B,$A130)</f>
        <v/>
      </c>
      <c r="C130" s="17">
        <f t="array" ref="C130">INDEX(Data_DBD!$C:$C,$A130)</f>
        <v/>
      </c>
      <c r="D130" s="17">
        <f t="array" ref="D130">INDEX(Data_DBD!$D:$D,$A130)</f>
        <v/>
      </c>
      <c r="E130" s="17">
        <f t="array" ref="E130">INDEX(Data_DBD!$E:$E,$A130)</f>
        <v/>
      </c>
      <c r="F130" s="17">
        <f t="array" ref="F130">INDEX(Data_DBD!$F:$F,$A130)</f>
        <v/>
      </c>
      <c r="H130" s="17" t="n">
        <v>98</v>
      </c>
      <c r="I130" s="17" t="n">
        <v>16</v>
      </c>
      <c r="J130" s="17" t="n">
        <v>2</v>
      </c>
      <c r="K130" s="17" t="n">
        <v>18</v>
      </c>
      <c r="L130" s="17" t="n">
        <v>1</v>
      </c>
      <c r="M130" s="17" t="inlineStr">
        <is>
          <t>Tinggi</t>
        </is>
      </c>
    </row>
    <row r="131" s="1">
      <c r="A131" s="17">
        <f>RANDBETWEEN(2,164)</f>
        <v/>
      </c>
      <c r="B131" s="17">
        <f t="array" ref="B131">INDEX(Data_DBD!$B:$B,$A131)</f>
        <v/>
      </c>
      <c r="C131" s="17">
        <f t="array" ref="C131">INDEX(Data_DBD!$C:$C,$A131)</f>
        <v/>
      </c>
      <c r="D131" s="17">
        <f t="array" ref="D131">INDEX(Data_DBD!$D:$D,$A131)</f>
        <v/>
      </c>
      <c r="E131" s="17">
        <f t="array" ref="E131">INDEX(Data_DBD!$E:$E,$A131)</f>
        <v/>
      </c>
      <c r="F131" s="17">
        <f t="array" ref="F131">INDEX(Data_DBD!$F:$F,$A131)</f>
        <v/>
      </c>
      <c r="H131" s="17" t="n">
        <v>116</v>
      </c>
      <c r="I131" s="17" t="n">
        <v>32</v>
      </c>
      <c r="J131" s="17" t="n">
        <v>4</v>
      </c>
      <c r="K131" s="17" t="n">
        <v>33</v>
      </c>
      <c r="L131" s="17" t="n">
        <v>1</v>
      </c>
      <c r="M131" s="17" t="inlineStr">
        <is>
          <t>Tinggi</t>
        </is>
      </c>
    </row>
    <row r="132" s="1">
      <c r="A132" s="17">
        <f>RANDBETWEEN(2,164)</f>
        <v/>
      </c>
      <c r="B132" s="17">
        <f t="array" ref="B132">INDEX(Data_DBD!$B:$B,$A132)</f>
        <v/>
      </c>
      <c r="C132" s="17">
        <f t="array" ref="C132">INDEX(Data_DBD!$C:$C,$A132)</f>
        <v/>
      </c>
      <c r="D132" s="17">
        <f t="array" ref="D132">INDEX(Data_DBD!$D:$D,$A132)</f>
        <v/>
      </c>
      <c r="E132" s="17">
        <f t="array" ref="E132">INDEX(Data_DBD!$E:$E,$A132)</f>
        <v/>
      </c>
      <c r="F132" s="17">
        <f t="array" ref="F132">INDEX(Data_DBD!$F:$F,$A132)</f>
        <v/>
      </c>
      <c r="H132" s="17" t="n">
        <v>56</v>
      </c>
      <c r="I132" s="17" t="n">
        <v>4</v>
      </c>
      <c r="J132" s="17" t="n">
        <v>3</v>
      </c>
      <c r="K132" s="17" t="n">
        <v>15</v>
      </c>
      <c r="L132" s="17" t="n">
        <v>0</v>
      </c>
      <c r="M132" s="17" t="inlineStr">
        <is>
          <t>Sedang</t>
        </is>
      </c>
    </row>
    <row r="133" s="1">
      <c r="A133" s="17">
        <f>RANDBETWEEN(2,164)</f>
        <v/>
      </c>
      <c r="B133" s="17">
        <f t="array" ref="B133">INDEX(Data_DBD!$B:$B,$A133)</f>
        <v/>
      </c>
      <c r="C133" s="17">
        <f t="array" ref="C133">INDEX(Data_DBD!$C:$C,$A133)</f>
        <v/>
      </c>
      <c r="D133" s="17">
        <f t="array" ref="D133">INDEX(Data_DBD!$D:$D,$A133)</f>
        <v/>
      </c>
      <c r="E133" s="17">
        <f t="array" ref="E133">INDEX(Data_DBD!$E:$E,$A133)</f>
        <v/>
      </c>
      <c r="F133" s="17">
        <f t="array" ref="F133">INDEX(Data_DBD!$F:$F,$A133)</f>
        <v/>
      </c>
      <c r="H133" s="17" t="n">
        <v>22</v>
      </c>
      <c r="I133" s="17" t="n">
        <v>6</v>
      </c>
      <c r="J133" s="17" t="n">
        <v>3</v>
      </c>
      <c r="K133" s="17" t="n">
        <v>14</v>
      </c>
      <c r="L133" s="17" t="n">
        <v>0</v>
      </c>
      <c r="M133" s="17" t="inlineStr">
        <is>
          <t>Sedang</t>
        </is>
      </c>
    </row>
    <row r="134" s="1">
      <c r="A134" s="17">
        <f>RANDBETWEEN(2,164)</f>
        <v/>
      </c>
      <c r="B134" s="17">
        <f t="array" ref="B134">INDEX(Data_DBD!$B:$B,$A134)</f>
        <v/>
      </c>
      <c r="C134" s="17">
        <f t="array" ref="C134">INDEX(Data_DBD!$C:$C,$A134)</f>
        <v/>
      </c>
      <c r="D134" s="17">
        <f t="array" ref="D134">INDEX(Data_DBD!$D:$D,$A134)</f>
        <v/>
      </c>
      <c r="E134" s="17">
        <f t="array" ref="E134">INDEX(Data_DBD!$E:$E,$A134)</f>
        <v/>
      </c>
      <c r="F134" s="17">
        <f t="array" ref="F134">INDEX(Data_DBD!$F:$F,$A134)</f>
        <v/>
      </c>
      <c r="H134" s="17" t="n">
        <v>62</v>
      </c>
      <c r="I134" s="17" t="n">
        <v>43</v>
      </c>
      <c r="J134" s="17" t="n">
        <v>4</v>
      </c>
      <c r="K134" s="17" t="n">
        <v>15</v>
      </c>
      <c r="L134" s="17" t="n">
        <v>1</v>
      </c>
      <c r="M134" s="17" t="inlineStr">
        <is>
          <t>Sedang</t>
        </is>
      </c>
    </row>
    <row r="135" s="1">
      <c r="A135" s="17">
        <f>RANDBETWEEN(2,164)</f>
        <v/>
      </c>
      <c r="B135" s="17">
        <f t="array" ref="B135">INDEX(Data_DBD!$B:$B,$A135)</f>
        <v/>
      </c>
      <c r="C135" s="17">
        <f t="array" ref="C135">INDEX(Data_DBD!$C:$C,$A135)</f>
        <v/>
      </c>
      <c r="D135" s="17">
        <f t="array" ref="D135">INDEX(Data_DBD!$D:$D,$A135)</f>
        <v/>
      </c>
      <c r="E135" s="17">
        <f t="array" ref="E135">INDEX(Data_DBD!$E:$E,$A135)</f>
        <v/>
      </c>
      <c r="F135" s="17">
        <f t="array" ref="F135">INDEX(Data_DBD!$F:$F,$A135)</f>
        <v/>
      </c>
      <c r="H135" s="17" t="n">
        <v>89</v>
      </c>
      <c r="I135" s="17" t="n">
        <v>32</v>
      </c>
      <c r="J135" s="17" t="n">
        <v>4</v>
      </c>
      <c r="K135" s="17" t="n">
        <v>13</v>
      </c>
      <c r="L135" s="17" t="n">
        <v>0</v>
      </c>
      <c r="M135" s="17" t="inlineStr">
        <is>
          <t>Sedang</t>
        </is>
      </c>
    </row>
    <row r="136" s="1">
      <c r="A136" s="17">
        <f>RANDBETWEEN(2,164)</f>
        <v/>
      </c>
      <c r="B136" s="17">
        <f t="array" ref="B136">INDEX(Data_DBD!$B:$B,$A136)</f>
        <v/>
      </c>
      <c r="C136" s="17">
        <f t="array" ref="C136">INDEX(Data_DBD!$C:$C,$A136)</f>
        <v/>
      </c>
      <c r="D136" s="17">
        <f t="array" ref="D136">INDEX(Data_DBD!$D:$D,$A136)</f>
        <v/>
      </c>
      <c r="E136" s="17">
        <f t="array" ref="E136">INDEX(Data_DBD!$E:$E,$A136)</f>
        <v/>
      </c>
      <c r="F136" s="17">
        <f t="array" ref="F136">INDEX(Data_DBD!$F:$F,$A136)</f>
        <v/>
      </c>
      <c r="H136" s="17" t="n">
        <v>31</v>
      </c>
      <c r="I136" s="17" t="n">
        <v>64</v>
      </c>
      <c r="J136" s="17" t="n">
        <v>4</v>
      </c>
      <c r="K136" s="17" t="n">
        <v>14</v>
      </c>
      <c r="L136" s="17" t="n">
        <v>1</v>
      </c>
      <c r="M136" s="17" t="inlineStr">
        <is>
          <t>Sedang</t>
        </is>
      </c>
    </row>
    <row r="137" s="1">
      <c r="A137" s="17">
        <f>RANDBETWEEN(2,164)</f>
        <v/>
      </c>
      <c r="B137" s="17">
        <f t="array" ref="B137">INDEX(Data_DBD!$B:$B,$A137)</f>
        <v/>
      </c>
      <c r="C137" s="17">
        <f t="array" ref="C137">INDEX(Data_DBD!$C:$C,$A137)</f>
        <v/>
      </c>
      <c r="D137" s="17">
        <f t="array" ref="D137">INDEX(Data_DBD!$D:$D,$A137)</f>
        <v/>
      </c>
      <c r="E137" s="17">
        <f t="array" ref="E137">INDEX(Data_DBD!$E:$E,$A137)</f>
        <v/>
      </c>
      <c r="F137" s="17">
        <f t="array" ref="F137">INDEX(Data_DBD!$F:$F,$A137)</f>
        <v/>
      </c>
      <c r="H137" s="17" t="n">
        <v>112</v>
      </c>
      <c r="I137" s="17" t="n">
        <v>61</v>
      </c>
      <c r="J137" s="17" t="n">
        <v>3</v>
      </c>
      <c r="K137" s="17" t="n">
        <v>33</v>
      </c>
      <c r="L137" s="17" t="n">
        <v>1</v>
      </c>
      <c r="M137" s="17" t="inlineStr">
        <is>
          <t>Tinggi</t>
        </is>
      </c>
    </row>
    <row r="138" s="1">
      <c r="A138" s="17">
        <f>RANDBETWEEN(2,164)</f>
        <v/>
      </c>
      <c r="B138" s="17">
        <f t="array" ref="B138">INDEX(Data_DBD!$B:$B,$A138)</f>
        <v/>
      </c>
      <c r="C138" s="17">
        <f t="array" ref="C138">INDEX(Data_DBD!$C:$C,$A138)</f>
        <v/>
      </c>
      <c r="D138" s="17">
        <f t="array" ref="D138">INDEX(Data_DBD!$D:$D,$A138)</f>
        <v/>
      </c>
      <c r="E138" s="17">
        <f t="array" ref="E138">INDEX(Data_DBD!$E:$E,$A138)</f>
        <v/>
      </c>
      <c r="F138" s="17">
        <f t="array" ref="F138">INDEX(Data_DBD!$F:$F,$A138)</f>
        <v/>
      </c>
      <c r="H138" s="17" t="n">
        <v>152</v>
      </c>
      <c r="I138" s="17" t="n">
        <v>47</v>
      </c>
      <c r="J138" s="17" t="n">
        <v>3</v>
      </c>
      <c r="K138" s="17" t="n">
        <v>21</v>
      </c>
      <c r="L138" s="17" t="n">
        <v>1</v>
      </c>
      <c r="M138" s="17" t="inlineStr">
        <is>
          <t>Tinggi</t>
        </is>
      </c>
    </row>
    <row r="139" s="1">
      <c r="A139" s="17">
        <f>RANDBETWEEN(2,164)</f>
        <v/>
      </c>
      <c r="B139" s="17">
        <f t="array" ref="B139">INDEX(Data_DBD!$B:$B,$A139)</f>
        <v/>
      </c>
      <c r="C139" s="17">
        <f t="array" ref="C139">INDEX(Data_DBD!$C:$C,$A139)</f>
        <v/>
      </c>
      <c r="D139" s="17">
        <f t="array" ref="D139">INDEX(Data_DBD!$D:$D,$A139)</f>
        <v/>
      </c>
      <c r="E139" s="17">
        <f t="array" ref="E139">INDEX(Data_DBD!$E:$E,$A139)</f>
        <v/>
      </c>
      <c r="F139" s="17">
        <f t="array" ref="F139">INDEX(Data_DBD!$F:$F,$A139)</f>
        <v/>
      </c>
      <c r="H139" s="17" t="n">
        <v>32</v>
      </c>
      <c r="I139" s="17" t="n">
        <v>54</v>
      </c>
      <c r="J139" s="17" t="n">
        <v>4</v>
      </c>
      <c r="K139" s="17" t="n">
        <v>14</v>
      </c>
      <c r="L139" s="17" t="n">
        <v>0</v>
      </c>
      <c r="M139" s="17" t="inlineStr">
        <is>
          <t>Sedang</t>
        </is>
      </c>
    </row>
    <row r="140" s="1">
      <c r="A140" s="17">
        <f>RANDBETWEEN(2,164)</f>
        <v/>
      </c>
      <c r="B140" s="17">
        <f t="array" ref="B140">INDEX(Data_DBD!$B:$B,$A140)</f>
        <v/>
      </c>
      <c r="C140" s="17">
        <f t="array" ref="C140">INDEX(Data_DBD!$C:$C,$A140)</f>
        <v/>
      </c>
      <c r="D140" s="17">
        <f t="array" ref="D140">INDEX(Data_DBD!$D:$D,$A140)</f>
        <v/>
      </c>
      <c r="E140" s="17">
        <f t="array" ref="E140">INDEX(Data_DBD!$E:$E,$A140)</f>
        <v/>
      </c>
      <c r="F140" s="17">
        <f t="array" ref="F140">INDEX(Data_DBD!$F:$F,$A140)</f>
        <v/>
      </c>
      <c r="H140" s="17" t="n">
        <v>17</v>
      </c>
      <c r="I140" s="17" t="n">
        <v>2</v>
      </c>
      <c r="J140" s="17" t="n">
        <v>3</v>
      </c>
      <c r="K140" s="17" t="n">
        <v>7</v>
      </c>
      <c r="L140" s="17" t="n">
        <v>0</v>
      </c>
      <c r="M140" s="17" t="inlineStr">
        <is>
          <t>Rendah</t>
        </is>
      </c>
    </row>
    <row r="141" s="1">
      <c r="A141" s="17">
        <f>RANDBETWEEN(2,164)</f>
        <v/>
      </c>
      <c r="B141" s="17">
        <f t="array" ref="B141">INDEX(Data_DBD!$B:$B,$A141)</f>
        <v/>
      </c>
      <c r="C141" s="17">
        <f t="array" ref="C141">INDEX(Data_DBD!$C:$C,$A141)</f>
        <v/>
      </c>
      <c r="D141" s="17">
        <f t="array" ref="D141">INDEX(Data_DBD!$D:$D,$A141)</f>
        <v/>
      </c>
      <c r="E141" s="17">
        <f t="array" ref="E141">INDEX(Data_DBD!$E:$E,$A141)</f>
        <v/>
      </c>
      <c r="F141" s="17">
        <f t="array" ref="F141">INDEX(Data_DBD!$F:$F,$A141)</f>
        <v/>
      </c>
      <c r="H141" s="17" t="n">
        <v>75</v>
      </c>
      <c r="I141" s="17" t="n">
        <v>2</v>
      </c>
      <c r="J141" s="17" t="n">
        <v>2</v>
      </c>
      <c r="K141" s="17" t="n">
        <v>10</v>
      </c>
      <c r="L141" s="17" t="n">
        <v>1</v>
      </c>
      <c r="M141" s="17" t="inlineStr">
        <is>
          <t>Sedang</t>
        </is>
      </c>
    </row>
    <row r="142" s="1">
      <c r="A142" s="17">
        <f>RANDBETWEEN(2,164)</f>
        <v/>
      </c>
      <c r="B142" s="17">
        <f t="array" ref="B142">INDEX(Data_DBD!$B:$B,$A142)</f>
        <v/>
      </c>
      <c r="C142" s="17">
        <f t="array" ref="C142">INDEX(Data_DBD!$C:$C,$A142)</f>
        <v/>
      </c>
      <c r="D142" s="17">
        <f t="array" ref="D142">INDEX(Data_DBD!$D:$D,$A142)</f>
        <v/>
      </c>
      <c r="E142" s="17">
        <f t="array" ref="E142">INDEX(Data_DBD!$E:$E,$A142)</f>
        <v/>
      </c>
      <c r="F142" s="17">
        <f t="array" ref="F142">INDEX(Data_DBD!$F:$F,$A142)</f>
        <v/>
      </c>
      <c r="H142" s="17" t="n">
        <v>36</v>
      </c>
      <c r="I142" s="17" t="n">
        <v>27</v>
      </c>
      <c r="J142" s="17" t="n">
        <v>1</v>
      </c>
      <c r="K142" s="17" t="n">
        <v>4</v>
      </c>
      <c r="L142" s="17" t="n">
        <v>1</v>
      </c>
      <c r="M142" s="17" t="inlineStr">
        <is>
          <t>Rendah</t>
        </is>
      </c>
    </row>
    <row r="143" s="1">
      <c r="A143" s="17">
        <f>RANDBETWEEN(2,164)</f>
        <v/>
      </c>
      <c r="B143" s="17">
        <f t="array" ref="B143">INDEX(Data_DBD!$B:$B,$A143)</f>
        <v/>
      </c>
      <c r="C143" s="17">
        <f t="array" ref="C143">INDEX(Data_DBD!$C:$C,$A143)</f>
        <v/>
      </c>
      <c r="D143" s="17">
        <f t="array" ref="D143">INDEX(Data_DBD!$D:$D,$A143)</f>
        <v/>
      </c>
      <c r="E143" s="17">
        <f t="array" ref="E143">INDEX(Data_DBD!$E:$E,$A143)</f>
        <v/>
      </c>
      <c r="F143" s="17">
        <f t="array" ref="F143">INDEX(Data_DBD!$F:$F,$A143)</f>
        <v/>
      </c>
      <c r="H143" s="17" t="n">
        <v>162</v>
      </c>
      <c r="I143" s="17" t="n">
        <v>22</v>
      </c>
      <c r="J143" s="17" t="n">
        <v>3</v>
      </c>
      <c r="K143" s="17" t="n">
        <v>3</v>
      </c>
      <c r="L143" s="17" t="n">
        <v>1</v>
      </c>
      <c r="M143" s="17" t="inlineStr">
        <is>
          <t>Rendah</t>
        </is>
      </c>
    </row>
    <row r="144" s="1">
      <c r="A144" s="17">
        <f>RANDBETWEEN(2,164)</f>
        <v/>
      </c>
      <c r="B144" s="17">
        <f t="array" ref="B144">INDEX(Data_DBD!$B:$B,$A144)</f>
        <v/>
      </c>
      <c r="C144" s="17">
        <f t="array" ref="C144">INDEX(Data_DBD!$C:$C,$A144)</f>
        <v/>
      </c>
      <c r="D144" s="17">
        <f t="array" ref="D144">INDEX(Data_DBD!$D:$D,$A144)</f>
        <v/>
      </c>
      <c r="E144" s="17">
        <f t="array" ref="E144">INDEX(Data_DBD!$E:$E,$A144)</f>
        <v/>
      </c>
      <c r="F144" s="17">
        <f t="array" ref="F144">INDEX(Data_DBD!$F:$F,$A144)</f>
        <v/>
      </c>
      <c r="H144" s="17" t="n">
        <v>101</v>
      </c>
      <c r="I144" s="17" t="n">
        <v>42</v>
      </c>
      <c r="J144" s="17" t="n">
        <v>5</v>
      </c>
      <c r="K144" s="17" t="n">
        <v>18</v>
      </c>
      <c r="L144" s="17" t="n">
        <v>0</v>
      </c>
      <c r="M144" s="17" t="inlineStr">
        <is>
          <t>Tinggi</t>
        </is>
      </c>
    </row>
    <row r="145" s="1">
      <c r="A145" s="17">
        <f>RANDBETWEEN(2,164)</f>
        <v/>
      </c>
      <c r="B145" s="17">
        <f t="array" ref="B145">INDEX(Data_DBD!$B:$B,$A145)</f>
        <v/>
      </c>
      <c r="C145" s="17">
        <f t="array" ref="C145">INDEX(Data_DBD!$C:$C,$A145)</f>
        <v/>
      </c>
      <c r="D145" s="17">
        <f t="array" ref="D145">INDEX(Data_DBD!$D:$D,$A145)</f>
        <v/>
      </c>
      <c r="E145" s="17">
        <f t="array" ref="E145">INDEX(Data_DBD!$E:$E,$A145)</f>
        <v/>
      </c>
      <c r="F145" s="17">
        <f t="array" ref="F145">INDEX(Data_DBD!$F:$F,$A145)</f>
        <v/>
      </c>
      <c r="H145" s="17" t="n">
        <v>144</v>
      </c>
      <c r="I145" s="17" t="n">
        <v>61</v>
      </c>
      <c r="J145" s="17" t="n">
        <v>4</v>
      </c>
      <c r="K145" s="17" t="n">
        <v>21</v>
      </c>
      <c r="L145" s="17" t="n">
        <v>1</v>
      </c>
      <c r="M145" s="17" t="inlineStr">
        <is>
          <t>Tinggi</t>
        </is>
      </c>
    </row>
    <row r="146" s="1">
      <c r="A146" s="17">
        <f>RANDBETWEEN(2,164)</f>
        <v/>
      </c>
      <c r="B146" s="17">
        <f t="array" ref="B146">INDEX(Data_DBD!$B:$B,$A146)</f>
        <v/>
      </c>
      <c r="C146" s="17">
        <f t="array" ref="C146">INDEX(Data_DBD!$C:$C,$A146)</f>
        <v/>
      </c>
      <c r="D146" s="17">
        <f t="array" ref="D146">INDEX(Data_DBD!$D:$D,$A146)</f>
        <v/>
      </c>
      <c r="E146" s="17">
        <f t="array" ref="E146">INDEX(Data_DBD!$E:$E,$A146)</f>
        <v/>
      </c>
      <c r="F146" s="17">
        <f t="array" ref="F146">INDEX(Data_DBD!$F:$F,$A146)</f>
        <v/>
      </c>
      <c r="H146" s="17" t="n">
        <v>93</v>
      </c>
      <c r="I146" s="17" t="n">
        <v>65</v>
      </c>
      <c r="J146" s="17" t="n">
        <v>4</v>
      </c>
      <c r="K146" s="17" t="n">
        <v>18</v>
      </c>
      <c r="L146" s="17" t="n">
        <v>0</v>
      </c>
      <c r="M146" s="17" t="inlineStr">
        <is>
          <t>Tinggi</t>
        </is>
      </c>
    </row>
    <row r="147" s="1">
      <c r="A147" s="17">
        <f>RANDBETWEEN(2,164)</f>
        <v/>
      </c>
      <c r="B147" s="17">
        <f t="array" ref="B147">INDEX(Data_DBD!$B:$B,$A147)</f>
        <v/>
      </c>
      <c r="C147" s="17">
        <f t="array" ref="C147">INDEX(Data_DBD!$C:$C,$A147)</f>
        <v/>
      </c>
      <c r="D147" s="17">
        <f t="array" ref="D147">INDEX(Data_DBD!$D:$D,$A147)</f>
        <v/>
      </c>
      <c r="E147" s="17">
        <f t="array" ref="E147">INDEX(Data_DBD!$E:$E,$A147)</f>
        <v/>
      </c>
      <c r="F147" s="17">
        <f t="array" ref="F147">INDEX(Data_DBD!$F:$F,$A147)</f>
        <v/>
      </c>
      <c r="H147" s="17" t="n">
        <v>54</v>
      </c>
      <c r="I147" s="17" t="n">
        <v>7</v>
      </c>
      <c r="J147" s="17" t="n">
        <v>3</v>
      </c>
      <c r="K147" s="17" t="n">
        <v>15</v>
      </c>
      <c r="L147" s="17" t="n">
        <v>0</v>
      </c>
      <c r="M147" s="17" t="inlineStr">
        <is>
          <t>Sedang</t>
        </is>
      </c>
    </row>
    <row r="148" s="1">
      <c r="A148" s="17">
        <f>RANDBETWEEN(2,164)</f>
        <v/>
      </c>
      <c r="B148" s="17">
        <f t="array" ref="B148">INDEX(Data_DBD!$B:$B,$A148)</f>
        <v/>
      </c>
      <c r="C148" s="17">
        <f t="array" ref="C148">INDEX(Data_DBD!$C:$C,$A148)</f>
        <v/>
      </c>
      <c r="D148" s="17">
        <f t="array" ref="D148">INDEX(Data_DBD!$D:$D,$A148)</f>
        <v/>
      </c>
      <c r="E148" s="17">
        <f t="array" ref="E148">INDEX(Data_DBD!$E:$E,$A148)</f>
        <v/>
      </c>
      <c r="F148" s="17">
        <f t="array" ref="F148">INDEX(Data_DBD!$F:$F,$A148)</f>
        <v/>
      </c>
      <c r="H148" s="17" t="n">
        <v>33</v>
      </c>
      <c r="I148" s="17" t="n">
        <v>19</v>
      </c>
      <c r="J148" s="17" t="n">
        <v>4</v>
      </c>
      <c r="K148" s="17" t="n">
        <v>14</v>
      </c>
      <c r="L148" s="17" t="n">
        <v>1</v>
      </c>
      <c r="M148" s="17" t="inlineStr">
        <is>
          <t>Sedang</t>
        </is>
      </c>
    </row>
    <row r="149" s="1">
      <c r="A149" s="17">
        <f>RANDBETWEEN(2,164)</f>
        <v/>
      </c>
      <c r="B149" s="17">
        <f t="array" ref="B149">INDEX(Data_DBD!$B:$B,$A149)</f>
        <v/>
      </c>
      <c r="C149" s="17">
        <f t="array" ref="C149">INDEX(Data_DBD!$C:$C,$A149)</f>
        <v/>
      </c>
      <c r="D149" s="17">
        <f t="array" ref="D149">INDEX(Data_DBD!$D:$D,$A149)</f>
        <v/>
      </c>
      <c r="E149" s="17">
        <f t="array" ref="E149">INDEX(Data_DBD!$E:$E,$A149)</f>
        <v/>
      </c>
      <c r="F149" s="17">
        <f t="array" ref="F149">INDEX(Data_DBD!$F:$F,$A149)</f>
        <v/>
      </c>
      <c r="H149" s="17" t="n">
        <v>101</v>
      </c>
      <c r="I149" s="17" t="n">
        <v>42</v>
      </c>
      <c r="J149" s="17" t="n">
        <v>5</v>
      </c>
      <c r="K149" s="17" t="n">
        <v>18</v>
      </c>
      <c r="L149" s="17" t="n">
        <v>0</v>
      </c>
      <c r="M149" s="17" t="inlineStr">
        <is>
          <t>Tinggi</t>
        </is>
      </c>
    </row>
    <row r="150" s="1">
      <c r="A150" s="17">
        <f>RANDBETWEEN(2,164)</f>
        <v/>
      </c>
      <c r="B150" s="17">
        <f t="array" ref="B150">INDEX(Data_DBD!$B:$B,$A150)</f>
        <v/>
      </c>
      <c r="C150" s="17">
        <f t="array" ref="C150">INDEX(Data_DBD!$C:$C,$A150)</f>
        <v/>
      </c>
      <c r="D150" s="17">
        <f t="array" ref="D150">INDEX(Data_DBD!$D:$D,$A150)</f>
        <v/>
      </c>
      <c r="E150" s="17">
        <f t="array" ref="E150">INDEX(Data_DBD!$E:$E,$A150)</f>
        <v/>
      </c>
      <c r="F150" s="17">
        <f t="array" ref="F150">INDEX(Data_DBD!$F:$F,$A150)</f>
        <v/>
      </c>
      <c r="H150" s="17" t="n">
        <v>117</v>
      </c>
      <c r="I150" s="17" t="n">
        <v>49</v>
      </c>
      <c r="J150" s="17" t="n">
        <v>4</v>
      </c>
      <c r="K150" s="17" t="n">
        <v>33</v>
      </c>
      <c r="L150" s="17" t="n">
        <v>1</v>
      </c>
      <c r="M150" s="17" t="inlineStr">
        <is>
          <t>Tinggi</t>
        </is>
      </c>
    </row>
    <row r="151" s="1">
      <c r="A151" s="17">
        <f>RANDBETWEEN(2,164)</f>
        <v/>
      </c>
      <c r="B151" s="17">
        <f t="array" ref="B151">INDEX(Data_DBD!$B:$B,$A151)</f>
        <v/>
      </c>
      <c r="C151" s="17">
        <f t="array" ref="C151">INDEX(Data_DBD!$C:$C,$A151)</f>
        <v/>
      </c>
      <c r="D151" s="17">
        <f t="array" ref="D151">INDEX(Data_DBD!$D:$D,$A151)</f>
        <v/>
      </c>
      <c r="E151" s="17">
        <f t="array" ref="E151">INDEX(Data_DBD!$E:$E,$A151)</f>
        <v/>
      </c>
      <c r="F151" s="17">
        <f t="array" ref="F151">INDEX(Data_DBD!$F:$F,$A151)</f>
        <v/>
      </c>
      <c r="H151" s="17" t="n">
        <v>5</v>
      </c>
      <c r="I151" s="17" t="n">
        <v>18</v>
      </c>
      <c r="J151" s="17" t="n">
        <v>2</v>
      </c>
      <c r="K151" s="17" t="n">
        <v>12</v>
      </c>
      <c r="L151" s="17" t="n">
        <v>1</v>
      </c>
      <c r="M151" s="17" t="inlineStr">
        <is>
          <t>Sedang</t>
        </is>
      </c>
    </row>
    <row r="152" s="1">
      <c r="A152" s="17">
        <f>RANDBETWEEN(2,164)</f>
        <v/>
      </c>
      <c r="B152" s="17">
        <f t="array" ref="B152">INDEX(Data_DBD!$B:$B,$A152)</f>
        <v/>
      </c>
      <c r="C152" s="17">
        <f t="array" ref="C152">INDEX(Data_DBD!$C:$C,$A152)</f>
        <v/>
      </c>
      <c r="D152" s="17">
        <f t="array" ref="D152">INDEX(Data_DBD!$D:$D,$A152)</f>
        <v/>
      </c>
      <c r="E152" s="17">
        <f t="array" ref="E152">INDEX(Data_DBD!$E:$E,$A152)</f>
        <v/>
      </c>
      <c r="F152" s="17">
        <f t="array" ref="F152">INDEX(Data_DBD!$F:$F,$A152)</f>
        <v/>
      </c>
      <c r="H152" s="17" t="n">
        <v>133</v>
      </c>
      <c r="I152" s="17" t="n">
        <v>6</v>
      </c>
      <c r="J152" s="17" t="n">
        <v>4</v>
      </c>
      <c r="K152" s="17" t="n">
        <v>33</v>
      </c>
      <c r="L152" s="17" t="n">
        <v>0</v>
      </c>
      <c r="M152" s="17" t="inlineStr">
        <is>
          <t>Tinggi</t>
        </is>
      </c>
    </row>
    <row r="153" s="1">
      <c r="A153" s="17">
        <f>RANDBETWEEN(2,164)</f>
        <v/>
      </c>
      <c r="B153" s="17">
        <f t="array" ref="B153">INDEX(Data_DBD!$B:$B,$A153)</f>
        <v/>
      </c>
      <c r="C153" s="17">
        <f t="array" ref="C153">INDEX(Data_DBD!$C:$C,$A153)</f>
        <v/>
      </c>
      <c r="D153" s="17">
        <f t="array" ref="D153">INDEX(Data_DBD!$D:$D,$A153)</f>
        <v/>
      </c>
      <c r="E153" s="17">
        <f t="array" ref="E153">INDEX(Data_DBD!$E:$E,$A153)</f>
        <v/>
      </c>
      <c r="F153" s="17">
        <f t="array" ref="F153">INDEX(Data_DBD!$F:$F,$A153)</f>
        <v/>
      </c>
      <c r="H153" s="17" t="n">
        <v>24</v>
      </c>
      <c r="I153" s="17" t="n">
        <v>60</v>
      </c>
      <c r="J153" s="17" t="n">
        <v>4</v>
      </c>
      <c r="K153" s="17" t="n">
        <v>14</v>
      </c>
      <c r="L153" s="17" t="n">
        <v>0</v>
      </c>
      <c r="M153" s="17" t="inlineStr">
        <is>
          <t>Sedang</t>
        </is>
      </c>
    </row>
    <row r="154" s="1">
      <c r="A154" s="17">
        <f>RANDBETWEEN(2,164)</f>
        <v/>
      </c>
      <c r="B154" s="17">
        <f t="array" ref="B154">INDEX(Data_DBD!$B:$B,$A154)</f>
        <v/>
      </c>
      <c r="C154" s="17">
        <f t="array" ref="C154">INDEX(Data_DBD!$C:$C,$A154)</f>
        <v/>
      </c>
      <c r="D154" s="17">
        <f t="array" ref="D154">INDEX(Data_DBD!$D:$D,$A154)</f>
        <v/>
      </c>
      <c r="E154" s="17">
        <f t="array" ref="E154">INDEX(Data_DBD!$E:$E,$A154)</f>
        <v/>
      </c>
      <c r="F154" s="17">
        <f t="array" ref="F154">INDEX(Data_DBD!$F:$F,$A154)</f>
        <v/>
      </c>
      <c r="H154" s="17" t="n">
        <v>55</v>
      </c>
      <c r="I154" s="17" t="n">
        <v>7</v>
      </c>
      <c r="J154" s="17" t="n">
        <v>4</v>
      </c>
      <c r="K154" s="17" t="n">
        <v>15</v>
      </c>
      <c r="L154" s="17" t="n">
        <v>1</v>
      </c>
      <c r="M154" s="17" t="inlineStr">
        <is>
          <t>Sedang</t>
        </is>
      </c>
    </row>
    <row r="155" s="1">
      <c r="A155" s="17">
        <f>RANDBETWEEN(2,164)</f>
        <v/>
      </c>
      <c r="B155" s="17">
        <f t="array" ref="B155">INDEX(Data_DBD!$B:$B,$A155)</f>
        <v/>
      </c>
      <c r="C155" s="17">
        <f t="array" ref="C155">INDEX(Data_DBD!$C:$C,$A155)</f>
        <v/>
      </c>
      <c r="D155" s="17">
        <f t="array" ref="D155">INDEX(Data_DBD!$D:$D,$A155)</f>
        <v/>
      </c>
      <c r="E155" s="17">
        <f t="array" ref="E155">INDEX(Data_DBD!$E:$E,$A155)</f>
        <v/>
      </c>
      <c r="F155" s="17">
        <f t="array" ref="F155">INDEX(Data_DBD!$F:$F,$A155)</f>
        <v/>
      </c>
      <c r="H155" s="17" t="n">
        <v>77</v>
      </c>
      <c r="I155" s="17" t="n">
        <v>16</v>
      </c>
      <c r="J155" s="17" t="n">
        <v>4</v>
      </c>
      <c r="K155" s="17" t="n">
        <v>13</v>
      </c>
      <c r="L155" s="17" t="n">
        <v>1</v>
      </c>
      <c r="M155" s="17" t="inlineStr">
        <is>
          <t>Sedang</t>
        </is>
      </c>
    </row>
    <row r="156" s="1">
      <c r="A156" s="17">
        <f>RANDBETWEEN(2,164)</f>
        <v/>
      </c>
      <c r="B156" s="17">
        <f t="array" ref="B156">INDEX(Data_DBD!$B:$B,$A156)</f>
        <v/>
      </c>
      <c r="C156" s="17">
        <f t="array" ref="C156">INDEX(Data_DBD!$C:$C,$A156)</f>
        <v/>
      </c>
      <c r="D156" s="17">
        <f t="array" ref="D156">INDEX(Data_DBD!$D:$D,$A156)</f>
        <v/>
      </c>
      <c r="E156" s="17">
        <f t="array" ref="E156">INDEX(Data_DBD!$E:$E,$A156)</f>
        <v/>
      </c>
      <c r="F156" s="17">
        <f t="array" ref="F156">INDEX(Data_DBD!$F:$F,$A156)</f>
        <v/>
      </c>
      <c r="H156" s="17" t="n">
        <v>92</v>
      </c>
      <c r="I156" s="17" t="n">
        <v>55</v>
      </c>
      <c r="J156" s="17" t="n">
        <v>7</v>
      </c>
      <c r="K156" s="17" t="n">
        <v>18</v>
      </c>
      <c r="L156" s="17" t="n">
        <v>0</v>
      </c>
      <c r="M156" s="17" t="inlineStr">
        <is>
          <t>Tinggi</t>
        </is>
      </c>
    </row>
    <row r="157" s="1">
      <c r="A157" s="17">
        <f>RANDBETWEEN(2,164)</f>
        <v/>
      </c>
      <c r="B157" s="17">
        <f t="array" ref="B157">INDEX(Data_DBD!$B:$B,$A157)</f>
        <v/>
      </c>
      <c r="C157" s="17">
        <f t="array" ref="C157">INDEX(Data_DBD!$C:$C,$A157)</f>
        <v/>
      </c>
      <c r="D157" s="17">
        <f t="array" ref="D157">INDEX(Data_DBD!$D:$D,$A157)</f>
        <v/>
      </c>
      <c r="E157" s="17">
        <f t="array" ref="E157">INDEX(Data_DBD!$E:$E,$A157)</f>
        <v/>
      </c>
      <c r="F157" s="17">
        <f t="array" ref="F157">INDEX(Data_DBD!$F:$F,$A157)</f>
        <v/>
      </c>
      <c r="H157" s="17" t="n">
        <v>31</v>
      </c>
      <c r="I157" s="17" t="n">
        <v>64</v>
      </c>
      <c r="J157" s="17" t="n">
        <v>4</v>
      </c>
      <c r="K157" s="17" t="n">
        <v>14</v>
      </c>
      <c r="L157" s="17" t="n">
        <v>1</v>
      </c>
      <c r="M157" s="17" t="inlineStr">
        <is>
          <t>Sedang</t>
        </is>
      </c>
    </row>
    <row r="158" s="1">
      <c r="A158" s="17">
        <f>RANDBETWEEN(2,164)</f>
        <v/>
      </c>
      <c r="B158" s="17">
        <f t="array" ref="B158">INDEX(Data_DBD!$B:$B,$A158)</f>
        <v/>
      </c>
      <c r="C158" s="17">
        <f t="array" ref="C158">INDEX(Data_DBD!$C:$C,$A158)</f>
        <v/>
      </c>
      <c r="D158" s="17">
        <f t="array" ref="D158">INDEX(Data_DBD!$D:$D,$A158)</f>
        <v/>
      </c>
      <c r="E158" s="17">
        <f t="array" ref="E158">INDEX(Data_DBD!$E:$E,$A158)</f>
        <v/>
      </c>
      <c r="F158" s="17">
        <f t="array" ref="F158">INDEX(Data_DBD!$F:$F,$A158)</f>
        <v/>
      </c>
      <c r="H158" s="17" t="n">
        <v>115</v>
      </c>
      <c r="I158" s="17" t="n">
        <v>52</v>
      </c>
      <c r="J158" s="17" t="n">
        <v>3</v>
      </c>
      <c r="K158" s="17" t="n">
        <v>33</v>
      </c>
      <c r="L158" s="17" t="n">
        <v>1</v>
      </c>
      <c r="M158" s="17" t="inlineStr">
        <is>
          <t>Tinggi</t>
        </is>
      </c>
    </row>
    <row r="159" s="1">
      <c r="A159" s="17">
        <f>RANDBETWEEN(2,164)</f>
        <v/>
      </c>
      <c r="B159" s="17">
        <f t="array" ref="B159">INDEX(Data_DBD!$B:$B,$A159)</f>
        <v/>
      </c>
      <c r="C159" s="17">
        <f t="array" ref="C159">INDEX(Data_DBD!$C:$C,$A159)</f>
        <v/>
      </c>
      <c r="D159" s="17">
        <f t="array" ref="D159">INDEX(Data_DBD!$D:$D,$A159)</f>
        <v/>
      </c>
      <c r="E159" s="17">
        <f t="array" ref="E159">INDEX(Data_DBD!$E:$E,$A159)</f>
        <v/>
      </c>
      <c r="F159" s="17">
        <f t="array" ref="F159">INDEX(Data_DBD!$F:$F,$A159)</f>
        <v/>
      </c>
      <c r="H159" s="17" t="n">
        <v>39</v>
      </c>
      <c r="I159" s="17" t="n">
        <v>12</v>
      </c>
      <c r="J159" s="17" t="n">
        <v>5</v>
      </c>
      <c r="K159" s="17" t="n">
        <v>13</v>
      </c>
      <c r="L159" s="17" t="n">
        <v>1</v>
      </c>
      <c r="M159" s="17" t="inlineStr">
        <is>
          <t>Sedang</t>
        </is>
      </c>
    </row>
    <row r="160" s="1">
      <c r="A160" s="17">
        <f>RANDBETWEEN(2,164)</f>
        <v/>
      </c>
      <c r="B160" s="17">
        <f t="array" ref="B160">INDEX(Data_DBD!$B:$B,$A160)</f>
        <v/>
      </c>
      <c r="C160" s="17">
        <f t="array" ref="C160">INDEX(Data_DBD!$C:$C,$A160)</f>
        <v/>
      </c>
      <c r="D160" s="17">
        <f t="array" ref="D160">INDEX(Data_DBD!$D:$D,$A160)</f>
        <v/>
      </c>
      <c r="E160" s="17">
        <f t="array" ref="E160">INDEX(Data_DBD!$E:$E,$A160)</f>
        <v/>
      </c>
      <c r="F160" s="17">
        <f t="array" ref="F160">INDEX(Data_DBD!$F:$F,$A160)</f>
        <v/>
      </c>
      <c r="H160" s="17" t="n">
        <v>58</v>
      </c>
      <c r="I160" s="17" t="n">
        <v>17</v>
      </c>
      <c r="J160" s="17" t="n">
        <v>3</v>
      </c>
      <c r="K160" s="17" t="n">
        <v>15</v>
      </c>
      <c r="L160" s="17" t="n">
        <v>0</v>
      </c>
      <c r="M160" s="17" t="inlineStr">
        <is>
          <t>Sedang</t>
        </is>
      </c>
    </row>
    <row r="161" s="1">
      <c r="A161" s="17">
        <f>RANDBETWEEN(2,164)</f>
        <v/>
      </c>
      <c r="B161" s="17">
        <f t="array" ref="B161">INDEX(Data_DBD!$B:$B,$A161)</f>
        <v/>
      </c>
      <c r="C161" s="17">
        <f t="array" ref="C161">INDEX(Data_DBD!$C:$C,$A161)</f>
        <v/>
      </c>
      <c r="D161" s="17">
        <f t="array" ref="D161">INDEX(Data_DBD!$D:$D,$A161)</f>
        <v/>
      </c>
      <c r="E161" s="17">
        <f t="array" ref="E161">INDEX(Data_DBD!$E:$E,$A161)</f>
        <v/>
      </c>
      <c r="F161" s="17">
        <f t="array" ref="F161">INDEX(Data_DBD!$F:$F,$A161)</f>
        <v/>
      </c>
      <c r="H161" s="17" t="n">
        <v>146</v>
      </c>
      <c r="I161" s="17" t="n">
        <v>34</v>
      </c>
      <c r="J161" s="17" t="n">
        <v>2</v>
      </c>
      <c r="K161" s="17" t="n">
        <v>21</v>
      </c>
      <c r="L161" s="17" t="n">
        <v>1</v>
      </c>
      <c r="M161" s="17" t="inlineStr">
        <is>
          <t>Tinggi</t>
        </is>
      </c>
    </row>
    <row r="162" s="1">
      <c r="A162" s="17">
        <f>RANDBETWEEN(2,164)</f>
        <v/>
      </c>
      <c r="B162" s="17">
        <f t="array" ref="B162">INDEX(Data_DBD!$B:$B,$A162)</f>
        <v/>
      </c>
      <c r="C162" s="17">
        <f t="array" ref="C162">INDEX(Data_DBD!$C:$C,$A162)</f>
        <v/>
      </c>
      <c r="D162" s="17">
        <f t="array" ref="D162">INDEX(Data_DBD!$D:$D,$A162)</f>
        <v/>
      </c>
      <c r="E162" s="17">
        <f t="array" ref="E162">INDEX(Data_DBD!$E:$E,$A162)</f>
        <v/>
      </c>
      <c r="F162" s="17">
        <f t="array" ref="F162">INDEX(Data_DBD!$F:$F,$A162)</f>
        <v/>
      </c>
      <c r="H162" s="17" t="n">
        <v>144</v>
      </c>
      <c r="I162" s="17" t="n">
        <v>61</v>
      </c>
      <c r="J162" s="17" t="n">
        <v>4</v>
      </c>
      <c r="K162" s="17" t="n">
        <v>21</v>
      </c>
      <c r="L162" s="17" t="n">
        <v>1</v>
      </c>
      <c r="M162" s="17" t="inlineStr">
        <is>
          <t>Tinggi</t>
        </is>
      </c>
    </row>
    <row r="163" s="1">
      <c r="A163" s="17">
        <f>RANDBETWEEN(2,164)</f>
        <v/>
      </c>
      <c r="B163" s="17">
        <f t="array" ref="B163">INDEX(Data_DBD!$B:$B,$A163)</f>
        <v/>
      </c>
      <c r="C163" s="17">
        <f t="array" ref="C163">INDEX(Data_DBD!$C:$C,$A163)</f>
        <v/>
      </c>
      <c r="D163" s="17">
        <f t="array" ref="D163">INDEX(Data_DBD!$D:$D,$A163)</f>
        <v/>
      </c>
      <c r="E163" s="17">
        <f t="array" ref="E163">INDEX(Data_DBD!$E:$E,$A163)</f>
        <v/>
      </c>
      <c r="F163" s="17">
        <f t="array" ref="F163">INDEX(Data_DBD!$F:$F,$A163)</f>
        <v/>
      </c>
      <c r="H163" s="17" t="n">
        <v>4</v>
      </c>
      <c r="I163" s="17" t="n">
        <v>23</v>
      </c>
      <c r="J163" s="17" t="n">
        <v>5</v>
      </c>
      <c r="K163" s="17" t="n">
        <v>12</v>
      </c>
      <c r="L163" s="17" t="n">
        <v>0</v>
      </c>
      <c r="M163" s="17" t="inlineStr">
        <is>
          <t>Sedang</t>
        </is>
      </c>
    </row>
    <row r="164" s="1">
      <c r="A164" s="17">
        <f>RANDBETWEEN(2,164)</f>
        <v/>
      </c>
      <c r="B164" s="17">
        <f t="array" ref="B164">INDEX(Data_DBD!$B:$B,$A164)</f>
        <v/>
      </c>
      <c r="C164" s="17">
        <f t="array" ref="C164">INDEX(Data_DBD!$C:$C,$A164)</f>
        <v/>
      </c>
      <c r="D164" s="17">
        <f t="array" ref="D164">INDEX(Data_DBD!$D:$D,$A164)</f>
        <v/>
      </c>
      <c r="E164" s="17">
        <f t="array" ref="E164">INDEX(Data_DBD!$E:$E,$A164)</f>
        <v/>
      </c>
      <c r="F164" s="17">
        <f t="array" ref="F164">INDEX(Data_DBD!$F:$F,$A164)</f>
        <v/>
      </c>
      <c r="H164" s="17" t="n">
        <v>69</v>
      </c>
      <c r="I164" s="17" t="n">
        <v>24</v>
      </c>
      <c r="J164" s="17" t="n">
        <v>4</v>
      </c>
      <c r="K164" s="17" t="n">
        <v>10</v>
      </c>
      <c r="L164" s="17" t="n">
        <v>1</v>
      </c>
      <c r="M164" s="17" t="inlineStr">
        <is>
          <t>Sedang</t>
        </is>
      </c>
    </row>
    <row r="165" s="1">
      <c r="I165" s="26">
        <f>AVERAGE(I2:I164)</f>
        <v/>
      </c>
      <c r="J165" s="26">
        <f>AVERAGE(J2:J164)</f>
        <v/>
      </c>
      <c r="K165" s="26">
        <f>AVERAGE(K2:K164)</f>
        <v/>
      </c>
      <c r="L165" s="26">
        <f>AVERAGE(L2:L164)</f>
        <v/>
      </c>
    </row>
    <row r="167" s="1">
      <c r="B167" t="n">
        <v>2</v>
      </c>
    </row>
    <row r="168" s="1">
      <c r="E168" s="21" t="inlineStr">
        <is>
          <t>USIA</t>
        </is>
      </c>
      <c r="J168" s="21" t="inlineStr">
        <is>
          <t>LAMA RAWAT INAP</t>
        </is>
      </c>
      <c r="O168" s="21" t="inlineStr">
        <is>
          <t>JUMLAH KASUS PER BULAN</t>
        </is>
      </c>
      <c r="T168" s="21" t="inlineStr">
        <is>
          <t>JENIS KELAMIN</t>
        </is>
      </c>
    </row>
    <row r="169" s="1">
      <c r="E169" s="17" t="inlineStr">
        <is>
          <t>Usia</t>
        </is>
      </c>
      <c r="F169" s="17">
        <f>AVERAGEIF($I$2:$I$164,"&lt;="&amp;$I$165)</f>
        <v/>
      </c>
      <c r="G169" s="17">
        <f>AVERAGEIF($I$2:$I$164,"&gt;"&amp;$I$165)</f>
        <v/>
      </c>
      <c r="J169" s="17" t="inlineStr">
        <is>
          <t>Lama rawat inap</t>
        </is>
      </c>
      <c r="K169" s="17">
        <f>AVERAGEIF($J$2:$J$164,"&lt;="&amp;$J$165)</f>
        <v/>
      </c>
      <c r="L169" s="17">
        <f>AVERAGEIF($J$2:$J$164,"&gt;"&amp;$J$165)</f>
        <v/>
      </c>
      <c r="O169" s="17" t="inlineStr">
        <is>
          <t>Jumlah kasus perbulan</t>
        </is>
      </c>
      <c r="P169" s="17">
        <f>AVERAGEIF($K$2:$K$164,"&lt;="&amp;$K$165)</f>
        <v/>
      </c>
      <c r="Q169" s="17">
        <f>AVERAGEIF($K$2:$K$164,"&gt;"&amp;$K$165)</f>
        <v/>
      </c>
      <c r="T169" s="17" t="inlineStr">
        <is>
          <t>Jenis kelamin</t>
        </is>
      </c>
      <c r="U169" s="17">
        <f>AVERAGEIF($L$2:$L$164,"&lt;="&amp;$L$165)</f>
        <v/>
      </c>
      <c r="V169" s="17">
        <f>AVERAGEIF($L$2:$L$164,"&gt;"&amp;$L$165)</f>
        <v/>
      </c>
    </row>
    <row r="170" s="1">
      <c r="E170" s="17">
        <f t="array" ref="E170:E332">IF($I$2:$I$164&lt;$F$169,"kiri",IF($I$2:$I$164&lt;$G$169,"tengah","kanan"))</f>
        <v/>
      </c>
      <c r="F170" s="17" t="inlineStr">
        <is>
          <t>Kanan &gt; 55.5</t>
        </is>
      </c>
      <c r="G170" s="17" t="n"/>
      <c r="J170" s="17">
        <f t="array" ref="J170:J332">IF($J$2:$J$164&lt;$K$169,"kiri",IF($J$2:$J$164&lt;$L$169,"tengah","kanan"))</f>
        <v/>
      </c>
      <c r="K170" s="17" t="inlineStr">
        <is>
          <t>Kanan &gt; 4.5</t>
        </is>
      </c>
      <c r="L170" s="17" t="n"/>
      <c r="O170" s="17">
        <f t="array" ref="O170:O332">IF($K$2:$K$164&lt;$P$169,"kiri",IF($K$2:$K$164&lt;$Q$169,"tengah","kanan"))</f>
        <v/>
      </c>
      <c r="P170" s="17" t="inlineStr">
        <is>
          <t>Kanan &gt; 28.4</t>
        </is>
      </c>
      <c r="Q170" s="17" t="n"/>
      <c r="T170" s="17">
        <f t="array" ref="T170:T332">IF($L$2:$L$164&lt;$U$169,"kiri",IF($L$2:$L$164&lt;$V$169,"tengah","kanan"))</f>
        <v/>
      </c>
      <c r="U170" s="17" t="inlineStr">
        <is>
          <t>Kanan &gt; 1</t>
        </is>
      </c>
      <c r="V170" s="17" t="n"/>
    </row>
    <row r="171" s="1">
      <c r="E171" s="17" t="inlineStr">
        <is>
          <t>tengah</t>
        </is>
      </c>
      <c r="F171" s="17">
        <f>COUNTIFS($E$170:$E$332,"Kanan",$M$2:$M$164,"Tinggi")</f>
        <v/>
      </c>
      <c r="G171" s="17">
        <f>F171/32</f>
        <v/>
      </c>
      <c r="J171" s="17" t="inlineStr">
        <is>
          <t>kiri</t>
        </is>
      </c>
      <c r="K171" s="17">
        <f>COUNTIFS($J$170:$J$332,"Kanan",$M$2:$M$164,"Tinggi")</f>
        <v/>
      </c>
      <c r="L171" s="17">
        <f>K171/27</f>
        <v/>
      </c>
      <c r="O171" s="17" t="inlineStr">
        <is>
          <t>kiri</t>
        </is>
      </c>
      <c r="P171" s="17">
        <f>COUNTIFS($O$170:$O$332,"Kanan",$M$2:$M$164,"Tinggi")</f>
        <v/>
      </c>
      <c r="Q171" s="17">
        <f>P171/33</f>
        <v/>
      </c>
      <c r="T171" s="17" t="inlineStr">
        <is>
          <t>tengah</t>
        </is>
      </c>
      <c r="U171" s="17">
        <f>COUNTIFS($T$170:$T$332,"Kanan",$M$2:$M$164,"Tinggi")</f>
        <v/>
      </c>
      <c r="V171" s="17">
        <f>U171/87</f>
        <v/>
      </c>
    </row>
    <row r="172" s="1">
      <c r="E172" s="17" t="inlineStr">
        <is>
          <t>tengah</t>
        </is>
      </c>
      <c r="F172" s="17">
        <f>COUNTIFS($E$170:$E$332,"Kanan",$M$2:$M$164,"Sedang")</f>
        <v/>
      </c>
      <c r="G172" s="17">
        <f>F172/32</f>
        <v/>
      </c>
      <c r="J172" s="17" t="inlineStr">
        <is>
          <t>tengah</t>
        </is>
      </c>
      <c r="K172" s="17">
        <f>COUNTIFS($J$170:$J$332,"Kanan",$M$2:$M$164,"Sedang")</f>
        <v/>
      </c>
      <c r="L172" s="17">
        <f>K172/27</f>
        <v/>
      </c>
      <c r="O172" s="17" t="inlineStr">
        <is>
          <t>kanan</t>
        </is>
      </c>
      <c r="P172" s="17">
        <f>COUNTIFS($O$170:$O$332,"Kanan",$M$2:$M$164,"Sedang")</f>
        <v/>
      </c>
      <c r="Q172" s="17">
        <f>P172/27</f>
        <v/>
      </c>
      <c r="T172" s="17" t="inlineStr">
        <is>
          <t>tengah</t>
        </is>
      </c>
      <c r="U172" s="17">
        <f>COUNTIFS($T$170:$T$332,"Kanan",$M$2:$M$164,"Sedang")</f>
        <v/>
      </c>
      <c r="V172" s="17">
        <f>U172/87</f>
        <v/>
      </c>
    </row>
    <row r="173" s="1">
      <c r="E173" s="17" t="inlineStr">
        <is>
          <t>kanan</t>
        </is>
      </c>
      <c r="F173" s="17">
        <f>COUNTIFS($E$170:$E$332,"Kanan",$M$2:$M$164,"Rendah")</f>
        <v/>
      </c>
      <c r="G173" s="17">
        <f>F173/32</f>
        <v/>
      </c>
      <c r="J173" s="17" t="inlineStr">
        <is>
          <t>tengah</t>
        </is>
      </c>
      <c r="K173" s="17">
        <f>COUNTIFS($J$170:$J$332,"Kanan",$M$2:$M$164,"Rendah")</f>
        <v/>
      </c>
      <c r="L173" s="17">
        <f>K173/27</f>
        <v/>
      </c>
      <c r="O173" s="17" t="inlineStr">
        <is>
          <t>tengah</t>
        </is>
      </c>
      <c r="P173" s="17">
        <f>COUNTIFS($O$170:$O$332,"Kanan",$M$2:$M$164,"Rendah")</f>
        <v/>
      </c>
      <c r="Q173" s="17">
        <f>P173/27</f>
        <v/>
      </c>
      <c r="T173" s="17" t="inlineStr">
        <is>
          <t>kanan</t>
        </is>
      </c>
      <c r="U173" s="17">
        <f>COUNTIFS($T$170:$T$332,"Kanan",$M$2:$M$164,"Rendah")</f>
        <v/>
      </c>
      <c r="V173" s="17">
        <f>U173/87</f>
        <v/>
      </c>
    </row>
    <row r="174" s="1">
      <c r="E174" s="17" t="inlineStr">
        <is>
          <t>tengah</t>
        </is>
      </c>
      <c r="F174" s="17" t="inlineStr">
        <is>
          <t>Entropy</t>
        </is>
      </c>
      <c r="G174" s="17">
        <f>-(IFERROR(G171*LOG(G171,2),0)+IFERROR(G172*LOG(G172,2),0)+IFERROR(G173*LOG(G173,2),0))</f>
        <v/>
      </c>
      <c r="J174" s="17" t="inlineStr">
        <is>
          <t>tengah</t>
        </is>
      </c>
      <c r="K174" s="17" t="inlineStr">
        <is>
          <t>Entropy</t>
        </is>
      </c>
      <c r="L174" s="17">
        <f>-(IFERROR(L171*LOG(L171,2),0)+IFERROR(L172*LOG(L172,2),0)+IFERROR(L173*LOG(L173,2),0))</f>
        <v/>
      </c>
      <c r="O174" s="17" t="inlineStr">
        <is>
          <t>kanan</t>
        </is>
      </c>
      <c r="P174" s="17" t="inlineStr">
        <is>
          <t>Entropy</t>
        </is>
      </c>
      <c r="Q174" s="17">
        <f>-(IFERROR(Q171*LOG(Q171,2),0)+IFERROR(Q172*LOG(Q172,2),0)+IFERROR(Q173*LOG(Q173,2),0))</f>
        <v/>
      </c>
      <c r="T174" s="17" t="inlineStr">
        <is>
          <t>tengah</t>
        </is>
      </c>
      <c r="U174" s="17" t="inlineStr">
        <is>
          <t>Entropy</t>
        </is>
      </c>
      <c r="V174" s="17">
        <f>-(IFERROR(V171*LOG(V171,2),0)+IFERROR(V172*LOG(V172,2),0)+IFERROR(V173*LOG(V173,2),0))</f>
        <v/>
      </c>
    </row>
    <row r="175" s="1">
      <c r="E175" s="17" t="inlineStr">
        <is>
          <t>kiri</t>
        </is>
      </c>
      <c r="F175" s="17" t="n"/>
      <c r="G175" s="17">
        <f>SUM(F171:F173)/163</f>
        <v/>
      </c>
      <c r="J175" s="17" t="inlineStr">
        <is>
          <t>kiri</t>
        </is>
      </c>
      <c r="K175" s="17" t="n"/>
      <c r="L175" s="17">
        <f>SUM(K171:K173)/163</f>
        <v/>
      </c>
      <c r="O175" s="17" t="inlineStr">
        <is>
          <t>tengah</t>
        </is>
      </c>
      <c r="P175" s="17" t="n"/>
      <c r="Q175" s="17">
        <f>SUM(P171:P173)/163</f>
        <v/>
      </c>
      <c r="T175" s="17" t="inlineStr">
        <is>
          <t>tengah</t>
        </is>
      </c>
      <c r="U175" s="17" t="n"/>
      <c r="V175" s="17">
        <f>SUM(U171:U173)/163</f>
        <v/>
      </c>
    </row>
    <row r="176" s="1">
      <c r="E176" s="17" t="inlineStr">
        <is>
          <t>tengah</t>
        </is>
      </c>
      <c r="F176" s="17" t="n"/>
      <c r="G176" s="23">
        <f>G174*G175</f>
        <v/>
      </c>
      <c r="J176" s="17" t="inlineStr">
        <is>
          <t>kiri</t>
        </is>
      </c>
      <c r="K176" s="17" t="n"/>
      <c r="L176" s="23">
        <f>L174*L175</f>
        <v/>
      </c>
      <c r="O176" s="17" t="inlineStr">
        <is>
          <t>tengah</t>
        </is>
      </c>
      <c r="P176" s="17" t="n"/>
      <c r="Q176" s="23">
        <f>Q174*Q175</f>
        <v/>
      </c>
      <c r="T176" s="17" t="inlineStr">
        <is>
          <t>tengah</t>
        </is>
      </c>
      <c r="U176" s="17" t="n"/>
      <c r="V176" s="23">
        <f>V174*V175</f>
        <v/>
      </c>
    </row>
    <row r="177" s="1">
      <c r="E177" s="17" t="inlineStr">
        <is>
          <t>kiri</t>
        </is>
      </c>
      <c r="F177" s="17" t="n"/>
      <c r="G177" s="17" t="n"/>
      <c r="J177" s="17" t="inlineStr">
        <is>
          <t>tengah</t>
        </is>
      </c>
      <c r="K177" s="17" t="n"/>
      <c r="L177" s="17" t="n"/>
      <c r="O177" s="17" t="inlineStr">
        <is>
          <t>tengah</t>
        </is>
      </c>
      <c r="P177" s="17" t="n"/>
      <c r="Q177" s="17" t="n"/>
      <c r="T177" s="17" t="inlineStr">
        <is>
          <t>tengah</t>
        </is>
      </c>
      <c r="U177" s="17" t="n"/>
      <c r="V177" s="17" t="n"/>
    </row>
    <row r="178" s="1">
      <c r="E178" s="17" t="inlineStr">
        <is>
          <t>tengah</t>
        </is>
      </c>
      <c r="F178" s="17" t="n"/>
      <c r="G178" s="17" t="n"/>
      <c r="J178" s="17" t="inlineStr">
        <is>
          <t>tengah</t>
        </is>
      </c>
      <c r="K178" s="17" t="n"/>
      <c r="L178" s="17" t="n"/>
      <c r="O178" s="17" t="inlineStr">
        <is>
          <t>kiri</t>
        </is>
      </c>
      <c r="P178" s="17" t="n"/>
      <c r="Q178" s="17" t="n"/>
      <c r="T178" s="17" t="inlineStr">
        <is>
          <t>kanan</t>
        </is>
      </c>
      <c r="U178" s="17" t="n"/>
      <c r="V178" s="17" t="n"/>
    </row>
    <row r="179" s="1">
      <c r="E179" s="17" t="inlineStr">
        <is>
          <t>kiri</t>
        </is>
      </c>
      <c r="F179" s="17" t="inlineStr">
        <is>
          <t>Kiri&lt;17.96</t>
        </is>
      </c>
      <c r="G179" s="17" t="n"/>
      <c r="J179" s="17" t="inlineStr">
        <is>
          <t>tengah</t>
        </is>
      </c>
      <c r="K179" s="17" t="inlineStr">
        <is>
          <t>Kiri&lt;2.65</t>
        </is>
      </c>
      <c r="L179" s="17" t="n"/>
      <c r="O179" s="17" t="inlineStr">
        <is>
          <t>kiri</t>
        </is>
      </c>
      <c r="P179" s="17" t="inlineStr">
        <is>
          <t>Kiri&lt;13.35</t>
        </is>
      </c>
      <c r="Q179" s="17" t="n"/>
      <c r="T179" s="17" t="inlineStr">
        <is>
          <t>tengah</t>
        </is>
      </c>
      <c r="U179" s="17" t="inlineStr">
        <is>
          <t>Kiri&lt;0</t>
        </is>
      </c>
      <c r="V179" s="17" t="n"/>
    </row>
    <row r="180" s="1">
      <c r="E180" s="17" t="inlineStr">
        <is>
          <t>kanan</t>
        </is>
      </c>
      <c r="F180" s="17">
        <f>COUNTIFS($E$170:$E$332,"Kiri",$M$2:$M$164,"Tinggi")</f>
        <v/>
      </c>
      <c r="G180" s="17">
        <f>F180/41</f>
        <v/>
      </c>
      <c r="J180" s="17" t="inlineStr">
        <is>
          <t>kanan</t>
        </is>
      </c>
      <c r="K180" s="17">
        <f>COUNTIFS($J$170:$J$332,"Kiri",$M$2:$M$164,"Tinggi")</f>
        <v/>
      </c>
      <c r="L180" s="17">
        <f>K180/25</f>
        <v/>
      </c>
      <c r="O180" s="17" t="inlineStr">
        <is>
          <t>kanan</t>
        </is>
      </c>
      <c r="P180" s="17">
        <f>COUNTIFS($O$170:$O$332,"Kiri",$M$2:$M$164,"Tinggi")</f>
        <v/>
      </c>
      <c r="Q180" s="17">
        <f>P180/57</f>
        <v/>
      </c>
      <c r="T180" s="17" t="inlineStr">
        <is>
          <t>kanan</t>
        </is>
      </c>
      <c r="U180" s="17">
        <f>COUNTIFS($T$170:$T$332,"Kiri",$M$2:$M$164,"Tinggi")</f>
        <v/>
      </c>
      <c r="V180" s="17">
        <f>U180/57</f>
        <v/>
      </c>
    </row>
    <row r="181" s="1">
      <c r="E181" s="17" t="inlineStr">
        <is>
          <t>kiri</t>
        </is>
      </c>
      <c r="F181" s="17">
        <f>COUNTIFS($E$170:$E$332,"Kiri",$M$2:$M$164,"Sedang")</f>
        <v/>
      </c>
      <c r="G181" s="17">
        <f>F181/41</f>
        <v/>
      </c>
      <c r="J181" s="17" t="inlineStr">
        <is>
          <t>tengah</t>
        </is>
      </c>
      <c r="K181" s="17">
        <f>COUNTIFS($J$170:$J$332,"Kiri",$M$2:$M$164,"Sedang")</f>
        <v/>
      </c>
      <c r="L181" s="17">
        <f>K181/25</f>
        <v/>
      </c>
      <c r="O181" s="17" t="inlineStr">
        <is>
          <t>kanan</t>
        </is>
      </c>
      <c r="P181" s="17">
        <f>COUNTIFS($O$170:$O$332,"Kiri",$M$2:$M$164,"Sedang")</f>
        <v/>
      </c>
      <c r="Q181" s="17">
        <f>P181/57</f>
        <v/>
      </c>
      <c r="T181" s="17" t="inlineStr">
        <is>
          <t>kanan</t>
        </is>
      </c>
      <c r="U181" s="17">
        <f>COUNTIFS($T$170:$T$332,"Kiri",$M$2:$M$164,"Sedang")</f>
        <v/>
      </c>
      <c r="V181" s="17">
        <f>U181/57</f>
        <v/>
      </c>
    </row>
    <row r="182" s="1">
      <c r="E182" s="17" t="inlineStr">
        <is>
          <t>tengah</t>
        </is>
      </c>
      <c r="F182" s="17">
        <f>COUNTIFS($E$170:$E$332,"Kiri",$M$2:$M$164,"Rendah")</f>
        <v/>
      </c>
      <c r="G182" s="17">
        <f>F182/41</f>
        <v/>
      </c>
      <c r="J182" s="17" t="inlineStr">
        <is>
          <t>tengah</t>
        </is>
      </c>
      <c r="K182" s="17">
        <f>COUNTIFS($J$170:$J$332,"Kiri",$M$2:$M$164,"Rendah")</f>
        <v/>
      </c>
      <c r="L182" s="17">
        <f>K182/25</f>
        <v/>
      </c>
      <c r="O182" s="17" t="inlineStr">
        <is>
          <t>kanan</t>
        </is>
      </c>
      <c r="P182" s="17">
        <f>COUNTIFS($O$170:$O$332,"Kiri",$M$2:$M$164,"Rendah")</f>
        <v/>
      </c>
      <c r="Q182" s="17">
        <f>P182/57</f>
        <v/>
      </c>
      <c r="T182" s="17" t="inlineStr">
        <is>
          <t>kanan</t>
        </is>
      </c>
      <c r="U182" s="17">
        <f>COUNTIFS($T$170:$T$332,"Kiri",$M$2:$M$164,"Rendah")</f>
        <v/>
      </c>
      <c r="V182" s="17">
        <f>U182/57</f>
        <v/>
      </c>
    </row>
    <row r="183" s="1">
      <c r="E183" s="17" t="inlineStr">
        <is>
          <t>tengah</t>
        </is>
      </c>
      <c r="F183" s="17" t="inlineStr">
        <is>
          <t>Entropy</t>
        </is>
      </c>
      <c r="G183" s="17">
        <f>-(IFERROR(G180*LOG(G180,2),0)+IFERROR(G181*LOG(G181,2),0)+IFERROR(G182*LOG(G182,2),0))</f>
        <v/>
      </c>
      <c r="J183" s="17" t="inlineStr">
        <is>
          <t>kanan</t>
        </is>
      </c>
      <c r="K183" s="17" t="inlineStr">
        <is>
          <t>Entropy</t>
        </is>
      </c>
      <c r="L183" s="17">
        <f>-(IFERROR(L180*LOG(L180,2),0)+IFERROR(L181*LOG(L181,2),0)+IFERROR(L182*LOG(L182,2),0))</f>
        <v/>
      </c>
      <c r="O183" s="17" t="inlineStr">
        <is>
          <t>kiri</t>
        </is>
      </c>
      <c r="P183" s="17" t="inlineStr">
        <is>
          <t>Entropy</t>
        </is>
      </c>
      <c r="Q183" s="17">
        <f>-(IFERROR(Q180*LOG(Q180,2),0)+IFERROR(Q181*LOG(Q181,2),0)+IFERROR(Q182*LOG(Q182,2),0))</f>
        <v/>
      </c>
      <c r="T183" s="17" t="inlineStr">
        <is>
          <t>tengah</t>
        </is>
      </c>
      <c r="U183" s="17" t="inlineStr">
        <is>
          <t>Entropy</t>
        </is>
      </c>
      <c r="V183" s="17">
        <f>-(IFERROR(V180*LOG(V180,2),0)+IFERROR(V181*LOG(V181,2),0)+IFERROR(V182*LOG(V182,2),0))</f>
        <v/>
      </c>
    </row>
    <row r="184" s="1">
      <c r="E184" s="17" t="inlineStr">
        <is>
          <t>kanan</t>
        </is>
      </c>
      <c r="F184" s="17" t="n"/>
      <c r="G184" s="17">
        <f>SUM(F180:F182)/163</f>
        <v/>
      </c>
      <c r="J184" s="17" t="inlineStr">
        <is>
          <t>tengah</t>
        </is>
      </c>
      <c r="K184" s="17" t="n"/>
      <c r="L184" s="17">
        <f>SUM(K180:K182)/163</f>
        <v/>
      </c>
      <c r="O184" s="17" t="inlineStr">
        <is>
          <t>kiri</t>
        </is>
      </c>
      <c r="P184" s="17" t="n"/>
      <c r="Q184" s="17">
        <f>SUM(P180:P182)/163</f>
        <v/>
      </c>
      <c r="T184" s="17" t="inlineStr">
        <is>
          <t>tengah</t>
        </is>
      </c>
      <c r="U184" s="17" t="n"/>
      <c r="V184" s="17">
        <f>SUM(U180:U182)/163</f>
        <v/>
      </c>
    </row>
    <row r="185" s="1">
      <c r="E185" s="17" t="inlineStr">
        <is>
          <t>tengah</t>
        </is>
      </c>
      <c r="F185" s="17" t="n"/>
      <c r="G185" s="23">
        <f>G183*G184</f>
        <v/>
      </c>
      <c r="J185" s="17" t="inlineStr">
        <is>
          <t>kiri</t>
        </is>
      </c>
      <c r="K185" s="17" t="n"/>
      <c r="L185" s="23">
        <f>L183*L184</f>
        <v/>
      </c>
      <c r="O185" s="17" t="inlineStr">
        <is>
          <t>kanan</t>
        </is>
      </c>
      <c r="P185" s="17" t="n"/>
      <c r="Q185" s="23">
        <f>Q183*Q184</f>
        <v/>
      </c>
      <c r="T185" s="17" t="inlineStr">
        <is>
          <t>tengah</t>
        </is>
      </c>
      <c r="U185" s="17" t="n"/>
      <c r="V185" s="23">
        <f>V183*V184</f>
        <v/>
      </c>
    </row>
    <row r="186" s="1">
      <c r="E186" s="17" t="inlineStr">
        <is>
          <t>kanan</t>
        </is>
      </c>
      <c r="F186" s="17" t="n"/>
      <c r="G186" s="17" t="n"/>
      <c r="J186" s="17" t="inlineStr">
        <is>
          <t>kanan</t>
        </is>
      </c>
      <c r="K186" s="17" t="n"/>
      <c r="L186" s="17" t="n"/>
      <c r="O186" s="17" t="inlineStr">
        <is>
          <t>tengah</t>
        </is>
      </c>
      <c r="P186" s="17" t="n"/>
      <c r="Q186" s="17" t="n"/>
      <c r="T186" s="17" t="inlineStr">
        <is>
          <t>kanan</t>
        </is>
      </c>
      <c r="U186" s="17" t="n"/>
      <c r="V186" s="17" t="n"/>
    </row>
    <row r="187" s="1">
      <c r="E187" s="17" t="inlineStr">
        <is>
          <t>tengah</t>
        </is>
      </c>
      <c r="F187" s="17" t="n"/>
      <c r="G187" s="17" t="n"/>
      <c r="J187" s="17" t="inlineStr">
        <is>
          <t>kiri</t>
        </is>
      </c>
      <c r="K187" s="17" t="n"/>
      <c r="L187" s="17" t="n"/>
      <c r="O187" s="17" t="inlineStr">
        <is>
          <t>kiri</t>
        </is>
      </c>
      <c r="P187" s="17" t="n"/>
      <c r="Q187" s="17" t="n"/>
      <c r="T187" s="17" t="inlineStr">
        <is>
          <t>tengah</t>
        </is>
      </c>
      <c r="U187" s="17" t="n"/>
      <c r="V187" s="17" t="n"/>
    </row>
    <row r="188" s="1">
      <c r="E188" s="17" t="inlineStr">
        <is>
          <t>tengah</t>
        </is>
      </c>
      <c r="F188" s="17" t="inlineStr">
        <is>
          <t>Tengah</t>
        </is>
      </c>
      <c r="G188" s="17" t="n"/>
      <c r="J188" s="17" t="inlineStr">
        <is>
          <t>tengah</t>
        </is>
      </c>
      <c r="K188" s="17" t="inlineStr">
        <is>
          <t>Tengah</t>
        </is>
      </c>
      <c r="L188" s="17" t="n"/>
      <c r="O188" s="17" t="inlineStr">
        <is>
          <t>tengah</t>
        </is>
      </c>
      <c r="P188" s="17" t="inlineStr">
        <is>
          <t>Tengah</t>
        </is>
      </c>
      <c r="Q188" s="17" t="n"/>
      <c r="T188" s="17" t="inlineStr">
        <is>
          <t>tengah</t>
        </is>
      </c>
      <c r="U188" s="17" t="inlineStr">
        <is>
          <t>Tengah</t>
        </is>
      </c>
      <c r="V188" s="17" t="n"/>
    </row>
    <row r="189" s="1">
      <c r="E189" s="17" t="inlineStr">
        <is>
          <t>tengah</t>
        </is>
      </c>
      <c r="F189" s="17">
        <f>COUNTIFS($E$170:$E$332,"Tengah",$M$2:$M$164,"Tinggi")</f>
        <v/>
      </c>
      <c r="G189" s="17">
        <f>F189/90</f>
        <v/>
      </c>
      <c r="J189" s="17" t="inlineStr">
        <is>
          <t>tengah</t>
        </is>
      </c>
      <c r="K189" s="17">
        <f>COUNTIFS($J$170:$J$332,"Tengah",$M$2:$M$164,"Tinggi")</f>
        <v/>
      </c>
      <c r="L189" s="17">
        <f>K189/111</f>
        <v/>
      </c>
      <c r="O189" s="17" t="inlineStr">
        <is>
          <t>kiri</t>
        </is>
      </c>
      <c r="P189" s="17">
        <f>COUNTIFS($O$170:$O$332,"Tengah",$M$2:$M$164,"Tinggi")</f>
        <v/>
      </c>
      <c r="Q189" s="17">
        <f>P189/73</f>
        <v/>
      </c>
      <c r="T189" s="17" t="inlineStr">
        <is>
          <t>kanan</t>
        </is>
      </c>
      <c r="U189" s="17">
        <f>COUNTIFS($T$170:$T$332,"Tengah",$M$2:$M$164,"Tinggi")</f>
        <v/>
      </c>
      <c r="V189" s="17">
        <f>U189/76</f>
        <v/>
      </c>
    </row>
    <row r="190" s="1">
      <c r="E190" s="17" t="inlineStr">
        <is>
          <t>tengah</t>
        </is>
      </c>
      <c r="F190" s="17">
        <f>COUNTIFS($E$170:$E$332,"Tengah",$M$2:$M$164,"Sedang")</f>
        <v/>
      </c>
      <c r="G190" s="17">
        <f>F190/90</f>
        <v/>
      </c>
      <c r="J190" s="17" t="inlineStr">
        <is>
          <t>tengah</t>
        </is>
      </c>
      <c r="K190" s="17">
        <f>COUNTIFS($J$170:$J$332,"Tengah",$M$2:$M$164,"Sedang")</f>
        <v/>
      </c>
      <c r="L190" s="17">
        <f>K190/111</f>
        <v/>
      </c>
      <c r="O190" s="17" t="inlineStr">
        <is>
          <t>tengah</t>
        </is>
      </c>
      <c r="P190" s="17">
        <f>COUNTIFS($O$170:$O$332,"Tengah",$M$2:$M$164,"Sedang")</f>
        <v/>
      </c>
      <c r="Q190" s="17">
        <f>P190/73</f>
        <v/>
      </c>
      <c r="T190" s="17" t="inlineStr">
        <is>
          <t>kanan</t>
        </is>
      </c>
      <c r="U190" s="17">
        <f>COUNTIFS($T$170:$T$332,"Tengah",$M$2:$M$164,"Sedang")</f>
        <v/>
      </c>
      <c r="V190" s="17">
        <f>U190/76</f>
        <v/>
      </c>
    </row>
    <row r="191" s="1">
      <c r="E191" s="17" t="inlineStr">
        <is>
          <t>kanan</t>
        </is>
      </c>
      <c r="F191" s="17">
        <f>COUNTIFS($E$170:$E$332,"Tengah",$M$2:$M$164,"Rendah")</f>
        <v/>
      </c>
      <c r="G191" s="17">
        <f>F191/90</f>
        <v/>
      </c>
      <c r="J191" s="17" t="inlineStr">
        <is>
          <t>tengah</t>
        </is>
      </c>
      <c r="K191" s="17">
        <f>COUNTIFS($J$170:$J$332,"Tengah",$M$2:$M$164,"Rendah")</f>
        <v/>
      </c>
      <c r="L191" s="17">
        <f>K191/111</f>
        <v/>
      </c>
      <c r="O191" s="17" t="inlineStr">
        <is>
          <t>tengah</t>
        </is>
      </c>
      <c r="P191" s="17">
        <f>COUNTIFS($O$170:$O$332,"Tengah",$M$2:$M$164,"Rendah")</f>
        <v/>
      </c>
      <c r="Q191" s="17">
        <f>P191/73</f>
        <v/>
      </c>
      <c r="T191" s="17" t="inlineStr">
        <is>
          <t>tengah</t>
        </is>
      </c>
      <c r="U191" s="17">
        <f>COUNTIFS($T$170:$T$332,"Tengah",$M$2:$M$164,"Rendah")</f>
        <v/>
      </c>
      <c r="V191" s="17">
        <f>U191/76</f>
        <v/>
      </c>
    </row>
    <row r="192" s="1">
      <c r="E192" s="17" t="inlineStr">
        <is>
          <t>kiri</t>
        </is>
      </c>
      <c r="F192" s="17" t="inlineStr">
        <is>
          <t>Entropy</t>
        </is>
      </c>
      <c r="G192" s="17">
        <f>-(IFERROR(G189*LOG(G189,2),0)+IFERROR(G190*LOG(G190,2),0)+IFERROR(G191*LOG(G191,2),0))</f>
        <v/>
      </c>
      <c r="J192" s="17" t="inlineStr">
        <is>
          <t>tengah</t>
        </is>
      </c>
      <c r="K192" s="17" t="inlineStr">
        <is>
          <t>Entropy</t>
        </is>
      </c>
      <c r="L192" s="17">
        <f>-(IFERROR(L189*LOG(L189,2),0)+IFERROR(L190*LOG(L190,2),0)+IFERROR(L191*LOG(L191,2),0))</f>
        <v/>
      </c>
      <c r="O192" s="17" t="inlineStr">
        <is>
          <t>kiri</t>
        </is>
      </c>
      <c r="P192" s="17" t="inlineStr">
        <is>
          <t>Entropy</t>
        </is>
      </c>
      <c r="Q192" s="17">
        <f>-(IFERROR(Q189*LOG(Q189,2),0)+IFERROR(Q190*LOG(Q190,2),0)+IFERROR(Q191*LOG(Q191,2),0))</f>
        <v/>
      </c>
      <c r="T192" s="17" t="inlineStr">
        <is>
          <t>tengah</t>
        </is>
      </c>
      <c r="U192" s="17" t="inlineStr">
        <is>
          <t>Entropy</t>
        </is>
      </c>
      <c r="V192" s="17">
        <f>-(IFERROR(V189*LOG(V189,2),0)+IFERROR(V190*LOG(V190,2),0)+IFERROR(V191*LOG(V191,2),0))</f>
        <v/>
      </c>
    </row>
    <row r="193" s="1">
      <c r="E193" s="17" t="inlineStr">
        <is>
          <t>tengah</t>
        </is>
      </c>
      <c r="F193" s="17" t="n"/>
      <c r="G193" s="17">
        <f>SUM(F189:F191)/163</f>
        <v/>
      </c>
      <c r="J193" s="17" t="inlineStr">
        <is>
          <t>kiri</t>
        </is>
      </c>
      <c r="K193" s="17" t="n"/>
      <c r="L193" s="17">
        <f>SUM(K189:K191)/163</f>
        <v/>
      </c>
      <c r="O193" s="17" t="inlineStr">
        <is>
          <t>kanan</t>
        </is>
      </c>
      <c r="P193" s="17" t="n"/>
      <c r="Q193" s="17">
        <f>SUM(P189:P191)/163</f>
        <v/>
      </c>
      <c r="T193" s="17" t="inlineStr">
        <is>
          <t>tengah</t>
        </is>
      </c>
      <c r="U193" s="17" t="n"/>
      <c r="V193" s="17">
        <f>SUM(U189:U191)/163</f>
        <v/>
      </c>
    </row>
    <row r="194" s="1">
      <c r="E194" s="17" t="inlineStr">
        <is>
          <t>kanan</t>
        </is>
      </c>
      <c r="F194" s="17" t="n"/>
      <c r="G194" s="23">
        <f>G192*G193</f>
        <v/>
      </c>
      <c r="J194" s="17" t="inlineStr">
        <is>
          <t>tengah</t>
        </is>
      </c>
      <c r="K194" s="17" t="n"/>
      <c r="L194" s="23">
        <f>L192*L193</f>
        <v/>
      </c>
      <c r="O194" s="17" t="inlineStr">
        <is>
          <t>tengah</t>
        </is>
      </c>
      <c r="P194" s="17" t="n"/>
      <c r="Q194" s="23">
        <f>Q192*Q193</f>
        <v/>
      </c>
      <c r="T194" s="17" t="inlineStr">
        <is>
          <t>kanan</t>
        </is>
      </c>
      <c r="U194" s="17" t="n"/>
      <c r="V194" s="23">
        <f>V192*V193</f>
        <v/>
      </c>
    </row>
    <row r="195" s="1">
      <c r="E195" s="17" t="inlineStr">
        <is>
          <t>tengah</t>
        </is>
      </c>
      <c r="F195" s="17" t="n"/>
      <c r="G195" s="17" t="n"/>
      <c r="J195" s="17" t="inlineStr">
        <is>
          <t>tengah</t>
        </is>
      </c>
      <c r="K195" s="17" t="n"/>
      <c r="L195" s="17" t="n"/>
      <c r="O195" s="17" t="inlineStr">
        <is>
          <t>tengah</t>
        </is>
      </c>
      <c r="P195" s="17" t="n"/>
      <c r="Q195" s="17" t="n"/>
      <c r="T195" s="17" t="inlineStr">
        <is>
          <t>tengah</t>
        </is>
      </c>
      <c r="U195" s="17" t="n"/>
      <c r="V195" s="17" t="n"/>
    </row>
    <row r="196" s="1">
      <c r="E196" s="17" t="inlineStr">
        <is>
          <t>kiri</t>
        </is>
      </c>
      <c r="F196" s="17" t="inlineStr">
        <is>
          <t>IG</t>
        </is>
      </c>
      <c r="G196" s="17" t="n"/>
      <c r="J196" s="17" t="inlineStr">
        <is>
          <t>tengah</t>
        </is>
      </c>
      <c r="K196" s="17" t="inlineStr">
        <is>
          <t>IG</t>
        </is>
      </c>
      <c r="L196" s="17" t="n"/>
      <c r="O196" s="17" t="inlineStr">
        <is>
          <t>tengah</t>
        </is>
      </c>
      <c r="P196" s="17" t="inlineStr">
        <is>
          <t>IG</t>
        </is>
      </c>
      <c r="Q196" s="17" t="n"/>
      <c r="T196" s="17" t="inlineStr">
        <is>
          <t>tengah</t>
        </is>
      </c>
      <c r="U196" s="17" t="inlineStr">
        <is>
          <t>IG</t>
        </is>
      </c>
      <c r="V196" s="17" t="n"/>
    </row>
    <row r="197" s="1">
      <c r="E197" s="17" t="inlineStr">
        <is>
          <t>tengah</t>
        </is>
      </c>
      <c r="F197" s="24">
        <f>P5-(G176+G185+G194)</f>
        <v/>
      </c>
      <c r="G197" s="17" t="n"/>
      <c r="J197" s="17" t="inlineStr">
        <is>
          <t>kanan</t>
        </is>
      </c>
      <c r="K197" s="24">
        <f>P5-(L176+L185+L194)</f>
        <v/>
      </c>
      <c r="L197" s="17" t="n"/>
      <c r="O197" s="17" t="inlineStr">
        <is>
          <t>tengah</t>
        </is>
      </c>
      <c r="P197" s="24">
        <f>P5-(Q176+Q185+Q194)</f>
        <v/>
      </c>
      <c r="Q197" s="17" t="n"/>
      <c r="T197" s="17" t="inlineStr">
        <is>
          <t>tengah</t>
        </is>
      </c>
      <c r="U197" s="24">
        <f>P5-(V176+V185+V194)</f>
        <v/>
      </c>
      <c r="V197" s="17" t="n"/>
    </row>
    <row r="198" s="1">
      <c r="E198" s="17" t="inlineStr">
        <is>
          <t>tengah</t>
        </is>
      </c>
      <c r="F198" s="17" t="n"/>
      <c r="G198" s="17" t="n"/>
      <c r="J198" s="17" t="inlineStr">
        <is>
          <t>tengah</t>
        </is>
      </c>
      <c r="K198" s="17" t="n"/>
      <c r="L198" s="17" t="n"/>
      <c r="O198" s="17" t="inlineStr">
        <is>
          <t>tengah</t>
        </is>
      </c>
      <c r="P198" s="17" t="n"/>
      <c r="Q198" s="17" t="n"/>
      <c r="T198" s="17" t="inlineStr">
        <is>
          <t>kanan</t>
        </is>
      </c>
      <c r="U198" s="17" t="n"/>
      <c r="V198" s="17" t="n"/>
    </row>
    <row r="199" s="1">
      <c r="E199" s="17" t="inlineStr">
        <is>
          <t>kanan</t>
        </is>
      </c>
      <c r="F199" s="17" t="n"/>
      <c r="G199" s="17" t="n"/>
      <c r="J199" s="17" t="inlineStr">
        <is>
          <t>kanan</t>
        </is>
      </c>
      <c r="K199" s="17" t="n"/>
      <c r="L199" s="17" t="n"/>
      <c r="O199" s="17" t="inlineStr">
        <is>
          <t>kanan</t>
        </is>
      </c>
      <c r="P199" s="17" t="n"/>
      <c r="Q199" s="17" t="n"/>
      <c r="T199" s="17" t="inlineStr">
        <is>
          <t>kanan</t>
        </is>
      </c>
      <c r="U199" s="17" t="n"/>
      <c r="V199" s="17" t="n"/>
    </row>
    <row r="200" s="1">
      <c r="E200" s="17" t="inlineStr">
        <is>
          <t>kiri</t>
        </is>
      </c>
      <c r="F200" s="17" t="n"/>
      <c r="G200" s="17" t="n"/>
      <c r="J200" s="17" t="inlineStr">
        <is>
          <t>tengah</t>
        </is>
      </c>
      <c r="K200" s="17" t="n"/>
      <c r="L200" s="17" t="n"/>
      <c r="O200" s="17" t="inlineStr">
        <is>
          <t>tengah</t>
        </is>
      </c>
      <c r="P200" s="17" t="n"/>
      <c r="Q200" s="17" t="n"/>
      <c r="T200" s="17" t="inlineStr">
        <is>
          <t>tengah</t>
        </is>
      </c>
      <c r="U200" s="17" t="n"/>
      <c r="V200" s="17" t="n"/>
    </row>
    <row r="201" s="1">
      <c r="E201" s="17" t="inlineStr">
        <is>
          <t>kiri</t>
        </is>
      </c>
      <c r="F201" s="17" t="n"/>
      <c r="G201" s="17" t="n"/>
      <c r="J201" s="17" t="inlineStr">
        <is>
          <t>kanan</t>
        </is>
      </c>
      <c r="K201" s="17" t="n"/>
      <c r="L201" s="17" t="n"/>
      <c r="O201" s="17" t="inlineStr">
        <is>
          <t>tengah</t>
        </is>
      </c>
      <c r="P201" s="17" t="n"/>
      <c r="Q201" s="17" t="n"/>
      <c r="T201" s="17" t="inlineStr">
        <is>
          <t>kanan</t>
        </is>
      </c>
      <c r="U201" s="17" t="n"/>
      <c r="V201" s="17" t="n"/>
    </row>
    <row r="202" s="1">
      <c r="E202" s="17" t="inlineStr">
        <is>
          <t>tengah</t>
        </is>
      </c>
      <c r="F202" s="17" t="n"/>
      <c r="G202" s="17" t="n"/>
      <c r="J202" s="17" t="inlineStr">
        <is>
          <t>tengah</t>
        </is>
      </c>
      <c r="K202" s="17" t="n"/>
      <c r="L202" s="17" t="n"/>
      <c r="O202" s="17" t="inlineStr">
        <is>
          <t>tengah</t>
        </is>
      </c>
      <c r="P202" s="17" t="n"/>
      <c r="Q202" s="17" t="n"/>
      <c r="T202" s="17" t="inlineStr">
        <is>
          <t>kanan</t>
        </is>
      </c>
      <c r="U202" s="17" t="n"/>
      <c r="V202" s="17" t="n"/>
    </row>
    <row r="203" s="1">
      <c r="E203" s="17" t="inlineStr">
        <is>
          <t>tengah</t>
        </is>
      </c>
      <c r="F203" s="17" t="n"/>
      <c r="G203" s="17" t="n"/>
      <c r="J203" s="17" t="inlineStr">
        <is>
          <t>tengah</t>
        </is>
      </c>
      <c r="K203" s="17" t="n"/>
      <c r="L203" s="17" t="n"/>
      <c r="O203" s="17" t="inlineStr">
        <is>
          <t>kiri</t>
        </is>
      </c>
      <c r="P203" s="17" t="n"/>
      <c r="Q203" s="17" t="n"/>
      <c r="T203" s="17" t="inlineStr">
        <is>
          <t>kanan</t>
        </is>
      </c>
      <c r="U203" s="17" t="n"/>
      <c r="V203" s="17" t="n"/>
    </row>
    <row r="204" s="1">
      <c r="E204" s="17" t="inlineStr">
        <is>
          <t>tengah</t>
        </is>
      </c>
      <c r="F204" s="17" t="n"/>
      <c r="G204" s="17" t="n"/>
      <c r="J204" s="17" t="inlineStr">
        <is>
          <t>tengah</t>
        </is>
      </c>
      <c r="K204" s="17" t="n"/>
      <c r="L204" s="17" t="n"/>
      <c r="O204" s="17" t="inlineStr">
        <is>
          <t>kiri</t>
        </is>
      </c>
      <c r="P204" s="17" t="n"/>
      <c r="Q204" s="17" t="n"/>
      <c r="T204" s="17" t="inlineStr">
        <is>
          <t>tengah</t>
        </is>
      </c>
      <c r="U204" s="17" t="n"/>
      <c r="V204" s="17" t="n"/>
    </row>
    <row r="205" s="1">
      <c r="E205" s="17" t="inlineStr">
        <is>
          <t>tengah</t>
        </is>
      </c>
      <c r="F205" s="17" t="n"/>
      <c r="G205" s="17" t="n"/>
      <c r="J205" s="17" t="inlineStr">
        <is>
          <t>tengah</t>
        </is>
      </c>
      <c r="K205" s="17" t="n"/>
      <c r="L205" s="17" t="n"/>
      <c r="O205" s="17" t="inlineStr">
        <is>
          <t>tengah</t>
        </is>
      </c>
      <c r="P205" s="17" t="n"/>
      <c r="Q205" s="17" t="n"/>
      <c r="T205" s="17" t="inlineStr">
        <is>
          <t>kanan</t>
        </is>
      </c>
      <c r="U205" s="17" t="n"/>
      <c r="V205" s="17" t="n"/>
    </row>
    <row r="206" s="1">
      <c r="E206" s="17" t="inlineStr">
        <is>
          <t>kiri</t>
        </is>
      </c>
      <c r="F206" s="17" t="n"/>
      <c r="G206" s="17" t="n"/>
      <c r="J206" s="17" t="inlineStr">
        <is>
          <t>kanan</t>
        </is>
      </c>
      <c r="K206" s="17" t="n"/>
      <c r="L206" s="17" t="n"/>
      <c r="O206" s="17" t="inlineStr">
        <is>
          <t>kiri</t>
        </is>
      </c>
      <c r="P206" s="17" t="n"/>
      <c r="Q206" s="17" t="n"/>
      <c r="T206" s="17" t="inlineStr">
        <is>
          <t>tengah</t>
        </is>
      </c>
      <c r="U206" s="17" t="n"/>
      <c r="V206" s="17" t="n"/>
    </row>
    <row r="207" s="1">
      <c r="E207" s="17" t="inlineStr">
        <is>
          <t>kiri</t>
        </is>
      </c>
      <c r="F207" s="17" t="n"/>
      <c r="G207" s="17" t="n"/>
      <c r="J207" s="17" t="inlineStr">
        <is>
          <t>tengah</t>
        </is>
      </c>
      <c r="K207" s="17" t="n"/>
      <c r="L207" s="17" t="n"/>
      <c r="O207" s="17" t="inlineStr">
        <is>
          <t>tengah</t>
        </is>
      </c>
      <c r="P207" s="17" t="n"/>
      <c r="Q207" s="17" t="n"/>
      <c r="T207" s="17" t="inlineStr">
        <is>
          <t>tengah</t>
        </is>
      </c>
      <c r="U207" s="17" t="n"/>
      <c r="V207" s="17" t="n"/>
    </row>
    <row r="208" s="1">
      <c r="E208" s="17" t="inlineStr">
        <is>
          <t>kanan</t>
        </is>
      </c>
      <c r="F208" s="17" t="n"/>
      <c r="G208" s="17" t="n"/>
      <c r="J208" s="17" t="inlineStr">
        <is>
          <t>tengah</t>
        </is>
      </c>
      <c r="K208" s="17" t="n"/>
      <c r="L208" s="17" t="n"/>
      <c r="O208" s="17" t="inlineStr">
        <is>
          <t>tengah</t>
        </is>
      </c>
      <c r="P208" s="17" t="n"/>
      <c r="Q208" s="17" t="n"/>
      <c r="T208" s="17" t="inlineStr">
        <is>
          <t>kanan</t>
        </is>
      </c>
      <c r="U208" s="17" t="n"/>
      <c r="V208" s="17" t="n"/>
    </row>
    <row r="209" s="1">
      <c r="E209" s="17" t="inlineStr">
        <is>
          <t>kiri</t>
        </is>
      </c>
      <c r="F209" s="17" t="n"/>
      <c r="G209" s="17" t="n"/>
      <c r="J209" s="17" t="inlineStr">
        <is>
          <t>kiri</t>
        </is>
      </c>
      <c r="K209" s="17" t="n"/>
      <c r="L209" s="17" t="n"/>
      <c r="O209" s="17" t="inlineStr">
        <is>
          <t>kanan</t>
        </is>
      </c>
      <c r="P209" s="17" t="n"/>
      <c r="Q209" s="17" t="n"/>
      <c r="T209" s="17" t="inlineStr">
        <is>
          <t>tengah</t>
        </is>
      </c>
      <c r="U209" s="17" t="n"/>
      <c r="V209" s="17" t="n"/>
    </row>
    <row r="210" s="1">
      <c r="E210" s="17" t="inlineStr">
        <is>
          <t>kanan</t>
        </is>
      </c>
      <c r="F210" s="17" t="n"/>
      <c r="G210" s="17" t="n"/>
      <c r="J210" s="17" t="inlineStr">
        <is>
          <t>tengah</t>
        </is>
      </c>
      <c r="K210" s="17" t="n"/>
      <c r="L210" s="17" t="n"/>
      <c r="O210" s="17" t="inlineStr">
        <is>
          <t>kanan</t>
        </is>
      </c>
      <c r="P210" s="17" t="n"/>
      <c r="Q210" s="17" t="n"/>
      <c r="T210" s="17" t="inlineStr">
        <is>
          <t>kanan</t>
        </is>
      </c>
      <c r="U210" s="17" t="n"/>
      <c r="V210" s="17" t="n"/>
    </row>
    <row r="211" s="1">
      <c r="E211" s="17" t="inlineStr">
        <is>
          <t>tengah</t>
        </is>
      </c>
      <c r="F211" s="17" t="n"/>
      <c r="G211" s="17" t="n"/>
      <c r="J211" s="17" t="inlineStr">
        <is>
          <t>tengah</t>
        </is>
      </c>
      <c r="K211" s="17" t="n"/>
      <c r="L211" s="17" t="n"/>
      <c r="O211" s="17" t="inlineStr">
        <is>
          <t>tengah</t>
        </is>
      </c>
      <c r="P211" s="17" t="n"/>
      <c r="Q211" s="17" t="n"/>
      <c r="T211" s="17" t="inlineStr">
        <is>
          <t>kanan</t>
        </is>
      </c>
      <c r="U211" s="17" t="n"/>
      <c r="V211" s="17" t="n"/>
    </row>
    <row r="212" s="1">
      <c r="E212" s="17" t="inlineStr">
        <is>
          <t>kanan</t>
        </is>
      </c>
      <c r="F212" s="17" t="n"/>
      <c r="G212" s="17" t="n"/>
      <c r="J212" s="17" t="inlineStr">
        <is>
          <t>tengah</t>
        </is>
      </c>
      <c r="K212" s="17" t="n"/>
      <c r="L212" s="17" t="n"/>
      <c r="O212" s="17" t="inlineStr">
        <is>
          <t>tengah</t>
        </is>
      </c>
      <c r="P212" s="17" t="n"/>
      <c r="Q212" s="17" t="n"/>
      <c r="T212" s="17" t="inlineStr">
        <is>
          <t>tengah</t>
        </is>
      </c>
      <c r="U212" s="17" t="n"/>
      <c r="V212" s="17" t="n"/>
    </row>
    <row r="213" s="1">
      <c r="E213" s="17" t="inlineStr">
        <is>
          <t>kiri</t>
        </is>
      </c>
      <c r="F213" s="17" t="n"/>
      <c r="G213" s="17" t="n"/>
      <c r="J213" s="17" t="inlineStr">
        <is>
          <t>kiri</t>
        </is>
      </c>
      <c r="K213" s="17" t="n"/>
      <c r="L213" s="17" t="n"/>
      <c r="O213" s="17" t="inlineStr">
        <is>
          <t>tengah</t>
        </is>
      </c>
      <c r="P213" s="17" t="n"/>
      <c r="Q213" s="17" t="n"/>
      <c r="T213" s="17" t="inlineStr">
        <is>
          <t>tengah</t>
        </is>
      </c>
      <c r="U213" s="17" t="n"/>
      <c r="V213" s="17" t="n"/>
    </row>
    <row r="214" s="1">
      <c r="E214" s="17" t="inlineStr">
        <is>
          <t>tengah</t>
        </is>
      </c>
      <c r="F214" s="17" t="n"/>
      <c r="G214" s="17" t="n"/>
      <c r="J214" s="17" t="inlineStr">
        <is>
          <t>kanan</t>
        </is>
      </c>
      <c r="K214" s="17" t="n"/>
      <c r="L214" s="17" t="n"/>
      <c r="O214" s="17" t="inlineStr">
        <is>
          <t>kanan</t>
        </is>
      </c>
      <c r="P214" s="17" t="n"/>
      <c r="Q214" s="17" t="n"/>
      <c r="T214" s="17" t="inlineStr">
        <is>
          <t>tengah</t>
        </is>
      </c>
      <c r="U214" s="17" t="n"/>
      <c r="V214" s="17" t="n"/>
    </row>
    <row r="215" s="1">
      <c r="E215" s="17" t="inlineStr">
        <is>
          <t>kanan</t>
        </is>
      </c>
      <c r="F215" s="17" t="n"/>
      <c r="G215" s="17" t="n"/>
      <c r="J215" s="17" t="inlineStr">
        <is>
          <t>tengah</t>
        </is>
      </c>
      <c r="K215" s="17" t="n"/>
      <c r="L215" s="17" t="n"/>
      <c r="O215" s="17" t="inlineStr">
        <is>
          <t>tengah</t>
        </is>
      </c>
      <c r="P215" s="17" t="n"/>
      <c r="Q215" s="17" t="n"/>
      <c r="T215" s="17" t="inlineStr">
        <is>
          <t>kanan</t>
        </is>
      </c>
      <c r="U215" s="17" t="n"/>
      <c r="V215" s="17" t="n"/>
    </row>
    <row r="216" s="1">
      <c r="E216" s="17" t="inlineStr">
        <is>
          <t>kanan</t>
        </is>
      </c>
      <c r="F216" s="17" t="n"/>
      <c r="G216" s="17" t="n"/>
      <c r="J216" s="17" t="inlineStr">
        <is>
          <t>tengah</t>
        </is>
      </c>
      <c r="K216" s="17" t="n"/>
      <c r="L216" s="17" t="n"/>
      <c r="O216" s="17" t="inlineStr">
        <is>
          <t>tengah</t>
        </is>
      </c>
      <c r="P216" s="17" t="n"/>
      <c r="Q216" s="17" t="n"/>
      <c r="T216" s="17" t="inlineStr">
        <is>
          <t>kanan</t>
        </is>
      </c>
      <c r="U216" s="17" t="n"/>
      <c r="V216" s="17" t="n"/>
    </row>
    <row r="217" s="1">
      <c r="E217" s="17" t="inlineStr">
        <is>
          <t>tengah</t>
        </is>
      </c>
      <c r="F217" s="17" t="n"/>
      <c r="G217" s="17" t="n"/>
      <c r="J217" s="17" t="inlineStr">
        <is>
          <t>tengah</t>
        </is>
      </c>
      <c r="K217" s="17" t="n"/>
      <c r="L217" s="17" t="n"/>
      <c r="O217" s="17" t="inlineStr">
        <is>
          <t>kanan</t>
        </is>
      </c>
      <c r="P217" s="17" t="n"/>
      <c r="Q217" s="17" t="n"/>
      <c r="T217" s="17" t="inlineStr">
        <is>
          <t>kanan</t>
        </is>
      </c>
      <c r="U217" s="17" t="n"/>
      <c r="V217" s="17" t="n"/>
    </row>
    <row r="218" s="1">
      <c r="E218" s="17" t="inlineStr">
        <is>
          <t>tengah</t>
        </is>
      </c>
      <c r="F218" s="17" t="n"/>
      <c r="G218" s="17" t="n"/>
      <c r="J218" s="17" t="inlineStr">
        <is>
          <t>kiri</t>
        </is>
      </c>
      <c r="K218" s="17" t="n"/>
      <c r="L218" s="17" t="n"/>
      <c r="O218" s="17" t="inlineStr">
        <is>
          <t>kiri</t>
        </is>
      </c>
      <c r="P218" s="17" t="n"/>
      <c r="Q218" s="17" t="n"/>
      <c r="T218" s="17" t="inlineStr">
        <is>
          <t>tengah</t>
        </is>
      </c>
      <c r="U218" s="17" t="n"/>
      <c r="V218" s="17" t="n"/>
    </row>
    <row r="219" s="1">
      <c r="E219" s="17" t="inlineStr">
        <is>
          <t>tengah</t>
        </is>
      </c>
      <c r="F219" s="17" t="n"/>
      <c r="G219" s="17" t="n"/>
      <c r="J219" s="17" t="inlineStr">
        <is>
          <t>tengah</t>
        </is>
      </c>
      <c r="K219" s="17" t="n"/>
      <c r="L219" s="17" t="n"/>
      <c r="O219" s="17" t="inlineStr">
        <is>
          <t>kiri</t>
        </is>
      </c>
      <c r="P219" s="17" t="n"/>
      <c r="Q219" s="17" t="n"/>
      <c r="T219" s="17" t="inlineStr">
        <is>
          <t>kanan</t>
        </is>
      </c>
      <c r="U219" s="17" t="n"/>
      <c r="V219" s="17" t="n"/>
    </row>
    <row r="220" s="1">
      <c r="E220" s="17" t="inlineStr">
        <is>
          <t>tengah</t>
        </is>
      </c>
      <c r="F220" s="17" t="n"/>
      <c r="G220" s="17" t="n"/>
      <c r="J220" s="17" t="inlineStr">
        <is>
          <t>kanan</t>
        </is>
      </c>
      <c r="K220" s="17" t="n"/>
      <c r="L220" s="17" t="n"/>
      <c r="O220" s="17" t="inlineStr">
        <is>
          <t>kiri</t>
        </is>
      </c>
      <c r="P220" s="17" t="n"/>
      <c r="Q220" s="17" t="n"/>
      <c r="T220" s="17" t="inlineStr">
        <is>
          <t>tengah</t>
        </is>
      </c>
      <c r="U220" s="17" t="n"/>
      <c r="V220" s="17" t="n"/>
    </row>
    <row r="221" s="1">
      <c r="E221" s="17" t="inlineStr">
        <is>
          <t>tengah</t>
        </is>
      </c>
      <c r="F221" s="17" t="n"/>
      <c r="G221" s="17" t="n"/>
      <c r="J221" s="17" t="inlineStr">
        <is>
          <t>tengah</t>
        </is>
      </c>
      <c r="K221" s="17" t="n"/>
      <c r="L221" s="17" t="n"/>
      <c r="O221" s="17" t="inlineStr">
        <is>
          <t>kiri</t>
        </is>
      </c>
      <c r="P221" s="17" t="n"/>
      <c r="Q221" s="17" t="n"/>
      <c r="T221" s="17" t="inlineStr">
        <is>
          <t>kanan</t>
        </is>
      </c>
      <c r="U221" s="17" t="n"/>
      <c r="V221" s="17" t="n"/>
    </row>
    <row r="222" s="1">
      <c r="E222" s="17" t="inlineStr">
        <is>
          <t>kiri</t>
        </is>
      </c>
      <c r="F222" s="17" t="n"/>
      <c r="G222" s="17" t="n"/>
      <c r="J222" s="17" t="inlineStr">
        <is>
          <t>tengah</t>
        </is>
      </c>
      <c r="K222" s="17" t="n"/>
      <c r="L222" s="17" t="n"/>
      <c r="O222" s="17" t="inlineStr">
        <is>
          <t>tengah</t>
        </is>
      </c>
      <c r="P222" s="17" t="n"/>
      <c r="Q222" s="17" t="n"/>
      <c r="T222" s="17" t="inlineStr">
        <is>
          <t>kanan</t>
        </is>
      </c>
      <c r="U222" s="17" t="n"/>
      <c r="V222" s="17" t="n"/>
    </row>
    <row r="223" s="1">
      <c r="E223" s="17" t="inlineStr">
        <is>
          <t>kanan</t>
        </is>
      </c>
      <c r="F223" s="17" t="n"/>
      <c r="G223" s="17" t="n"/>
      <c r="J223" s="17" t="inlineStr">
        <is>
          <t>tengah</t>
        </is>
      </c>
      <c r="K223" s="17" t="n"/>
      <c r="L223" s="17" t="n"/>
      <c r="O223" s="17" t="inlineStr">
        <is>
          <t>kiri</t>
        </is>
      </c>
      <c r="P223" s="17" t="n"/>
      <c r="Q223" s="17" t="n"/>
      <c r="T223" s="17" t="inlineStr">
        <is>
          <t>kanan</t>
        </is>
      </c>
      <c r="U223" s="17" t="n"/>
      <c r="V223" s="17" t="n"/>
    </row>
    <row r="224" s="1">
      <c r="E224" s="17" t="inlineStr">
        <is>
          <t>tengah</t>
        </is>
      </c>
      <c r="F224" s="17" t="n"/>
      <c r="G224" s="17" t="n"/>
      <c r="J224" s="17" t="inlineStr">
        <is>
          <t>tengah</t>
        </is>
      </c>
      <c r="K224" s="17" t="n"/>
      <c r="L224" s="17" t="n"/>
      <c r="O224" s="17" t="inlineStr">
        <is>
          <t>tengah</t>
        </is>
      </c>
      <c r="P224" s="17" t="n"/>
      <c r="Q224" s="17" t="n"/>
      <c r="T224" s="17" t="inlineStr">
        <is>
          <t>tengah</t>
        </is>
      </c>
      <c r="U224" s="17" t="n"/>
      <c r="V224" s="17" t="n"/>
    </row>
    <row r="225" s="1">
      <c r="E225" s="17" t="inlineStr">
        <is>
          <t>kiri</t>
        </is>
      </c>
      <c r="F225" s="17" t="n"/>
      <c r="G225" s="17" t="n"/>
      <c r="J225" s="17" t="inlineStr">
        <is>
          <t>tengah</t>
        </is>
      </c>
      <c r="K225" s="17" t="n"/>
      <c r="L225" s="17" t="n"/>
      <c r="O225" s="17" t="inlineStr">
        <is>
          <t>tengah</t>
        </is>
      </c>
      <c r="P225" s="17" t="n"/>
      <c r="Q225" s="17" t="n"/>
      <c r="T225" s="17" t="inlineStr">
        <is>
          <t>tengah</t>
        </is>
      </c>
      <c r="U225" s="17" t="n"/>
      <c r="V225" s="17" t="n"/>
    </row>
    <row r="226" s="1">
      <c r="E226" s="17" t="inlineStr">
        <is>
          <t>tengah</t>
        </is>
      </c>
      <c r="F226" s="17" t="n"/>
      <c r="G226" s="17" t="n"/>
      <c r="J226" s="17" t="inlineStr">
        <is>
          <t>tengah</t>
        </is>
      </c>
      <c r="K226" s="17" t="n"/>
      <c r="L226" s="17" t="n"/>
      <c r="O226" s="17" t="inlineStr">
        <is>
          <t>tengah</t>
        </is>
      </c>
      <c r="P226" s="17" t="n"/>
      <c r="Q226" s="17" t="n"/>
      <c r="T226" s="17" t="inlineStr">
        <is>
          <t>tengah</t>
        </is>
      </c>
      <c r="U226" s="17" t="n"/>
      <c r="V226" s="17" t="n"/>
    </row>
    <row r="227" s="1">
      <c r="E227" s="17" t="inlineStr">
        <is>
          <t>tengah</t>
        </is>
      </c>
      <c r="F227" s="17" t="n"/>
      <c r="G227" s="17" t="n"/>
      <c r="J227" s="17" t="inlineStr">
        <is>
          <t>tengah</t>
        </is>
      </c>
      <c r="K227" s="17" t="n"/>
      <c r="L227" s="17" t="n"/>
      <c r="O227" s="17" t="inlineStr">
        <is>
          <t>tengah</t>
        </is>
      </c>
      <c r="P227" s="17" t="n"/>
      <c r="Q227" s="17" t="n"/>
      <c r="T227" s="17" t="inlineStr">
        <is>
          <t>kanan</t>
        </is>
      </c>
      <c r="U227" s="17" t="n"/>
      <c r="V227" s="17" t="n"/>
    </row>
    <row r="228" s="1">
      <c r="E228" s="17" t="inlineStr">
        <is>
          <t>tengah</t>
        </is>
      </c>
      <c r="F228" s="17" t="n"/>
      <c r="G228" s="17" t="n"/>
      <c r="J228" s="17" t="inlineStr">
        <is>
          <t>kanan</t>
        </is>
      </c>
      <c r="K228" s="17" t="n"/>
      <c r="L228" s="17" t="n"/>
      <c r="O228" s="17" t="inlineStr">
        <is>
          <t>tengah</t>
        </is>
      </c>
      <c r="P228" s="17" t="n"/>
      <c r="Q228" s="17" t="n"/>
      <c r="T228" s="17" t="inlineStr">
        <is>
          <t>kanan</t>
        </is>
      </c>
      <c r="U228" s="17" t="n"/>
      <c r="V228" s="17" t="n"/>
    </row>
    <row r="229" s="1">
      <c r="E229" s="17" t="inlineStr">
        <is>
          <t>kanan</t>
        </is>
      </c>
      <c r="F229" s="17" t="n"/>
      <c r="G229" s="17" t="n"/>
      <c r="J229" s="17" t="inlineStr">
        <is>
          <t>tengah</t>
        </is>
      </c>
      <c r="K229" s="17" t="n"/>
      <c r="L229" s="17" t="n"/>
      <c r="O229" s="17" t="inlineStr">
        <is>
          <t>tengah</t>
        </is>
      </c>
      <c r="P229" s="17" t="n"/>
      <c r="Q229" s="17" t="n"/>
      <c r="T229" s="17" t="inlineStr">
        <is>
          <t>kanan</t>
        </is>
      </c>
      <c r="U229" s="17" t="n"/>
      <c r="V229" s="17" t="n"/>
    </row>
    <row r="230" s="1">
      <c r="E230" s="17" t="inlineStr">
        <is>
          <t>kiri</t>
        </is>
      </c>
      <c r="F230" s="17" t="n"/>
      <c r="G230" s="17" t="n"/>
      <c r="J230" s="17" t="inlineStr">
        <is>
          <t>tengah</t>
        </is>
      </c>
      <c r="K230" s="17" t="n"/>
      <c r="L230" s="17" t="n"/>
      <c r="O230" s="17" t="inlineStr">
        <is>
          <t>tengah</t>
        </is>
      </c>
      <c r="P230" s="17" t="n"/>
      <c r="Q230" s="17" t="n"/>
      <c r="T230" s="17" t="inlineStr">
        <is>
          <t>kanan</t>
        </is>
      </c>
      <c r="U230" s="17" t="n"/>
      <c r="V230" s="17" t="n"/>
    </row>
    <row r="231" s="1">
      <c r="E231" s="17" t="inlineStr">
        <is>
          <t>kiri</t>
        </is>
      </c>
      <c r="F231" s="17" t="n"/>
      <c r="G231" s="17" t="n"/>
      <c r="J231" s="17" t="inlineStr">
        <is>
          <t>kiri</t>
        </is>
      </c>
      <c r="K231" s="17" t="n"/>
      <c r="L231" s="17" t="n"/>
      <c r="O231" s="17" t="inlineStr">
        <is>
          <t>tengah</t>
        </is>
      </c>
      <c r="P231" s="17" t="n"/>
      <c r="Q231" s="17" t="n"/>
      <c r="T231" s="17" t="inlineStr">
        <is>
          <t>kanan</t>
        </is>
      </c>
      <c r="U231" s="17" t="n"/>
      <c r="V231" s="17" t="n"/>
    </row>
    <row r="232" s="1">
      <c r="E232" s="17" t="inlineStr">
        <is>
          <t>kanan</t>
        </is>
      </c>
      <c r="F232" s="17" t="n"/>
      <c r="G232" s="17" t="n"/>
      <c r="J232" s="17" t="inlineStr">
        <is>
          <t>tengah</t>
        </is>
      </c>
      <c r="K232" s="17" t="n"/>
      <c r="L232" s="17" t="n"/>
      <c r="O232" s="17" t="inlineStr">
        <is>
          <t>tengah</t>
        </is>
      </c>
      <c r="P232" s="17" t="n"/>
      <c r="Q232" s="17" t="n"/>
      <c r="T232" s="17" t="inlineStr">
        <is>
          <t>tengah</t>
        </is>
      </c>
      <c r="U232" s="17" t="n"/>
      <c r="V232" s="17" t="n"/>
    </row>
    <row r="233" s="1">
      <c r="E233" s="17" t="inlineStr">
        <is>
          <t>tengah</t>
        </is>
      </c>
      <c r="F233" s="17" t="n"/>
      <c r="G233" s="17" t="n"/>
      <c r="J233" s="17" t="inlineStr">
        <is>
          <t>kiri</t>
        </is>
      </c>
      <c r="K233" s="17" t="n"/>
      <c r="L233" s="17" t="n"/>
      <c r="O233" s="17" t="inlineStr">
        <is>
          <t>tengah</t>
        </is>
      </c>
      <c r="P233" s="17" t="n"/>
      <c r="Q233" s="17" t="n"/>
      <c r="T233" s="17" t="inlineStr">
        <is>
          <t>tengah</t>
        </is>
      </c>
      <c r="U233" s="17" t="n"/>
      <c r="V233" s="17" t="n"/>
    </row>
    <row r="234" s="1">
      <c r="E234" s="17" t="inlineStr">
        <is>
          <t>tengah</t>
        </is>
      </c>
      <c r="F234" s="17" t="n"/>
      <c r="G234" s="17" t="n"/>
      <c r="J234" s="17" t="inlineStr">
        <is>
          <t>kiri</t>
        </is>
      </c>
      <c r="K234" s="17" t="n"/>
      <c r="L234" s="17" t="n"/>
      <c r="O234" s="17" t="inlineStr">
        <is>
          <t>kanan</t>
        </is>
      </c>
      <c r="P234" s="17" t="n"/>
      <c r="Q234" s="17" t="n"/>
      <c r="T234" s="17" t="inlineStr">
        <is>
          <t>tengah</t>
        </is>
      </c>
      <c r="U234" s="17" t="n"/>
      <c r="V234" s="17" t="n"/>
    </row>
    <row r="235" s="1">
      <c r="E235" s="17" t="inlineStr">
        <is>
          <t>tengah</t>
        </is>
      </c>
      <c r="F235" s="17" t="n"/>
      <c r="G235" s="17" t="n"/>
      <c r="J235" s="17" t="inlineStr">
        <is>
          <t>tengah</t>
        </is>
      </c>
      <c r="K235" s="17" t="n"/>
      <c r="L235" s="17" t="n"/>
      <c r="O235" s="17" t="inlineStr">
        <is>
          <t>kiri</t>
        </is>
      </c>
      <c r="P235" s="17" t="n"/>
      <c r="Q235" s="17" t="n"/>
      <c r="T235" s="17" t="inlineStr">
        <is>
          <t>tengah</t>
        </is>
      </c>
      <c r="U235" s="17" t="n"/>
      <c r="V235" s="17" t="n"/>
    </row>
    <row r="236" s="1">
      <c r="E236" s="17" t="inlineStr">
        <is>
          <t>tengah</t>
        </is>
      </c>
      <c r="F236" s="17" t="n"/>
      <c r="G236" s="17" t="n"/>
      <c r="J236" s="17" t="inlineStr">
        <is>
          <t>kanan</t>
        </is>
      </c>
      <c r="K236" s="17" t="n"/>
      <c r="L236" s="17" t="n"/>
      <c r="O236" s="17" t="inlineStr">
        <is>
          <t>kiri</t>
        </is>
      </c>
      <c r="P236" s="17" t="n"/>
      <c r="Q236" s="17" t="n"/>
      <c r="T236" s="17" t="inlineStr">
        <is>
          <t>kanan</t>
        </is>
      </c>
      <c r="U236" s="17" t="n"/>
      <c r="V236" s="17" t="n"/>
    </row>
    <row r="237" s="1">
      <c r="E237" s="17" t="inlineStr">
        <is>
          <t>tengah</t>
        </is>
      </c>
      <c r="F237" s="17" t="n"/>
      <c r="G237" s="17" t="n"/>
      <c r="J237" s="17" t="inlineStr">
        <is>
          <t>tengah</t>
        </is>
      </c>
      <c r="K237" s="17" t="n"/>
      <c r="L237" s="17" t="n"/>
      <c r="O237" s="17" t="inlineStr">
        <is>
          <t>kiri</t>
        </is>
      </c>
      <c r="P237" s="17" t="n"/>
      <c r="Q237" s="17" t="n"/>
      <c r="T237" s="17" t="inlineStr">
        <is>
          <t>tengah</t>
        </is>
      </c>
      <c r="U237" s="17" t="n"/>
      <c r="V237" s="17" t="n"/>
    </row>
    <row r="238" s="1">
      <c r="E238" s="17" t="inlineStr">
        <is>
          <t>kiri</t>
        </is>
      </c>
      <c r="F238" s="17" t="n"/>
      <c r="G238" s="17" t="n"/>
      <c r="J238" s="17" t="inlineStr">
        <is>
          <t>tengah</t>
        </is>
      </c>
      <c r="K238" s="17" t="n"/>
      <c r="L238" s="17" t="n"/>
      <c r="O238" s="17" t="inlineStr">
        <is>
          <t>kanan</t>
        </is>
      </c>
      <c r="P238" s="17" t="n"/>
      <c r="Q238" s="17" t="n"/>
      <c r="T238" s="17" t="inlineStr">
        <is>
          <t>tengah</t>
        </is>
      </c>
      <c r="U238" s="17" t="n"/>
      <c r="V238" s="17" t="n"/>
    </row>
    <row r="239" s="1">
      <c r="E239" s="17" t="inlineStr">
        <is>
          <t>kiri</t>
        </is>
      </c>
      <c r="F239" s="17" t="n"/>
      <c r="G239" s="17" t="n"/>
      <c r="J239" s="17" t="inlineStr">
        <is>
          <t>tengah</t>
        </is>
      </c>
      <c r="K239" s="17" t="n"/>
      <c r="L239" s="17" t="n"/>
      <c r="O239" s="17" t="inlineStr">
        <is>
          <t>kanan</t>
        </is>
      </c>
      <c r="P239" s="17" t="n"/>
      <c r="Q239" s="17" t="n"/>
      <c r="T239" s="17" t="inlineStr">
        <is>
          <t>tengah</t>
        </is>
      </c>
      <c r="U239" s="17" t="n"/>
      <c r="V239" s="17" t="n"/>
    </row>
    <row r="240" s="1">
      <c r="E240" s="17" t="inlineStr">
        <is>
          <t>kiri</t>
        </is>
      </c>
      <c r="F240" s="17" t="n"/>
      <c r="G240" s="17" t="n"/>
      <c r="J240" s="17" t="inlineStr">
        <is>
          <t>tengah</t>
        </is>
      </c>
      <c r="K240" s="17" t="n"/>
      <c r="L240" s="17" t="n"/>
      <c r="O240" s="17" t="inlineStr">
        <is>
          <t>tengah</t>
        </is>
      </c>
      <c r="P240" s="17" t="n"/>
      <c r="Q240" s="17" t="n"/>
      <c r="T240" s="17" t="inlineStr">
        <is>
          <t>tengah</t>
        </is>
      </c>
      <c r="U240" s="17" t="n"/>
      <c r="V240" s="17" t="n"/>
    </row>
    <row r="241" s="1">
      <c r="E241" s="17" t="inlineStr">
        <is>
          <t>tengah</t>
        </is>
      </c>
      <c r="F241" s="17" t="n"/>
      <c r="G241" s="17" t="n"/>
      <c r="J241" s="17" t="inlineStr">
        <is>
          <t>tengah</t>
        </is>
      </c>
      <c r="K241" s="17" t="n"/>
      <c r="L241" s="17" t="n"/>
      <c r="O241" s="17" t="inlineStr">
        <is>
          <t>kiri</t>
        </is>
      </c>
      <c r="P241" s="17" t="n"/>
      <c r="Q241" s="17" t="n"/>
      <c r="T241" s="17" t="inlineStr">
        <is>
          <t>kanan</t>
        </is>
      </c>
      <c r="U241" s="17" t="n"/>
      <c r="V241" s="17" t="n"/>
    </row>
    <row r="242" s="1">
      <c r="E242" s="17" t="inlineStr">
        <is>
          <t>tengah</t>
        </is>
      </c>
      <c r="F242" s="17" t="n"/>
      <c r="G242" s="17" t="n"/>
      <c r="J242" s="17" t="inlineStr">
        <is>
          <t>tengah</t>
        </is>
      </c>
      <c r="K242" s="17" t="n"/>
      <c r="L242" s="17" t="n"/>
      <c r="O242" s="17" t="inlineStr">
        <is>
          <t>tengah</t>
        </is>
      </c>
      <c r="P242" s="17" t="n"/>
      <c r="Q242" s="17" t="n"/>
      <c r="T242" s="17" t="inlineStr">
        <is>
          <t>kanan</t>
        </is>
      </c>
      <c r="U242" s="17" t="n"/>
      <c r="V242" s="17" t="n"/>
    </row>
    <row r="243" s="1">
      <c r="E243" s="17" t="inlineStr">
        <is>
          <t>kiri</t>
        </is>
      </c>
      <c r="F243" s="17" t="n"/>
      <c r="G243" s="17" t="n"/>
      <c r="J243" s="17" t="inlineStr">
        <is>
          <t>kiri</t>
        </is>
      </c>
      <c r="K243" s="17" t="n"/>
      <c r="L243" s="17" t="n"/>
      <c r="O243" s="17" t="inlineStr">
        <is>
          <t>kanan</t>
        </is>
      </c>
      <c r="P243" s="17" t="n"/>
      <c r="Q243" s="17" t="n"/>
      <c r="T243" s="17" t="inlineStr">
        <is>
          <t>kanan</t>
        </is>
      </c>
      <c r="U243" s="17" t="n"/>
      <c r="V243" s="17" t="n"/>
    </row>
    <row r="244" s="1">
      <c r="E244" s="17" t="inlineStr">
        <is>
          <t>kiri</t>
        </is>
      </c>
      <c r="F244" s="17" t="n"/>
      <c r="G244" s="17" t="n"/>
      <c r="J244" s="17" t="inlineStr">
        <is>
          <t>tengah</t>
        </is>
      </c>
      <c r="K244" s="17" t="n"/>
      <c r="L244" s="17" t="n"/>
      <c r="O244" s="17" t="inlineStr">
        <is>
          <t>kiri</t>
        </is>
      </c>
      <c r="P244" s="17" t="n"/>
      <c r="Q244" s="17" t="n"/>
      <c r="T244" s="17" t="inlineStr">
        <is>
          <t>kanan</t>
        </is>
      </c>
      <c r="U244" s="17" t="n"/>
      <c r="V244" s="17" t="n"/>
    </row>
    <row r="245" s="1">
      <c r="E245" s="17" t="inlineStr">
        <is>
          <t>kiri</t>
        </is>
      </c>
      <c r="F245" s="17" t="n"/>
      <c r="G245" s="17" t="n"/>
      <c r="J245" s="17" t="inlineStr">
        <is>
          <t>kiri</t>
        </is>
      </c>
      <c r="K245" s="17" t="n"/>
      <c r="L245" s="17" t="n"/>
      <c r="O245" s="17" t="inlineStr">
        <is>
          <t>kanan</t>
        </is>
      </c>
      <c r="P245" s="17" t="n"/>
      <c r="Q245" s="17" t="n"/>
      <c r="T245" s="17" t="inlineStr">
        <is>
          <t>kanan</t>
        </is>
      </c>
      <c r="U245" s="17" t="n"/>
      <c r="V245" s="17" t="n"/>
    </row>
    <row r="246" s="1">
      <c r="E246" s="17" t="inlineStr">
        <is>
          <t>tengah</t>
        </is>
      </c>
      <c r="F246" s="17" t="n"/>
      <c r="G246" s="17" t="n"/>
      <c r="J246" s="17" t="inlineStr">
        <is>
          <t>tengah</t>
        </is>
      </c>
      <c r="K246" s="17" t="n"/>
      <c r="L246" s="17" t="n"/>
      <c r="O246" s="17" t="inlineStr">
        <is>
          <t>tengah</t>
        </is>
      </c>
      <c r="P246" s="17" t="n"/>
      <c r="Q246" s="17" t="n"/>
      <c r="T246" s="17" t="inlineStr">
        <is>
          <t>tengah</t>
        </is>
      </c>
      <c r="U246" s="17" t="n"/>
      <c r="V246" s="17" t="n"/>
    </row>
    <row r="247" s="1">
      <c r="E247" s="17" t="inlineStr">
        <is>
          <t>tengah</t>
        </is>
      </c>
      <c r="F247" s="17" t="n"/>
      <c r="G247" s="17" t="n"/>
      <c r="J247" s="17" t="inlineStr">
        <is>
          <t>tengah</t>
        </is>
      </c>
      <c r="K247" s="17" t="n"/>
      <c r="L247" s="17" t="n"/>
      <c r="O247" s="17" t="inlineStr">
        <is>
          <t>kiri</t>
        </is>
      </c>
      <c r="P247" s="17" t="n"/>
      <c r="Q247" s="17" t="n"/>
      <c r="T247" s="17" t="inlineStr">
        <is>
          <t>kanan</t>
        </is>
      </c>
      <c r="U247" s="17" t="n"/>
      <c r="V247" s="17" t="n"/>
    </row>
    <row r="248" s="1">
      <c r="E248" s="17" t="inlineStr">
        <is>
          <t>kiri</t>
        </is>
      </c>
      <c r="F248" s="17" t="n"/>
      <c r="G248" s="17" t="n"/>
      <c r="J248" s="17" t="inlineStr">
        <is>
          <t>kanan</t>
        </is>
      </c>
      <c r="K248" s="17" t="n"/>
      <c r="L248" s="17" t="n"/>
      <c r="O248" s="17" t="inlineStr">
        <is>
          <t>kiri</t>
        </is>
      </c>
      <c r="P248" s="17" t="n"/>
      <c r="Q248" s="17" t="n"/>
      <c r="T248" s="17" t="inlineStr">
        <is>
          <t>kanan</t>
        </is>
      </c>
      <c r="U248" s="17" t="n"/>
      <c r="V248" s="17" t="n"/>
    </row>
    <row r="249" s="1">
      <c r="E249" s="17" t="inlineStr">
        <is>
          <t>tengah</t>
        </is>
      </c>
      <c r="F249" s="17" t="n"/>
      <c r="G249" s="17" t="n"/>
      <c r="J249" s="17" t="inlineStr">
        <is>
          <t>kanan</t>
        </is>
      </c>
      <c r="K249" s="17" t="n"/>
      <c r="L249" s="17" t="n"/>
      <c r="O249" s="17" t="inlineStr">
        <is>
          <t>tengah</t>
        </is>
      </c>
      <c r="P249" s="17" t="n"/>
      <c r="Q249" s="17" t="n"/>
      <c r="T249" s="17" t="inlineStr">
        <is>
          <t>tengah</t>
        </is>
      </c>
      <c r="U249" s="17" t="n"/>
      <c r="V249" s="17" t="n"/>
    </row>
    <row r="250" s="1">
      <c r="E250" s="17" t="inlineStr">
        <is>
          <t>tengah</t>
        </is>
      </c>
      <c r="F250" s="17" t="n"/>
      <c r="G250" s="17" t="n"/>
      <c r="J250" s="17" t="inlineStr">
        <is>
          <t>tengah</t>
        </is>
      </c>
      <c r="K250" s="17" t="n"/>
      <c r="L250" s="17" t="n"/>
      <c r="O250" s="17" t="inlineStr">
        <is>
          <t>tengah</t>
        </is>
      </c>
      <c r="P250" s="17" t="n"/>
      <c r="Q250" s="17" t="n"/>
      <c r="T250" s="17" t="inlineStr">
        <is>
          <t>tengah</t>
        </is>
      </c>
      <c r="U250" s="17" t="n"/>
      <c r="V250" s="17" t="n"/>
    </row>
    <row r="251" s="1">
      <c r="E251" s="17" t="inlineStr">
        <is>
          <t>tengah</t>
        </is>
      </c>
      <c r="F251" s="17" t="n"/>
      <c r="G251" s="17" t="n"/>
      <c r="J251" s="17" t="inlineStr">
        <is>
          <t>tengah</t>
        </is>
      </c>
      <c r="K251" s="17" t="n"/>
      <c r="L251" s="17" t="n"/>
      <c r="O251" s="17" t="inlineStr">
        <is>
          <t>tengah</t>
        </is>
      </c>
      <c r="P251" s="17" t="n"/>
      <c r="Q251" s="17" t="n"/>
      <c r="T251" s="17" t="inlineStr">
        <is>
          <t>tengah</t>
        </is>
      </c>
      <c r="U251" s="17" t="n"/>
      <c r="V251" s="17" t="n"/>
    </row>
    <row r="252" s="1">
      <c r="E252" s="17" t="inlineStr">
        <is>
          <t>kanan</t>
        </is>
      </c>
      <c r="F252" s="17" t="n"/>
      <c r="G252" s="17" t="n"/>
      <c r="J252" s="17" t="inlineStr">
        <is>
          <t>tengah</t>
        </is>
      </c>
      <c r="K252" s="17" t="n"/>
      <c r="L252" s="17" t="n"/>
      <c r="O252" s="17" t="inlineStr">
        <is>
          <t>tengah</t>
        </is>
      </c>
      <c r="P252" s="17" t="n"/>
      <c r="Q252" s="17" t="n"/>
      <c r="T252" s="17" t="inlineStr">
        <is>
          <t>tengah</t>
        </is>
      </c>
      <c r="U252" s="17" t="n"/>
      <c r="V252" s="17" t="n"/>
    </row>
    <row r="253" s="1">
      <c r="E253" s="17" t="inlineStr">
        <is>
          <t>kanan</t>
        </is>
      </c>
      <c r="F253" s="17" t="n"/>
      <c r="G253" s="17" t="n"/>
      <c r="J253" s="17" t="inlineStr">
        <is>
          <t>kanan</t>
        </is>
      </c>
      <c r="K253" s="17" t="n"/>
      <c r="L253" s="17" t="n"/>
      <c r="O253" s="17" t="inlineStr">
        <is>
          <t>kiri</t>
        </is>
      </c>
      <c r="P253" s="17" t="n"/>
      <c r="Q253" s="17" t="n"/>
      <c r="T253" s="17" t="inlineStr">
        <is>
          <t>kanan</t>
        </is>
      </c>
      <c r="U253" s="17" t="n"/>
      <c r="V253" s="17" t="n"/>
    </row>
    <row r="254" s="1">
      <c r="E254" s="17" t="inlineStr">
        <is>
          <t>tengah</t>
        </is>
      </c>
      <c r="F254" s="17" t="n"/>
      <c r="G254" s="17" t="n"/>
      <c r="J254" s="17" t="inlineStr">
        <is>
          <t>kiri</t>
        </is>
      </c>
      <c r="K254" s="17" t="n"/>
      <c r="L254" s="17" t="n"/>
      <c r="O254" s="17" t="inlineStr">
        <is>
          <t>tengah</t>
        </is>
      </c>
      <c r="P254" s="17" t="n"/>
      <c r="Q254" s="17" t="n"/>
      <c r="T254" s="17" t="inlineStr">
        <is>
          <t>kanan</t>
        </is>
      </c>
      <c r="U254" s="17" t="n"/>
      <c r="V254" s="17" t="n"/>
    </row>
    <row r="255" s="1">
      <c r="E255" s="17" t="inlineStr">
        <is>
          <t>tengah</t>
        </is>
      </c>
      <c r="F255" s="17" t="n"/>
      <c r="G255" s="17" t="n"/>
      <c r="J255" s="17" t="inlineStr">
        <is>
          <t>kanan</t>
        </is>
      </c>
      <c r="K255" s="17" t="n"/>
      <c r="L255" s="17" t="n"/>
      <c r="O255" s="17" t="inlineStr">
        <is>
          <t>kiri</t>
        </is>
      </c>
      <c r="P255" s="17" t="n"/>
      <c r="Q255" s="17" t="n"/>
      <c r="T255" s="17" t="inlineStr">
        <is>
          <t>tengah</t>
        </is>
      </c>
      <c r="U255" s="17" t="n"/>
      <c r="V255" s="17" t="n"/>
    </row>
    <row r="256" s="1">
      <c r="E256" s="17" t="inlineStr">
        <is>
          <t>tengah</t>
        </is>
      </c>
      <c r="F256" s="17" t="n"/>
      <c r="G256" s="17" t="n"/>
      <c r="J256" s="17" t="inlineStr">
        <is>
          <t>tengah</t>
        </is>
      </c>
      <c r="K256" s="17" t="n"/>
      <c r="L256" s="17" t="n"/>
      <c r="O256" s="17" t="inlineStr">
        <is>
          <t>kanan</t>
        </is>
      </c>
      <c r="P256" s="17" t="n"/>
      <c r="Q256" s="17" t="n"/>
      <c r="T256" s="17" t="inlineStr">
        <is>
          <t>kanan</t>
        </is>
      </c>
      <c r="U256" s="17" t="n"/>
      <c r="V256" s="17" t="n"/>
    </row>
    <row r="257" s="1">
      <c r="E257" s="17" t="inlineStr">
        <is>
          <t>kanan</t>
        </is>
      </c>
      <c r="F257" s="17" t="n"/>
      <c r="G257" s="17" t="n"/>
      <c r="J257" s="17" t="inlineStr">
        <is>
          <t>tengah</t>
        </is>
      </c>
      <c r="K257" s="17" t="n"/>
      <c r="L257" s="17" t="n"/>
      <c r="O257" s="17" t="inlineStr">
        <is>
          <t>tengah</t>
        </is>
      </c>
      <c r="P257" s="17" t="n"/>
      <c r="Q257" s="17" t="n"/>
      <c r="T257" s="17" t="inlineStr">
        <is>
          <t>kanan</t>
        </is>
      </c>
      <c r="U257" s="17" t="n"/>
      <c r="V257" s="17" t="n"/>
    </row>
    <row r="258" s="1">
      <c r="E258" s="17" t="inlineStr">
        <is>
          <t>kanan</t>
        </is>
      </c>
      <c r="F258" s="17" t="n"/>
      <c r="G258" s="17" t="n"/>
      <c r="J258" s="17" t="inlineStr">
        <is>
          <t>tengah</t>
        </is>
      </c>
      <c r="K258" s="17" t="n"/>
      <c r="L258" s="17" t="n"/>
      <c r="O258" s="17" t="inlineStr">
        <is>
          <t>kiri</t>
        </is>
      </c>
      <c r="P258" s="17" t="n"/>
      <c r="Q258" s="17" t="n"/>
      <c r="T258" s="17" t="inlineStr">
        <is>
          <t>kanan</t>
        </is>
      </c>
      <c r="U258" s="17" t="n"/>
      <c r="V258" s="17" t="n"/>
    </row>
    <row r="259" s="1">
      <c r="E259" s="17" t="inlineStr">
        <is>
          <t>tengah</t>
        </is>
      </c>
      <c r="F259" s="17" t="n"/>
      <c r="G259" s="17" t="n"/>
      <c r="J259" s="17" t="inlineStr">
        <is>
          <t>kanan</t>
        </is>
      </c>
      <c r="K259" s="17" t="n"/>
      <c r="L259" s="17" t="n"/>
      <c r="O259" s="17" t="inlineStr">
        <is>
          <t>tengah</t>
        </is>
      </c>
      <c r="P259" s="17" t="n"/>
      <c r="Q259" s="17" t="n"/>
      <c r="T259" s="17" t="inlineStr">
        <is>
          <t>kanan</t>
        </is>
      </c>
      <c r="U259" s="17" t="n"/>
      <c r="V259" s="17" t="n"/>
    </row>
    <row r="260" s="1">
      <c r="E260" s="17" t="inlineStr">
        <is>
          <t>kiri</t>
        </is>
      </c>
      <c r="F260" s="17" t="n"/>
      <c r="G260" s="17" t="n"/>
      <c r="J260" s="17" t="inlineStr">
        <is>
          <t>tengah</t>
        </is>
      </c>
      <c r="K260" s="17" t="n"/>
      <c r="L260" s="17" t="n"/>
      <c r="O260" s="17" t="inlineStr">
        <is>
          <t>kiri</t>
        </is>
      </c>
      <c r="P260" s="17" t="n"/>
      <c r="Q260" s="17" t="n"/>
      <c r="T260" s="17" t="inlineStr">
        <is>
          <t>tengah</t>
        </is>
      </c>
      <c r="U260" s="17" t="n"/>
      <c r="V260" s="17" t="n"/>
    </row>
    <row r="261" s="1">
      <c r="E261" s="17" t="inlineStr">
        <is>
          <t>tengah</t>
        </is>
      </c>
      <c r="F261" s="17" t="n"/>
      <c r="G261" s="17" t="n"/>
      <c r="J261" s="17" t="inlineStr">
        <is>
          <t>tengah</t>
        </is>
      </c>
      <c r="K261" s="17" t="n"/>
      <c r="L261" s="17" t="n"/>
      <c r="O261" s="17" t="inlineStr">
        <is>
          <t>kiri</t>
        </is>
      </c>
      <c r="P261" s="17" t="n"/>
      <c r="Q261" s="17" t="n"/>
      <c r="T261" s="17" t="inlineStr">
        <is>
          <t>tengah</t>
        </is>
      </c>
      <c r="U261" s="17" t="n"/>
      <c r="V261" s="17" t="n"/>
    </row>
    <row r="262" s="1">
      <c r="E262" s="17" t="inlineStr">
        <is>
          <t>tengah</t>
        </is>
      </c>
      <c r="F262" s="17" t="n"/>
      <c r="G262" s="17" t="n"/>
      <c r="J262" s="17" t="inlineStr">
        <is>
          <t>tengah</t>
        </is>
      </c>
      <c r="K262" s="17" t="n"/>
      <c r="L262" s="17" t="n"/>
      <c r="O262" s="17" t="inlineStr">
        <is>
          <t>kiri</t>
        </is>
      </c>
      <c r="P262" s="17" t="n"/>
      <c r="Q262" s="17" t="n"/>
      <c r="T262" s="17" t="inlineStr">
        <is>
          <t>kanan</t>
        </is>
      </c>
      <c r="U262" s="17" t="n"/>
      <c r="V262" s="17" t="n"/>
    </row>
    <row r="263" s="1">
      <c r="E263" s="17" t="inlineStr">
        <is>
          <t>kanan</t>
        </is>
      </c>
      <c r="F263" s="17" t="n"/>
      <c r="G263" s="17" t="n"/>
      <c r="J263" s="17" t="inlineStr">
        <is>
          <t>kanan</t>
        </is>
      </c>
      <c r="K263" s="17" t="n"/>
      <c r="L263" s="17" t="n"/>
      <c r="O263" s="17" t="inlineStr">
        <is>
          <t>kanan</t>
        </is>
      </c>
      <c r="P263" s="17" t="n"/>
      <c r="Q263" s="17" t="n"/>
      <c r="T263" s="17" t="inlineStr">
        <is>
          <t>kanan</t>
        </is>
      </c>
      <c r="U263" s="17" t="n"/>
      <c r="V263" s="17" t="n"/>
    </row>
    <row r="264" s="1">
      <c r="E264" s="17" t="inlineStr">
        <is>
          <t>tengah</t>
        </is>
      </c>
      <c r="F264" s="17" t="n"/>
      <c r="G264" s="17" t="n"/>
      <c r="J264" s="17" t="inlineStr">
        <is>
          <t>tengah</t>
        </is>
      </c>
      <c r="K264" s="17" t="n"/>
      <c r="L264" s="17" t="n"/>
      <c r="O264" s="17" t="inlineStr">
        <is>
          <t>kiri</t>
        </is>
      </c>
      <c r="P264" s="17" t="n"/>
      <c r="Q264" s="17" t="n"/>
      <c r="T264" s="17" t="inlineStr">
        <is>
          <t>tengah</t>
        </is>
      </c>
      <c r="U264" s="17" t="n"/>
      <c r="V264" s="17" t="n"/>
    </row>
    <row r="265" s="1">
      <c r="E265" s="17" t="inlineStr">
        <is>
          <t>tengah</t>
        </is>
      </c>
      <c r="F265" s="17" t="n"/>
      <c r="G265" s="17" t="n"/>
      <c r="J265" s="17" t="inlineStr">
        <is>
          <t>tengah</t>
        </is>
      </c>
      <c r="K265" s="17" t="n"/>
      <c r="L265" s="17" t="n"/>
      <c r="O265" s="17" t="inlineStr">
        <is>
          <t>kanan</t>
        </is>
      </c>
      <c r="P265" s="17" t="n"/>
      <c r="Q265" s="17" t="n"/>
      <c r="T265" s="17" t="inlineStr">
        <is>
          <t>kanan</t>
        </is>
      </c>
      <c r="U265" s="17" t="n"/>
      <c r="V265" s="17" t="n"/>
    </row>
    <row r="266" s="1">
      <c r="E266" s="17" t="inlineStr">
        <is>
          <t>tengah</t>
        </is>
      </c>
      <c r="F266" s="17" t="n"/>
      <c r="G266" s="17" t="n"/>
      <c r="J266" s="17" t="inlineStr">
        <is>
          <t>tengah</t>
        </is>
      </c>
      <c r="K266" s="17" t="n"/>
      <c r="L266" s="17" t="n"/>
      <c r="O266" s="17" t="inlineStr">
        <is>
          <t>kanan</t>
        </is>
      </c>
      <c r="P266" s="17" t="n"/>
      <c r="Q266" s="17" t="n"/>
      <c r="T266" s="17" t="inlineStr">
        <is>
          <t>tengah</t>
        </is>
      </c>
      <c r="U266" s="17" t="n"/>
      <c r="V266" s="17" t="n"/>
    </row>
    <row r="267" s="1">
      <c r="E267" s="17" t="inlineStr">
        <is>
          <t>kiri</t>
        </is>
      </c>
      <c r="F267" s="17" t="n"/>
      <c r="G267" s="17" t="n"/>
      <c r="J267" s="17" t="inlineStr">
        <is>
          <t>kanan</t>
        </is>
      </c>
      <c r="K267" s="17" t="n"/>
      <c r="L267" s="17" t="n"/>
      <c r="O267" s="17" t="inlineStr">
        <is>
          <t>kiri</t>
        </is>
      </c>
      <c r="P267" s="17" t="n"/>
      <c r="Q267" s="17" t="n"/>
      <c r="T267" s="17" t="inlineStr">
        <is>
          <t>kanan</t>
        </is>
      </c>
      <c r="U267" s="17" t="n"/>
      <c r="V267" s="17" t="n"/>
    </row>
    <row r="268" s="1">
      <c r="E268" s="17" t="inlineStr">
        <is>
          <t>kiri</t>
        </is>
      </c>
      <c r="F268" s="17" t="n"/>
      <c r="G268" s="17" t="n"/>
      <c r="J268" s="17" t="inlineStr">
        <is>
          <t>kiri</t>
        </is>
      </c>
      <c r="K268" s="17" t="n"/>
      <c r="L268" s="17" t="n"/>
      <c r="O268" s="17" t="inlineStr">
        <is>
          <t>kiri</t>
        </is>
      </c>
      <c r="P268" s="17" t="n"/>
      <c r="Q268" s="17" t="n"/>
      <c r="T268" s="17" t="inlineStr">
        <is>
          <t>tengah</t>
        </is>
      </c>
      <c r="U268" s="17" t="n"/>
      <c r="V268" s="17" t="n"/>
    </row>
    <row r="269" s="1">
      <c r="E269" s="17" t="inlineStr">
        <is>
          <t>tengah</t>
        </is>
      </c>
      <c r="F269" s="17" t="n"/>
      <c r="G269" s="17" t="n"/>
      <c r="J269" s="17" t="inlineStr">
        <is>
          <t>tengah</t>
        </is>
      </c>
      <c r="K269" s="17" t="n"/>
      <c r="L269" s="17" t="n"/>
      <c r="O269" s="17" t="inlineStr">
        <is>
          <t>kiri</t>
        </is>
      </c>
      <c r="P269" s="17" t="n"/>
      <c r="Q269" s="17" t="n"/>
      <c r="T269" s="17" t="inlineStr">
        <is>
          <t>kanan</t>
        </is>
      </c>
      <c r="U269" s="17" t="n"/>
      <c r="V269" s="17" t="n"/>
    </row>
    <row r="270" s="1">
      <c r="E270" s="17" t="inlineStr">
        <is>
          <t>kiri</t>
        </is>
      </c>
      <c r="F270" s="17" t="n"/>
      <c r="G270" s="17" t="n"/>
      <c r="J270" s="17" t="inlineStr">
        <is>
          <t>kiri</t>
        </is>
      </c>
      <c r="K270" s="17" t="n"/>
      <c r="L270" s="17" t="n"/>
      <c r="O270" s="17" t="inlineStr">
        <is>
          <t>kanan</t>
        </is>
      </c>
      <c r="P270" s="17" t="n"/>
      <c r="Q270" s="17" t="n"/>
      <c r="T270" s="17" t="inlineStr">
        <is>
          <t>tengah</t>
        </is>
      </c>
      <c r="U270" s="17" t="n"/>
      <c r="V270" s="17" t="n"/>
    </row>
    <row r="271" s="1">
      <c r="E271" s="17" t="inlineStr">
        <is>
          <t>tengah</t>
        </is>
      </c>
      <c r="F271" s="17" t="n"/>
      <c r="G271" s="17" t="n"/>
      <c r="J271" s="17" t="inlineStr">
        <is>
          <t>tengah</t>
        </is>
      </c>
      <c r="K271" s="17" t="n"/>
      <c r="L271" s="17" t="n"/>
      <c r="O271" s="17" t="inlineStr">
        <is>
          <t>kiri</t>
        </is>
      </c>
      <c r="P271" s="17" t="n"/>
      <c r="Q271" s="17" t="n"/>
      <c r="T271" s="17" t="inlineStr">
        <is>
          <t>kanan</t>
        </is>
      </c>
      <c r="U271" s="17" t="n"/>
      <c r="V271" s="17" t="n"/>
    </row>
    <row r="272" s="1">
      <c r="E272" s="17" t="inlineStr">
        <is>
          <t>tengah</t>
        </is>
      </c>
      <c r="F272" s="17" t="n"/>
      <c r="G272" s="17" t="n"/>
      <c r="J272" s="17" t="inlineStr">
        <is>
          <t>tengah</t>
        </is>
      </c>
      <c r="K272" s="17" t="n"/>
      <c r="L272" s="17" t="n"/>
      <c r="O272" s="17" t="inlineStr">
        <is>
          <t>tengah</t>
        </is>
      </c>
      <c r="P272" s="17" t="n"/>
      <c r="Q272" s="17" t="n"/>
      <c r="T272" s="17" t="inlineStr">
        <is>
          <t>kanan</t>
        </is>
      </c>
      <c r="U272" s="17" t="n"/>
      <c r="V272" s="17" t="n"/>
    </row>
    <row r="273" s="1">
      <c r="E273" s="17" t="inlineStr">
        <is>
          <t>tengah</t>
        </is>
      </c>
      <c r="F273" s="17" t="n"/>
      <c r="G273" s="17" t="n"/>
      <c r="J273" s="17" t="inlineStr">
        <is>
          <t>tengah</t>
        </is>
      </c>
      <c r="K273" s="17" t="n"/>
      <c r="L273" s="17" t="n"/>
      <c r="O273" s="17" t="inlineStr">
        <is>
          <t>kiri</t>
        </is>
      </c>
      <c r="P273" s="17" t="n"/>
      <c r="Q273" s="17" t="n"/>
      <c r="T273" s="17" t="inlineStr">
        <is>
          <t>kanan</t>
        </is>
      </c>
      <c r="U273" s="17" t="n"/>
      <c r="V273" s="17" t="n"/>
    </row>
    <row r="274" s="1">
      <c r="E274" s="17" t="inlineStr">
        <is>
          <t>tengah</t>
        </is>
      </c>
      <c r="F274" s="17" t="n"/>
      <c r="G274" s="17" t="n"/>
      <c r="J274" s="17" t="inlineStr">
        <is>
          <t>kanan</t>
        </is>
      </c>
      <c r="K274" s="17" t="n"/>
      <c r="L274" s="17" t="n"/>
      <c r="O274" s="17" t="inlineStr">
        <is>
          <t>kiri</t>
        </is>
      </c>
      <c r="P274" s="17" t="n"/>
      <c r="Q274" s="17" t="n"/>
      <c r="T274" s="17" t="inlineStr">
        <is>
          <t>kanan</t>
        </is>
      </c>
      <c r="U274" s="17" t="n"/>
      <c r="V274" s="17" t="n"/>
    </row>
    <row r="275" s="1">
      <c r="E275" s="17" t="inlineStr">
        <is>
          <t>tengah</t>
        </is>
      </c>
      <c r="F275" s="17" t="n"/>
      <c r="G275" s="17" t="n"/>
      <c r="J275" s="17" t="inlineStr">
        <is>
          <t>tengah</t>
        </is>
      </c>
      <c r="K275" s="17" t="n"/>
      <c r="L275" s="17" t="n"/>
      <c r="O275" s="17" t="inlineStr">
        <is>
          <t>kiri</t>
        </is>
      </c>
      <c r="P275" s="17" t="n"/>
      <c r="Q275" s="17" t="n"/>
      <c r="T275" s="17" t="inlineStr">
        <is>
          <t>tengah</t>
        </is>
      </c>
      <c r="U275" s="17" t="n"/>
      <c r="V275" s="17" t="n"/>
    </row>
    <row r="276" s="1">
      <c r="E276" s="17" t="inlineStr">
        <is>
          <t>tengah</t>
        </is>
      </c>
      <c r="F276" s="17" t="n"/>
      <c r="G276" s="17" t="n"/>
      <c r="J276" s="17" t="inlineStr">
        <is>
          <t>tengah</t>
        </is>
      </c>
      <c r="K276" s="17" t="n"/>
      <c r="L276" s="17" t="n"/>
      <c r="O276" s="17" t="inlineStr">
        <is>
          <t>kanan</t>
        </is>
      </c>
      <c r="P276" s="17" t="n"/>
      <c r="Q276" s="17" t="n"/>
      <c r="T276" s="17" t="inlineStr">
        <is>
          <t>kanan</t>
        </is>
      </c>
      <c r="U276" s="17" t="n"/>
      <c r="V276" s="17" t="n"/>
    </row>
    <row r="277" s="1">
      <c r="E277" s="17" t="inlineStr">
        <is>
          <t>tengah</t>
        </is>
      </c>
      <c r="F277" s="17" t="n"/>
      <c r="G277" s="17" t="n"/>
      <c r="J277" s="17" t="inlineStr">
        <is>
          <t>kanan</t>
        </is>
      </c>
      <c r="K277" s="17" t="n"/>
      <c r="L277" s="17" t="n"/>
      <c r="O277" s="17" t="inlineStr">
        <is>
          <t>tengah</t>
        </is>
      </c>
      <c r="P277" s="17" t="n"/>
      <c r="Q277" s="17" t="n"/>
      <c r="T277" s="17" t="inlineStr">
        <is>
          <t>tengah</t>
        </is>
      </c>
      <c r="U277" s="17" t="n"/>
      <c r="V277" s="17" t="n"/>
    </row>
    <row r="278" s="1">
      <c r="E278" s="17" t="inlineStr">
        <is>
          <t>kanan</t>
        </is>
      </c>
      <c r="F278" s="17" t="n"/>
      <c r="G278" s="17" t="n"/>
      <c r="J278" s="17" t="inlineStr">
        <is>
          <t>kiri</t>
        </is>
      </c>
      <c r="K278" s="17" t="n"/>
      <c r="L278" s="17" t="n"/>
      <c r="O278" s="17" t="inlineStr">
        <is>
          <t>kiri</t>
        </is>
      </c>
      <c r="P278" s="17" t="n"/>
      <c r="Q278" s="17" t="n"/>
      <c r="T278" s="17" t="inlineStr">
        <is>
          <t>tengah</t>
        </is>
      </c>
      <c r="U278" s="17" t="n"/>
      <c r="V278" s="17" t="n"/>
    </row>
    <row r="279" s="1">
      <c r="E279" s="17" t="inlineStr">
        <is>
          <t>tengah</t>
        </is>
      </c>
      <c r="F279" s="17" t="n"/>
      <c r="G279" s="17" t="n"/>
      <c r="J279" s="17" t="inlineStr">
        <is>
          <t>tengah</t>
        </is>
      </c>
      <c r="K279" s="17" t="n"/>
      <c r="L279" s="17" t="n"/>
      <c r="O279" s="17" t="inlineStr">
        <is>
          <t>kiri</t>
        </is>
      </c>
      <c r="P279" s="17" t="n"/>
      <c r="Q279" s="17" t="n"/>
      <c r="T279" s="17" t="inlineStr">
        <is>
          <t>kanan</t>
        </is>
      </c>
      <c r="U279" s="17" t="n"/>
      <c r="V279" s="17" t="n"/>
    </row>
    <row r="280" s="1">
      <c r="E280" s="17" t="inlineStr">
        <is>
          <t>kanan</t>
        </is>
      </c>
      <c r="F280" s="17" t="n"/>
      <c r="G280" s="17" t="n"/>
      <c r="J280" s="17" t="inlineStr">
        <is>
          <t>tengah</t>
        </is>
      </c>
      <c r="K280" s="17" t="n"/>
      <c r="L280" s="17" t="n"/>
      <c r="O280" s="17" t="inlineStr">
        <is>
          <t>tengah</t>
        </is>
      </c>
      <c r="P280" s="17" t="n"/>
      <c r="Q280" s="17" t="n"/>
      <c r="T280" s="17" t="inlineStr">
        <is>
          <t>tengah</t>
        </is>
      </c>
      <c r="U280" s="17" t="n"/>
      <c r="V280" s="17" t="n"/>
    </row>
    <row r="281" s="1">
      <c r="E281" s="17" t="inlineStr">
        <is>
          <t>tengah</t>
        </is>
      </c>
      <c r="F281" s="17" t="n"/>
      <c r="G281" s="17" t="n"/>
      <c r="J281" s="17" t="inlineStr">
        <is>
          <t>tengah</t>
        </is>
      </c>
      <c r="K281" s="17" t="n"/>
      <c r="L281" s="17" t="n"/>
      <c r="O281" s="17" t="inlineStr">
        <is>
          <t>kiri</t>
        </is>
      </c>
      <c r="P281" s="17" t="n"/>
      <c r="Q281" s="17" t="n"/>
      <c r="T281" s="17" t="inlineStr">
        <is>
          <t>tengah</t>
        </is>
      </c>
      <c r="U281" s="17" t="n"/>
      <c r="V281" s="17" t="n"/>
    </row>
    <row r="282" s="1">
      <c r="E282" s="17" t="inlineStr">
        <is>
          <t>kiri</t>
        </is>
      </c>
      <c r="F282" s="17" t="n"/>
      <c r="G282" s="17" t="n"/>
      <c r="J282" s="17" t="inlineStr">
        <is>
          <t>kiri</t>
        </is>
      </c>
      <c r="K282" s="17" t="n"/>
      <c r="L282" s="17" t="n"/>
      <c r="O282" s="17" t="inlineStr">
        <is>
          <t>kanan</t>
        </is>
      </c>
      <c r="P282" s="17" t="n"/>
      <c r="Q282" s="17" t="n"/>
      <c r="T282" s="17" t="inlineStr">
        <is>
          <t>kanan</t>
        </is>
      </c>
      <c r="U282" s="17" t="n"/>
      <c r="V282" s="17" t="n"/>
    </row>
    <row r="283" s="1">
      <c r="E283" s="17" t="inlineStr">
        <is>
          <t>tengah</t>
        </is>
      </c>
      <c r="F283" s="17" t="n"/>
      <c r="G283" s="17" t="n"/>
      <c r="J283" s="17" t="inlineStr">
        <is>
          <t>tengah</t>
        </is>
      </c>
      <c r="K283" s="17" t="n"/>
      <c r="L283" s="17" t="n"/>
      <c r="O283" s="17" t="inlineStr">
        <is>
          <t>kiri</t>
        </is>
      </c>
      <c r="P283" s="17" t="n"/>
      <c r="Q283" s="17" t="n"/>
      <c r="T283" s="17" t="inlineStr">
        <is>
          <t>kanan</t>
        </is>
      </c>
      <c r="U283" s="17" t="n"/>
      <c r="V283" s="17" t="n"/>
    </row>
    <row r="284" s="1">
      <c r="E284" s="17" t="inlineStr">
        <is>
          <t>tengah</t>
        </is>
      </c>
      <c r="F284" s="17" t="n"/>
      <c r="G284" s="17" t="n"/>
      <c r="J284" s="17" t="inlineStr">
        <is>
          <t>tengah</t>
        </is>
      </c>
      <c r="K284" s="17" t="n"/>
      <c r="L284" s="17" t="n"/>
      <c r="O284" s="17" t="inlineStr">
        <is>
          <t>kanan</t>
        </is>
      </c>
      <c r="P284" s="17" t="n"/>
      <c r="Q284" s="17" t="n"/>
      <c r="T284" s="17" t="inlineStr">
        <is>
          <t>kanan</t>
        </is>
      </c>
      <c r="U284" s="17" t="n"/>
      <c r="V284" s="17" t="n"/>
    </row>
    <row r="285" s="1">
      <c r="E285" s="17" t="inlineStr">
        <is>
          <t>kiri</t>
        </is>
      </c>
      <c r="F285" s="17" t="n"/>
      <c r="G285" s="17" t="n"/>
      <c r="J285" s="17" t="inlineStr">
        <is>
          <t>kanan</t>
        </is>
      </c>
      <c r="K285" s="17" t="n"/>
      <c r="L285" s="17" t="n"/>
      <c r="O285" s="17" t="inlineStr">
        <is>
          <t>tengah</t>
        </is>
      </c>
      <c r="P285" s="17" t="n"/>
      <c r="Q285" s="17" t="n"/>
      <c r="T285" s="17" t="inlineStr">
        <is>
          <t>kanan</t>
        </is>
      </c>
      <c r="U285" s="17" t="n"/>
      <c r="V285" s="17" t="n"/>
    </row>
    <row r="286" s="1">
      <c r="E286" s="17" t="inlineStr">
        <is>
          <t>tengah</t>
        </is>
      </c>
      <c r="F286" s="17" t="n"/>
      <c r="G286" s="17" t="n"/>
      <c r="J286" s="17" t="inlineStr">
        <is>
          <t>tengah</t>
        </is>
      </c>
      <c r="K286" s="17" t="n"/>
      <c r="L286" s="17" t="n"/>
      <c r="O286" s="17" t="inlineStr">
        <is>
          <t>tengah</t>
        </is>
      </c>
      <c r="P286" s="17" t="n"/>
      <c r="Q286" s="17" t="n"/>
      <c r="T286" s="17" t="inlineStr">
        <is>
          <t>kanan</t>
        </is>
      </c>
      <c r="U286" s="17" t="n"/>
      <c r="V286" s="17" t="n"/>
    </row>
    <row r="287" s="1">
      <c r="E287" s="17" t="inlineStr">
        <is>
          <t>tengah</t>
        </is>
      </c>
      <c r="F287" s="17" t="n"/>
      <c r="G287" s="17" t="n"/>
      <c r="J287" s="17" t="inlineStr">
        <is>
          <t>tengah</t>
        </is>
      </c>
      <c r="K287" s="17" t="n"/>
      <c r="L287" s="17" t="n"/>
      <c r="O287" s="17" t="inlineStr">
        <is>
          <t>kanan</t>
        </is>
      </c>
      <c r="P287" s="17" t="n"/>
      <c r="Q287" s="17" t="n"/>
      <c r="T287" s="17" t="inlineStr">
        <is>
          <t>kanan</t>
        </is>
      </c>
      <c r="U287" s="17" t="n"/>
      <c r="V287" s="17" t="n"/>
    </row>
    <row r="288" s="1">
      <c r="E288" s="17" t="inlineStr">
        <is>
          <t>kanan</t>
        </is>
      </c>
      <c r="F288" s="17" t="n"/>
      <c r="G288" s="17" t="n"/>
      <c r="J288" s="17" t="inlineStr">
        <is>
          <t>tengah</t>
        </is>
      </c>
      <c r="K288" s="17" t="n"/>
      <c r="L288" s="17" t="n"/>
      <c r="O288" s="17" t="inlineStr">
        <is>
          <t>tengah</t>
        </is>
      </c>
      <c r="P288" s="17" t="n"/>
      <c r="Q288" s="17" t="n"/>
      <c r="T288" s="17" t="inlineStr">
        <is>
          <t>tengah</t>
        </is>
      </c>
      <c r="U288" s="17" t="n"/>
      <c r="V288" s="17" t="n"/>
    </row>
    <row r="289" s="1">
      <c r="E289" s="17" t="inlineStr">
        <is>
          <t>kiri</t>
        </is>
      </c>
      <c r="F289" s="17" t="n"/>
      <c r="G289" s="17" t="n"/>
      <c r="J289" s="17" t="inlineStr">
        <is>
          <t>tengah</t>
        </is>
      </c>
      <c r="K289" s="17" t="n"/>
      <c r="L289" s="17" t="n"/>
      <c r="O289" s="17" t="inlineStr">
        <is>
          <t>kiri</t>
        </is>
      </c>
      <c r="P289" s="17" t="n"/>
      <c r="Q289" s="17" t="n"/>
      <c r="T289" s="17" t="inlineStr">
        <is>
          <t>tengah</t>
        </is>
      </c>
      <c r="U289" s="17" t="n"/>
      <c r="V289" s="17" t="n"/>
    </row>
    <row r="290" s="1">
      <c r="E290" s="17" t="inlineStr">
        <is>
          <t>tengah</t>
        </is>
      </c>
      <c r="F290" s="17" t="n"/>
      <c r="G290" s="17" t="n"/>
      <c r="J290" s="17" t="inlineStr">
        <is>
          <t>tengah</t>
        </is>
      </c>
      <c r="K290" s="17" t="n"/>
      <c r="L290" s="17" t="n"/>
      <c r="O290" s="17" t="inlineStr">
        <is>
          <t>tengah</t>
        </is>
      </c>
      <c r="P290" s="17" t="n"/>
      <c r="Q290" s="17" t="n"/>
      <c r="T290" s="17" t="inlineStr">
        <is>
          <t>kanan</t>
        </is>
      </c>
      <c r="U290" s="17" t="n"/>
      <c r="V290" s="17" t="n"/>
    </row>
    <row r="291" s="1">
      <c r="E291" s="17" t="inlineStr">
        <is>
          <t>tengah</t>
        </is>
      </c>
      <c r="F291" s="17" t="n"/>
      <c r="G291" s="17" t="n"/>
      <c r="J291" s="17" t="inlineStr">
        <is>
          <t>tengah</t>
        </is>
      </c>
      <c r="K291" s="17" t="n"/>
      <c r="L291" s="17" t="n"/>
      <c r="O291" s="17" t="inlineStr">
        <is>
          <t>kiri</t>
        </is>
      </c>
      <c r="P291" s="17" t="n"/>
      <c r="Q291" s="17" t="n"/>
      <c r="T291" s="17" t="inlineStr">
        <is>
          <t>tengah</t>
        </is>
      </c>
      <c r="U291" s="17" t="n"/>
      <c r="V291" s="17" t="n"/>
    </row>
    <row r="292" s="1">
      <c r="E292" s="17" t="inlineStr">
        <is>
          <t>tengah</t>
        </is>
      </c>
      <c r="F292" s="17" t="n"/>
      <c r="G292" s="17" t="n"/>
      <c r="J292" s="17" t="inlineStr">
        <is>
          <t>tengah</t>
        </is>
      </c>
      <c r="K292" s="17" t="n"/>
      <c r="L292" s="17" t="n"/>
      <c r="O292" s="17" t="inlineStr">
        <is>
          <t>kiri</t>
        </is>
      </c>
      <c r="P292" s="17" t="n"/>
      <c r="Q292" s="17" t="n"/>
      <c r="T292" s="17" t="inlineStr">
        <is>
          <t>tengah</t>
        </is>
      </c>
      <c r="U292" s="17" t="n"/>
      <c r="V292" s="17" t="n"/>
    </row>
    <row r="293" s="1">
      <c r="E293" s="17" t="inlineStr">
        <is>
          <t>kanan</t>
        </is>
      </c>
      <c r="F293" s="17" t="n"/>
      <c r="G293" s="17" t="n"/>
      <c r="J293" s="17" t="inlineStr">
        <is>
          <t>tengah</t>
        </is>
      </c>
      <c r="K293" s="17" t="n"/>
      <c r="L293" s="17" t="n"/>
      <c r="O293" s="17" t="inlineStr">
        <is>
          <t>kanan</t>
        </is>
      </c>
      <c r="P293" s="17" t="n"/>
      <c r="Q293" s="17" t="n"/>
      <c r="T293" s="17" t="inlineStr">
        <is>
          <t>kanan</t>
        </is>
      </c>
      <c r="U293" s="17" t="n"/>
      <c r="V293" s="17" t="n"/>
    </row>
    <row r="294" s="1">
      <c r="E294" s="17" t="inlineStr">
        <is>
          <t>tengah</t>
        </is>
      </c>
      <c r="F294" s="17" t="n"/>
      <c r="G294" s="17" t="n"/>
      <c r="J294" s="17" t="inlineStr">
        <is>
          <t>tengah</t>
        </is>
      </c>
      <c r="K294" s="17" t="n"/>
      <c r="L294" s="17" t="n"/>
      <c r="O294" s="17" t="inlineStr">
        <is>
          <t>kiri</t>
        </is>
      </c>
      <c r="P294" s="17" t="n"/>
      <c r="Q294" s="17" t="n"/>
      <c r="T294" s="17" t="inlineStr">
        <is>
          <t>tengah</t>
        </is>
      </c>
      <c r="U294" s="17" t="n"/>
      <c r="V294" s="17" t="n"/>
    </row>
    <row r="295" s="1">
      <c r="E295" s="17" t="inlineStr">
        <is>
          <t>kanan</t>
        </is>
      </c>
      <c r="F295" s="17" t="n"/>
      <c r="G295" s="17" t="n"/>
      <c r="J295" s="17" t="inlineStr">
        <is>
          <t>tengah</t>
        </is>
      </c>
      <c r="K295" s="17" t="n"/>
      <c r="L295" s="17" t="n"/>
      <c r="O295" s="17" t="inlineStr">
        <is>
          <t>kiri</t>
        </is>
      </c>
      <c r="P295" s="17" t="n"/>
      <c r="Q295" s="17" t="n"/>
      <c r="T295" s="17" t="inlineStr">
        <is>
          <t>tengah</t>
        </is>
      </c>
      <c r="U295" s="17" t="n"/>
      <c r="V295" s="17" t="n"/>
    </row>
    <row r="296" s="1">
      <c r="E296" s="17" t="inlineStr">
        <is>
          <t>tengah</t>
        </is>
      </c>
      <c r="F296" s="17" t="n"/>
      <c r="G296" s="17" t="n"/>
      <c r="J296" s="17" t="inlineStr">
        <is>
          <t>tengah</t>
        </is>
      </c>
      <c r="K296" s="17" t="n"/>
      <c r="L296" s="17" t="n"/>
      <c r="O296" s="17" t="inlineStr">
        <is>
          <t>tengah</t>
        </is>
      </c>
      <c r="P296" s="17" t="n"/>
      <c r="Q296" s="17" t="n"/>
      <c r="T296" s="17" t="inlineStr">
        <is>
          <t>kanan</t>
        </is>
      </c>
      <c r="U296" s="17" t="n"/>
      <c r="V296" s="17" t="n"/>
    </row>
    <row r="297" s="1">
      <c r="E297" s="17" t="inlineStr">
        <is>
          <t>tengah</t>
        </is>
      </c>
      <c r="F297" s="17" t="n"/>
      <c r="G297" s="17" t="n"/>
      <c r="J297" s="17" t="inlineStr">
        <is>
          <t>kiri</t>
        </is>
      </c>
      <c r="K297" s="17" t="n"/>
      <c r="L297" s="17" t="n"/>
      <c r="O297" s="17" t="inlineStr">
        <is>
          <t>kanan</t>
        </is>
      </c>
      <c r="P297" s="17" t="n"/>
      <c r="Q297" s="17" t="n"/>
      <c r="T297" s="17" t="inlineStr">
        <is>
          <t>kanan</t>
        </is>
      </c>
      <c r="U297" s="17" t="n"/>
      <c r="V297" s="17" t="n"/>
    </row>
    <row r="298" s="1">
      <c r="E298" s="17" t="inlineStr">
        <is>
          <t>kiri</t>
        </is>
      </c>
      <c r="F298" s="17" t="n"/>
      <c r="G298" s="17" t="n"/>
      <c r="J298" s="17" t="inlineStr">
        <is>
          <t>kiri</t>
        </is>
      </c>
      <c r="K298" s="17" t="n"/>
      <c r="L298" s="17" t="n"/>
      <c r="O298" s="17" t="inlineStr">
        <is>
          <t>tengah</t>
        </is>
      </c>
      <c r="P298" s="17" t="n"/>
      <c r="Q298" s="17" t="n"/>
      <c r="T298" s="17" t="inlineStr">
        <is>
          <t>kanan</t>
        </is>
      </c>
      <c r="U298" s="17" t="n"/>
      <c r="V298" s="17" t="n"/>
    </row>
    <row r="299" s="1">
      <c r="E299" s="17" t="inlineStr">
        <is>
          <t>tengah</t>
        </is>
      </c>
      <c r="F299" s="17" t="n"/>
      <c r="G299" s="17" t="n"/>
      <c r="J299" s="17" t="inlineStr">
        <is>
          <t>tengah</t>
        </is>
      </c>
      <c r="K299" s="17" t="n"/>
      <c r="L299" s="17" t="n"/>
      <c r="O299" s="17" t="inlineStr">
        <is>
          <t>kanan</t>
        </is>
      </c>
      <c r="P299" s="17" t="n"/>
      <c r="Q299" s="17" t="n"/>
      <c r="T299" s="17" t="inlineStr">
        <is>
          <t>kanan</t>
        </is>
      </c>
      <c r="U299" s="17" t="n"/>
      <c r="V299" s="17" t="n"/>
    </row>
    <row r="300" s="1">
      <c r="E300" s="17" t="inlineStr">
        <is>
          <t>kiri</t>
        </is>
      </c>
      <c r="F300" s="17" t="n"/>
      <c r="G300" s="17" t="n"/>
      <c r="J300" s="17" t="inlineStr">
        <is>
          <t>tengah</t>
        </is>
      </c>
      <c r="K300" s="17" t="n"/>
      <c r="L300" s="17" t="n"/>
      <c r="O300" s="17" t="inlineStr">
        <is>
          <t>tengah</t>
        </is>
      </c>
      <c r="P300" s="17" t="n"/>
      <c r="Q300" s="17" t="n"/>
      <c r="T300" s="17" t="inlineStr">
        <is>
          <t>tengah</t>
        </is>
      </c>
      <c r="U300" s="17" t="n"/>
      <c r="V300" s="17" t="n"/>
    </row>
    <row r="301" s="1">
      <c r="E301" s="17" t="inlineStr">
        <is>
          <t>kiri</t>
        </is>
      </c>
      <c r="F301" s="17" t="n"/>
      <c r="G301" s="17" t="n"/>
      <c r="J301" s="17" t="inlineStr">
        <is>
          <t>tengah</t>
        </is>
      </c>
      <c r="K301" s="17" t="n"/>
      <c r="L301" s="17" t="n"/>
      <c r="O301" s="17" t="inlineStr">
        <is>
          <t>tengah</t>
        </is>
      </c>
      <c r="P301" s="17" t="n"/>
      <c r="Q301" s="17" t="n"/>
      <c r="T301" s="17" t="inlineStr">
        <is>
          <t>tengah</t>
        </is>
      </c>
      <c r="U301" s="17" t="n"/>
      <c r="V301" s="17" t="n"/>
    </row>
    <row r="302" s="1">
      <c r="E302" s="17" t="inlineStr">
        <is>
          <t>tengah</t>
        </is>
      </c>
      <c r="F302" s="17" t="n"/>
      <c r="G302" s="17" t="n"/>
      <c r="J302" s="17" t="inlineStr">
        <is>
          <t>tengah</t>
        </is>
      </c>
      <c r="K302" s="17" t="n"/>
      <c r="L302" s="17" t="n"/>
      <c r="O302" s="17" t="inlineStr">
        <is>
          <t>tengah</t>
        </is>
      </c>
      <c r="P302" s="17" t="n"/>
      <c r="Q302" s="17" t="n"/>
      <c r="T302" s="17" t="inlineStr">
        <is>
          <t>kanan</t>
        </is>
      </c>
      <c r="U302" s="17" t="n"/>
      <c r="V302" s="17" t="n"/>
    </row>
    <row r="303" s="1">
      <c r="E303" s="17" t="inlineStr">
        <is>
          <t>tengah</t>
        </is>
      </c>
      <c r="F303" s="17" t="n"/>
      <c r="G303" s="17" t="n"/>
      <c r="J303" s="17" t="inlineStr">
        <is>
          <t>tengah</t>
        </is>
      </c>
      <c r="K303" s="17" t="n"/>
      <c r="L303" s="17" t="n"/>
      <c r="O303" s="17" t="inlineStr">
        <is>
          <t>kiri</t>
        </is>
      </c>
      <c r="P303" s="17" t="n"/>
      <c r="Q303" s="17" t="n"/>
      <c r="T303" s="17" t="inlineStr">
        <is>
          <t>tengah</t>
        </is>
      </c>
      <c r="U303" s="17" t="n"/>
      <c r="V303" s="17" t="n"/>
    </row>
    <row r="304" s="1">
      <c r="E304" s="17" t="inlineStr">
        <is>
          <t>kanan</t>
        </is>
      </c>
      <c r="F304" s="17" t="n"/>
      <c r="G304" s="17" t="n"/>
      <c r="J304" s="17" t="inlineStr">
        <is>
          <t>tengah</t>
        </is>
      </c>
      <c r="K304" s="17" t="n"/>
      <c r="L304" s="17" t="n"/>
      <c r="O304" s="17" t="inlineStr">
        <is>
          <t>tengah</t>
        </is>
      </c>
      <c r="P304" s="17" t="n"/>
      <c r="Q304" s="17" t="n"/>
      <c r="T304" s="17" t="inlineStr">
        <is>
          <t>kanan</t>
        </is>
      </c>
      <c r="U304" s="17" t="n"/>
      <c r="V304" s="17" t="n"/>
    </row>
    <row r="305" s="1">
      <c r="E305" s="17" t="inlineStr">
        <is>
          <t>kanan</t>
        </is>
      </c>
      <c r="F305" s="17" t="n"/>
      <c r="G305" s="17" t="n"/>
      <c r="J305" s="17" t="inlineStr">
        <is>
          <t>tengah</t>
        </is>
      </c>
      <c r="K305" s="17" t="n"/>
      <c r="L305" s="17" t="n"/>
      <c r="O305" s="17" t="inlineStr">
        <is>
          <t>kanan</t>
        </is>
      </c>
      <c r="P305" s="17" t="n"/>
      <c r="Q305" s="17" t="n"/>
      <c r="T305" s="17" t="inlineStr">
        <is>
          <t>kanan</t>
        </is>
      </c>
      <c r="U305" s="17" t="n"/>
      <c r="V305" s="17" t="n"/>
    </row>
    <row r="306" s="1">
      <c r="E306" s="17" t="inlineStr">
        <is>
          <t>tengah</t>
        </is>
      </c>
      <c r="F306" s="17" t="n"/>
      <c r="G306" s="17" t="n"/>
      <c r="J306" s="17" t="inlineStr">
        <is>
          <t>tengah</t>
        </is>
      </c>
      <c r="K306" s="17" t="n"/>
      <c r="L306" s="17" t="n"/>
      <c r="O306" s="17" t="inlineStr">
        <is>
          <t>tengah</t>
        </is>
      </c>
      <c r="P306" s="17" t="n"/>
      <c r="Q306" s="17" t="n"/>
      <c r="T306" s="17" t="inlineStr">
        <is>
          <t>kanan</t>
        </is>
      </c>
      <c r="U306" s="17" t="n"/>
      <c r="V306" s="17" t="n"/>
    </row>
    <row r="307" s="1">
      <c r="E307" s="17" t="inlineStr">
        <is>
          <t>tengah</t>
        </is>
      </c>
      <c r="F307" s="17" t="n"/>
      <c r="G307" s="17" t="n"/>
      <c r="J307" s="17" t="inlineStr">
        <is>
          <t>tengah</t>
        </is>
      </c>
      <c r="K307" s="17" t="n"/>
      <c r="L307" s="17" t="n"/>
      <c r="O307" s="17" t="inlineStr">
        <is>
          <t>tengah</t>
        </is>
      </c>
      <c r="P307" s="17" t="n"/>
      <c r="Q307" s="17" t="n"/>
      <c r="T307" s="17" t="inlineStr">
        <is>
          <t>tengah</t>
        </is>
      </c>
      <c r="U307" s="17" t="n"/>
      <c r="V307" s="17" t="n"/>
    </row>
    <row r="308" s="1">
      <c r="E308" s="17" t="inlineStr">
        <is>
          <t>kiri</t>
        </is>
      </c>
      <c r="F308" s="17" t="n"/>
      <c r="G308" s="17" t="n"/>
      <c r="J308" s="17" t="inlineStr">
        <is>
          <t>tengah</t>
        </is>
      </c>
      <c r="K308" s="17" t="n"/>
      <c r="L308" s="17" t="n"/>
      <c r="O308" s="17" t="inlineStr">
        <is>
          <t>kiri</t>
        </is>
      </c>
      <c r="P308" s="17" t="n"/>
      <c r="Q308" s="17" t="n"/>
      <c r="T308" s="17" t="inlineStr">
        <is>
          <t>tengah</t>
        </is>
      </c>
      <c r="U308" s="17" t="n"/>
      <c r="V308" s="17" t="n"/>
    </row>
    <row r="309" s="1">
      <c r="E309" s="17" t="inlineStr">
        <is>
          <t>kiri</t>
        </is>
      </c>
      <c r="F309" s="17" t="n"/>
      <c r="G309" s="17" t="n"/>
      <c r="J309" s="17" t="inlineStr">
        <is>
          <t>kiri</t>
        </is>
      </c>
      <c r="K309" s="17" t="n"/>
      <c r="L309" s="17" t="n"/>
      <c r="O309" s="17" t="inlineStr">
        <is>
          <t>kiri</t>
        </is>
      </c>
      <c r="P309" s="17" t="n"/>
      <c r="Q309" s="17" t="n"/>
      <c r="T309" s="17" t="inlineStr">
        <is>
          <t>kanan</t>
        </is>
      </c>
      <c r="U309" s="17" t="n"/>
      <c r="V309" s="17" t="n"/>
    </row>
    <row r="310" s="1">
      <c r="E310" s="17" t="inlineStr">
        <is>
          <t>tengah</t>
        </is>
      </c>
      <c r="F310" s="17" t="n"/>
      <c r="G310" s="17" t="n"/>
      <c r="J310" s="17" t="inlineStr">
        <is>
          <t>kiri</t>
        </is>
      </c>
      <c r="K310" s="17" t="n"/>
      <c r="L310" s="17" t="n"/>
      <c r="O310" s="17" t="inlineStr">
        <is>
          <t>kiri</t>
        </is>
      </c>
      <c r="P310" s="17" t="n"/>
      <c r="Q310" s="17" t="n"/>
      <c r="T310" s="17" t="inlineStr">
        <is>
          <t>kanan</t>
        </is>
      </c>
      <c r="U310" s="17" t="n"/>
      <c r="V310" s="17" t="n"/>
    </row>
    <row r="311" s="1">
      <c r="E311" s="17" t="inlineStr">
        <is>
          <t>tengah</t>
        </is>
      </c>
      <c r="F311" s="17" t="n"/>
      <c r="G311" s="17" t="n"/>
      <c r="J311" s="17" t="inlineStr">
        <is>
          <t>tengah</t>
        </is>
      </c>
      <c r="K311" s="17" t="n"/>
      <c r="L311" s="17" t="n"/>
      <c r="O311" s="17" t="inlineStr">
        <is>
          <t>kiri</t>
        </is>
      </c>
      <c r="P311" s="17" t="n"/>
      <c r="Q311" s="17" t="n"/>
      <c r="T311" s="17" t="inlineStr">
        <is>
          <t>kanan</t>
        </is>
      </c>
      <c r="U311" s="17" t="n"/>
      <c r="V311" s="17" t="n"/>
    </row>
    <row r="312" s="1">
      <c r="E312" s="17" t="inlineStr">
        <is>
          <t>tengah</t>
        </is>
      </c>
      <c r="F312" s="17" t="n"/>
      <c r="G312" s="17" t="n"/>
      <c r="J312" s="17" t="inlineStr">
        <is>
          <t>kanan</t>
        </is>
      </c>
      <c r="K312" s="17" t="n"/>
      <c r="L312" s="17" t="n"/>
      <c r="O312" s="17" t="inlineStr">
        <is>
          <t>tengah</t>
        </is>
      </c>
      <c r="P312" s="17" t="n"/>
      <c r="Q312" s="17" t="n"/>
      <c r="T312" s="17" t="inlineStr">
        <is>
          <t>tengah</t>
        </is>
      </c>
      <c r="U312" s="17" t="n"/>
      <c r="V312" s="17" t="n"/>
    </row>
    <row r="313" s="1">
      <c r="E313" s="17" t="inlineStr">
        <is>
          <t>kanan</t>
        </is>
      </c>
      <c r="F313" s="17" t="n"/>
      <c r="G313" s="17" t="n"/>
      <c r="J313" s="17" t="inlineStr">
        <is>
          <t>tengah</t>
        </is>
      </c>
      <c r="K313" s="17" t="n"/>
      <c r="L313" s="17" t="n"/>
      <c r="O313" s="17" t="inlineStr">
        <is>
          <t>tengah</t>
        </is>
      </c>
      <c r="P313" s="17" t="n"/>
      <c r="Q313" s="17" t="n"/>
      <c r="T313" s="17" t="inlineStr">
        <is>
          <t>kanan</t>
        </is>
      </c>
      <c r="U313" s="17" t="n"/>
      <c r="V313" s="17" t="n"/>
    </row>
    <row r="314" s="1">
      <c r="E314" s="17" t="inlineStr">
        <is>
          <t>kanan</t>
        </is>
      </c>
      <c r="F314" s="17" t="n"/>
      <c r="G314" s="17" t="n"/>
      <c r="J314" s="17" t="inlineStr">
        <is>
          <t>tengah</t>
        </is>
      </c>
      <c r="K314" s="17" t="n"/>
      <c r="L314" s="17" t="n"/>
      <c r="O314" s="17" t="inlineStr">
        <is>
          <t>tengah</t>
        </is>
      </c>
      <c r="P314" s="17" t="n"/>
      <c r="Q314" s="17" t="n"/>
      <c r="T314" s="17" t="inlineStr">
        <is>
          <t>tengah</t>
        </is>
      </c>
      <c r="U314" s="17" t="n"/>
      <c r="V314" s="17" t="n"/>
    </row>
    <row r="315" s="1">
      <c r="E315" s="17" t="inlineStr">
        <is>
          <t>kiri</t>
        </is>
      </c>
      <c r="F315" s="17" t="n"/>
      <c r="G315" s="17" t="n"/>
      <c r="J315" s="17" t="inlineStr">
        <is>
          <t>tengah</t>
        </is>
      </c>
      <c r="K315" s="17" t="n"/>
      <c r="L315" s="17" t="n"/>
      <c r="O315" s="17" t="inlineStr">
        <is>
          <t>tengah</t>
        </is>
      </c>
      <c r="P315" s="17" t="n"/>
      <c r="Q315" s="17" t="n"/>
      <c r="T315" s="17" t="inlineStr">
        <is>
          <t>tengah</t>
        </is>
      </c>
      <c r="U315" s="17" t="n"/>
      <c r="V315" s="17" t="n"/>
    </row>
    <row r="316" s="1">
      <c r="E316" s="17" t="inlineStr">
        <is>
          <t>tengah</t>
        </is>
      </c>
      <c r="F316" s="17" t="n"/>
      <c r="G316" s="17" t="n"/>
      <c r="J316" s="17" t="inlineStr">
        <is>
          <t>tengah</t>
        </is>
      </c>
      <c r="K316" s="17" t="n"/>
      <c r="L316" s="17" t="n"/>
      <c r="O316" s="17" t="inlineStr">
        <is>
          <t>tengah</t>
        </is>
      </c>
      <c r="P316" s="17" t="n"/>
      <c r="Q316" s="17" t="n"/>
      <c r="T316" s="17" t="inlineStr">
        <is>
          <t>kanan</t>
        </is>
      </c>
      <c r="U316" s="17" t="n"/>
      <c r="V316" s="17" t="n"/>
    </row>
    <row r="317" s="1">
      <c r="E317" s="17" t="inlineStr">
        <is>
          <t>tengah</t>
        </is>
      </c>
      <c r="F317" s="17" t="n"/>
      <c r="G317" s="17" t="n"/>
      <c r="J317" s="17" t="inlineStr">
        <is>
          <t>kanan</t>
        </is>
      </c>
      <c r="K317" s="17" t="n"/>
      <c r="L317" s="17" t="n"/>
      <c r="O317" s="17" t="inlineStr">
        <is>
          <t>tengah</t>
        </is>
      </c>
      <c r="P317" s="17" t="n"/>
      <c r="Q317" s="17" t="n"/>
      <c r="T317" s="17" t="inlineStr">
        <is>
          <t>tengah</t>
        </is>
      </c>
      <c r="U317" s="17" t="n"/>
      <c r="V317" s="17" t="n"/>
    </row>
    <row r="318" s="1">
      <c r="E318" s="17" t="inlineStr">
        <is>
          <t>tengah</t>
        </is>
      </c>
      <c r="F318" s="17" t="n"/>
      <c r="G318" s="17" t="n"/>
      <c r="J318" s="17" t="inlineStr">
        <is>
          <t>tengah</t>
        </is>
      </c>
      <c r="K318" s="17" t="n"/>
      <c r="L318" s="17" t="n"/>
      <c r="O318" s="17" t="inlineStr">
        <is>
          <t>kanan</t>
        </is>
      </c>
      <c r="P318" s="17" t="n"/>
      <c r="Q318" s="17" t="n"/>
      <c r="T318" s="17" t="inlineStr">
        <is>
          <t>kanan</t>
        </is>
      </c>
      <c r="U318" s="17" t="n"/>
      <c r="V318" s="17" t="n"/>
    </row>
    <row r="319" s="1">
      <c r="E319" s="17" t="inlineStr">
        <is>
          <t>tengah</t>
        </is>
      </c>
      <c r="F319" s="17" t="n"/>
      <c r="G319" s="17" t="n"/>
      <c r="J319" s="17" t="inlineStr">
        <is>
          <t>kiri</t>
        </is>
      </c>
      <c r="K319" s="17" t="n"/>
      <c r="L319" s="17" t="n"/>
      <c r="O319" s="17" t="inlineStr">
        <is>
          <t>kiri</t>
        </is>
      </c>
      <c r="P319" s="17" t="n"/>
      <c r="Q319" s="17" t="n"/>
      <c r="T319" s="17" t="inlineStr">
        <is>
          <t>kanan</t>
        </is>
      </c>
      <c r="U319" s="17" t="n"/>
      <c r="V319" s="17" t="n"/>
    </row>
    <row r="320" s="1">
      <c r="E320" s="17" t="inlineStr">
        <is>
          <t>kiri</t>
        </is>
      </c>
      <c r="F320" s="17" t="n"/>
      <c r="G320" s="17" t="n"/>
      <c r="J320" s="17" t="inlineStr">
        <is>
          <t>tengah</t>
        </is>
      </c>
      <c r="K320" s="17" t="n"/>
      <c r="L320" s="17" t="n"/>
      <c r="O320" s="17" t="inlineStr">
        <is>
          <t>kanan</t>
        </is>
      </c>
      <c r="P320" s="17" t="n"/>
      <c r="Q320" s="17" t="n"/>
      <c r="T320" s="17" t="inlineStr">
        <is>
          <t>tengah</t>
        </is>
      </c>
      <c r="U320" s="17" t="n"/>
      <c r="V320" s="17" t="n"/>
    </row>
    <row r="321" s="1">
      <c r="E321" s="17" t="inlineStr">
        <is>
          <t>kanan</t>
        </is>
      </c>
      <c r="F321" s="17" t="n"/>
      <c r="G321" s="17" t="n"/>
      <c r="J321" s="17" t="inlineStr">
        <is>
          <t>tengah</t>
        </is>
      </c>
      <c r="K321" s="17" t="n"/>
      <c r="L321" s="17" t="n"/>
      <c r="O321" s="17" t="inlineStr">
        <is>
          <t>tengah</t>
        </is>
      </c>
      <c r="P321" s="17" t="n"/>
      <c r="Q321" s="17" t="n"/>
      <c r="T321" s="17" t="inlineStr">
        <is>
          <t>tengah</t>
        </is>
      </c>
      <c r="U321" s="17" t="n"/>
      <c r="V321" s="17" t="n"/>
    </row>
    <row r="322" s="1">
      <c r="E322" s="17" t="inlineStr">
        <is>
          <t>kiri</t>
        </is>
      </c>
      <c r="F322" s="17" t="n"/>
      <c r="G322" s="17" t="n"/>
      <c r="J322" s="17" t="inlineStr">
        <is>
          <t>tengah</t>
        </is>
      </c>
      <c r="K322" s="17" t="n"/>
      <c r="L322" s="17" t="n"/>
      <c r="O322" s="17" t="inlineStr">
        <is>
          <t>tengah</t>
        </is>
      </c>
      <c r="P322" s="17" t="n"/>
      <c r="Q322" s="17" t="n"/>
      <c r="T322" s="17" t="inlineStr">
        <is>
          <t>kanan</t>
        </is>
      </c>
      <c r="U322" s="17" t="n"/>
      <c r="V322" s="17" t="n"/>
    </row>
    <row r="323" s="1">
      <c r="E323" s="17" t="inlineStr">
        <is>
          <t>kiri</t>
        </is>
      </c>
      <c r="F323" s="17" t="n"/>
      <c r="G323" s="17" t="n"/>
      <c r="J323" s="17" t="inlineStr">
        <is>
          <t>tengah</t>
        </is>
      </c>
      <c r="K323" s="17" t="n"/>
      <c r="L323" s="17" t="n"/>
      <c r="O323" s="17" t="inlineStr">
        <is>
          <t>kiri</t>
        </is>
      </c>
      <c r="P323" s="17" t="n"/>
      <c r="Q323" s="17" t="n"/>
      <c r="T323" s="17" t="inlineStr">
        <is>
          <t>kanan</t>
        </is>
      </c>
      <c r="U323" s="17" t="n"/>
      <c r="V323" s="17" t="n"/>
    </row>
    <row r="324" s="1">
      <c r="E324" s="17" t="inlineStr">
        <is>
          <t>tengah</t>
        </is>
      </c>
      <c r="F324" s="17" t="n"/>
      <c r="G324" s="17" t="n"/>
      <c r="J324" s="17" t="inlineStr">
        <is>
          <t>kanan</t>
        </is>
      </c>
      <c r="K324" s="17" t="n"/>
      <c r="L324" s="17" t="n"/>
      <c r="O324" s="17" t="inlineStr">
        <is>
          <t>tengah</t>
        </is>
      </c>
      <c r="P324" s="17" t="n"/>
      <c r="Q324" s="17" t="n"/>
      <c r="T324" s="17" t="inlineStr">
        <is>
          <t>tengah</t>
        </is>
      </c>
      <c r="U324" s="17" t="n"/>
      <c r="V324" s="17" t="n"/>
    </row>
    <row r="325" s="1">
      <c r="E325" s="17" t="inlineStr">
        <is>
          <t>kanan</t>
        </is>
      </c>
      <c r="F325" s="17" t="n"/>
      <c r="G325" s="17" t="n"/>
      <c r="J325" s="17" t="inlineStr">
        <is>
          <t>tengah</t>
        </is>
      </c>
      <c r="K325" s="17" t="n"/>
      <c r="L325" s="17" t="n"/>
      <c r="O325" s="17" t="inlineStr">
        <is>
          <t>tengah</t>
        </is>
      </c>
      <c r="P325" s="17" t="n"/>
      <c r="Q325" s="17" t="n"/>
      <c r="T325" s="17" t="inlineStr">
        <is>
          <t>kanan</t>
        </is>
      </c>
      <c r="U325" s="17" t="n"/>
      <c r="V325" s="17" t="n"/>
    </row>
    <row r="326" s="1">
      <c r="E326" s="17" t="inlineStr">
        <is>
          <t>tengah</t>
        </is>
      </c>
      <c r="F326" s="17" t="n"/>
      <c r="G326" s="17" t="n"/>
      <c r="J326" s="17" t="inlineStr">
        <is>
          <t>tengah</t>
        </is>
      </c>
      <c r="K326" s="17" t="n"/>
      <c r="L326" s="17" t="n"/>
      <c r="O326" s="17" t="inlineStr">
        <is>
          <t>kanan</t>
        </is>
      </c>
      <c r="P326" s="17" t="n"/>
      <c r="Q326" s="17" t="n"/>
      <c r="T326" s="17" t="inlineStr">
        <is>
          <t>kanan</t>
        </is>
      </c>
      <c r="U326" s="17" t="n"/>
      <c r="V326" s="17" t="n"/>
    </row>
    <row r="327" s="1">
      <c r="E327" s="17" t="inlineStr">
        <is>
          <t>kiri</t>
        </is>
      </c>
      <c r="F327" s="17" t="n"/>
      <c r="G327" s="17" t="n"/>
      <c r="J327" s="17" t="inlineStr">
        <is>
          <t>kanan</t>
        </is>
      </c>
      <c r="K327" s="17" t="n"/>
      <c r="L327" s="17" t="n"/>
      <c r="O327" s="17" t="inlineStr">
        <is>
          <t>kiri</t>
        </is>
      </c>
      <c r="P327" s="17" t="n"/>
      <c r="Q327" s="17" t="n"/>
      <c r="T327" s="17" t="inlineStr">
        <is>
          <t>kanan</t>
        </is>
      </c>
      <c r="U327" s="17" t="n"/>
      <c r="V327" s="17" t="n"/>
    </row>
    <row r="328" s="1">
      <c r="E328" s="17" t="inlineStr">
        <is>
          <t>kiri</t>
        </is>
      </c>
      <c r="F328" s="17" t="n"/>
      <c r="G328" s="17" t="n"/>
      <c r="J328" s="17" t="inlineStr">
        <is>
          <t>tengah</t>
        </is>
      </c>
      <c r="K328" s="17" t="n"/>
      <c r="L328" s="17" t="n"/>
      <c r="O328" s="17" t="inlineStr">
        <is>
          <t>tengah</t>
        </is>
      </c>
      <c r="P328" s="17" t="n"/>
      <c r="Q328" s="17" t="n"/>
      <c r="T328" s="17" t="inlineStr">
        <is>
          <t>tengah</t>
        </is>
      </c>
      <c r="U328" s="17" t="n"/>
      <c r="V328" s="17" t="n"/>
    </row>
    <row r="329" s="1">
      <c r="E329" s="17" t="inlineStr">
        <is>
          <t>tengah</t>
        </is>
      </c>
      <c r="F329" s="17" t="n"/>
      <c r="G329" s="17" t="n"/>
      <c r="J329" s="17" t="inlineStr">
        <is>
          <t>kiri</t>
        </is>
      </c>
      <c r="K329" s="17" t="n"/>
      <c r="L329" s="17" t="n"/>
      <c r="O329" s="17" t="inlineStr">
        <is>
          <t>tengah</t>
        </is>
      </c>
      <c r="P329" s="17" t="n"/>
      <c r="Q329" s="17" t="n"/>
      <c r="T329" s="17" t="inlineStr">
        <is>
          <t>kanan</t>
        </is>
      </c>
      <c r="U329" s="17" t="n"/>
      <c r="V329" s="17" t="n"/>
    </row>
    <row r="330" s="1">
      <c r="E330" s="17" t="inlineStr">
        <is>
          <t>kanan</t>
        </is>
      </c>
      <c r="F330" s="17" t="n"/>
      <c r="G330" s="17" t="n"/>
      <c r="J330" s="17" t="inlineStr">
        <is>
          <t>tengah</t>
        </is>
      </c>
      <c r="K330" s="17" t="n"/>
      <c r="L330" s="17" t="n"/>
      <c r="O330" s="17" t="inlineStr">
        <is>
          <t>tengah</t>
        </is>
      </c>
      <c r="P330" s="17" t="n"/>
      <c r="Q330" s="17" t="n"/>
      <c r="T330" s="17" t="inlineStr">
        <is>
          <t>kanan</t>
        </is>
      </c>
      <c r="U330" s="17" t="n"/>
      <c r="V330" s="17" t="n"/>
    </row>
    <row r="331" s="1">
      <c r="E331" s="17" t="inlineStr">
        <is>
          <t>tengah</t>
        </is>
      </c>
      <c r="F331" s="17" t="n"/>
      <c r="G331" s="17" t="n"/>
      <c r="J331" s="17" t="inlineStr">
        <is>
          <t>kanan</t>
        </is>
      </c>
      <c r="K331" s="17" t="n"/>
      <c r="L331" s="17" t="n"/>
      <c r="O331" s="17" t="inlineStr">
        <is>
          <t>kiri</t>
        </is>
      </c>
      <c r="P331" s="17" t="n"/>
      <c r="Q331" s="17" t="n"/>
      <c r="T331" s="17" t="inlineStr">
        <is>
          <t>tengah</t>
        </is>
      </c>
      <c r="U331" s="17" t="n"/>
      <c r="V331" s="17" t="n"/>
    </row>
    <row r="332" s="1">
      <c r="E332" s="17" t="inlineStr">
        <is>
          <t>tengah</t>
        </is>
      </c>
      <c r="F332" s="17" t="n"/>
      <c r="G332" s="17" t="n"/>
      <c r="J332" s="17" t="inlineStr">
        <is>
          <t>tengah</t>
        </is>
      </c>
      <c r="K332" s="17" t="n"/>
      <c r="L332" s="17" t="n"/>
      <c r="O332" s="17" t="inlineStr">
        <is>
          <t>kiri</t>
        </is>
      </c>
      <c r="P332" s="17" t="n"/>
      <c r="Q332" s="17" t="n"/>
      <c r="T332" s="17" t="inlineStr">
        <is>
          <t>kanan</t>
        </is>
      </c>
      <c r="U332" s="17" t="n"/>
      <c r="V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2"/>
  <sheetViews>
    <sheetView topLeftCell="N157" workbookViewId="0">
      <selection activeCell="T165" sqref="T165"/>
    </sheetView>
  </sheetViews>
  <sheetFormatPr baseColWidth="8" defaultColWidth="9.00740740740741" defaultRowHeight="15"/>
  <cols>
    <col width="15.8592592592593" customWidth="1" style="1" min="3" max="3"/>
    <col width="22" customWidth="1" style="1" min="4" max="4"/>
    <col width="13.2888888888889" customWidth="1" style="1" min="5" max="5"/>
    <col width="13.8592592592593" customWidth="1" style="1" min="6" max="6"/>
    <col width="12" customWidth="1" style="1" min="7" max="7"/>
    <col width="15.8592592592593" customWidth="1" style="1" min="10" max="10"/>
    <col width="13.2888888888889" customWidth="1" style="1" min="11" max="11"/>
    <col width="13.8592592592593" customWidth="1" style="1" min="12" max="12"/>
    <col width="16.1407407407407" customWidth="1" style="1" min="15" max="15"/>
    <col width="14.1407407407407" customWidth="1" style="1" min="17" max="17"/>
    <col width="14.2888888888889" customWidth="1" style="1" min="20" max="20"/>
  </cols>
  <sheetData>
    <row r="1" s="1">
      <c r="A1" s="16" t="inlineStr">
        <is>
          <t>No</t>
        </is>
      </c>
      <c r="B1" s="16" t="inlineStr">
        <is>
          <t>Usia</t>
        </is>
      </c>
      <c r="C1" s="16" t="inlineStr">
        <is>
          <t>Lama Rawat Inap</t>
        </is>
      </c>
      <c r="D1" s="16" t="inlineStr">
        <is>
          <t>Jenis Kelamin</t>
        </is>
      </c>
      <c r="E1" s="16" t="inlineStr">
        <is>
          <t>Tingkat Resiko</t>
        </is>
      </c>
      <c r="H1" s="17" t="inlineStr">
        <is>
          <t>No</t>
        </is>
      </c>
      <c r="I1" s="17" t="inlineStr">
        <is>
          <t>Usia</t>
        </is>
      </c>
      <c r="J1" s="17" t="inlineStr">
        <is>
          <t>Lama Rawat Inap</t>
        </is>
      </c>
      <c r="K1" s="17" t="inlineStr">
        <is>
          <t>Jenis Kelamin</t>
        </is>
      </c>
      <c r="L1" s="17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INDEX(Data_DBD!$B:$B,$A2)</f>
        <v/>
      </c>
      <c r="C2" s="17">
        <f t="array" ref="C2">INDEX(Data_DBD!$C:$C,$A2)</f>
        <v/>
      </c>
      <c r="D2" s="17">
        <f t="array" ref="D2">INDEX(Data_DBD!$E:$E,$A2)</f>
        <v/>
      </c>
      <c r="E2" s="17">
        <f t="array" ref="E2">INDEX(Data_DBD!$F:$F,$A2)</f>
        <v/>
      </c>
      <c r="H2" s="17" t="n">
        <v>95</v>
      </c>
      <c r="I2" s="17" t="n">
        <v>11</v>
      </c>
      <c r="J2" s="17" t="n">
        <v>3</v>
      </c>
      <c r="K2" s="17" t="n">
        <v>1</v>
      </c>
      <c r="L2" s="17" t="inlineStr">
        <is>
          <t>Tinggi</t>
        </is>
      </c>
      <c r="O2" s="19" t="inlineStr">
        <is>
          <t>Tinggi</t>
        </is>
      </c>
      <c r="P2" s="19">
        <f>COUNTIF(L2:L164,"Tinggi")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INDEX(Data_DBD!$B:$B,$A3)</f>
        <v/>
      </c>
      <c r="C3" s="17">
        <f t="array" ref="C3">INDEX(Data_DBD!$C:$C,$A3)</f>
        <v/>
      </c>
      <c r="D3" s="17">
        <f t="array" ref="D3">INDEX(Data_DBD!$E:$E,$A3)</f>
        <v/>
      </c>
      <c r="E3" s="17">
        <f t="array" ref="E3">INDEX(Data_DBD!$F:$F,$A3)</f>
        <v/>
      </c>
      <c r="H3" s="17" t="n">
        <v>12</v>
      </c>
      <c r="I3" s="17" t="n">
        <v>23</v>
      </c>
      <c r="J3" s="17" t="n">
        <v>3</v>
      </c>
      <c r="K3" s="17" t="n">
        <v>0</v>
      </c>
      <c r="L3" s="17" t="inlineStr">
        <is>
          <t>Sedang</t>
        </is>
      </c>
      <c r="O3" s="19" t="inlineStr">
        <is>
          <t>Sedang</t>
        </is>
      </c>
      <c r="P3" s="19">
        <f>COUNTIF(L2:L164,"Sedang")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INDEX(Data_DBD!$B:$B,$A4)</f>
        <v/>
      </c>
      <c r="C4" s="17">
        <f t="array" ref="C4">INDEX(Data_DBD!$C:$C,$A4)</f>
        <v/>
      </c>
      <c r="D4" s="17">
        <f t="array" ref="D4">INDEX(Data_DBD!$E:$E,$A4)</f>
        <v/>
      </c>
      <c r="E4" s="17">
        <f t="array" ref="E4">INDEX(Data_DBD!$F:$F,$A4)</f>
        <v/>
      </c>
      <c r="H4" s="17" t="n">
        <v>30</v>
      </c>
      <c r="I4" s="17" t="n">
        <v>3</v>
      </c>
      <c r="J4" s="17" t="n">
        <v>2</v>
      </c>
      <c r="K4" s="17" t="n">
        <v>1</v>
      </c>
      <c r="L4" s="17" t="inlineStr">
        <is>
          <t>Sedang</t>
        </is>
      </c>
      <c r="O4" s="19" t="inlineStr">
        <is>
          <t>Rendah</t>
        </is>
      </c>
      <c r="P4" s="19">
        <f>COUNTIF(L2:L164,"Rendah")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INDEX(Data_DBD!$B:$B,$A5)</f>
        <v/>
      </c>
      <c r="C5" s="17">
        <f t="array" ref="C5">INDEX(Data_DBD!$C:$C,$A5)</f>
        <v/>
      </c>
      <c r="D5" s="17">
        <f t="array" ref="D5">INDEX(Data_DBD!$E:$E,$A5)</f>
        <v/>
      </c>
      <c r="E5" s="17">
        <f t="array" ref="E5">INDEX(Data_DBD!$F:$F,$A5)</f>
        <v/>
      </c>
      <c r="H5" s="17" t="n">
        <v>76</v>
      </c>
      <c r="I5" s="17" t="n">
        <v>70</v>
      </c>
      <c r="J5" s="17" t="n">
        <v>2</v>
      </c>
      <c r="K5" s="17" t="n">
        <v>0</v>
      </c>
      <c r="L5" s="17" t="inlineStr">
        <is>
          <t>Sedang</t>
        </is>
      </c>
      <c r="O5" s="19" t="inlineStr">
        <is>
          <t>Entropy Root</t>
        </is>
      </c>
      <c r="P5" s="41">
        <f>-(IFERROR(Q2*LOG(Q2,2),0)+IFERROR(Q3*LOG(Q3,2),0)+IFERROR(Q4*LOG(Q4,2),0))</f>
        <v/>
      </c>
      <c r="Q5" s="42" t="n"/>
    </row>
    <row r="6" s="1">
      <c r="A6" s="17">
        <f>RANDBETWEEN(2,164)</f>
        <v/>
      </c>
      <c r="B6" s="17">
        <f t="array" ref="B6">INDEX(Data_DBD!$B:$B,$A6)</f>
        <v/>
      </c>
      <c r="C6" s="17">
        <f t="array" ref="C6">INDEX(Data_DBD!$C:$C,$A6)</f>
        <v/>
      </c>
      <c r="D6" s="17">
        <f t="array" ref="D6">INDEX(Data_DBD!$E:$E,$A6)</f>
        <v/>
      </c>
      <c r="E6" s="17">
        <f t="array" ref="E6">INDEX(Data_DBD!$F:$F,$A6)</f>
        <v/>
      </c>
      <c r="H6" s="17" t="n">
        <v>85</v>
      </c>
      <c r="I6" s="17" t="n">
        <v>27</v>
      </c>
      <c r="J6" s="17" t="n">
        <v>9</v>
      </c>
      <c r="K6" s="17" t="n">
        <v>0</v>
      </c>
      <c r="L6" s="17" t="inlineStr">
        <is>
          <t>Sedang</t>
        </is>
      </c>
    </row>
    <row r="7" s="1">
      <c r="A7" s="17">
        <f>RANDBETWEEN(2,164)</f>
        <v/>
      </c>
      <c r="B7" s="17">
        <f t="array" ref="B7">INDEX(Data_DBD!$B:$B,$A7)</f>
        <v/>
      </c>
      <c r="C7" s="17">
        <f t="array" ref="C7">INDEX(Data_DBD!$C:$C,$A7)</f>
        <v/>
      </c>
      <c r="D7" s="17">
        <f t="array" ref="D7">INDEX(Data_DBD!$E:$E,$A7)</f>
        <v/>
      </c>
      <c r="E7" s="17">
        <f t="array" ref="E7">INDEX(Data_DBD!$F:$F,$A7)</f>
        <v/>
      </c>
      <c r="H7" s="17" t="n">
        <v>55</v>
      </c>
      <c r="I7" s="17" t="n">
        <v>7</v>
      </c>
      <c r="J7" s="17" t="n">
        <v>4</v>
      </c>
      <c r="K7" s="17" t="n">
        <v>1</v>
      </c>
      <c r="L7" s="17" t="inlineStr">
        <is>
          <t>Sedang</t>
        </is>
      </c>
    </row>
    <row r="8" s="1">
      <c r="A8" s="17">
        <f>RANDBETWEEN(2,164)</f>
        <v/>
      </c>
      <c r="B8" s="17">
        <f t="array" ref="B8">INDEX(Data_DBD!$B:$B,$A8)</f>
        <v/>
      </c>
      <c r="C8" s="17">
        <f t="array" ref="C8">INDEX(Data_DBD!$C:$C,$A8)</f>
        <v/>
      </c>
      <c r="D8" s="17">
        <f t="array" ref="D8">INDEX(Data_DBD!$E:$E,$A8)</f>
        <v/>
      </c>
      <c r="E8" s="17">
        <f t="array" ref="E8">INDEX(Data_DBD!$F:$F,$A8)</f>
        <v/>
      </c>
      <c r="H8" s="17" t="n">
        <v>51</v>
      </c>
      <c r="I8" s="17" t="n">
        <v>48</v>
      </c>
      <c r="J8" s="17" t="n">
        <v>4</v>
      </c>
      <c r="K8" s="17" t="n">
        <v>0</v>
      </c>
      <c r="L8" s="17" t="inlineStr">
        <is>
          <t>Sedang</t>
        </is>
      </c>
    </row>
    <row r="9" s="1">
      <c r="A9" s="17">
        <f>RANDBETWEEN(2,164)</f>
        <v/>
      </c>
      <c r="B9" s="17">
        <f t="array" ref="B9">INDEX(Data_DBD!$B:$B,$A9)</f>
        <v/>
      </c>
      <c r="C9" s="17">
        <f t="array" ref="C9">INDEX(Data_DBD!$C:$C,$A9)</f>
        <v/>
      </c>
      <c r="D9" s="17">
        <f t="array" ref="D9">INDEX(Data_DBD!$E:$E,$A9)</f>
        <v/>
      </c>
      <c r="E9" s="17">
        <f t="array" ref="E9">INDEX(Data_DBD!$F:$F,$A9)</f>
        <v/>
      </c>
      <c r="H9" s="17" t="n">
        <v>108</v>
      </c>
      <c r="I9" s="17" t="n">
        <v>69</v>
      </c>
      <c r="J9" s="17" t="n">
        <v>7</v>
      </c>
      <c r="K9" s="17" t="n">
        <v>1</v>
      </c>
      <c r="L9" s="17" t="inlineStr">
        <is>
          <t>Tinggi</t>
        </is>
      </c>
    </row>
    <row r="10" s="1">
      <c r="A10" s="17">
        <f>RANDBETWEEN(2,164)</f>
        <v/>
      </c>
      <c r="B10" s="17">
        <f t="array" ref="B10">INDEX(Data_DBD!$B:$B,$A10)</f>
        <v/>
      </c>
      <c r="C10" s="17">
        <f t="array" ref="C10">INDEX(Data_DBD!$C:$C,$A10)</f>
        <v/>
      </c>
      <c r="D10" s="17">
        <f t="array" ref="D10">INDEX(Data_DBD!$E:$E,$A10)</f>
        <v/>
      </c>
      <c r="E10" s="17">
        <f t="array" ref="E10">INDEX(Data_DBD!$F:$F,$A10)</f>
        <v/>
      </c>
      <c r="H10" s="17" t="n">
        <v>72</v>
      </c>
      <c r="I10" s="17" t="n">
        <v>3</v>
      </c>
      <c r="J10" s="17" t="n">
        <v>5</v>
      </c>
      <c r="K10" s="17" t="n">
        <v>1</v>
      </c>
      <c r="L10" s="17" t="inlineStr">
        <is>
          <t>Sedang</t>
        </is>
      </c>
    </row>
    <row r="11" s="1">
      <c r="A11" s="17">
        <f>RANDBETWEEN(2,164)</f>
        <v/>
      </c>
      <c r="B11" s="17">
        <f t="array" ref="B11">INDEX(Data_DBD!$B:$B,$A11)</f>
        <v/>
      </c>
      <c r="C11" s="17">
        <f t="array" ref="C11">INDEX(Data_DBD!$C:$C,$A11)</f>
        <v/>
      </c>
      <c r="D11" s="17">
        <f t="array" ref="D11">INDEX(Data_DBD!$E:$E,$A11)</f>
        <v/>
      </c>
      <c r="E11" s="17">
        <f t="array" ref="E11">INDEX(Data_DBD!$F:$F,$A11)</f>
        <v/>
      </c>
      <c r="H11" s="17" t="n">
        <v>147</v>
      </c>
      <c r="I11" s="17" t="n">
        <v>66</v>
      </c>
      <c r="J11" s="17" t="n">
        <v>10</v>
      </c>
      <c r="K11" s="17" t="n">
        <v>1</v>
      </c>
      <c r="L11" s="17" t="inlineStr">
        <is>
          <t>Tinggi</t>
        </is>
      </c>
    </row>
    <row r="12" s="1">
      <c r="A12" s="17">
        <f>RANDBETWEEN(2,164)</f>
        <v/>
      </c>
      <c r="B12" s="17">
        <f t="array" ref="B12">INDEX(Data_DBD!$B:$B,$A12)</f>
        <v/>
      </c>
      <c r="C12" s="17">
        <f t="array" ref="C12">INDEX(Data_DBD!$C:$C,$A12)</f>
        <v/>
      </c>
      <c r="D12" s="17">
        <f t="array" ref="D12">INDEX(Data_DBD!$E:$E,$A12)</f>
        <v/>
      </c>
      <c r="E12" s="17">
        <f t="array" ref="E12">INDEX(Data_DBD!$F:$F,$A12)</f>
        <v/>
      </c>
      <c r="H12" s="17" t="n">
        <v>69</v>
      </c>
      <c r="I12" s="17" t="n">
        <v>24</v>
      </c>
      <c r="J12" s="17" t="n">
        <v>4</v>
      </c>
      <c r="K12" s="17" t="n">
        <v>1</v>
      </c>
      <c r="L12" s="17" t="inlineStr">
        <is>
          <t>Sedang</t>
        </is>
      </c>
    </row>
    <row r="13" s="1">
      <c r="A13" s="17">
        <f>RANDBETWEEN(2,164)</f>
        <v/>
      </c>
      <c r="B13" s="17">
        <f t="array" ref="B13">INDEX(Data_DBD!$B:$B,$A13)</f>
        <v/>
      </c>
      <c r="C13" s="17">
        <f t="array" ref="C13">INDEX(Data_DBD!$C:$C,$A13)</f>
        <v/>
      </c>
      <c r="D13" s="17">
        <f t="array" ref="D13">INDEX(Data_DBD!$E:$E,$A13)</f>
        <v/>
      </c>
      <c r="E13" s="17">
        <f t="array" ref="E13">INDEX(Data_DBD!$F:$F,$A13)</f>
        <v/>
      </c>
      <c r="H13" s="17" t="n">
        <v>4</v>
      </c>
      <c r="I13" s="17" t="n">
        <v>23</v>
      </c>
      <c r="J13" s="17" t="n">
        <v>5</v>
      </c>
      <c r="K13" s="17" t="n">
        <v>0</v>
      </c>
      <c r="L13" s="17" t="inlineStr">
        <is>
          <t>Sedang</t>
        </is>
      </c>
    </row>
    <row r="14" s="1">
      <c r="A14" s="17">
        <f>RANDBETWEEN(2,164)</f>
        <v/>
      </c>
      <c r="B14" s="17">
        <f t="array" ref="B14">INDEX(Data_DBD!$B:$B,$A14)</f>
        <v/>
      </c>
      <c r="C14" s="17">
        <f t="array" ref="C14">INDEX(Data_DBD!$C:$C,$A14)</f>
        <v/>
      </c>
      <c r="D14" s="17">
        <f t="array" ref="D14">INDEX(Data_DBD!$E:$E,$A14)</f>
        <v/>
      </c>
      <c r="E14" s="17">
        <f t="array" ref="E14">INDEX(Data_DBD!$F:$F,$A14)</f>
        <v/>
      </c>
      <c r="H14" s="17" t="n">
        <v>6</v>
      </c>
      <c r="I14" s="17" t="n">
        <v>14</v>
      </c>
      <c r="J14" s="17" t="n">
        <v>4</v>
      </c>
      <c r="K14" s="17" t="n">
        <v>0</v>
      </c>
      <c r="L14" s="17" t="inlineStr">
        <is>
          <t>Sedang</t>
        </is>
      </c>
    </row>
    <row r="15" s="1">
      <c r="A15" s="17">
        <f>RANDBETWEEN(2,164)</f>
        <v/>
      </c>
      <c r="B15" s="17">
        <f t="array" ref="B15">INDEX(Data_DBD!$B:$B,$A15)</f>
        <v/>
      </c>
      <c r="C15" s="17">
        <f t="array" ref="C15">INDEX(Data_DBD!$C:$C,$A15)</f>
        <v/>
      </c>
      <c r="D15" s="17">
        <f t="array" ref="D15">INDEX(Data_DBD!$E:$E,$A15)</f>
        <v/>
      </c>
      <c r="E15" s="17">
        <f t="array" ref="E15">INDEX(Data_DBD!$F:$F,$A15)</f>
        <v/>
      </c>
      <c r="H15" s="17" t="n">
        <v>13</v>
      </c>
      <c r="I15" s="17" t="n">
        <v>47</v>
      </c>
      <c r="J15" s="17" t="n">
        <v>2</v>
      </c>
      <c r="K15" s="17" t="n">
        <v>0</v>
      </c>
      <c r="L15" s="17" t="inlineStr">
        <is>
          <t>Sedang</t>
        </is>
      </c>
    </row>
    <row r="16" s="1">
      <c r="A16" s="17">
        <f>RANDBETWEEN(2,164)</f>
        <v/>
      </c>
      <c r="B16" s="17">
        <f t="array" ref="B16">INDEX(Data_DBD!$B:$B,$A16)</f>
        <v/>
      </c>
      <c r="C16" s="17">
        <f t="array" ref="C16">INDEX(Data_DBD!$C:$C,$A16)</f>
        <v/>
      </c>
      <c r="D16" s="17">
        <f t="array" ref="D16">INDEX(Data_DBD!$E:$E,$A16)</f>
        <v/>
      </c>
      <c r="E16" s="17">
        <f t="array" ref="E16">INDEX(Data_DBD!$F:$F,$A16)</f>
        <v/>
      </c>
      <c r="H16" s="17" t="n">
        <v>142</v>
      </c>
      <c r="I16" s="17" t="n">
        <v>39</v>
      </c>
      <c r="J16" s="17" t="n">
        <v>2</v>
      </c>
      <c r="K16" s="17" t="n">
        <v>1</v>
      </c>
      <c r="L16" s="17" t="inlineStr">
        <is>
          <t>Tinggi</t>
        </is>
      </c>
    </row>
    <row r="17" s="1">
      <c r="A17" s="17">
        <f>RANDBETWEEN(2,164)</f>
        <v/>
      </c>
      <c r="B17" s="17">
        <f t="array" ref="B17">INDEX(Data_DBD!$B:$B,$A17)</f>
        <v/>
      </c>
      <c r="C17" s="17">
        <f t="array" ref="C17">INDEX(Data_DBD!$C:$C,$A17)</f>
        <v/>
      </c>
      <c r="D17" s="17">
        <f t="array" ref="D17">INDEX(Data_DBD!$E:$E,$A17)</f>
        <v/>
      </c>
      <c r="E17" s="17">
        <f t="array" ref="E17">INDEX(Data_DBD!$F:$F,$A17)</f>
        <v/>
      </c>
      <c r="H17" s="17" t="n">
        <v>159</v>
      </c>
      <c r="I17" s="17" t="n">
        <v>17</v>
      </c>
      <c r="J17" s="17" t="n">
        <v>2</v>
      </c>
      <c r="K17" s="17" t="n">
        <v>0</v>
      </c>
      <c r="L17" s="17" t="inlineStr">
        <is>
          <t>Tinggi</t>
        </is>
      </c>
    </row>
    <row r="18" s="1">
      <c r="A18" s="17">
        <f>RANDBETWEEN(2,164)</f>
        <v/>
      </c>
      <c r="B18" s="17">
        <f t="array" ref="B18">INDEX(Data_DBD!$B:$B,$A18)</f>
        <v/>
      </c>
      <c r="C18" s="17">
        <f t="array" ref="C18">INDEX(Data_DBD!$C:$C,$A18)</f>
        <v/>
      </c>
      <c r="D18" s="17">
        <f t="array" ref="D18">INDEX(Data_DBD!$E:$E,$A18)</f>
        <v/>
      </c>
      <c r="E18" s="17">
        <f t="array" ref="E18">INDEX(Data_DBD!$F:$F,$A18)</f>
        <v/>
      </c>
      <c r="H18" s="17" t="n">
        <v>8</v>
      </c>
      <c r="I18" s="17" t="n">
        <v>4</v>
      </c>
      <c r="J18" s="17" t="n">
        <v>2</v>
      </c>
      <c r="K18" s="17" t="n">
        <v>0</v>
      </c>
      <c r="L18" s="17" t="inlineStr">
        <is>
          <t>Sedang</t>
        </is>
      </c>
    </row>
    <row r="19" s="1">
      <c r="A19" s="17">
        <f>RANDBETWEEN(2,164)</f>
        <v/>
      </c>
      <c r="B19" s="17">
        <f t="array" ref="B19">INDEX(Data_DBD!$B:$B,$A19)</f>
        <v/>
      </c>
      <c r="C19" s="17">
        <f t="array" ref="C19">INDEX(Data_DBD!$C:$C,$A19)</f>
        <v/>
      </c>
      <c r="D19" s="17">
        <f t="array" ref="D19">INDEX(Data_DBD!$E:$E,$A19)</f>
        <v/>
      </c>
      <c r="E19" s="17">
        <f t="array" ref="E19">INDEX(Data_DBD!$F:$F,$A19)</f>
        <v/>
      </c>
      <c r="H19" s="17" t="n">
        <v>105</v>
      </c>
      <c r="I19" s="17" t="n">
        <v>61</v>
      </c>
      <c r="J19" s="17" t="n">
        <v>3</v>
      </c>
      <c r="K19" s="17" t="n">
        <v>1</v>
      </c>
      <c r="L19" s="17" t="inlineStr">
        <is>
          <t>Tinggi</t>
        </is>
      </c>
    </row>
    <row r="20" s="1">
      <c r="A20" s="17">
        <f>RANDBETWEEN(2,164)</f>
        <v/>
      </c>
      <c r="B20" s="17">
        <f t="array" ref="B20">INDEX(Data_DBD!$B:$B,$A20)</f>
        <v/>
      </c>
      <c r="C20" s="17">
        <f t="array" ref="C20">INDEX(Data_DBD!$C:$C,$A20)</f>
        <v/>
      </c>
      <c r="D20" s="17">
        <f t="array" ref="D20">INDEX(Data_DBD!$E:$E,$A20)</f>
        <v/>
      </c>
      <c r="E20" s="17">
        <f t="array" ref="E20">INDEX(Data_DBD!$F:$F,$A20)</f>
        <v/>
      </c>
      <c r="H20" s="17" t="n">
        <v>122</v>
      </c>
      <c r="I20" s="17" t="n">
        <v>28</v>
      </c>
      <c r="J20" s="17" t="n">
        <v>3</v>
      </c>
      <c r="K20" s="17" t="n">
        <v>1</v>
      </c>
      <c r="L20" s="17" t="inlineStr">
        <is>
          <t>Tinggi</t>
        </is>
      </c>
    </row>
    <row r="21" s="1">
      <c r="A21" s="17">
        <f>RANDBETWEEN(2,164)</f>
        <v/>
      </c>
      <c r="B21" s="17">
        <f t="array" ref="B21">INDEX(Data_DBD!$B:$B,$A21)</f>
        <v/>
      </c>
      <c r="C21" s="17">
        <f t="array" ref="C21">INDEX(Data_DBD!$C:$C,$A21)</f>
        <v/>
      </c>
      <c r="D21" s="17">
        <f t="array" ref="D21">INDEX(Data_DBD!$E:$E,$A21)</f>
        <v/>
      </c>
      <c r="E21" s="17">
        <f t="array" ref="E21">INDEX(Data_DBD!$F:$F,$A21)</f>
        <v/>
      </c>
      <c r="H21" s="17" t="n">
        <v>161</v>
      </c>
      <c r="I21" s="17" t="n">
        <v>12</v>
      </c>
      <c r="J21" s="17" t="n">
        <v>3</v>
      </c>
      <c r="K21" s="17" t="n">
        <v>1</v>
      </c>
      <c r="L21" s="17" t="inlineStr">
        <is>
          <t>Tinggi</t>
        </is>
      </c>
    </row>
    <row r="22" s="1">
      <c r="A22" s="17">
        <f>RANDBETWEEN(2,164)</f>
        <v/>
      </c>
      <c r="B22" s="17">
        <f t="array" ref="B22">INDEX(Data_DBD!$B:$B,$A22)</f>
        <v/>
      </c>
      <c r="C22" s="17">
        <f t="array" ref="C22">INDEX(Data_DBD!$C:$C,$A22)</f>
        <v/>
      </c>
      <c r="D22" s="17">
        <f t="array" ref="D22">INDEX(Data_DBD!$E:$E,$A22)</f>
        <v/>
      </c>
      <c r="E22" s="17">
        <f t="array" ref="E22">INDEX(Data_DBD!$F:$F,$A22)</f>
        <v/>
      </c>
      <c r="H22" s="17" t="n">
        <v>138</v>
      </c>
      <c r="I22" s="17" t="n">
        <v>13</v>
      </c>
      <c r="J22" s="17" t="n">
        <v>3</v>
      </c>
      <c r="K22" s="17" t="n">
        <v>1</v>
      </c>
      <c r="L22" s="17" t="inlineStr">
        <is>
          <t>Tinggi</t>
        </is>
      </c>
    </row>
    <row r="23" s="1">
      <c r="A23" s="17">
        <f>RANDBETWEEN(2,164)</f>
        <v/>
      </c>
      <c r="B23" s="17">
        <f t="array" ref="B23">INDEX(Data_DBD!$B:$B,$A23)</f>
        <v/>
      </c>
      <c r="C23" s="17">
        <f t="array" ref="C23">INDEX(Data_DBD!$C:$C,$A23)</f>
        <v/>
      </c>
      <c r="D23" s="17">
        <f t="array" ref="D23">INDEX(Data_DBD!$E:$E,$A23)</f>
        <v/>
      </c>
      <c r="E23" s="17">
        <f t="array" ref="E23">INDEX(Data_DBD!$F:$F,$A23)</f>
        <v/>
      </c>
      <c r="H23" s="17" t="n">
        <v>34</v>
      </c>
      <c r="I23" s="17" t="n">
        <v>55</v>
      </c>
      <c r="J23" s="17" t="n">
        <v>3</v>
      </c>
      <c r="K23" s="17" t="n">
        <v>0</v>
      </c>
      <c r="L23" s="17" t="inlineStr">
        <is>
          <t>Sedang</t>
        </is>
      </c>
    </row>
    <row r="24" s="1">
      <c r="A24" s="17">
        <f>RANDBETWEEN(2,164)</f>
        <v/>
      </c>
      <c r="B24" s="17">
        <f t="array" ref="B24">INDEX(Data_DBD!$B:$B,$A24)</f>
        <v/>
      </c>
      <c r="C24" s="17">
        <f t="array" ref="C24">INDEX(Data_DBD!$C:$C,$A24)</f>
        <v/>
      </c>
      <c r="D24" s="17">
        <f t="array" ref="D24">INDEX(Data_DBD!$E:$E,$A24)</f>
        <v/>
      </c>
      <c r="E24" s="17">
        <f t="array" ref="E24">INDEX(Data_DBD!$F:$F,$A24)</f>
        <v/>
      </c>
      <c r="H24" s="17" t="n">
        <v>54</v>
      </c>
      <c r="I24" s="17" t="n">
        <v>7</v>
      </c>
      <c r="J24" s="17" t="n">
        <v>3</v>
      </c>
      <c r="K24" s="17" t="n">
        <v>0</v>
      </c>
      <c r="L24" s="17" t="inlineStr">
        <is>
          <t>Sedang</t>
        </is>
      </c>
    </row>
    <row r="25" s="1">
      <c r="A25" s="17">
        <f>RANDBETWEEN(2,164)</f>
        <v/>
      </c>
      <c r="B25" s="17">
        <f t="array" ref="B25">INDEX(Data_DBD!$B:$B,$A25)</f>
        <v/>
      </c>
      <c r="C25" s="17">
        <f t="array" ref="C25">INDEX(Data_DBD!$C:$C,$A25)</f>
        <v/>
      </c>
      <c r="D25" s="17">
        <f t="array" ref="D25">INDEX(Data_DBD!$E:$E,$A25)</f>
        <v/>
      </c>
      <c r="E25" s="17">
        <f t="array" ref="E25">INDEX(Data_DBD!$F:$F,$A25)</f>
        <v/>
      </c>
      <c r="H25" s="17" t="n">
        <v>69</v>
      </c>
      <c r="I25" s="17" t="n">
        <v>24</v>
      </c>
      <c r="J25" s="17" t="n">
        <v>4</v>
      </c>
      <c r="K25" s="17" t="n">
        <v>1</v>
      </c>
      <c r="L25" s="17" t="inlineStr">
        <is>
          <t>Sedang</t>
        </is>
      </c>
    </row>
    <row r="26" s="1">
      <c r="A26" s="17">
        <f>RANDBETWEEN(2,164)</f>
        <v/>
      </c>
      <c r="B26" s="17">
        <f t="array" ref="B26">INDEX(Data_DBD!$B:$B,$A26)</f>
        <v/>
      </c>
      <c r="C26" s="17">
        <f t="array" ref="C26">INDEX(Data_DBD!$C:$C,$A26)</f>
        <v/>
      </c>
      <c r="D26" s="17">
        <f t="array" ref="D26">INDEX(Data_DBD!$E:$E,$A26)</f>
        <v/>
      </c>
      <c r="E26" s="17">
        <f t="array" ref="E26">INDEX(Data_DBD!$F:$F,$A26)</f>
        <v/>
      </c>
      <c r="H26" s="17" t="n">
        <v>34</v>
      </c>
      <c r="I26" s="17" t="n">
        <v>55</v>
      </c>
      <c r="J26" s="17" t="n">
        <v>3</v>
      </c>
      <c r="K26" s="17" t="n">
        <v>0</v>
      </c>
      <c r="L26" s="17" t="inlineStr">
        <is>
          <t>Sedang</t>
        </is>
      </c>
    </row>
    <row r="27" s="1">
      <c r="A27" s="17">
        <f>RANDBETWEEN(2,164)</f>
        <v/>
      </c>
      <c r="B27" s="17">
        <f t="array" ref="B27">INDEX(Data_DBD!$B:$B,$A27)</f>
        <v/>
      </c>
      <c r="C27" s="17">
        <f t="array" ref="C27">INDEX(Data_DBD!$C:$C,$A27)</f>
        <v/>
      </c>
      <c r="D27" s="17">
        <f t="array" ref="D27">INDEX(Data_DBD!$E:$E,$A27)</f>
        <v/>
      </c>
      <c r="E27" s="17">
        <f t="array" ref="E27">INDEX(Data_DBD!$F:$F,$A27)</f>
        <v/>
      </c>
      <c r="H27" s="17" t="n">
        <v>15</v>
      </c>
      <c r="I27" s="17" t="n">
        <v>21</v>
      </c>
      <c r="J27" s="17" t="n">
        <v>2</v>
      </c>
      <c r="K27" s="17" t="n">
        <v>0</v>
      </c>
      <c r="L27" s="17" t="inlineStr">
        <is>
          <t>Rendah</t>
        </is>
      </c>
    </row>
    <row r="28" s="1">
      <c r="A28" s="17">
        <f>RANDBETWEEN(2,164)</f>
        <v/>
      </c>
      <c r="B28" s="17">
        <f t="array" ref="B28">INDEX(Data_DBD!$B:$B,$A28)</f>
        <v/>
      </c>
      <c r="C28" s="17">
        <f t="array" ref="C28">INDEX(Data_DBD!$C:$C,$A28)</f>
        <v/>
      </c>
      <c r="D28" s="17">
        <f t="array" ref="D28">INDEX(Data_DBD!$E:$E,$A28)</f>
        <v/>
      </c>
      <c r="E28" s="17">
        <f t="array" ref="E28">INDEX(Data_DBD!$F:$F,$A28)</f>
        <v/>
      </c>
      <c r="H28" s="17" t="n">
        <v>63</v>
      </c>
      <c r="I28" s="17" t="n">
        <v>25</v>
      </c>
      <c r="J28" s="17" t="n">
        <v>3</v>
      </c>
      <c r="K28" s="17" t="n">
        <v>0</v>
      </c>
      <c r="L28" s="17" t="inlineStr">
        <is>
          <t>Sedang</t>
        </is>
      </c>
    </row>
    <row r="29" s="1">
      <c r="A29" s="17">
        <f>RANDBETWEEN(2,164)</f>
        <v/>
      </c>
      <c r="B29" s="17">
        <f t="array" ref="B29">INDEX(Data_DBD!$B:$B,$A29)</f>
        <v/>
      </c>
      <c r="C29" s="17">
        <f t="array" ref="C29">INDEX(Data_DBD!$C:$C,$A29)</f>
        <v/>
      </c>
      <c r="D29" s="17">
        <f t="array" ref="D29">INDEX(Data_DBD!$E:$E,$A29)</f>
        <v/>
      </c>
      <c r="E29" s="17">
        <f t="array" ref="E29">INDEX(Data_DBD!$F:$F,$A29)</f>
        <v/>
      </c>
      <c r="H29" s="17" t="n">
        <v>93</v>
      </c>
      <c r="I29" s="17" t="n">
        <v>65</v>
      </c>
      <c r="J29" s="17" t="n">
        <v>4</v>
      </c>
      <c r="K29" s="17" t="n">
        <v>0</v>
      </c>
      <c r="L29" s="17" t="inlineStr">
        <is>
          <t>Tinggi</t>
        </is>
      </c>
    </row>
    <row r="30" s="1">
      <c r="A30" s="17">
        <f>RANDBETWEEN(2,164)</f>
        <v/>
      </c>
      <c r="B30" s="17">
        <f t="array" ref="B30">INDEX(Data_DBD!$B:$B,$A30)</f>
        <v/>
      </c>
      <c r="C30" s="17">
        <f t="array" ref="C30">INDEX(Data_DBD!$C:$C,$A30)</f>
        <v/>
      </c>
      <c r="D30" s="17">
        <f t="array" ref="D30">INDEX(Data_DBD!$E:$E,$A30)</f>
        <v/>
      </c>
      <c r="E30" s="17">
        <f t="array" ref="E30">INDEX(Data_DBD!$F:$F,$A30)</f>
        <v/>
      </c>
      <c r="H30" s="17" t="n">
        <v>137</v>
      </c>
      <c r="I30" s="17" t="n">
        <v>3</v>
      </c>
      <c r="J30" s="17" t="n">
        <v>1</v>
      </c>
      <c r="K30" s="17" t="n">
        <v>1</v>
      </c>
      <c r="L30" s="17" t="inlineStr">
        <is>
          <t>Tinggi</t>
        </is>
      </c>
    </row>
    <row r="31" s="1">
      <c r="A31" s="17">
        <f>RANDBETWEEN(2,164)</f>
        <v/>
      </c>
      <c r="B31" s="17">
        <f t="array" ref="B31">INDEX(Data_DBD!$B:$B,$A31)</f>
        <v/>
      </c>
      <c r="C31" s="17">
        <f t="array" ref="C31">INDEX(Data_DBD!$C:$C,$A31)</f>
        <v/>
      </c>
      <c r="D31" s="17">
        <f t="array" ref="D31">INDEX(Data_DBD!$E:$E,$A31)</f>
        <v/>
      </c>
      <c r="E31" s="17">
        <f t="array" ref="E31">INDEX(Data_DBD!$F:$F,$A31)</f>
        <v/>
      </c>
      <c r="H31" s="17" t="n">
        <v>3</v>
      </c>
      <c r="I31" s="17" t="n">
        <v>43</v>
      </c>
      <c r="J31" s="17" t="n">
        <v>3</v>
      </c>
      <c r="K31" s="17" t="n">
        <v>1</v>
      </c>
      <c r="L31" s="17" t="inlineStr">
        <is>
          <t>Sedang</t>
        </is>
      </c>
    </row>
    <row r="32" s="1">
      <c r="A32" s="17">
        <f>RANDBETWEEN(2,164)</f>
        <v/>
      </c>
      <c r="B32" s="17">
        <f t="array" ref="B32">INDEX(Data_DBD!$B:$B,$A32)</f>
        <v/>
      </c>
      <c r="C32" s="17">
        <f t="array" ref="C32">INDEX(Data_DBD!$C:$C,$A32)</f>
        <v/>
      </c>
      <c r="D32" s="17">
        <f t="array" ref="D32">INDEX(Data_DBD!$E:$E,$A32)</f>
        <v/>
      </c>
      <c r="E32" s="17">
        <f t="array" ref="E32">INDEX(Data_DBD!$F:$F,$A32)</f>
        <v/>
      </c>
      <c r="H32" s="17" t="n">
        <v>91</v>
      </c>
      <c r="I32" s="17" t="n">
        <v>35</v>
      </c>
      <c r="J32" s="17" t="n">
        <v>1</v>
      </c>
      <c r="K32" s="17" t="n">
        <v>1</v>
      </c>
      <c r="L32" s="17" t="inlineStr">
        <is>
          <t>Tinggi</t>
        </is>
      </c>
    </row>
    <row r="33" s="1">
      <c r="A33" s="17">
        <f>RANDBETWEEN(2,164)</f>
        <v/>
      </c>
      <c r="B33" s="17">
        <f t="array" ref="B33">INDEX(Data_DBD!$B:$B,$A33)</f>
        <v/>
      </c>
      <c r="C33" s="17">
        <f t="array" ref="C33">INDEX(Data_DBD!$C:$C,$A33)</f>
        <v/>
      </c>
      <c r="D33" s="17">
        <f t="array" ref="D33">INDEX(Data_DBD!$E:$E,$A33)</f>
        <v/>
      </c>
      <c r="E33" s="17">
        <f t="array" ref="E33">INDEX(Data_DBD!$F:$F,$A33)</f>
        <v/>
      </c>
      <c r="H33" s="17" t="n">
        <v>91</v>
      </c>
      <c r="I33" s="17" t="n">
        <v>35</v>
      </c>
      <c r="J33" s="17" t="n">
        <v>1</v>
      </c>
      <c r="K33" s="17" t="n">
        <v>1</v>
      </c>
      <c r="L33" s="17" t="inlineStr">
        <is>
          <t>Tinggi</t>
        </is>
      </c>
    </row>
    <row r="34" s="1">
      <c r="A34" s="17">
        <f>RANDBETWEEN(2,164)</f>
        <v/>
      </c>
      <c r="B34" s="17">
        <f t="array" ref="B34">INDEX(Data_DBD!$B:$B,$A34)</f>
        <v/>
      </c>
      <c r="C34" s="17">
        <f t="array" ref="C34">INDEX(Data_DBD!$C:$C,$A34)</f>
        <v/>
      </c>
      <c r="D34" s="17">
        <f t="array" ref="D34">INDEX(Data_DBD!$E:$E,$A34)</f>
        <v/>
      </c>
      <c r="E34" s="17">
        <f t="array" ref="E34">INDEX(Data_DBD!$F:$F,$A34)</f>
        <v/>
      </c>
      <c r="H34" s="17" t="n">
        <v>75</v>
      </c>
      <c r="I34" s="17" t="n">
        <v>2</v>
      </c>
      <c r="J34" s="17" t="n">
        <v>2</v>
      </c>
      <c r="K34" s="17" t="n">
        <v>1</v>
      </c>
      <c r="L34" s="17" t="inlineStr">
        <is>
          <t>Sedang</t>
        </is>
      </c>
    </row>
    <row r="35" s="1">
      <c r="A35" s="17">
        <f>RANDBETWEEN(2,164)</f>
        <v/>
      </c>
      <c r="B35" s="17">
        <f t="array" ref="B35">INDEX(Data_DBD!$B:$B,$A35)</f>
        <v/>
      </c>
      <c r="C35" s="17">
        <f t="array" ref="C35">INDEX(Data_DBD!$C:$C,$A35)</f>
        <v/>
      </c>
      <c r="D35" s="17">
        <f t="array" ref="D35">INDEX(Data_DBD!$E:$E,$A35)</f>
        <v/>
      </c>
      <c r="E35" s="17">
        <f t="array" ref="E35">INDEX(Data_DBD!$F:$F,$A35)</f>
        <v/>
      </c>
      <c r="H35" s="17" t="n">
        <v>151</v>
      </c>
      <c r="I35" s="17" t="n">
        <v>24</v>
      </c>
      <c r="J35" s="17" t="n">
        <v>3</v>
      </c>
      <c r="K35" s="17" t="n">
        <v>0</v>
      </c>
      <c r="L35" s="17" t="inlineStr">
        <is>
          <t>Tinggi</t>
        </is>
      </c>
    </row>
    <row r="36" s="1">
      <c r="A36" s="17">
        <f>RANDBETWEEN(2,164)</f>
        <v/>
      </c>
      <c r="B36" s="17">
        <f t="array" ref="B36">INDEX(Data_DBD!$B:$B,$A36)</f>
        <v/>
      </c>
      <c r="C36" s="17">
        <f t="array" ref="C36">INDEX(Data_DBD!$C:$C,$A36)</f>
        <v/>
      </c>
      <c r="D36" s="17">
        <f t="array" ref="D36">INDEX(Data_DBD!$E:$E,$A36)</f>
        <v/>
      </c>
      <c r="E36" s="17">
        <f t="array" ref="E36">INDEX(Data_DBD!$F:$F,$A36)</f>
        <v/>
      </c>
      <c r="H36" s="17" t="n">
        <v>80</v>
      </c>
      <c r="I36" s="17" t="n">
        <v>27</v>
      </c>
      <c r="J36" s="17" t="n">
        <v>3</v>
      </c>
      <c r="K36" s="17" t="n">
        <v>1</v>
      </c>
      <c r="L36" s="17" t="inlineStr">
        <is>
          <t>Sedang</t>
        </is>
      </c>
    </row>
    <row r="37" s="1">
      <c r="A37" s="17">
        <f>RANDBETWEEN(2,164)</f>
        <v/>
      </c>
      <c r="B37" s="17">
        <f t="array" ref="B37">INDEX(Data_DBD!$B:$B,$A37)</f>
        <v/>
      </c>
      <c r="C37" s="17">
        <f t="array" ref="C37">INDEX(Data_DBD!$C:$C,$A37)</f>
        <v/>
      </c>
      <c r="D37" s="17">
        <f t="array" ref="D37">INDEX(Data_DBD!$E:$E,$A37)</f>
        <v/>
      </c>
      <c r="E37" s="17">
        <f t="array" ref="E37">INDEX(Data_DBD!$F:$F,$A37)</f>
        <v/>
      </c>
      <c r="H37" s="17" t="n">
        <v>23</v>
      </c>
      <c r="I37" s="17" t="n">
        <v>28</v>
      </c>
      <c r="J37" s="17" t="n">
        <v>4</v>
      </c>
      <c r="K37" s="17" t="n">
        <v>1</v>
      </c>
      <c r="L37" s="17" t="inlineStr">
        <is>
          <t>Sedang</t>
        </is>
      </c>
    </row>
    <row r="38" s="1">
      <c r="A38" s="17">
        <f>RANDBETWEEN(2,164)</f>
        <v/>
      </c>
      <c r="B38" s="17">
        <f t="array" ref="B38">INDEX(Data_DBD!$B:$B,$A38)</f>
        <v/>
      </c>
      <c r="C38" s="17">
        <f t="array" ref="C38">INDEX(Data_DBD!$C:$C,$A38)</f>
        <v/>
      </c>
      <c r="D38" s="17">
        <f t="array" ref="D38">INDEX(Data_DBD!$E:$E,$A38)</f>
        <v/>
      </c>
      <c r="E38" s="17">
        <f t="array" ref="E38">INDEX(Data_DBD!$F:$F,$A38)</f>
        <v/>
      </c>
      <c r="H38" s="17" t="n">
        <v>35</v>
      </c>
      <c r="I38" s="17" t="n">
        <v>40</v>
      </c>
      <c r="J38" s="17" t="n">
        <v>3</v>
      </c>
      <c r="K38" s="17" t="n">
        <v>1</v>
      </c>
      <c r="L38" s="17" t="inlineStr">
        <is>
          <t>Rendah</t>
        </is>
      </c>
    </row>
    <row r="39" s="1">
      <c r="A39" s="17">
        <f>RANDBETWEEN(2,164)</f>
        <v/>
      </c>
      <c r="B39" s="17">
        <f t="array" ref="B39">INDEX(Data_DBD!$B:$B,$A39)</f>
        <v/>
      </c>
      <c r="C39" s="17">
        <f t="array" ref="C39">INDEX(Data_DBD!$C:$C,$A39)</f>
        <v/>
      </c>
      <c r="D39" s="17">
        <f t="array" ref="D39">INDEX(Data_DBD!$E:$E,$A39)</f>
        <v/>
      </c>
      <c r="E39" s="17">
        <f t="array" ref="E39">INDEX(Data_DBD!$F:$F,$A39)</f>
        <v/>
      </c>
      <c r="H39" s="17" t="n">
        <v>129</v>
      </c>
      <c r="I39" s="17" t="n">
        <v>4</v>
      </c>
      <c r="J39" s="17" t="n">
        <v>3</v>
      </c>
      <c r="K39" s="17" t="n">
        <v>0</v>
      </c>
      <c r="L39" s="17" t="inlineStr">
        <is>
          <t>Tinggi</t>
        </is>
      </c>
    </row>
    <row r="40" s="1">
      <c r="A40" s="17">
        <f>RANDBETWEEN(2,164)</f>
        <v/>
      </c>
      <c r="B40" s="17">
        <f t="array" ref="B40">INDEX(Data_DBD!$B:$B,$A40)</f>
        <v/>
      </c>
      <c r="C40" s="17">
        <f t="array" ref="C40">INDEX(Data_DBD!$C:$C,$A40)</f>
        <v/>
      </c>
      <c r="D40" s="17">
        <f t="array" ref="D40">INDEX(Data_DBD!$E:$E,$A40)</f>
        <v/>
      </c>
      <c r="E40" s="17">
        <f t="array" ref="E40">INDEX(Data_DBD!$F:$F,$A40)</f>
        <v/>
      </c>
      <c r="H40" s="17" t="n">
        <v>143</v>
      </c>
      <c r="I40" s="17" t="n">
        <v>20</v>
      </c>
      <c r="J40" s="17" t="n">
        <v>4</v>
      </c>
      <c r="K40" s="17" t="n">
        <v>1</v>
      </c>
      <c r="L40" s="17" t="inlineStr">
        <is>
          <t>Tinggi</t>
        </is>
      </c>
    </row>
    <row r="41" s="1">
      <c r="A41" s="17">
        <f>RANDBETWEEN(2,164)</f>
        <v/>
      </c>
      <c r="B41" s="17">
        <f t="array" ref="B41">INDEX(Data_DBD!$B:$B,$A41)</f>
        <v/>
      </c>
      <c r="C41" s="17">
        <f t="array" ref="C41">INDEX(Data_DBD!$C:$C,$A41)</f>
        <v/>
      </c>
      <c r="D41" s="17">
        <f t="array" ref="D41">INDEX(Data_DBD!$E:$E,$A41)</f>
        <v/>
      </c>
      <c r="E41" s="17">
        <f t="array" ref="E41">INDEX(Data_DBD!$F:$F,$A41)</f>
        <v/>
      </c>
      <c r="H41" s="17" t="n">
        <v>53</v>
      </c>
      <c r="I41" s="17" t="n">
        <v>35</v>
      </c>
      <c r="J41" s="17" t="n">
        <v>4</v>
      </c>
      <c r="K41" s="17" t="n">
        <v>1</v>
      </c>
      <c r="L41" s="17" t="inlineStr">
        <is>
          <t>Sedang</t>
        </is>
      </c>
    </row>
    <row r="42" s="1">
      <c r="A42" s="17">
        <f>RANDBETWEEN(2,164)</f>
        <v/>
      </c>
      <c r="B42" s="17">
        <f t="array" ref="B42">INDEX(Data_DBD!$B:$B,$A42)</f>
        <v/>
      </c>
      <c r="C42" s="17">
        <f t="array" ref="C42">INDEX(Data_DBD!$C:$C,$A42)</f>
        <v/>
      </c>
      <c r="D42" s="17">
        <f t="array" ref="D42">INDEX(Data_DBD!$E:$E,$A42)</f>
        <v/>
      </c>
      <c r="E42" s="17">
        <f t="array" ref="E42">INDEX(Data_DBD!$F:$F,$A42)</f>
        <v/>
      </c>
      <c r="H42" s="17" t="n">
        <v>72</v>
      </c>
      <c r="I42" s="17" t="n">
        <v>3</v>
      </c>
      <c r="J42" s="17" t="n">
        <v>5</v>
      </c>
      <c r="K42" s="17" t="n">
        <v>1</v>
      </c>
      <c r="L42" s="17" t="inlineStr">
        <is>
          <t>Sedang</t>
        </is>
      </c>
    </row>
    <row r="43" s="1">
      <c r="A43" s="17">
        <f>RANDBETWEEN(2,164)</f>
        <v/>
      </c>
      <c r="B43" s="17">
        <f t="array" ref="B43">INDEX(Data_DBD!$B:$B,$A43)</f>
        <v/>
      </c>
      <c r="C43" s="17">
        <f t="array" ref="C43">INDEX(Data_DBD!$C:$C,$A43)</f>
        <v/>
      </c>
      <c r="D43" s="17">
        <f t="array" ref="D43">INDEX(Data_DBD!$E:$E,$A43)</f>
        <v/>
      </c>
      <c r="E43" s="17">
        <f t="array" ref="E43">INDEX(Data_DBD!$F:$F,$A43)</f>
        <v/>
      </c>
      <c r="H43" s="17" t="n">
        <v>157</v>
      </c>
      <c r="I43" s="17" t="n">
        <v>15</v>
      </c>
      <c r="J43" s="17" t="n">
        <v>4</v>
      </c>
      <c r="K43" s="17" t="n">
        <v>1</v>
      </c>
      <c r="L43" s="17" t="inlineStr">
        <is>
          <t>Tinggi</t>
        </is>
      </c>
    </row>
    <row r="44" s="1">
      <c r="A44" s="17">
        <f>RANDBETWEEN(2,164)</f>
        <v/>
      </c>
      <c r="B44" s="17">
        <f t="array" ref="B44">INDEX(Data_DBD!$B:$B,$A44)</f>
        <v/>
      </c>
      <c r="C44" s="17">
        <f t="array" ref="C44">INDEX(Data_DBD!$C:$C,$A44)</f>
        <v/>
      </c>
      <c r="D44" s="17">
        <f t="array" ref="D44">INDEX(Data_DBD!$E:$E,$A44)</f>
        <v/>
      </c>
      <c r="E44" s="17">
        <f t="array" ref="E44">INDEX(Data_DBD!$F:$F,$A44)</f>
        <v/>
      </c>
      <c r="H44" s="17" t="n">
        <v>50</v>
      </c>
      <c r="I44" s="17" t="n">
        <v>19</v>
      </c>
      <c r="J44" s="17" t="n">
        <v>5</v>
      </c>
      <c r="K44" s="17" t="n">
        <v>0</v>
      </c>
      <c r="L44" s="17" t="inlineStr">
        <is>
          <t>Sedang</t>
        </is>
      </c>
    </row>
    <row r="45" s="1">
      <c r="A45" s="17">
        <f>RANDBETWEEN(2,164)</f>
        <v/>
      </c>
      <c r="B45" s="17">
        <f t="array" ref="B45">INDEX(Data_DBD!$B:$B,$A45)</f>
        <v/>
      </c>
      <c r="C45" s="17">
        <f t="array" ref="C45">INDEX(Data_DBD!$C:$C,$A45)</f>
        <v/>
      </c>
      <c r="D45" s="17">
        <f t="array" ref="D45">INDEX(Data_DBD!$E:$E,$A45)</f>
        <v/>
      </c>
      <c r="E45" s="17">
        <f t="array" ref="E45">INDEX(Data_DBD!$F:$F,$A45)</f>
        <v/>
      </c>
      <c r="H45" s="17" t="n">
        <v>124</v>
      </c>
      <c r="I45" s="17" t="n">
        <v>24</v>
      </c>
      <c r="J45" s="17" t="n">
        <v>3</v>
      </c>
      <c r="K45" s="17" t="n">
        <v>1</v>
      </c>
      <c r="L45" s="17" t="inlineStr">
        <is>
          <t>Tinggi</t>
        </is>
      </c>
    </row>
    <row r="46" s="1">
      <c r="A46" s="17">
        <f>RANDBETWEEN(2,164)</f>
        <v/>
      </c>
      <c r="B46" s="17">
        <f t="array" ref="B46">INDEX(Data_DBD!$B:$B,$A46)</f>
        <v/>
      </c>
      <c r="C46" s="17">
        <f t="array" ref="C46">INDEX(Data_DBD!$C:$C,$A46)</f>
        <v/>
      </c>
      <c r="D46" s="17">
        <f t="array" ref="D46">INDEX(Data_DBD!$E:$E,$A46)</f>
        <v/>
      </c>
      <c r="E46" s="17">
        <f t="array" ref="E46">INDEX(Data_DBD!$F:$F,$A46)</f>
        <v/>
      </c>
      <c r="H46" s="17" t="n">
        <v>75</v>
      </c>
      <c r="I46" s="17" t="n">
        <v>2</v>
      </c>
      <c r="J46" s="17" t="n">
        <v>2</v>
      </c>
      <c r="K46" s="17" t="n">
        <v>1</v>
      </c>
      <c r="L46" s="17" t="inlineStr">
        <is>
          <t>Sedang</t>
        </is>
      </c>
    </row>
    <row r="47" s="1">
      <c r="A47" s="17">
        <f>RANDBETWEEN(2,164)</f>
        <v/>
      </c>
      <c r="B47" s="17">
        <f t="array" ref="B47">INDEX(Data_DBD!$B:$B,$A47)</f>
        <v/>
      </c>
      <c r="C47" s="17">
        <f t="array" ref="C47">INDEX(Data_DBD!$C:$C,$A47)</f>
        <v/>
      </c>
      <c r="D47" s="17">
        <f t="array" ref="D47">INDEX(Data_DBD!$E:$E,$A47)</f>
        <v/>
      </c>
      <c r="E47" s="17">
        <f t="array" ref="E47">INDEX(Data_DBD!$F:$F,$A47)</f>
        <v/>
      </c>
      <c r="H47" s="17" t="n">
        <v>147</v>
      </c>
      <c r="I47" s="17" t="n">
        <v>66</v>
      </c>
      <c r="J47" s="17" t="n">
        <v>10</v>
      </c>
      <c r="K47" s="17" t="n">
        <v>1</v>
      </c>
      <c r="L47" s="17" t="inlineStr">
        <is>
          <t>Tinggi</t>
        </is>
      </c>
    </row>
    <row r="48" s="1">
      <c r="A48" s="17">
        <f>RANDBETWEEN(2,164)</f>
        <v/>
      </c>
      <c r="B48" s="17">
        <f t="array" ref="B48">INDEX(Data_DBD!$B:$B,$A48)</f>
        <v/>
      </c>
      <c r="C48" s="17">
        <f t="array" ref="C48">INDEX(Data_DBD!$C:$C,$A48)</f>
        <v/>
      </c>
      <c r="D48" s="17">
        <f t="array" ref="D48">INDEX(Data_DBD!$E:$E,$A48)</f>
        <v/>
      </c>
      <c r="E48" s="17">
        <f t="array" ref="E48">INDEX(Data_DBD!$F:$F,$A48)</f>
        <v/>
      </c>
      <c r="H48" s="17" t="n">
        <v>45</v>
      </c>
      <c r="I48" s="17" t="n">
        <v>75</v>
      </c>
      <c r="J48" s="17" t="n">
        <v>3</v>
      </c>
      <c r="K48" s="17" t="n">
        <v>1</v>
      </c>
      <c r="L48" s="17" t="inlineStr">
        <is>
          <t>Sedang</t>
        </is>
      </c>
    </row>
    <row r="49" s="1">
      <c r="A49" s="17">
        <f>RANDBETWEEN(2,164)</f>
        <v/>
      </c>
      <c r="B49" s="17">
        <f t="array" ref="B49">INDEX(Data_DBD!$B:$B,$A49)</f>
        <v/>
      </c>
      <c r="C49" s="17">
        <f t="array" ref="C49">INDEX(Data_DBD!$C:$C,$A49)</f>
        <v/>
      </c>
      <c r="D49" s="17">
        <f t="array" ref="D49">INDEX(Data_DBD!$E:$E,$A49)</f>
        <v/>
      </c>
      <c r="E49" s="17">
        <f t="array" ref="E49">INDEX(Data_DBD!$F:$F,$A49)</f>
        <v/>
      </c>
      <c r="H49" s="17" t="n">
        <v>163</v>
      </c>
      <c r="I49" s="17" t="n">
        <v>34</v>
      </c>
      <c r="J49" s="17" t="n">
        <v>4</v>
      </c>
      <c r="K49" s="17" t="n">
        <v>1</v>
      </c>
      <c r="L49" s="17" t="inlineStr">
        <is>
          <t>Rendah</t>
        </is>
      </c>
    </row>
    <row r="50" s="1">
      <c r="A50" s="17">
        <f>RANDBETWEEN(2,164)</f>
        <v/>
      </c>
      <c r="B50" s="17">
        <f t="array" ref="B50">INDEX(Data_DBD!$B:$B,$A50)</f>
        <v/>
      </c>
      <c r="C50" s="17">
        <f t="array" ref="C50">INDEX(Data_DBD!$C:$C,$A50)</f>
        <v/>
      </c>
      <c r="D50" s="17">
        <f t="array" ref="D50">INDEX(Data_DBD!$E:$E,$A50)</f>
        <v/>
      </c>
      <c r="E50" s="17">
        <f t="array" ref="E50">INDEX(Data_DBD!$F:$F,$A50)</f>
        <v/>
      </c>
      <c r="H50" s="17" t="n">
        <v>40</v>
      </c>
      <c r="I50" s="17" t="n">
        <v>65</v>
      </c>
      <c r="J50" s="17" t="n">
        <v>3</v>
      </c>
      <c r="K50" s="17" t="n">
        <v>1</v>
      </c>
      <c r="L50" s="17" t="inlineStr">
        <is>
          <t>Sedang</t>
        </is>
      </c>
    </row>
    <row r="51" s="1">
      <c r="A51" s="17">
        <f>RANDBETWEEN(2,164)</f>
        <v/>
      </c>
      <c r="B51" s="17">
        <f t="array" ref="B51">INDEX(Data_DBD!$B:$B,$A51)</f>
        <v/>
      </c>
      <c r="C51" s="17">
        <f t="array" ref="C51">INDEX(Data_DBD!$C:$C,$A51)</f>
        <v/>
      </c>
      <c r="D51" s="17">
        <f t="array" ref="D51">INDEX(Data_DBD!$E:$E,$A51)</f>
        <v/>
      </c>
      <c r="E51" s="17">
        <f t="array" ref="E51">INDEX(Data_DBD!$F:$F,$A51)</f>
        <v/>
      </c>
      <c r="H51" s="17" t="n">
        <v>22</v>
      </c>
      <c r="I51" s="17" t="n">
        <v>6</v>
      </c>
      <c r="J51" s="17" t="n">
        <v>3</v>
      </c>
      <c r="K51" s="17" t="n">
        <v>0</v>
      </c>
      <c r="L51" s="17" t="inlineStr">
        <is>
          <t>Sedang</t>
        </is>
      </c>
    </row>
    <row r="52" s="1">
      <c r="A52" s="17">
        <f>RANDBETWEEN(2,164)</f>
        <v/>
      </c>
      <c r="B52" s="17">
        <f t="array" ref="B52">INDEX(Data_DBD!$B:$B,$A52)</f>
        <v/>
      </c>
      <c r="C52" s="17">
        <f t="array" ref="C52">INDEX(Data_DBD!$C:$C,$A52)</f>
        <v/>
      </c>
      <c r="D52" s="17">
        <f t="array" ref="D52">INDEX(Data_DBD!$E:$E,$A52)</f>
        <v/>
      </c>
      <c r="E52" s="17">
        <f t="array" ref="E52">INDEX(Data_DBD!$F:$F,$A52)</f>
        <v/>
      </c>
      <c r="H52" s="17" t="n">
        <v>105</v>
      </c>
      <c r="I52" s="17" t="n">
        <v>61</v>
      </c>
      <c r="J52" s="17" t="n">
        <v>3</v>
      </c>
      <c r="K52" s="17" t="n">
        <v>1</v>
      </c>
      <c r="L52" s="17" t="inlineStr">
        <is>
          <t>Tinggi</t>
        </is>
      </c>
    </row>
    <row r="53" s="1">
      <c r="A53" s="17">
        <f>RANDBETWEEN(2,164)</f>
        <v/>
      </c>
      <c r="B53" s="17">
        <f t="array" ref="B53">INDEX(Data_DBD!$B:$B,$A53)</f>
        <v/>
      </c>
      <c r="C53" s="17">
        <f t="array" ref="C53">INDEX(Data_DBD!$C:$C,$A53)</f>
        <v/>
      </c>
      <c r="D53" s="17">
        <f t="array" ref="D53">INDEX(Data_DBD!$E:$E,$A53)</f>
        <v/>
      </c>
      <c r="E53" s="17">
        <f t="array" ref="E53">INDEX(Data_DBD!$F:$F,$A53)</f>
        <v/>
      </c>
      <c r="H53" s="17" t="n">
        <v>12</v>
      </c>
      <c r="I53" s="17" t="n">
        <v>23</v>
      </c>
      <c r="J53" s="17" t="n">
        <v>3</v>
      </c>
      <c r="K53" s="17" t="n">
        <v>0</v>
      </c>
      <c r="L53" s="17" t="inlineStr">
        <is>
          <t>Sedang</t>
        </is>
      </c>
    </row>
    <row r="54" s="1">
      <c r="A54" s="17">
        <f>RANDBETWEEN(2,164)</f>
        <v/>
      </c>
      <c r="B54" s="17">
        <f t="array" ref="B54">INDEX(Data_DBD!$B:$B,$A54)</f>
        <v/>
      </c>
      <c r="C54" s="17">
        <f t="array" ref="C54">INDEX(Data_DBD!$C:$C,$A54)</f>
        <v/>
      </c>
      <c r="D54" s="17">
        <f t="array" ref="D54">INDEX(Data_DBD!$E:$E,$A54)</f>
        <v/>
      </c>
      <c r="E54" s="17">
        <f t="array" ref="E54">INDEX(Data_DBD!$F:$F,$A54)</f>
        <v/>
      </c>
      <c r="H54" s="17" t="n">
        <v>155</v>
      </c>
      <c r="I54" s="17" t="n">
        <v>19</v>
      </c>
      <c r="J54" s="17" t="n">
        <v>5</v>
      </c>
      <c r="K54" s="17" t="n">
        <v>1</v>
      </c>
      <c r="L54" s="17" t="inlineStr">
        <is>
          <t>Tinggi</t>
        </is>
      </c>
    </row>
    <row r="55" s="1">
      <c r="A55" s="17">
        <f>RANDBETWEEN(2,164)</f>
        <v/>
      </c>
      <c r="B55" s="17">
        <f t="array" ref="B55">INDEX(Data_DBD!$B:$B,$A55)</f>
        <v/>
      </c>
      <c r="C55" s="17">
        <f t="array" ref="C55">INDEX(Data_DBD!$C:$C,$A55)</f>
        <v/>
      </c>
      <c r="D55" s="17">
        <f t="array" ref="D55">INDEX(Data_DBD!$E:$E,$A55)</f>
        <v/>
      </c>
      <c r="E55" s="17">
        <f t="array" ref="E55">INDEX(Data_DBD!$F:$F,$A55)</f>
        <v/>
      </c>
      <c r="H55" s="17" t="n">
        <v>45</v>
      </c>
      <c r="I55" s="17" t="n">
        <v>75</v>
      </c>
      <c r="J55" s="17" t="n">
        <v>3</v>
      </c>
      <c r="K55" s="17" t="n">
        <v>1</v>
      </c>
      <c r="L55" s="17" t="inlineStr">
        <is>
          <t>Sedang</t>
        </is>
      </c>
    </row>
    <row r="56" s="1">
      <c r="A56" s="17">
        <f>RANDBETWEEN(2,164)</f>
        <v/>
      </c>
      <c r="B56" s="17">
        <f t="array" ref="B56">INDEX(Data_DBD!$B:$B,$A56)</f>
        <v/>
      </c>
      <c r="C56" s="17">
        <f t="array" ref="C56">INDEX(Data_DBD!$C:$C,$A56)</f>
        <v/>
      </c>
      <c r="D56" s="17">
        <f t="array" ref="D56">INDEX(Data_DBD!$E:$E,$A56)</f>
        <v/>
      </c>
      <c r="E56" s="17">
        <f t="array" ref="E56">INDEX(Data_DBD!$F:$F,$A56)</f>
        <v/>
      </c>
      <c r="H56" s="17" t="n">
        <v>91</v>
      </c>
      <c r="I56" s="17" t="n">
        <v>35</v>
      </c>
      <c r="J56" s="17" t="n">
        <v>1</v>
      </c>
      <c r="K56" s="17" t="n">
        <v>1</v>
      </c>
      <c r="L56" s="17" t="inlineStr">
        <is>
          <t>Tinggi</t>
        </is>
      </c>
    </row>
    <row r="57" s="1">
      <c r="A57" s="17">
        <f>RANDBETWEEN(2,164)</f>
        <v/>
      </c>
      <c r="B57" s="17">
        <f t="array" ref="B57">INDEX(Data_DBD!$B:$B,$A57)</f>
        <v/>
      </c>
      <c r="C57" s="17">
        <f t="array" ref="C57">INDEX(Data_DBD!$C:$C,$A57)</f>
        <v/>
      </c>
      <c r="D57" s="17">
        <f t="array" ref="D57">INDEX(Data_DBD!$E:$E,$A57)</f>
        <v/>
      </c>
      <c r="E57" s="17">
        <f t="array" ref="E57">INDEX(Data_DBD!$F:$F,$A57)</f>
        <v/>
      </c>
      <c r="H57" s="17" t="n">
        <v>60</v>
      </c>
      <c r="I57" s="17" t="n">
        <v>68</v>
      </c>
      <c r="J57" s="17" t="n">
        <v>4</v>
      </c>
      <c r="K57" s="17" t="n">
        <v>0</v>
      </c>
      <c r="L57" s="17" t="inlineStr">
        <is>
          <t>Sedang</t>
        </is>
      </c>
    </row>
    <row r="58" s="1">
      <c r="A58" s="17">
        <f>RANDBETWEEN(2,164)</f>
        <v/>
      </c>
      <c r="B58" s="17">
        <f t="array" ref="B58">INDEX(Data_DBD!$B:$B,$A58)</f>
        <v/>
      </c>
      <c r="C58" s="17">
        <f t="array" ref="C58">INDEX(Data_DBD!$C:$C,$A58)</f>
        <v/>
      </c>
      <c r="D58" s="17">
        <f t="array" ref="D58">INDEX(Data_DBD!$E:$E,$A58)</f>
        <v/>
      </c>
      <c r="E58" s="17">
        <f t="array" ref="E58">INDEX(Data_DBD!$F:$F,$A58)</f>
        <v/>
      </c>
      <c r="H58" s="17" t="n">
        <v>76</v>
      </c>
      <c r="I58" s="17" t="n">
        <v>70</v>
      </c>
      <c r="J58" s="17" t="n">
        <v>2</v>
      </c>
      <c r="K58" s="17" t="n">
        <v>0</v>
      </c>
      <c r="L58" s="17" t="inlineStr">
        <is>
          <t>Sedang</t>
        </is>
      </c>
    </row>
    <row r="59" s="1">
      <c r="A59" s="17">
        <f>RANDBETWEEN(2,164)</f>
        <v/>
      </c>
      <c r="B59" s="17">
        <f t="array" ref="B59">INDEX(Data_DBD!$B:$B,$A59)</f>
        <v/>
      </c>
      <c r="C59" s="17">
        <f t="array" ref="C59">INDEX(Data_DBD!$C:$C,$A59)</f>
        <v/>
      </c>
      <c r="D59" s="17">
        <f t="array" ref="D59">INDEX(Data_DBD!$E:$E,$A59)</f>
        <v/>
      </c>
      <c r="E59" s="17">
        <f t="array" ref="E59">INDEX(Data_DBD!$F:$F,$A59)</f>
        <v/>
      </c>
      <c r="H59" s="17" t="n">
        <v>82</v>
      </c>
      <c r="I59" s="17" t="n">
        <v>28</v>
      </c>
      <c r="J59" s="17" t="n">
        <v>3</v>
      </c>
      <c r="K59" s="17" t="n">
        <v>1</v>
      </c>
      <c r="L59" s="17" t="inlineStr">
        <is>
          <t>Sedang</t>
        </is>
      </c>
    </row>
    <row r="60" s="1">
      <c r="A60" s="17">
        <f>RANDBETWEEN(2,164)</f>
        <v/>
      </c>
      <c r="B60" s="17">
        <f t="array" ref="B60">INDEX(Data_DBD!$B:$B,$A60)</f>
        <v/>
      </c>
      <c r="C60" s="17">
        <f t="array" ref="C60">INDEX(Data_DBD!$C:$C,$A60)</f>
        <v/>
      </c>
      <c r="D60" s="17">
        <f t="array" ref="D60">INDEX(Data_DBD!$E:$E,$A60)</f>
        <v/>
      </c>
      <c r="E60" s="17">
        <f t="array" ref="E60">INDEX(Data_DBD!$F:$F,$A60)</f>
        <v/>
      </c>
      <c r="H60" s="17" t="n">
        <v>154</v>
      </c>
      <c r="I60" s="17" t="n">
        <v>18</v>
      </c>
      <c r="J60" s="17" t="n">
        <v>5</v>
      </c>
      <c r="K60" s="17" t="n">
        <v>1</v>
      </c>
      <c r="L60" s="17" t="inlineStr">
        <is>
          <t>Tinggi</t>
        </is>
      </c>
    </row>
    <row r="61" s="1">
      <c r="A61" s="17">
        <f>RANDBETWEEN(2,164)</f>
        <v/>
      </c>
      <c r="B61" s="17">
        <f t="array" ref="B61">INDEX(Data_DBD!$B:$B,$A61)</f>
        <v/>
      </c>
      <c r="C61" s="17">
        <f t="array" ref="C61">INDEX(Data_DBD!$C:$C,$A61)</f>
        <v/>
      </c>
      <c r="D61" s="17">
        <f t="array" ref="D61">INDEX(Data_DBD!$E:$E,$A61)</f>
        <v/>
      </c>
      <c r="E61" s="17">
        <f t="array" ref="E61">INDEX(Data_DBD!$F:$F,$A61)</f>
        <v/>
      </c>
      <c r="H61" s="17" t="n">
        <v>63</v>
      </c>
      <c r="I61" s="17" t="n">
        <v>25</v>
      </c>
      <c r="J61" s="17" t="n">
        <v>3</v>
      </c>
      <c r="K61" s="17" t="n">
        <v>0</v>
      </c>
      <c r="L61" s="17" t="inlineStr">
        <is>
          <t>Sedang</t>
        </is>
      </c>
    </row>
    <row r="62" s="1">
      <c r="A62" s="17">
        <f>RANDBETWEEN(2,164)</f>
        <v/>
      </c>
      <c r="B62" s="17">
        <f t="array" ref="B62">INDEX(Data_DBD!$B:$B,$A62)</f>
        <v/>
      </c>
      <c r="C62" s="17">
        <f t="array" ref="C62">INDEX(Data_DBD!$C:$C,$A62)</f>
        <v/>
      </c>
      <c r="D62" s="17">
        <f t="array" ref="D62">INDEX(Data_DBD!$E:$E,$A62)</f>
        <v/>
      </c>
      <c r="E62" s="17">
        <f t="array" ref="E62">INDEX(Data_DBD!$F:$F,$A62)</f>
        <v/>
      </c>
      <c r="H62" s="17" t="n">
        <v>17</v>
      </c>
      <c r="I62" s="17" t="n">
        <v>2</v>
      </c>
      <c r="J62" s="17" t="n">
        <v>3</v>
      </c>
      <c r="K62" s="17" t="n">
        <v>0</v>
      </c>
      <c r="L62" s="17" t="inlineStr">
        <is>
          <t>Rendah</t>
        </is>
      </c>
    </row>
    <row r="63" s="1">
      <c r="A63" s="17">
        <f>RANDBETWEEN(2,164)</f>
        <v/>
      </c>
      <c r="B63" s="17">
        <f t="array" ref="B63">INDEX(Data_DBD!$B:$B,$A63)</f>
        <v/>
      </c>
      <c r="C63" s="17">
        <f t="array" ref="C63">INDEX(Data_DBD!$C:$C,$A63)</f>
        <v/>
      </c>
      <c r="D63" s="17">
        <f t="array" ref="D63">INDEX(Data_DBD!$E:$E,$A63)</f>
        <v/>
      </c>
      <c r="E63" s="17">
        <f t="array" ref="E63">INDEX(Data_DBD!$F:$F,$A63)</f>
        <v/>
      </c>
      <c r="H63" s="17" t="n">
        <v>157</v>
      </c>
      <c r="I63" s="17" t="n">
        <v>15</v>
      </c>
      <c r="J63" s="17" t="n">
        <v>4</v>
      </c>
      <c r="K63" s="17" t="n">
        <v>1</v>
      </c>
      <c r="L63" s="17" t="inlineStr">
        <is>
          <t>Tinggi</t>
        </is>
      </c>
    </row>
    <row r="64" s="1">
      <c r="A64" s="17">
        <f>RANDBETWEEN(2,164)</f>
        <v/>
      </c>
      <c r="B64" s="17">
        <f t="array" ref="B64">INDEX(Data_DBD!$B:$B,$A64)</f>
        <v/>
      </c>
      <c r="C64" s="17">
        <f t="array" ref="C64">INDEX(Data_DBD!$C:$C,$A64)</f>
        <v/>
      </c>
      <c r="D64" s="17">
        <f t="array" ref="D64">INDEX(Data_DBD!$E:$E,$A64)</f>
        <v/>
      </c>
      <c r="E64" s="17">
        <f t="array" ref="E64">INDEX(Data_DBD!$F:$F,$A64)</f>
        <v/>
      </c>
      <c r="H64" s="17" t="n">
        <v>123</v>
      </c>
      <c r="I64" s="17" t="n">
        <v>22</v>
      </c>
      <c r="J64" s="17" t="n">
        <v>4</v>
      </c>
      <c r="K64" s="17" t="n">
        <v>0</v>
      </c>
      <c r="L64" s="17" t="inlineStr">
        <is>
          <t>Tinggi</t>
        </is>
      </c>
    </row>
    <row r="65" s="1">
      <c r="A65" s="17">
        <f>RANDBETWEEN(2,164)</f>
        <v/>
      </c>
      <c r="B65" s="17">
        <f t="array" ref="B65">INDEX(Data_DBD!$B:$B,$A65)</f>
        <v/>
      </c>
      <c r="C65" s="17">
        <f t="array" ref="C65">INDEX(Data_DBD!$C:$C,$A65)</f>
        <v/>
      </c>
      <c r="D65" s="17">
        <f t="array" ref="D65">INDEX(Data_DBD!$E:$E,$A65)</f>
        <v/>
      </c>
      <c r="E65" s="17">
        <f t="array" ref="E65">INDEX(Data_DBD!$F:$F,$A65)</f>
        <v/>
      </c>
      <c r="H65" s="17" t="n">
        <v>3</v>
      </c>
      <c r="I65" s="17" t="n">
        <v>43</v>
      </c>
      <c r="J65" s="17" t="n">
        <v>3</v>
      </c>
      <c r="K65" s="17" t="n">
        <v>1</v>
      </c>
      <c r="L65" s="17" t="inlineStr">
        <is>
          <t>Sedang</t>
        </is>
      </c>
    </row>
    <row r="66" s="1">
      <c r="A66" s="17">
        <f>RANDBETWEEN(2,164)</f>
        <v/>
      </c>
      <c r="B66" s="17">
        <f t="array" ref="B66">INDEX(Data_DBD!$B:$B,$A66)</f>
        <v/>
      </c>
      <c r="C66" s="17">
        <f t="array" ref="C66">INDEX(Data_DBD!$C:$C,$A66)</f>
        <v/>
      </c>
      <c r="D66" s="17">
        <f t="array" ref="D66">INDEX(Data_DBD!$E:$E,$A66)</f>
        <v/>
      </c>
      <c r="E66" s="17">
        <f t="array" ref="E66">INDEX(Data_DBD!$F:$F,$A66)</f>
        <v/>
      </c>
      <c r="H66" s="17" t="n">
        <v>32</v>
      </c>
      <c r="I66" s="17" t="n">
        <v>54</v>
      </c>
      <c r="J66" s="17" t="n">
        <v>4</v>
      </c>
      <c r="K66" s="17" t="n">
        <v>0</v>
      </c>
      <c r="L66" s="17" t="inlineStr">
        <is>
          <t>Sedang</t>
        </is>
      </c>
    </row>
    <row r="67" s="1">
      <c r="A67" s="17">
        <f>RANDBETWEEN(2,164)</f>
        <v/>
      </c>
      <c r="B67" s="17">
        <f t="array" ref="B67">INDEX(Data_DBD!$B:$B,$A67)</f>
        <v/>
      </c>
      <c r="C67" s="17">
        <f t="array" ref="C67">INDEX(Data_DBD!$C:$C,$A67)</f>
        <v/>
      </c>
      <c r="D67" s="17">
        <f t="array" ref="D67">INDEX(Data_DBD!$E:$E,$A67)</f>
        <v/>
      </c>
      <c r="E67" s="17">
        <f t="array" ref="E67">INDEX(Data_DBD!$F:$F,$A67)</f>
        <v/>
      </c>
      <c r="H67" s="17" t="n">
        <v>121</v>
      </c>
      <c r="I67" s="17" t="n">
        <v>82</v>
      </c>
      <c r="J67" s="17" t="n">
        <v>5</v>
      </c>
      <c r="K67" s="17" t="n">
        <v>1</v>
      </c>
      <c r="L67" s="17" t="inlineStr">
        <is>
          <t>Tinggi</t>
        </is>
      </c>
    </row>
    <row r="68" s="1">
      <c r="A68" s="17">
        <f>RANDBETWEEN(2,164)</f>
        <v/>
      </c>
      <c r="B68" s="17">
        <f t="array" ref="B68">INDEX(Data_DBD!$B:$B,$A68)</f>
        <v/>
      </c>
      <c r="C68" s="17">
        <f t="array" ref="C68">INDEX(Data_DBD!$C:$C,$A68)</f>
        <v/>
      </c>
      <c r="D68" s="17">
        <f t="array" ref="D68">INDEX(Data_DBD!$E:$E,$A68)</f>
        <v/>
      </c>
      <c r="E68" s="17">
        <f t="array" ref="E68">INDEX(Data_DBD!$F:$F,$A68)</f>
        <v/>
      </c>
      <c r="H68" s="17" t="n">
        <v>60</v>
      </c>
      <c r="I68" s="17" t="n">
        <v>68</v>
      </c>
      <c r="J68" s="17" t="n">
        <v>4</v>
      </c>
      <c r="K68" s="17" t="n">
        <v>0</v>
      </c>
      <c r="L68" s="17" t="inlineStr">
        <is>
          <t>Sedang</t>
        </is>
      </c>
    </row>
    <row r="69" s="1">
      <c r="A69" s="17">
        <f>RANDBETWEEN(2,164)</f>
        <v/>
      </c>
      <c r="B69" s="17">
        <f t="array" ref="B69">INDEX(Data_DBD!$B:$B,$A69)</f>
        <v/>
      </c>
      <c r="C69" s="17">
        <f t="array" ref="C69">INDEX(Data_DBD!$C:$C,$A69)</f>
        <v/>
      </c>
      <c r="D69" s="17">
        <f t="array" ref="D69">INDEX(Data_DBD!$E:$E,$A69)</f>
        <v/>
      </c>
      <c r="E69" s="17">
        <f t="array" ref="E69">INDEX(Data_DBD!$F:$F,$A69)</f>
        <v/>
      </c>
      <c r="H69" s="17" t="n">
        <v>15</v>
      </c>
      <c r="I69" s="17" t="n">
        <v>21</v>
      </c>
      <c r="J69" s="17" t="n">
        <v>2</v>
      </c>
      <c r="K69" s="17" t="n">
        <v>0</v>
      </c>
      <c r="L69" s="17" t="inlineStr">
        <is>
          <t>Rendah</t>
        </is>
      </c>
    </row>
    <row r="70" s="1">
      <c r="A70" s="17">
        <f>RANDBETWEEN(2,164)</f>
        <v/>
      </c>
      <c r="B70" s="17">
        <f t="array" ref="B70">INDEX(Data_DBD!$B:$B,$A70)</f>
        <v/>
      </c>
      <c r="C70" s="17">
        <f t="array" ref="C70">INDEX(Data_DBD!$C:$C,$A70)</f>
        <v/>
      </c>
      <c r="D70" s="17">
        <f t="array" ref="D70">INDEX(Data_DBD!$E:$E,$A70)</f>
        <v/>
      </c>
      <c r="E70" s="17">
        <f t="array" ref="E70">INDEX(Data_DBD!$F:$F,$A70)</f>
        <v/>
      </c>
      <c r="H70" s="17" t="n">
        <v>122</v>
      </c>
      <c r="I70" s="17" t="n">
        <v>28</v>
      </c>
      <c r="J70" s="17" t="n">
        <v>3</v>
      </c>
      <c r="K70" s="17" t="n">
        <v>1</v>
      </c>
      <c r="L70" s="17" t="inlineStr">
        <is>
          <t>Tinggi</t>
        </is>
      </c>
    </row>
    <row r="71" s="1">
      <c r="A71" s="17">
        <f>RANDBETWEEN(2,164)</f>
        <v/>
      </c>
      <c r="B71" s="17">
        <f t="array" ref="B71">INDEX(Data_DBD!$B:$B,$A71)</f>
        <v/>
      </c>
      <c r="C71" s="17">
        <f t="array" ref="C71">INDEX(Data_DBD!$C:$C,$A71)</f>
        <v/>
      </c>
      <c r="D71" s="17">
        <f t="array" ref="D71">INDEX(Data_DBD!$E:$E,$A71)</f>
        <v/>
      </c>
      <c r="E71" s="17">
        <f t="array" ref="E71">INDEX(Data_DBD!$F:$F,$A71)</f>
        <v/>
      </c>
      <c r="H71" s="17" t="n">
        <v>61</v>
      </c>
      <c r="I71" s="17" t="n">
        <v>29</v>
      </c>
      <c r="J71" s="17" t="n">
        <v>3</v>
      </c>
      <c r="K71" s="17" t="n">
        <v>1</v>
      </c>
      <c r="L71" s="17" t="inlineStr">
        <is>
          <t>Sedang</t>
        </is>
      </c>
    </row>
    <row r="72" s="1">
      <c r="A72" s="17">
        <f>RANDBETWEEN(2,164)</f>
        <v/>
      </c>
      <c r="B72" s="17">
        <f t="array" ref="B72">INDEX(Data_DBD!$B:$B,$A72)</f>
        <v/>
      </c>
      <c r="C72" s="17">
        <f t="array" ref="C72">INDEX(Data_DBD!$C:$C,$A72)</f>
        <v/>
      </c>
      <c r="D72" s="17">
        <f t="array" ref="D72">INDEX(Data_DBD!$E:$E,$A72)</f>
        <v/>
      </c>
      <c r="E72" s="17">
        <f t="array" ref="E72">INDEX(Data_DBD!$F:$F,$A72)</f>
        <v/>
      </c>
      <c r="H72" s="17" t="n">
        <v>74</v>
      </c>
      <c r="I72" s="17" t="n">
        <v>9</v>
      </c>
      <c r="J72" s="17" t="n">
        <v>4</v>
      </c>
      <c r="K72" s="17" t="n">
        <v>0</v>
      </c>
      <c r="L72" s="17" t="inlineStr">
        <is>
          <t>Sedang</t>
        </is>
      </c>
    </row>
    <row r="73" s="1">
      <c r="A73" s="17">
        <f>RANDBETWEEN(2,164)</f>
        <v/>
      </c>
      <c r="B73" s="17">
        <f t="array" ref="B73">INDEX(Data_DBD!$B:$B,$A73)</f>
        <v/>
      </c>
      <c r="C73" s="17">
        <f t="array" ref="C73">INDEX(Data_DBD!$C:$C,$A73)</f>
        <v/>
      </c>
      <c r="D73" s="17">
        <f t="array" ref="D73">INDEX(Data_DBD!$E:$E,$A73)</f>
        <v/>
      </c>
      <c r="E73" s="17">
        <f t="array" ref="E73">INDEX(Data_DBD!$F:$F,$A73)</f>
        <v/>
      </c>
      <c r="H73" s="17" t="n">
        <v>54</v>
      </c>
      <c r="I73" s="17" t="n">
        <v>7</v>
      </c>
      <c r="J73" s="17" t="n">
        <v>3</v>
      </c>
      <c r="K73" s="17" t="n">
        <v>0</v>
      </c>
      <c r="L73" s="17" t="inlineStr">
        <is>
          <t>Sedang</t>
        </is>
      </c>
    </row>
    <row r="74" s="1">
      <c r="A74" s="17">
        <f>RANDBETWEEN(2,164)</f>
        <v/>
      </c>
      <c r="B74" s="17">
        <f t="array" ref="B74">INDEX(Data_DBD!$B:$B,$A74)</f>
        <v/>
      </c>
      <c r="C74" s="17">
        <f t="array" ref="C74">INDEX(Data_DBD!$C:$C,$A74)</f>
        <v/>
      </c>
      <c r="D74" s="17">
        <f t="array" ref="D74">INDEX(Data_DBD!$E:$E,$A74)</f>
        <v/>
      </c>
      <c r="E74" s="17">
        <f t="array" ref="E74">INDEX(Data_DBD!$F:$F,$A74)</f>
        <v/>
      </c>
      <c r="H74" s="17" t="n">
        <v>86</v>
      </c>
      <c r="I74" s="17" t="n">
        <v>23</v>
      </c>
      <c r="J74" s="17" t="n">
        <v>3</v>
      </c>
      <c r="K74" s="17" t="n">
        <v>0</v>
      </c>
      <c r="L74" s="17" t="inlineStr">
        <is>
          <t>Sedang</t>
        </is>
      </c>
    </row>
    <row r="75" s="1">
      <c r="A75" s="17">
        <f>RANDBETWEEN(2,164)</f>
        <v/>
      </c>
      <c r="B75" s="17">
        <f t="array" ref="B75">INDEX(Data_DBD!$B:$B,$A75)</f>
        <v/>
      </c>
      <c r="C75" s="17">
        <f t="array" ref="C75">INDEX(Data_DBD!$C:$C,$A75)</f>
        <v/>
      </c>
      <c r="D75" s="17">
        <f t="array" ref="D75">INDEX(Data_DBD!$E:$E,$A75)</f>
        <v/>
      </c>
      <c r="E75" s="17">
        <f t="array" ref="E75">INDEX(Data_DBD!$F:$F,$A75)</f>
        <v/>
      </c>
      <c r="H75" s="17" t="n">
        <v>136</v>
      </c>
      <c r="I75" s="17" t="n">
        <v>6</v>
      </c>
      <c r="J75" s="17" t="n">
        <v>2</v>
      </c>
      <c r="K75" s="17" t="n">
        <v>0</v>
      </c>
      <c r="L75" s="17" t="inlineStr">
        <is>
          <t>Tinggi</t>
        </is>
      </c>
    </row>
    <row r="76" s="1">
      <c r="A76" s="17">
        <f>RANDBETWEEN(2,164)</f>
        <v/>
      </c>
      <c r="B76" s="17">
        <f t="array" ref="B76">INDEX(Data_DBD!$B:$B,$A76)</f>
        <v/>
      </c>
      <c r="C76" s="17">
        <f t="array" ref="C76">INDEX(Data_DBD!$C:$C,$A76)</f>
        <v/>
      </c>
      <c r="D76" s="17">
        <f t="array" ref="D76">INDEX(Data_DBD!$E:$E,$A76)</f>
        <v/>
      </c>
      <c r="E76" s="17">
        <f t="array" ref="E76">INDEX(Data_DBD!$F:$F,$A76)</f>
        <v/>
      </c>
      <c r="H76" s="17" t="n">
        <v>47</v>
      </c>
      <c r="I76" s="17" t="n">
        <v>19</v>
      </c>
      <c r="J76" s="17" t="n">
        <v>2</v>
      </c>
      <c r="K76" s="17" t="n">
        <v>0</v>
      </c>
      <c r="L76" s="17" t="inlineStr">
        <is>
          <t>Sedang</t>
        </is>
      </c>
    </row>
    <row r="77" s="1">
      <c r="A77" s="17">
        <f>RANDBETWEEN(2,164)</f>
        <v/>
      </c>
      <c r="B77" s="17">
        <f t="array" ref="B77">INDEX(Data_DBD!$B:$B,$A77)</f>
        <v/>
      </c>
      <c r="C77" s="17">
        <f t="array" ref="C77">INDEX(Data_DBD!$C:$C,$A77)</f>
        <v/>
      </c>
      <c r="D77" s="17">
        <f t="array" ref="D77">INDEX(Data_DBD!$E:$E,$A77)</f>
        <v/>
      </c>
      <c r="E77" s="17">
        <f t="array" ref="E77">INDEX(Data_DBD!$F:$F,$A77)</f>
        <v/>
      </c>
      <c r="H77" s="17" t="n">
        <v>161</v>
      </c>
      <c r="I77" s="17" t="n">
        <v>12</v>
      </c>
      <c r="J77" s="17" t="n">
        <v>3</v>
      </c>
      <c r="K77" s="17" t="n">
        <v>1</v>
      </c>
      <c r="L77" s="17" t="inlineStr">
        <is>
          <t>Tinggi</t>
        </is>
      </c>
    </row>
    <row r="78" s="1">
      <c r="A78" s="17">
        <f>RANDBETWEEN(2,164)</f>
        <v/>
      </c>
      <c r="B78" s="17">
        <f t="array" ref="B78">INDEX(Data_DBD!$B:$B,$A78)</f>
        <v/>
      </c>
      <c r="C78" s="17">
        <f t="array" ref="C78">INDEX(Data_DBD!$C:$C,$A78)</f>
        <v/>
      </c>
      <c r="D78" s="17">
        <f t="array" ref="D78">INDEX(Data_DBD!$E:$E,$A78)</f>
        <v/>
      </c>
      <c r="E78" s="17">
        <f t="array" ref="E78">INDEX(Data_DBD!$F:$F,$A78)</f>
        <v/>
      </c>
      <c r="H78" s="17" t="n">
        <v>110</v>
      </c>
      <c r="I78" s="17" t="n">
        <v>42</v>
      </c>
      <c r="J78" s="17" t="n">
        <v>2</v>
      </c>
      <c r="K78" s="17" t="n">
        <v>1</v>
      </c>
      <c r="L78" s="17" t="inlineStr">
        <is>
          <t>Tinggi</t>
        </is>
      </c>
    </row>
    <row r="79" s="1">
      <c r="A79" s="17">
        <f>RANDBETWEEN(2,164)</f>
        <v/>
      </c>
      <c r="B79" s="17">
        <f t="array" ref="B79">INDEX(Data_DBD!$B:$B,$A79)</f>
        <v/>
      </c>
      <c r="C79" s="17">
        <f t="array" ref="C79">INDEX(Data_DBD!$C:$C,$A79)</f>
        <v/>
      </c>
      <c r="D79" s="17">
        <f t="array" ref="D79">INDEX(Data_DBD!$E:$E,$A79)</f>
        <v/>
      </c>
      <c r="E79" s="17">
        <f t="array" ref="E79">INDEX(Data_DBD!$F:$F,$A79)</f>
        <v/>
      </c>
      <c r="H79" s="17" t="n">
        <v>102</v>
      </c>
      <c r="I79" s="17" t="n">
        <v>41</v>
      </c>
      <c r="J79" s="17" t="n">
        <v>4</v>
      </c>
      <c r="K79" s="17" t="n">
        <v>0</v>
      </c>
      <c r="L79" s="17" t="inlineStr">
        <is>
          <t>Tinggi</t>
        </is>
      </c>
    </row>
    <row r="80" s="1">
      <c r="A80" s="17">
        <f>RANDBETWEEN(2,164)</f>
        <v/>
      </c>
      <c r="B80" s="17">
        <f t="array" ref="B80">INDEX(Data_DBD!$B:$B,$A80)</f>
        <v/>
      </c>
      <c r="C80" s="17">
        <f t="array" ref="C80">INDEX(Data_DBD!$C:$C,$A80)</f>
        <v/>
      </c>
      <c r="D80" s="17">
        <f t="array" ref="D80">INDEX(Data_DBD!$E:$E,$A80)</f>
        <v/>
      </c>
      <c r="E80" s="17">
        <f t="array" ref="E80">INDEX(Data_DBD!$F:$F,$A80)</f>
        <v/>
      </c>
      <c r="H80" s="17" t="n">
        <v>121</v>
      </c>
      <c r="I80" s="17" t="n">
        <v>82</v>
      </c>
      <c r="J80" s="17" t="n">
        <v>5</v>
      </c>
      <c r="K80" s="17" t="n">
        <v>1</v>
      </c>
      <c r="L80" s="17" t="inlineStr">
        <is>
          <t>Tinggi</t>
        </is>
      </c>
    </row>
    <row r="81" s="1">
      <c r="A81" s="17">
        <f>RANDBETWEEN(2,164)</f>
        <v/>
      </c>
      <c r="B81" s="17">
        <f t="array" ref="B81">INDEX(Data_DBD!$B:$B,$A81)</f>
        <v/>
      </c>
      <c r="C81" s="17">
        <f t="array" ref="C81">INDEX(Data_DBD!$C:$C,$A81)</f>
        <v/>
      </c>
      <c r="D81" s="17">
        <f t="array" ref="D81">INDEX(Data_DBD!$E:$E,$A81)</f>
        <v/>
      </c>
      <c r="E81" s="17">
        <f t="array" ref="E81">INDEX(Data_DBD!$F:$F,$A81)</f>
        <v/>
      </c>
      <c r="H81" s="17" t="n">
        <v>56</v>
      </c>
      <c r="I81" s="17" t="n">
        <v>4</v>
      </c>
      <c r="J81" s="17" t="n">
        <v>3</v>
      </c>
      <c r="K81" s="17" t="n">
        <v>0</v>
      </c>
      <c r="L81" s="17" t="inlineStr">
        <is>
          <t>Sedang</t>
        </is>
      </c>
    </row>
    <row r="82" s="1">
      <c r="A82" s="17">
        <f>RANDBETWEEN(2,164)</f>
        <v/>
      </c>
      <c r="B82" s="17">
        <f t="array" ref="B82">INDEX(Data_DBD!$B:$B,$A82)</f>
        <v/>
      </c>
      <c r="C82" s="17">
        <f t="array" ref="C82">INDEX(Data_DBD!$C:$C,$A82)</f>
        <v/>
      </c>
      <c r="D82" s="17">
        <f t="array" ref="D82">INDEX(Data_DBD!$E:$E,$A82)</f>
        <v/>
      </c>
      <c r="E82" s="17">
        <f t="array" ref="E82">INDEX(Data_DBD!$F:$F,$A82)</f>
        <v/>
      </c>
      <c r="H82" s="17" t="n">
        <v>4</v>
      </c>
      <c r="I82" s="17" t="n">
        <v>23</v>
      </c>
      <c r="J82" s="17" t="n">
        <v>5</v>
      </c>
      <c r="K82" s="17" t="n">
        <v>0</v>
      </c>
      <c r="L82" s="17" t="inlineStr">
        <is>
          <t>Sedang</t>
        </is>
      </c>
    </row>
    <row r="83" s="1">
      <c r="A83" s="17">
        <f>RANDBETWEEN(2,164)</f>
        <v/>
      </c>
      <c r="B83" s="17">
        <f t="array" ref="B83">INDEX(Data_DBD!$B:$B,$A83)</f>
        <v/>
      </c>
      <c r="C83" s="17">
        <f t="array" ref="C83">INDEX(Data_DBD!$C:$C,$A83)</f>
        <v/>
      </c>
      <c r="D83" s="17">
        <f t="array" ref="D83">INDEX(Data_DBD!$E:$E,$A83)</f>
        <v/>
      </c>
      <c r="E83" s="17">
        <f t="array" ref="E83">INDEX(Data_DBD!$F:$F,$A83)</f>
        <v/>
      </c>
      <c r="H83" s="17" t="n">
        <v>90</v>
      </c>
      <c r="I83" s="17" t="n">
        <v>47</v>
      </c>
      <c r="J83" s="17" t="n">
        <v>3</v>
      </c>
      <c r="K83" s="17" t="n">
        <v>0</v>
      </c>
      <c r="L83" s="17" t="inlineStr">
        <is>
          <t>Tinggi</t>
        </is>
      </c>
    </row>
    <row r="84" s="1">
      <c r="A84" s="17">
        <f>RANDBETWEEN(2,164)</f>
        <v/>
      </c>
      <c r="B84" s="17">
        <f t="array" ref="B84">INDEX(Data_DBD!$B:$B,$A84)</f>
        <v/>
      </c>
      <c r="C84" s="17">
        <f t="array" ref="C84">INDEX(Data_DBD!$C:$C,$A84)</f>
        <v/>
      </c>
      <c r="D84" s="17">
        <f t="array" ref="D84">INDEX(Data_DBD!$E:$E,$A84)</f>
        <v/>
      </c>
      <c r="E84" s="17">
        <f t="array" ref="E84">INDEX(Data_DBD!$F:$F,$A84)</f>
        <v/>
      </c>
      <c r="H84" s="17" t="n">
        <v>69</v>
      </c>
      <c r="I84" s="17" t="n">
        <v>24</v>
      </c>
      <c r="J84" s="17" t="n">
        <v>4</v>
      </c>
      <c r="K84" s="17" t="n">
        <v>1</v>
      </c>
      <c r="L84" s="17" t="inlineStr">
        <is>
          <t>Sedang</t>
        </is>
      </c>
    </row>
    <row r="85" s="1">
      <c r="A85" s="17">
        <f>RANDBETWEEN(2,164)</f>
        <v/>
      </c>
      <c r="B85" s="17">
        <f t="array" ref="B85">INDEX(Data_DBD!$B:$B,$A85)</f>
        <v/>
      </c>
      <c r="C85" s="17">
        <f t="array" ref="C85">INDEX(Data_DBD!$C:$C,$A85)</f>
        <v/>
      </c>
      <c r="D85" s="17">
        <f t="array" ref="D85">INDEX(Data_DBD!$E:$E,$A85)</f>
        <v/>
      </c>
      <c r="E85" s="17">
        <f t="array" ref="E85">INDEX(Data_DBD!$F:$F,$A85)</f>
        <v/>
      </c>
      <c r="H85" s="17" t="n">
        <v>112</v>
      </c>
      <c r="I85" s="17" t="n">
        <v>61</v>
      </c>
      <c r="J85" s="17" t="n">
        <v>3</v>
      </c>
      <c r="K85" s="17" t="n">
        <v>1</v>
      </c>
      <c r="L85" s="17" t="inlineStr">
        <is>
          <t>Tinggi</t>
        </is>
      </c>
    </row>
    <row r="86" s="1">
      <c r="A86" s="17">
        <f>RANDBETWEEN(2,164)</f>
        <v/>
      </c>
      <c r="B86" s="17">
        <f t="array" ref="B86">INDEX(Data_DBD!$B:$B,$A86)</f>
        <v/>
      </c>
      <c r="C86" s="17">
        <f t="array" ref="C86">INDEX(Data_DBD!$C:$C,$A86)</f>
        <v/>
      </c>
      <c r="D86" s="17">
        <f t="array" ref="D86">INDEX(Data_DBD!$E:$E,$A86)</f>
        <v/>
      </c>
      <c r="E86" s="17">
        <f t="array" ref="E86">INDEX(Data_DBD!$F:$F,$A86)</f>
        <v/>
      </c>
      <c r="H86" s="17" t="n">
        <v>94</v>
      </c>
      <c r="I86" s="17" t="n">
        <v>12</v>
      </c>
      <c r="J86" s="17" t="n">
        <v>4</v>
      </c>
      <c r="K86" s="17" t="n">
        <v>0</v>
      </c>
      <c r="L86" s="17" t="inlineStr">
        <is>
          <t>Tinggi</t>
        </is>
      </c>
    </row>
    <row r="87" s="1">
      <c r="A87" s="17">
        <f>RANDBETWEEN(2,164)</f>
        <v/>
      </c>
      <c r="B87" s="17">
        <f t="array" ref="B87">INDEX(Data_DBD!$B:$B,$A87)</f>
        <v/>
      </c>
      <c r="C87" s="17">
        <f t="array" ref="C87">INDEX(Data_DBD!$C:$C,$A87)</f>
        <v/>
      </c>
      <c r="D87" s="17">
        <f t="array" ref="D87">INDEX(Data_DBD!$E:$E,$A87)</f>
        <v/>
      </c>
      <c r="E87" s="17">
        <f t="array" ref="E87">INDEX(Data_DBD!$F:$F,$A87)</f>
        <v/>
      </c>
      <c r="H87" s="17" t="n">
        <v>143</v>
      </c>
      <c r="I87" s="17" t="n">
        <v>20</v>
      </c>
      <c r="J87" s="17" t="n">
        <v>4</v>
      </c>
      <c r="K87" s="17" t="n">
        <v>1</v>
      </c>
      <c r="L87" s="17" t="inlineStr">
        <is>
          <t>Tinggi</t>
        </is>
      </c>
    </row>
    <row r="88" s="1">
      <c r="A88" s="17">
        <f>RANDBETWEEN(2,164)</f>
        <v/>
      </c>
      <c r="B88" s="17">
        <f t="array" ref="B88">INDEX(Data_DBD!$B:$B,$A88)</f>
        <v/>
      </c>
      <c r="C88" s="17">
        <f t="array" ref="C88">INDEX(Data_DBD!$C:$C,$A88)</f>
        <v/>
      </c>
      <c r="D88" s="17">
        <f t="array" ref="D88">INDEX(Data_DBD!$E:$E,$A88)</f>
        <v/>
      </c>
      <c r="E88" s="17">
        <f t="array" ref="E88">INDEX(Data_DBD!$F:$F,$A88)</f>
        <v/>
      </c>
      <c r="H88" s="17" t="n">
        <v>94</v>
      </c>
      <c r="I88" s="17" t="n">
        <v>12</v>
      </c>
      <c r="J88" s="17" t="n">
        <v>4</v>
      </c>
      <c r="K88" s="17" t="n">
        <v>0</v>
      </c>
      <c r="L88" s="17" t="inlineStr">
        <is>
          <t>Tinggi</t>
        </is>
      </c>
    </row>
    <row r="89" s="1">
      <c r="A89" s="17">
        <f>RANDBETWEEN(2,164)</f>
        <v/>
      </c>
      <c r="B89" s="17">
        <f t="array" ref="B89">INDEX(Data_DBD!$B:$B,$A89)</f>
        <v/>
      </c>
      <c r="C89" s="17">
        <f t="array" ref="C89">INDEX(Data_DBD!$C:$C,$A89)</f>
        <v/>
      </c>
      <c r="D89" s="17">
        <f t="array" ref="D89">INDEX(Data_DBD!$E:$E,$A89)</f>
        <v/>
      </c>
      <c r="E89" s="17">
        <f t="array" ref="E89">INDEX(Data_DBD!$F:$F,$A89)</f>
        <v/>
      </c>
      <c r="H89" s="17" t="n">
        <v>53</v>
      </c>
      <c r="I89" s="17" t="n">
        <v>35</v>
      </c>
      <c r="J89" s="17" t="n">
        <v>4</v>
      </c>
      <c r="K89" s="17" t="n">
        <v>1</v>
      </c>
      <c r="L89" s="17" t="inlineStr">
        <is>
          <t>Sedang</t>
        </is>
      </c>
    </row>
    <row r="90" s="1">
      <c r="A90" s="17">
        <f>RANDBETWEEN(2,164)</f>
        <v/>
      </c>
      <c r="B90" s="17">
        <f t="array" ref="B90">INDEX(Data_DBD!$B:$B,$A90)</f>
        <v/>
      </c>
      <c r="C90" s="17">
        <f t="array" ref="C90">INDEX(Data_DBD!$C:$C,$A90)</f>
        <v/>
      </c>
      <c r="D90" s="17">
        <f t="array" ref="D90">INDEX(Data_DBD!$E:$E,$A90)</f>
        <v/>
      </c>
      <c r="E90" s="17">
        <f t="array" ref="E90">INDEX(Data_DBD!$F:$F,$A90)</f>
        <v/>
      </c>
      <c r="H90" s="17" t="n">
        <v>52</v>
      </c>
      <c r="I90" s="17" t="n">
        <v>59</v>
      </c>
      <c r="J90" s="17" t="n">
        <v>4</v>
      </c>
      <c r="K90" s="17" t="n">
        <v>1</v>
      </c>
      <c r="L90" s="17" t="inlineStr">
        <is>
          <t>Sedang</t>
        </is>
      </c>
    </row>
    <row r="91" s="1">
      <c r="A91" s="17">
        <f>RANDBETWEEN(2,164)</f>
        <v/>
      </c>
      <c r="B91" s="17">
        <f t="array" ref="B91">INDEX(Data_DBD!$B:$B,$A91)</f>
        <v/>
      </c>
      <c r="C91" s="17">
        <f t="array" ref="C91">INDEX(Data_DBD!$C:$C,$A91)</f>
        <v/>
      </c>
      <c r="D91" s="17">
        <f t="array" ref="D91">INDEX(Data_DBD!$E:$E,$A91)</f>
        <v/>
      </c>
      <c r="E91" s="17">
        <f t="array" ref="E91">INDEX(Data_DBD!$F:$F,$A91)</f>
        <v/>
      </c>
      <c r="H91" s="17" t="n">
        <v>94</v>
      </c>
      <c r="I91" s="17" t="n">
        <v>12</v>
      </c>
      <c r="J91" s="17" t="n">
        <v>4</v>
      </c>
      <c r="K91" s="17" t="n">
        <v>0</v>
      </c>
      <c r="L91" s="17" t="inlineStr">
        <is>
          <t>Tinggi</t>
        </is>
      </c>
    </row>
    <row r="92" s="1">
      <c r="A92" s="17">
        <f>RANDBETWEEN(2,164)</f>
        <v/>
      </c>
      <c r="B92" s="17">
        <f t="array" ref="B92">INDEX(Data_DBD!$B:$B,$A92)</f>
        <v/>
      </c>
      <c r="C92" s="17">
        <f t="array" ref="C92">INDEX(Data_DBD!$C:$C,$A92)</f>
        <v/>
      </c>
      <c r="D92" s="17">
        <f t="array" ref="D92">INDEX(Data_DBD!$E:$E,$A92)</f>
        <v/>
      </c>
      <c r="E92" s="17">
        <f t="array" ref="E92">INDEX(Data_DBD!$F:$F,$A92)</f>
        <v/>
      </c>
      <c r="H92" s="17" t="n">
        <v>34</v>
      </c>
      <c r="I92" s="17" t="n">
        <v>55</v>
      </c>
      <c r="J92" s="17" t="n">
        <v>3</v>
      </c>
      <c r="K92" s="17" t="n">
        <v>0</v>
      </c>
      <c r="L92" s="17" t="inlineStr">
        <is>
          <t>Sedang</t>
        </is>
      </c>
    </row>
    <row r="93" s="1">
      <c r="A93" s="17">
        <f>RANDBETWEEN(2,164)</f>
        <v/>
      </c>
      <c r="B93" s="17">
        <f t="array" ref="B93">INDEX(Data_DBD!$B:$B,$A93)</f>
        <v/>
      </c>
      <c r="C93" s="17">
        <f t="array" ref="C93">INDEX(Data_DBD!$C:$C,$A93)</f>
        <v/>
      </c>
      <c r="D93" s="17">
        <f t="array" ref="D93">INDEX(Data_DBD!$E:$E,$A93)</f>
        <v/>
      </c>
      <c r="E93" s="17">
        <f t="array" ref="E93">INDEX(Data_DBD!$F:$F,$A93)</f>
        <v/>
      </c>
      <c r="H93" s="17" t="n">
        <v>23</v>
      </c>
      <c r="I93" s="17" t="n">
        <v>28</v>
      </c>
      <c r="J93" s="17" t="n">
        <v>4</v>
      </c>
      <c r="K93" s="17" t="n">
        <v>1</v>
      </c>
      <c r="L93" s="17" t="inlineStr">
        <is>
          <t>Sedang</t>
        </is>
      </c>
    </row>
    <row r="94" s="1">
      <c r="A94" s="17">
        <f>RANDBETWEEN(2,164)</f>
        <v/>
      </c>
      <c r="B94" s="17">
        <f t="array" ref="B94">INDEX(Data_DBD!$B:$B,$A94)</f>
        <v/>
      </c>
      <c r="C94" s="17">
        <f t="array" ref="C94">INDEX(Data_DBD!$C:$C,$A94)</f>
        <v/>
      </c>
      <c r="D94" s="17">
        <f t="array" ref="D94">INDEX(Data_DBD!$E:$E,$A94)</f>
        <v/>
      </c>
      <c r="E94" s="17">
        <f t="array" ref="E94">INDEX(Data_DBD!$F:$F,$A94)</f>
        <v/>
      </c>
      <c r="H94" s="17" t="n">
        <v>24</v>
      </c>
      <c r="I94" s="17" t="n">
        <v>60</v>
      </c>
      <c r="J94" s="17" t="n">
        <v>4</v>
      </c>
      <c r="K94" s="17" t="n">
        <v>0</v>
      </c>
      <c r="L94" s="17" t="inlineStr">
        <is>
          <t>Sedang</t>
        </is>
      </c>
    </row>
    <row r="95" s="1">
      <c r="A95" s="17">
        <f>RANDBETWEEN(2,164)</f>
        <v/>
      </c>
      <c r="B95" s="17">
        <f t="array" ref="B95">INDEX(Data_DBD!$B:$B,$A95)</f>
        <v/>
      </c>
      <c r="C95" s="17">
        <f t="array" ref="C95">INDEX(Data_DBD!$C:$C,$A95)</f>
        <v/>
      </c>
      <c r="D95" s="17">
        <f t="array" ref="D95">INDEX(Data_DBD!$E:$E,$A95)</f>
        <v/>
      </c>
      <c r="E95" s="17">
        <f t="array" ref="E95">INDEX(Data_DBD!$F:$F,$A95)</f>
        <v/>
      </c>
      <c r="H95" s="17" t="n">
        <v>10</v>
      </c>
      <c r="I95" s="17" t="n">
        <v>18</v>
      </c>
      <c r="J95" s="17" t="n">
        <v>5</v>
      </c>
      <c r="K95" s="17" t="n">
        <v>0</v>
      </c>
      <c r="L95" s="17" t="inlineStr">
        <is>
          <t>Sedang</t>
        </is>
      </c>
    </row>
    <row r="96" s="1">
      <c r="A96" s="17">
        <f>RANDBETWEEN(2,164)</f>
        <v/>
      </c>
      <c r="B96" s="17">
        <f t="array" ref="B96">INDEX(Data_DBD!$B:$B,$A96)</f>
        <v/>
      </c>
      <c r="C96" s="17">
        <f t="array" ref="C96">INDEX(Data_DBD!$C:$C,$A96)</f>
        <v/>
      </c>
      <c r="D96" s="17">
        <f t="array" ref="D96">INDEX(Data_DBD!$E:$E,$A96)</f>
        <v/>
      </c>
      <c r="E96" s="17">
        <f t="array" ref="E96">INDEX(Data_DBD!$F:$F,$A96)</f>
        <v/>
      </c>
      <c r="H96" s="17" t="n">
        <v>32</v>
      </c>
      <c r="I96" s="17" t="n">
        <v>54</v>
      </c>
      <c r="J96" s="17" t="n">
        <v>4</v>
      </c>
      <c r="K96" s="17" t="n">
        <v>0</v>
      </c>
      <c r="L96" s="17" t="inlineStr">
        <is>
          <t>Sedang</t>
        </is>
      </c>
    </row>
    <row r="97" s="1">
      <c r="A97" s="17">
        <f>RANDBETWEEN(2,164)</f>
        <v/>
      </c>
      <c r="B97" s="17">
        <f t="array" ref="B97">INDEX(Data_DBD!$B:$B,$A97)</f>
        <v/>
      </c>
      <c r="C97" s="17">
        <f t="array" ref="C97">INDEX(Data_DBD!$C:$C,$A97)</f>
        <v/>
      </c>
      <c r="D97" s="17">
        <f t="array" ref="D97">INDEX(Data_DBD!$E:$E,$A97)</f>
        <v/>
      </c>
      <c r="E97" s="17">
        <f t="array" ref="E97">INDEX(Data_DBD!$F:$F,$A97)</f>
        <v/>
      </c>
      <c r="H97" s="17" t="n">
        <v>56</v>
      </c>
      <c r="I97" s="17" t="n">
        <v>4</v>
      </c>
      <c r="J97" s="17" t="n">
        <v>3</v>
      </c>
      <c r="K97" s="17" t="n">
        <v>0</v>
      </c>
      <c r="L97" s="17" t="inlineStr">
        <is>
          <t>Sedang</t>
        </is>
      </c>
    </row>
    <row r="98" s="1">
      <c r="A98" s="17">
        <f>RANDBETWEEN(2,164)</f>
        <v/>
      </c>
      <c r="B98" s="17">
        <f t="array" ref="B98">INDEX(Data_DBD!$B:$B,$A98)</f>
        <v/>
      </c>
      <c r="C98" s="17">
        <f t="array" ref="C98">INDEX(Data_DBD!$C:$C,$A98)</f>
        <v/>
      </c>
      <c r="D98" s="17">
        <f t="array" ref="D98">INDEX(Data_DBD!$E:$E,$A98)</f>
        <v/>
      </c>
      <c r="E98" s="17">
        <f t="array" ref="E98">INDEX(Data_DBD!$F:$F,$A98)</f>
        <v/>
      </c>
      <c r="H98" s="17" t="n">
        <v>37</v>
      </c>
      <c r="I98" s="17" t="n">
        <v>28</v>
      </c>
      <c r="J98" s="17" t="n">
        <v>4</v>
      </c>
      <c r="K98" s="17" t="n">
        <v>1</v>
      </c>
      <c r="L98" s="17" t="inlineStr">
        <is>
          <t>Rendah</t>
        </is>
      </c>
    </row>
    <row r="99" s="1">
      <c r="A99" s="17">
        <f>RANDBETWEEN(2,164)</f>
        <v/>
      </c>
      <c r="B99" s="17">
        <f t="array" ref="B99">INDEX(Data_DBD!$B:$B,$A99)</f>
        <v/>
      </c>
      <c r="C99" s="17">
        <f t="array" ref="C99">INDEX(Data_DBD!$C:$C,$A99)</f>
        <v/>
      </c>
      <c r="D99" s="17">
        <f t="array" ref="D99">INDEX(Data_DBD!$E:$E,$A99)</f>
        <v/>
      </c>
      <c r="E99" s="17">
        <f t="array" ref="E99">INDEX(Data_DBD!$F:$F,$A99)</f>
        <v/>
      </c>
      <c r="H99" s="17" t="n">
        <v>49</v>
      </c>
      <c r="I99" s="17" t="n">
        <v>64</v>
      </c>
      <c r="J99" s="17" t="n">
        <v>5</v>
      </c>
      <c r="K99" s="17" t="n">
        <v>0</v>
      </c>
      <c r="L99" s="17" t="inlineStr">
        <is>
          <t>Sedang</t>
        </is>
      </c>
    </row>
    <row r="100" s="1">
      <c r="A100" s="17">
        <f>RANDBETWEEN(2,164)</f>
        <v/>
      </c>
      <c r="B100" s="17">
        <f t="array" ref="B100">INDEX(Data_DBD!$B:$B,$A100)</f>
        <v/>
      </c>
      <c r="C100" s="17">
        <f t="array" ref="C100">INDEX(Data_DBD!$C:$C,$A100)</f>
        <v/>
      </c>
      <c r="D100" s="17">
        <f t="array" ref="D100">INDEX(Data_DBD!$E:$E,$A100)</f>
        <v/>
      </c>
      <c r="E100" s="17">
        <f t="array" ref="E100">INDEX(Data_DBD!$F:$F,$A100)</f>
        <v/>
      </c>
      <c r="H100" s="17" t="n">
        <v>62</v>
      </c>
      <c r="I100" s="17" t="n">
        <v>43</v>
      </c>
      <c r="J100" s="17" t="n">
        <v>4</v>
      </c>
      <c r="K100" s="17" t="n">
        <v>1</v>
      </c>
      <c r="L100" s="17" t="inlineStr">
        <is>
          <t>Sedang</t>
        </is>
      </c>
    </row>
    <row r="101" s="1">
      <c r="A101" s="17">
        <f>RANDBETWEEN(2,164)</f>
        <v/>
      </c>
      <c r="B101" s="17">
        <f t="array" ref="B101">INDEX(Data_DBD!$B:$B,$A101)</f>
        <v/>
      </c>
      <c r="C101" s="17">
        <f t="array" ref="C101">INDEX(Data_DBD!$C:$C,$A101)</f>
        <v/>
      </c>
      <c r="D101" s="17">
        <f t="array" ref="D101">INDEX(Data_DBD!$E:$E,$A101)</f>
        <v/>
      </c>
      <c r="E101" s="17">
        <f t="array" ref="E101">INDEX(Data_DBD!$F:$F,$A101)</f>
        <v/>
      </c>
      <c r="H101" s="17" t="n">
        <v>57</v>
      </c>
      <c r="I101" s="17" t="n">
        <v>2</v>
      </c>
      <c r="J101" s="17" t="n">
        <v>2</v>
      </c>
      <c r="K101" s="17" t="n">
        <v>1</v>
      </c>
      <c r="L101" s="17" t="inlineStr">
        <is>
          <t>Sedang</t>
        </is>
      </c>
    </row>
    <row r="102" s="1">
      <c r="A102" s="17">
        <f>RANDBETWEEN(2,164)</f>
        <v/>
      </c>
      <c r="B102" s="17">
        <f t="array" ref="B102">INDEX(Data_DBD!$B:$B,$A102)</f>
        <v/>
      </c>
      <c r="C102" s="17">
        <f t="array" ref="C102">INDEX(Data_DBD!$C:$C,$A102)</f>
        <v/>
      </c>
      <c r="D102" s="17">
        <f t="array" ref="D102">INDEX(Data_DBD!$E:$E,$A102)</f>
        <v/>
      </c>
      <c r="E102" s="17">
        <f t="array" ref="E102">INDEX(Data_DBD!$F:$F,$A102)</f>
        <v/>
      </c>
      <c r="H102" s="17" t="n">
        <v>18</v>
      </c>
      <c r="I102" s="17" t="n">
        <v>49</v>
      </c>
      <c r="J102" s="17" t="n">
        <v>4</v>
      </c>
      <c r="K102" s="17" t="n">
        <v>1</v>
      </c>
      <c r="L102" s="17" t="inlineStr">
        <is>
          <t>Rendah</t>
        </is>
      </c>
    </row>
    <row r="103" s="1">
      <c r="A103" s="17">
        <f>RANDBETWEEN(2,164)</f>
        <v/>
      </c>
      <c r="B103" s="17">
        <f t="array" ref="B103">INDEX(Data_DBD!$B:$B,$A103)</f>
        <v/>
      </c>
      <c r="C103" s="17">
        <f t="array" ref="C103">INDEX(Data_DBD!$C:$C,$A103)</f>
        <v/>
      </c>
      <c r="D103" s="17">
        <f t="array" ref="D103">INDEX(Data_DBD!$E:$E,$A103)</f>
        <v/>
      </c>
      <c r="E103" s="17">
        <f t="array" ref="E103">INDEX(Data_DBD!$F:$F,$A103)</f>
        <v/>
      </c>
      <c r="H103" s="17" t="n">
        <v>138</v>
      </c>
      <c r="I103" s="17" t="n">
        <v>13</v>
      </c>
      <c r="J103" s="17" t="n">
        <v>3</v>
      </c>
      <c r="K103" s="17" t="n">
        <v>1</v>
      </c>
      <c r="L103" s="17" t="inlineStr">
        <is>
          <t>Tinggi</t>
        </is>
      </c>
    </row>
    <row r="104" s="1">
      <c r="A104" s="17">
        <f>RANDBETWEEN(2,164)</f>
        <v/>
      </c>
      <c r="B104" s="17">
        <f t="array" ref="B104">INDEX(Data_DBD!$B:$B,$A104)</f>
        <v/>
      </c>
      <c r="C104" s="17">
        <f t="array" ref="C104">INDEX(Data_DBD!$C:$C,$A104)</f>
        <v/>
      </c>
      <c r="D104" s="17">
        <f t="array" ref="D104">INDEX(Data_DBD!$E:$E,$A104)</f>
        <v/>
      </c>
      <c r="E104" s="17">
        <f t="array" ref="E104">INDEX(Data_DBD!$F:$F,$A104)</f>
        <v/>
      </c>
      <c r="H104" s="17" t="n">
        <v>42</v>
      </c>
      <c r="I104" s="17" t="n">
        <v>21</v>
      </c>
      <c r="J104" s="17" t="n">
        <v>5</v>
      </c>
      <c r="K104" s="17" t="n">
        <v>1</v>
      </c>
      <c r="L104" s="17" t="inlineStr">
        <is>
          <t>Sedang</t>
        </is>
      </c>
    </row>
    <row r="105" s="1">
      <c r="A105" s="17">
        <f>RANDBETWEEN(2,164)</f>
        <v/>
      </c>
      <c r="B105" s="17">
        <f t="array" ref="B105">INDEX(Data_DBD!$B:$B,$A105)</f>
        <v/>
      </c>
      <c r="C105" s="17">
        <f t="array" ref="C105">INDEX(Data_DBD!$C:$C,$A105)</f>
        <v/>
      </c>
      <c r="D105" s="17">
        <f t="array" ref="D105">INDEX(Data_DBD!$E:$E,$A105)</f>
        <v/>
      </c>
      <c r="E105" s="17">
        <f t="array" ref="E105">INDEX(Data_DBD!$F:$F,$A105)</f>
        <v/>
      </c>
      <c r="H105" s="17" t="n">
        <v>20</v>
      </c>
      <c r="I105" s="17" t="n">
        <v>15</v>
      </c>
      <c r="J105" s="17" t="n">
        <v>5</v>
      </c>
      <c r="K105" s="17" t="n">
        <v>0</v>
      </c>
      <c r="L105" s="17" t="inlineStr">
        <is>
          <t>Rendah</t>
        </is>
      </c>
    </row>
    <row r="106" s="1">
      <c r="A106" s="17">
        <f>RANDBETWEEN(2,164)</f>
        <v/>
      </c>
      <c r="B106" s="17">
        <f t="array" ref="B106">INDEX(Data_DBD!$B:$B,$A106)</f>
        <v/>
      </c>
      <c r="C106" s="17">
        <f t="array" ref="C106">INDEX(Data_DBD!$C:$C,$A106)</f>
        <v/>
      </c>
      <c r="D106" s="17">
        <f t="array" ref="D106">INDEX(Data_DBD!$E:$E,$A106)</f>
        <v/>
      </c>
      <c r="E106" s="17">
        <f t="array" ref="E106">INDEX(Data_DBD!$F:$F,$A106)</f>
        <v/>
      </c>
      <c r="H106" s="17" t="n">
        <v>37</v>
      </c>
      <c r="I106" s="17" t="n">
        <v>28</v>
      </c>
      <c r="J106" s="17" t="n">
        <v>4</v>
      </c>
      <c r="K106" s="17" t="n">
        <v>1</v>
      </c>
      <c r="L106" s="17" t="inlineStr">
        <is>
          <t>Rendah</t>
        </is>
      </c>
    </row>
    <row r="107" s="1">
      <c r="A107" s="17">
        <f>RANDBETWEEN(2,164)</f>
        <v/>
      </c>
      <c r="B107" s="17">
        <f t="array" ref="B107">INDEX(Data_DBD!$B:$B,$A107)</f>
        <v/>
      </c>
      <c r="C107" s="17">
        <f t="array" ref="C107">INDEX(Data_DBD!$C:$C,$A107)</f>
        <v/>
      </c>
      <c r="D107" s="17">
        <f t="array" ref="D107">INDEX(Data_DBD!$E:$E,$A107)</f>
        <v/>
      </c>
      <c r="E107" s="17">
        <f t="array" ref="E107">INDEX(Data_DBD!$F:$F,$A107)</f>
        <v/>
      </c>
      <c r="H107" s="17" t="n">
        <v>43</v>
      </c>
      <c r="I107" s="17" t="n">
        <v>15</v>
      </c>
      <c r="J107" s="17" t="n">
        <v>4</v>
      </c>
      <c r="K107" s="17" t="n">
        <v>0</v>
      </c>
      <c r="L107" s="17" t="inlineStr">
        <is>
          <t>Sedang</t>
        </is>
      </c>
    </row>
    <row r="108" s="1">
      <c r="A108" s="17">
        <f>RANDBETWEEN(2,164)</f>
        <v/>
      </c>
      <c r="B108" s="17">
        <f t="array" ref="B108">INDEX(Data_DBD!$B:$B,$A108)</f>
        <v/>
      </c>
      <c r="C108" s="17">
        <f t="array" ref="C108">INDEX(Data_DBD!$C:$C,$A108)</f>
        <v/>
      </c>
      <c r="D108" s="17">
        <f t="array" ref="D108">INDEX(Data_DBD!$E:$E,$A108)</f>
        <v/>
      </c>
      <c r="E108" s="17">
        <f t="array" ref="E108">INDEX(Data_DBD!$F:$F,$A108)</f>
        <v/>
      </c>
      <c r="H108" s="17" t="n">
        <v>65</v>
      </c>
      <c r="I108" s="17" t="n">
        <v>49</v>
      </c>
      <c r="J108" s="17" t="n">
        <v>3</v>
      </c>
      <c r="K108" s="17" t="n">
        <v>0</v>
      </c>
      <c r="L108" s="17" t="inlineStr">
        <is>
          <t>Sedang</t>
        </is>
      </c>
    </row>
    <row r="109" s="1">
      <c r="A109" s="17">
        <f>RANDBETWEEN(2,164)</f>
        <v/>
      </c>
      <c r="B109" s="17">
        <f t="array" ref="B109">INDEX(Data_DBD!$B:$B,$A109)</f>
        <v/>
      </c>
      <c r="C109" s="17">
        <f t="array" ref="C109">INDEX(Data_DBD!$C:$C,$A109)</f>
        <v/>
      </c>
      <c r="D109" s="17">
        <f t="array" ref="D109">INDEX(Data_DBD!$E:$E,$A109)</f>
        <v/>
      </c>
      <c r="E109" s="17">
        <f t="array" ref="E109">INDEX(Data_DBD!$F:$F,$A109)</f>
        <v/>
      </c>
      <c r="H109" s="17" t="n">
        <v>140</v>
      </c>
      <c r="I109" s="17" t="n">
        <v>74</v>
      </c>
      <c r="J109" s="17" t="n">
        <v>5</v>
      </c>
      <c r="K109" s="17" t="n">
        <v>1</v>
      </c>
      <c r="L109" s="17" t="inlineStr">
        <is>
          <t>Tinggi</t>
        </is>
      </c>
    </row>
    <row r="110" s="1">
      <c r="A110" s="17">
        <f>RANDBETWEEN(2,164)</f>
        <v/>
      </c>
      <c r="B110" s="17">
        <f t="array" ref="B110">INDEX(Data_DBD!$B:$B,$A110)</f>
        <v/>
      </c>
      <c r="C110" s="17">
        <f t="array" ref="C110">INDEX(Data_DBD!$C:$C,$A110)</f>
        <v/>
      </c>
      <c r="D110" s="17">
        <f t="array" ref="D110">INDEX(Data_DBD!$E:$E,$A110)</f>
        <v/>
      </c>
      <c r="E110" s="17">
        <f t="array" ref="E110">INDEX(Data_DBD!$F:$F,$A110)</f>
        <v/>
      </c>
      <c r="H110" s="17" t="n">
        <v>68</v>
      </c>
      <c r="I110" s="17" t="n">
        <v>44</v>
      </c>
      <c r="J110" s="17" t="n">
        <v>5</v>
      </c>
      <c r="K110" s="17" t="n">
        <v>0</v>
      </c>
      <c r="L110" s="17" t="inlineStr">
        <is>
          <t>Sedang</t>
        </is>
      </c>
    </row>
    <row r="111" s="1">
      <c r="A111" s="17">
        <f>RANDBETWEEN(2,164)</f>
        <v/>
      </c>
      <c r="B111" s="17">
        <f t="array" ref="B111">INDEX(Data_DBD!$B:$B,$A111)</f>
        <v/>
      </c>
      <c r="C111" s="17">
        <f t="array" ref="C111">INDEX(Data_DBD!$C:$C,$A111)</f>
        <v/>
      </c>
      <c r="D111" s="17">
        <f t="array" ref="D111">INDEX(Data_DBD!$E:$E,$A111)</f>
        <v/>
      </c>
      <c r="E111" s="17">
        <f t="array" ref="E111">INDEX(Data_DBD!$F:$F,$A111)</f>
        <v/>
      </c>
      <c r="H111" s="17" t="n">
        <v>90</v>
      </c>
      <c r="I111" s="17" t="n">
        <v>47</v>
      </c>
      <c r="J111" s="17" t="n">
        <v>3</v>
      </c>
      <c r="K111" s="17" t="n">
        <v>0</v>
      </c>
      <c r="L111" s="17" t="inlineStr">
        <is>
          <t>Tinggi</t>
        </is>
      </c>
    </row>
    <row r="112" s="1">
      <c r="A112" s="17">
        <f>RANDBETWEEN(2,164)</f>
        <v/>
      </c>
      <c r="B112" s="17">
        <f t="array" ref="B112">INDEX(Data_DBD!$B:$B,$A112)</f>
        <v/>
      </c>
      <c r="C112" s="17">
        <f t="array" ref="C112">INDEX(Data_DBD!$C:$C,$A112)</f>
        <v/>
      </c>
      <c r="D112" s="17">
        <f t="array" ref="D112">INDEX(Data_DBD!$E:$E,$A112)</f>
        <v/>
      </c>
      <c r="E112" s="17">
        <f t="array" ref="E112">INDEX(Data_DBD!$F:$F,$A112)</f>
        <v/>
      </c>
      <c r="H112" s="17" t="n">
        <v>45</v>
      </c>
      <c r="I112" s="17" t="n">
        <v>75</v>
      </c>
      <c r="J112" s="17" t="n">
        <v>3</v>
      </c>
      <c r="K112" s="17" t="n">
        <v>1</v>
      </c>
      <c r="L112" s="17" t="inlineStr">
        <is>
          <t>Sedang</t>
        </is>
      </c>
    </row>
    <row r="113" s="1">
      <c r="A113" s="17">
        <f>RANDBETWEEN(2,164)</f>
        <v/>
      </c>
      <c r="B113" s="17">
        <f t="array" ref="B113">INDEX(Data_DBD!$B:$B,$A113)</f>
        <v/>
      </c>
      <c r="C113" s="17">
        <f t="array" ref="C113">INDEX(Data_DBD!$C:$C,$A113)</f>
        <v/>
      </c>
      <c r="D113" s="17">
        <f t="array" ref="D113">INDEX(Data_DBD!$E:$E,$A113)</f>
        <v/>
      </c>
      <c r="E113" s="17">
        <f t="array" ref="E113">INDEX(Data_DBD!$F:$F,$A113)</f>
        <v/>
      </c>
      <c r="H113" s="17" t="n">
        <v>18</v>
      </c>
      <c r="I113" s="17" t="n">
        <v>49</v>
      </c>
      <c r="J113" s="17" t="n">
        <v>4</v>
      </c>
      <c r="K113" s="17" t="n">
        <v>1</v>
      </c>
      <c r="L113" s="17" t="inlineStr">
        <is>
          <t>Rendah</t>
        </is>
      </c>
    </row>
    <row r="114" s="1">
      <c r="A114" s="17">
        <f>RANDBETWEEN(2,164)</f>
        <v/>
      </c>
      <c r="B114" s="17">
        <f t="array" ref="B114">INDEX(Data_DBD!$B:$B,$A114)</f>
        <v/>
      </c>
      <c r="C114" s="17">
        <f t="array" ref="C114">INDEX(Data_DBD!$C:$C,$A114)</f>
        <v/>
      </c>
      <c r="D114" s="17">
        <f t="array" ref="D114">INDEX(Data_DBD!$E:$E,$A114)</f>
        <v/>
      </c>
      <c r="E114" s="17">
        <f t="array" ref="E114">INDEX(Data_DBD!$F:$F,$A114)</f>
        <v/>
      </c>
      <c r="H114" s="17" t="n">
        <v>127</v>
      </c>
      <c r="I114" s="17" t="n">
        <v>21</v>
      </c>
      <c r="J114" s="17" t="n">
        <v>2</v>
      </c>
      <c r="K114" s="17" t="n">
        <v>0</v>
      </c>
      <c r="L114" s="17" t="inlineStr">
        <is>
          <t>Tinggi</t>
        </is>
      </c>
    </row>
    <row r="115" s="1">
      <c r="A115" s="17">
        <f>RANDBETWEEN(2,164)</f>
        <v/>
      </c>
      <c r="B115" s="17">
        <f t="array" ref="B115">INDEX(Data_DBD!$B:$B,$A115)</f>
        <v/>
      </c>
      <c r="C115" s="17">
        <f t="array" ref="C115">INDEX(Data_DBD!$C:$C,$A115)</f>
        <v/>
      </c>
      <c r="D115" s="17">
        <f t="array" ref="D115">INDEX(Data_DBD!$E:$E,$A115)</f>
        <v/>
      </c>
      <c r="E115" s="17">
        <f t="array" ref="E115">INDEX(Data_DBD!$F:$F,$A115)</f>
        <v/>
      </c>
      <c r="H115" s="17" t="n">
        <v>160</v>
      </c>
      <c r="I115" s="17" t="n">
        <v>16</v>
      </c>
      <c r="J115" s="17" t="n">
        <v>3</v>
      </c>
      <c r="K115" s="17" t="n">
        <v>0</v>
      </c>
      <c r="L115" s="17" t="inlineStr">
        <is>
          <t>Tinggi</t>
        </is>
      </c>
    </row>
    <row r="116" s="1">
      <c r="A116" s="17">
        <f>RANDBETWEEN(2,164)</f>
        <v/>
      </c>
      <c r="B116" s="17">
        <f t="array" ref="B116">INDEX(Data_DBD!$B:$B,$A116)</f>
        <v/>
      </c>
      <c r="C116" s="17">
        <f t="array" ref="C116">INDEX(Data_DBD!$C:$C,$A116)</f>
        <v/>
      </c>
      <c r="D116" s="17">
        <f t="array" ref="D116">INDEX(Data_DBD!$E:$E,$A116)</f>
        <v/>
      </c>
      <c r="E116" s="17">
        <f t="array" ref="E116">INDEX(Data_DBD!$F:$F,$A116)</f>
        <v/>
      </c>
      <c r="H116" s="17" t="n">
        <v>80</v>
      </c>
      <c r="I116" s="17" t="n">
        <v>27</v>
      </c>
      <c r="J116" s="17" t="n">
        <v>3</v>
      </c>
      <c r="K116" s="17" t="n">
        <v>1</v>
      </c>
      <c r="L116" s="17" t="inlineStr">
        <is>
          <t>Sedang</t>
        </is>
      </c>
    </row>
    <row r="117" s="1">
      <c r="A117" s="17">
        <f>RANDBETWEEN(2,164)</f>
        <v/>
      </c>
      <c r="B117" s="17">
        <f t="array" ref="B117">INDEX(Data_DBD!$B:$B,$A117)</f>
        <v/>
      </c>
      <c r="C117" s="17">
        <f t="array" ref="C117">INDEX(Data_DBD!$C:$C,$A117)</f>
        <v/>
      </c>
      <c r="D117" s="17">
        <f t="array" ref="D117">INDEX(Data_DBD!$E:$E,$A117)</f>
        <v/>
      </c>
      <c r="E117" s="17">
        <f t="array" ref="E117">INDEX(Data_DBD!$F:$F,$A117)</f>
        <v/>
      </c>
      <c r="H117" s="17" t="n">
        <v>159</v>
      </c>
      <c r="I117" s="17" t="n">
        <v>17</v>
      </c>
      <c r="J117" s="17" t="n">
        <v>2</v>
      </c>
      <c r="K117" s="17" t="n">
        <v>0</v>
      </c>
      <c r="L117" s="17" t="inlineStr">
        <is>
          <t>Tinggi</t>
        </is>
      </c>
    </row>
    <row r="118" s="1">
      <c r="A118" s="17">
        <f>RANDBETWEEN(2,164)</f>
        <v/>
      </c>
      <c r="B118" s="17">
        <f t="array" ref="B118">INDEX(Data_DBD!$B:$B,$A118)</f>
        <v/>
      </c>
      <c r="C118" s="17">
        <f t="array" ref="C118">INDEX(Data_DBD!$C:$C,$A118)</f>
        <v/>
      </c>
      <c r="D118" s="17">
        <f t="array" ref="D118">INDEX(Data_DBD!$E:$E,$A118)</f>
        <v/>
      </c>
      <c r="E118" s="17">
        <f t="array" ref="E118">INDEX(Data_DBD!$F:$F,$A118)</f>
        <v/>
      </c>
      <c r="H118" s="17" t="n">
        <v>117</v>
      </c>
      <c r="I118" s="17" t="n">
        <v>49</v>
      </c>
      <c r="J118" s="17" t="n">
        <v>4</v>
      </c>
      <c r="K118" s="17" t="n">
        <v>1</v>
      </c>
      <c r="L118" s="17" t="inlineStr">
        <is>
          <t>Tinggi</t>
        </is>
      </c>
    </row>
    <row r="119" s="1">
      <c r="A119" s="17">
        <f>RANDBETWEEN(2,164)</f>
        <v/>
      </c>
      <c r="B119" s="17">
        <f t="array" ref="B119">INDEX(Data_DBD!$B:$B,$A119)</f>
        <v/>
      </c>
      <c r="C119" s="17">
        <f t="array" ref="C119">INDEX(Data_DBD!$C:$C,$A119)</f>
        <v/>
      </c>
      <c r="D119" s="17">
        <f t="array" ref="D119">INDEX(Data_DBD!$E:$E,$A119)</f>
        <v/>
      </c>
      <c r="E119" s="17">
        <f t="array" ref="E119">INDEX(Data_DBD!$F:$F,$A119)</f>
        <v/>
      </c>
      <c r="H119" s="17" t="n">
        <v>107</v>
      </c>
      <c r="I119" s="17" t="n">
        <v>48</v>
      </c>
      <c r="J119" s="17" t="n">
        <v>5</v>
      </c>
      <c r="K119" s="17" t="n">
        <v>0</v>
      </c>
      <c r="L119" s="17" t="inlineStr">
        <is>
          <t>Tinggi</t>
        </is>
      </c>
    </row>
    <row r="120" s="1">
      <c r="A120" s="17">
        <f>RANDBETWEEN(2,164)</f>
        <v/>
      </c>
      <c r="B120" s="17">
        <f t="array" ref="B120">INDEX(Data_DBD!$B:$B,$A120)</f>
        <v/>
      </c>
      <c r="C120" s="17">
        <f t="array" ref="C120">INDEX(Data_DBD!$C:$C,$A120)</f>
        <v/>
      </c>
      <c r="D120" s="17">
        <f t="array" ref="D120">INDEX(Data_DBD!$E:$E,$A120)</f>
        <v/>
      </c>
      <c r="E120" s="17">
        <f t="array" ref="E120">INDEX(Data_DBD!$F:$F,$A120)</f>
        <v/>
      </c>
      <c r="H120" s="17" t="n">
        <v>85</v>
      </c>
      <c r="I120" s="17" t="n">
        <v>27</v>
      </c>
      <c r="J120" s="17" t="n">
        <v>9</v>
      </c>
      <c r="K120" s="17" t="n">
        <v>0</v>
      </c>
      <c r="L120" s="17" t="inlineStr">
        <is>
          <t>Sedang</t>
        </is>
      </c>
    </row>
    <row r="121" s="1">
      <c r="A121" s="17">
        <f>RANDBETWEEN(2,164)</f>
        <v/>
      </c>
      <c r="B121" s="17">
        <f t="array" ref="B121">INDEX(Data_DBD!$B:$B,$A121)</f>
        <v/>
      </c>
      <c r="C121" s="17">
        <f t="array" ref="C121">INDEX(Data_DBD!$C:$C,$A121)</f>
        <v/>
      </c>
      <c r="D121" s="17">
        <f t="array" ref="D121">INDEX(Data_DBD!$E:$E,$A121)</f>
        <v/>
      </c>
      <c r="E121" s="17">
        <f t="array" ref="E121">INDEX(Data_DBD!$F:$F,$A121)</f>
        <v/>
      </c>
      <c r="H121" s="17" t="n">
        <v>38</v>
      </c>
      <c r="I121" s="17" t="n">
        <v>52</v>
      </c>
      <c r="J121" s="17" t="n">
        <v>3</v>
      </c>
      <c r="K121" s="17" t="n">
        <v>1</v>
      </c>
      <c r="L121" s="17" t="inlineStr">
        <is>
          <t>Rendah</t>
        </is>
      </c>
    </row>
    <row r="122" s="1">
      <c r="A122" s="17">
        <f>RANDBETWEEN(2,164)</f>
        <v/>
      </c>
      <c r="B122" s="17">
        <f t="array" ref="B122">INDEX(Data_DBD!$B:$B,$A122)</f>
        <v/>
      </c>
      <c r="C122" s="17">
        <f t="array" ref="C122">INDEX(Data_DBD!$C:$C,$A122)</f>
        <v/>
      </c>
      <c r="D122" s="17">
        <f t="array" ref="D122">INDEX(Data_DBD!$E:$E,$A122)</f>
        <v/>
      </c>
      <c r="E122" s="17">
        <f t="array" ref="E122">INDEX(Data_DBD!$F:$F,$A122)</f>
        <v/>
      </c>
      <c r="H122" s="17" t="n">
        <v>158</v>
      </c>
      <c r="I122" s="17" t="n">
        <v>5</v>
      </c>
      <c r="J122" s="17" t="n">
        <v>2</v>
      </c>
      <c r="K122" s="17" t="n">
        <v>0</v>
      </c>
      <c r="L122" s="17" t="inlineStr">
        <is>
          <t>Tinggi</t>
        </is>
      </c>
    </row>
    <row r="123" s="1">
      <c r="A123" s="17">
        <f>RANDBETWEEN(2,164)</f>
        <v/>
      </c>
      <c r="B123" s="17">
        <f t="array" ref="B123">INDEX(Data_DBD!$B:$B,$A123)</f>
        <v/>
      </c>
      <c r="C123" s="17">
        <f t="array" ref="C123">INDEX(Data_DBD!$C:$C,$A123)</f>
        <v/>
      </c>
      <c r="D123" s="17">
        <f t="array" ref="D123">INDEX(Data_DBD!$E:$E,$A123)</f>
        <v/>
      </c>
      <c r="E123" s="17">
        <f t="array" ref="E123">INDEX(Data_DBD!$F:$F,$A123)</f>
        <v/>
      </c>
      <c r="H123" s="17" t="n">
        <v>38</v>
      </c>
      <c r="I123" s="17" t="n">
        <v>52</v>
      </c>
      <c r="J123" s="17" t="n">
        <v>3</v>
      </c>
      <c r="K123" s="17" t="n">
        <v>1</v>
      </c>
      <c r="L123" s="17" t="inlineStr">
        <is>
          <t>Rendah</t>
        </is>
      </c>
    </row>
    <row r="124" s="1">
      <c r="A124" s="17">
        <f>RANDBETWEEN(2,164)</f>
        <v/>
      </c>
      <c r="B124" s="17">
        <f t="array" ref="B124">INDEX(Data_DBD!$B:$B,$A124)</f>
        <v/>
      </c>
      <c r="C124" s="17">
        <f t="array" ref="C124">INDEX(Data_DBD!$C:$C,$A124)</f>
        <v/>
      </c>
      <c r="D124" s="17">
        <f t="array" ref="D124">INDEX(Data_DBD!$E:$E,$A124)</f>
        <v/>
      </c>
      <c r="E124" s="17">
        <f t="array" ref="E124">INDEX(Data_DBD!$F:$F,$A124)</f>
        <v/>
      </c>
      <c r="H124" s="17" t="n">
        <v>71</v>
      </c>
      <c r="I124" s="17" t="n">
        <v>84</v>
      </c>
      <c r="J124" s="17" t="n">
        <v>3</v>
      </c>
      <c r="K124" s="17" t="n">
        <v>0</v>
      </c>
      <c r="L124" s="17" t="inlineStr">
        <is>
          <t>Sedang</t>
        </is>
      </c>
    </row>
    <row r="125" s="1">
      <c r="A125" s="17">
        <f>RANDBETWEEN(2,164)</f>
        <v/>
      </c>
      <c r="B125" s="17">
        <f t="array" ref="B125">INDEX(Data_DBD!$B:$B,$A125)</f>
        <v/>
      </c>
      <c r="C125" s="17">
        <f t="array" ref="C125">INDEX(Data_DBD!$C:$C,$A125)</f>
        <v/>
      </c>
      <c r="D125" s="17">
        <f t="array" ref="D125">INDEX(Data_DBD!$E:$E,$A125)</f>
        <v/>
      </c>
      <c r="E125" s="17">
        <f t="array" ref="E125">INDEX(Data_DBD!$F:$F,$A125)</f>
        <v/>
      </c>
      <c r="H125" s="17" t="n">
        <v>131</v>
      </c>
      <c r="I125" s="17" t="n">
        <v>10</v>
      </c>
      <c r="J125" s="17" t="n">
        <v>2</v>
      </c>
      <c r="K125" s="17" t="n">
        <v>0</v>
      </c>
      <c r="L125" s="17" t="inlineStr">
        <is>
          <t>Tinggi</t>
        </is>
      </c>
    </row>
    <row r="126" s="1">
      <c r="A126" s="17">
        <f>RANDBETWEEN(2,164)</f>
        <v/>
      </c>
      <c r="B126" s="17">
        <f t="array" ref="B126">INDEX(Data_DBD!$B:$B,$A126)</f>
        <v/>
      </c>
      <c r="C126" s="17">
        <f t="array" ref="C126">INDEX(Data_DBD!$C:$C,$A126)</f>
        <v/>
      </c>
      <c r="D126" s="17">
        <f t="array" ref="D126">INDEX(Data_DBD!$E:$E,$A126)</f>
        <v/>
      </c>
      <c r="E126" s="17">
        <f t="array" ref="E126">INDEX(Data_DBD!$F:$F,$A126)</f>
        <v/>
      </c>
      <c r="H126" s="17" t="n">
        <v>7</v>
      </c>
      <c r="I126" s="17" t="n">
        <v>12</v>
      </c>
      <c r="J126" s="17" t="n">
        <v>1</v>
      </c>
      <c r="K126" s="17" t="n">
        <v>1</v>
      </c>
      <c r="L126" s="17" t="inlineStr">
        <is>
          <t>Sedang</t>
        </is>
      </c>
    </row>
    <row r="127" s="1">
      <c r="A127" s="17">
        <f>RANDBETWEEN(2,164)</f>
        <v/>
      </c>
      <c r="B127" s="17">
        <f t="array" ref="B127">INDEX(Data_DBD!$B:$B,$A127)</f>
        <v/>
      </c>
      <c r="C127" s="17">
        <f t="array" ref="C127">INDEX(Data_DBD!$C:$C,$A127)</f>
        <v/>
      </c>
      <c r="D127" s="17">
        <f t="array" ref="D127">INDEX(Data_DBD!$E:$E,$A127)</f>
        <v/>
      </c>
      <c r="E127" s="17">
        <f t="array" ref="E127">INDEX(Data_DBD!$F:$F,$A127)</f>
        <v/>
      </c>
      <c r="H127" s="17" t="n">
        <v>145</v>
      </c>
      <c r="I127" s="17" t="n">
        <v>28</v>
      </c>
      <c r="J127" s="17" t="n">
        <v>4</v>
      </c>
      <c r="K127" s="17" t="n">
        <v>1</v>
      </c>
      <c r="L127" s="17" t="inlineStr">
        <is>
          <t>Tinggi</t>
        </is>
      </c>
    </row>
    <row r="128" s="1">
      <c r="A128" s="17">
        <f>RANDBETWEEN(2,164)</f>
        <v/>
      </c>
      <c r="B128" s="17">
        <f t="array" ref="B128">INDEX(Data_DBD!$B:$B,$A128)</f>
        <v/>
      </c>
      <c r="C128" s="17">
        <f t="array" ref="C128">INDEX(Data_DBD!$C:$C,$A128)</f>
        <v/>
      </c>
      <c r="D128" s="17">
        <f t="array" ref="D128">INDEX(Data_DBD!$E:$E,$A128)</f>
        <v/>
      </c>
      <c r="E128" s="17">
        <f t="array" ref="E128">INDEX(Data_DBD!$F:$F,$A128)</f>
        <v/>
      </c>
      <c r="H128" s="17" t="n">
        <v>161</v>
      </c>
      <c r="I128" s="17" t="n">
        <v>12</v>
      </c>
      <c r="J128" s="17" t="n">
        <v>3</v>
      </c>
      <c r="K128" s="17" t="n">
        <v>1</v>
      </c>
      <c r="L128" s="17" t="inlineStr">
        <is>
          <t>Tinggi</t>
        </is>
      </c>
    </row>
    <row r="129" s="1">
      <c r="A129" s="17">
        <f>RANDBETWEEN(2,164)</f>
        <v/>
      </c>
      <c r="B129" s="17">
        <f t="array" ref="B129">INDEX(Data_DBD!$B:$B,$A129)</f>
        <v/>
      </c>
      <c r="C129" s="17">
        <f t="array" ref="C129">INDEX(Data_DBD!$C:$C,$A129)</f>
        <v/>
      </c>
      <c r="D129" s="17">
        <f t="array" ref="D129">INDEX(Data_DBD!$E:$E,$A129)</f>
        <v/>
      </c>
      <c r="E129" s="17">
        <f t="array" ref="E129">INDEX(Data_DBD!$F:$F,$A129)</f>
        <v/>
      </c>
      <c r="H129" s="17" t="n">
        <v>62</v>
      </c>
      <c r="I129" s="17" t="n">
        <v>43</v>
      </c>
      <c r="J129" s="17" t="n">
        <v>4</v>
      </c>
      <c r="K129" s="17" t="n">
        <v>1</v>
      </c>
      <c r="L129" s="17" t="inlineStr">
        <is>
          <t>Sedang</t>
        </is>
      </c>
    </row>
    <row r="130" s="1">
      <c r="A130" s="17">
        <f>RANDBETWEEN(2,164)</f>
        <v/>
      </c>
      <c r="B130" s="17">
        <f t="array" ref="B130">INDEX(Data_DBD!$B:$B,$A130)</f>
        <v/>
      </c>
      <c r="C130" s="17">
        <f t="array" ref="C130">INDEX(Data_DBD!$C:$C,$A130)</f>
        <v/>
      </c>
      <c r="D130" s="17">
        <f t="array" ref="D130">INDEX(Data_DBD!$E:$E,$A130)</f>
        <v/>
      </c>
      <c r="E130" s="17">
        <f t="array" ref="E130">INDEX(Data_DBD!$F:$F,$A130)</f>
        <v/>
      </c>
      <c r="H130" s="17" t="n">
        <v>123</v>
      </c>
      <c r="I130" s="17" t="n">
        <v>22</v>
      </c>
      <c r="J130" s="17" t="n">
        <v>4</v>
      </c>
      <c r="K130" s="17" t="n">
        <v>0</v>
      </c>
      <c r="L130" s="17" t="inlineStr">
        <is>
          <t>Tinggi</t>
        </is>
      </c>
    </row>
    <row r="131" s="1">
      <c r="A131" s="17">
        <f>RANDBETWEEN(2,164)</f>
        <v/>
      </c>
      <c r="B131" s="17">
        <f t="array" ref="B131">INDEX(Data_DBD!$B:$B,$A131)</f>
        <v/>
      </c>
      <c r="C131" s="17">
        <f t="array" ref="C131">INDEX(Data_DBD!$C:$C,$A131)</f>
        <v/>
      </c>
      <c r="D131" s="17">
        <f t="array" ref="D131">INDEX(Data_DBD!$E:$E,$A131)</f>
        <v/>
      </c>
      <c r="E131" s="17">
        <f t="array" ref="E131">INDEX(Data_DBD!$F:$F,$A131)</f>
        <v/>
      </c>
      <c r="H131" s="17" t="n">
        <v>144</v>
      </c>
      <c r="I131" s="17" t="n">
        <v>61</v>
      </c>
      <c r="J131" s="17" t="n">
        <v>4</v>
      </c>
      <c r="K131" s="17" t="n">
        <v>1</v>
      </c>
      <c r="L131" s="17" t="inlineStr">
        <is>
          <t>Tinggi</t>
        </is>
      </c>
    </row>
    <row r="132" s="1">
      <c r="A132" s="17">
        <f>RANDBETWEEN(2,164)</f>
        <v/>
      </c>
      <c r="B132" s="17">
        <f t="array" ref="B132">INDEX(Data_DBD!$B:$B,$A132)</f>
        <v/>
      </c>
      <c r="C132" s="17">
        <f t="array" ref="C132">INDEX(Data_DBD!$C:$C,$A132)</f>
        <v/>
      </c>
      <c r="D132" s="17">
        <f t="array" ref="D132">INDEX(Data_DBD!$E:$E,$A132)</f>
        <v/>
      </c>
      <c r="E132" s="17">
        <f t="array" ref="E132">INDEX(Data_DBD!$F:$F,$A132)</f>
        <v/>
      </c>
      <c r="H132" s="17" t="n">
        <v>147</v>
      </c>
      <c r="I132" s="17" t="n">
        <v>66</v>
      </c>
      <c r="J132" s="17" t="n">
        <v>10</v>
      </c>
      <c r="K132" s="17" t="n">
        <v>1</v>
      </c>
      <c r="L132" s="17" t="inlineStr">
        <is>
          <t>Tinggi</t>
        </is>
      </c>
    </row>
    <row r="133" s="1">
      <c r="A133" s="17">
        <f>RANDBETWEEN(2,164)</f>
        <v/>
      </c>
      <c r="B133" s="17">
        <f t="array" ref="B133">INDEX(Data_DBD!$B:$B,$A133)</f>
        <v/>
      </c>
      <c r="C133" s="17">
        <f t="array" ref="C133">INDEX(Data_DBD!$C:$C,$A133)</f>
        <v/>
      </c>
      <c r="D133" s="17">
        <f t="array" ref="D133">INDEX(Data_DBD!$E:$E,$A133)</f>
        <v/>
      </c>
      <c r="E133" s="17">
        <f t="array" ref="E133">INDEX(Data_DBD!$F:$F,$A133)</f>
        <v/>
      </c>
      <c r="H133" s="17" t="n">
        <v>90</v>
      </c>
      <c r="I133" s="17" t="n">
        <v>47</v>
      </c>
      <c r="J133" s="17" t="n">
        <v>3</v>
      </c>
      <c r="K133" s="17" t="n">
        <v>0</v>
      </c>
      <c r="L133" s="17" t="inlineStr">
        <is>
          <t>Tinggi</t>
        </is>
      </c>
    </row>
    <row r="134" s="1">
      <c r="A134" s="17">
        <f>RANDBETWEEN(2,164)</f>
        <v/>
      </c>
      <c r="B134" s="17">
        <f t="array" ref="B134">INDEX(Data_DBD!$B:$B,$A134)</f>
        <v/>
      </c>
      <c r="C134" s="17">
        <f t="array" ref="C134">INDEX(Data_DBD!$C:$C,$A134)</f>
        <v/>
      </c>
      <c r="D134" s="17">
        <f t="array" ref="D134">INDEX(Data_DBD!$E:$E,$A134)</f>
        <v/>
      </c>
      <c r="E134" s="17">
        <f t="array" ref="E134">INDEX(Data_DBD!$F:$F,$A134)</f>
        <v/>
      </c>
      <c r="H134" s="17" t="n">
        <v>79</v>
      </c>
      <c r="I134" s="17" t="n">
        <v>29</v>
      </c>
      <c r="J134" s="17" t="n">
        <v>3</v>
      </c>
      <c r="K134" s="17" t="n">
        <v>0</v>
      </c>
      <c r="L134" s="17" t="inlineStr">
        <is>
          <t>Sedang</t>
        </is>
      </c>
    </row>
    <row r="135" s="1">
      <c r="A135" s="17">
        <f>RANDBETWEEN(2,164)</f>
        <v/>
      </c>
      <c r="B135" s="17">
        <f t="array" ref="B135">INDEX(Data_DBD!$B:$B,$A135)</f>
        <v/>
      </c>
      <c r="C135" s="17">
        <f t="array" ref="C135">INDEX(Data_DBD!$C:$C,$A135)</f>
        <v/>
      </c>
      <c r="D135" s="17">
        <f t="array" ref="D135">INDEX(Data_DBD!$E:$E,$A135)</f>
        <v/>
      </c>
      <c r="E135" s="17">
        <f t="array" ref="E135">INDEX(Data_DBD!$F:$F,$A135)</f>
        <v/>
      </c>
      <c r="H135" s="17" t="n">
        <v>79</v>
      </c>
      <c r="I135" s="17" t="n">
        <v>29</v>
      </c>
      <c r="J135" s="17" t="n">
        <v>3</v>
      </c>
      <c r="K135" s="17" t="n">
        <v>0</v>
      </c>
      <c r="L135" s="17" t="inlineStr">
        <is>
          <t>Sedang</t>
        </is>
      </c>
    </row>
    <row r="136" s="1">
      <c r="A136" s="17">
        <f>RANDBETWEEN(2,164)</f>
        <v/>
      </c>
      <c r="B136" s="17">
        <f t="array" ref="B136">INDEX(Data_DBD!$B:$B,$A136)</f>
        <v/>
      </c>
      <c r="C136" s="17">
        <f t="array" ref="C136">INDEX(Data_DBD!$C:$C,$A136)</f>
        <v/>
      </c>
      <c r="D136" s="17">
        <f t="array" ref="D136">INDEX(Data_DBD!$E:$E,$A136)</f>
        <v/>
      </c>
      <c r="E136" s="17">
        <f t="array" ref="E136">INDEX(Data_DBD!$F:$F,$A136)</f>
        <v/>
      </c>
      <c r="H136" s="17" t="n">
        <v>27</v>
      </c>
      <c r="I136" s="17" t="n">
        <v>37</v>
      </c>
      <c r="J136" s="17" t="n">
        <v>4</v>
      </c>
      <c r="K136" s="17" t="n">
        <v>1</v>
      </c>
      <c r="L136" s="17" t="inlineStr">
        <is>
          <t>Sedang</t>
        </is>
      </c>
    </row>
    <row r="137" s="1">
      <c r="A137" s="17">
        <f>RANDBETWEEN(2,164)</f>
        <v/>
      </c>
      <c r="B137" s="17">
        <f t="array" ref="B137">INDEX(Data_DBD!$B:$B,$A137)</f>
        <v/>
      </c>
      <c r="C137" s="17">
        <f t="array" ref="C137">INDEX(Data_DBD!$C:$C,$A137)</f>
        <v/>
      </c>
      <c r="D137" s="17">
        <f t="array" ref="D137">INDEX(Data_DBD!$E:$E,$A137)</f>
        <v/>
      </c>
      <c r="E137" s="17">
        <f t="array" ref="E137">INDEX(Data_DBD!$F:$F,$A137)</f>
        <v/>
      </c>
      <c r="H137" s="17" t="n">
        <v>151</v>
      </c>
      <c r="I137" s="17" t="n">
        <v>24</v>
      </c>
      <c r="J137" s="17" t="n">
        <v>3</v>
      </c>
      <c r="K137" s="17" t="n">
        <v>0</v>
      </c>
      <c r="L137" s="17" t="inlineStr">
        <is>
          <t>Tinggi</t>
        </is>
      </c>
    </row>
    <row r="138" s="1">
      <c r="A138" s="17">
        <f>RANDBETWEEN(2,164)</f>
        <v/>
      </c>
      <c r="B138" s="17">
        <f t="array" ref="B138">INDEX(Data_DBD!$B:$B,$A138)</f>
        <v/>
      </c>
      <c r="C138" s="17">
        <f t="array" ref="C138">INDEX(Data_DBD!$C:$C,$A138)</f>
        <v/>
      </c>
      <c r="D138" s="17">
        <f t="array" ref="D138">INDEX(Data_DBD!$E:$E,$A138)</f>
        <v/>
      </c>
      <c r="E138" s="17">
        <f t="array" ref="E138">INDEX(Data_DBD!$F:$F,$A138)</f>
        <v/>
      </c>
      <c r="H138" s="17" t="n">
        <v>19</v>
      </c>
      <c r="I138" s="17" t="n">
        <v>8</v>
      </c>
      <c r="J138" s="17" t="n">
        <v>4</v>
      </c>
      <c r="K138" s="17" t="n">
        <v>0</v>
      </c>
      <c r="L138" s="17" t="inlineStr">
        <is>
          <t>Rendah</t>
        </is>
      </c>
    </row>
    <row r="139" s="1">
      <c r="A139" s="17">
        <f>RANDBETWEEN(2,164)</f>
        <v/>
      </c>
      <c r="B139" s="17">
        <f t="array" ref="B139">INDEX(Data_DBD!$B:$B,$A139)</f>
        <v/>
      </c>
      <c r="C139" s="17">
        <f t="array" ref="C139">INDEX(Data_DBD!$C:$C,$A139)</f>
        <v/>
      </c>
      <c r="D139" s="17">
        <f t="array" ref="D139">INDEX(Data_DBD!$E:$E,$A139)</f>
        <v/>
      </c>
      <c r="E139" s="17">
        <f t="array" ref="E139">INDEX(Data_DBD!$F:$F,$A139)</f>
        <v/>
      </c>
      <c r="H139" s="17" t="n">
        <v>78</v>
      </c>
      <c r="I139" s="17" t="n">
        <v>6</v>
      </c>
      <c r="J139" s="17" t="n">
        <v>3</v>
      </c>
      <c r="K139" s="17" t="n">
        <v>0</v>
      </c>
      <c r="L139" s="17" t="inlineStr">
        <is>
          <t>Sedang</t>
        </is>
      </c>
    </row>
    <row r="140" s="1">
      <c r="A140" s="17">
        <f>RANDBETWEEN(2,164)</f>
        <v/>
      </c>
      <c r="B140" s="17">
        <f t="array" ref="B140">INDEX(Data_DBD!$B:$B,$A140)</f>
        <v/>
      </c>
      <c r="C140" s="17">
        <f t="array" ref="C140">INDEX(Data_DBD!$C:$C,$A140)</f>
        <v/>
      </c>
      <c r="D140" s="17">
        <f t="array" ref="D140">INDEX(Data_DBD!$E:$E,$A140)</f>
        <v/>
      </c>
      <c r="E140" s="17">
        <f t="array" ref="E140">INDEX(Data_DBD!$F:$F,$A140)</f>
        <v/>
      </c>
      <c r="H140" s="17" t="n">
        <v>11</v>
      </c>
      <c r="I140" s="17" t="n">
        <v>24</v>
      </c>
      <c r="J140" s="17" t="n">
        <v>5</v>
      </c>
      <c r="K140" s="17" t="n">
        <v>1</v>
      </c>
      <c r="L140" s="17" t="inlineStr">
        <is>
          <t>Sedang</t>
        </is>
      </c>
    </row>
    <row r="141" s="1">
      <c r="A141" s="17">
        <f>RANDBETWEEN(2,164)</f>
        <v/>
      </c>
      <c r="B141" s="17">
        <f t="array" ref="B141">INDEX(Data_DBD!$B:$B,$A141)</f>
        <v/>
      </c>
      <c r="C141" s="17">
        <f t="array" ref="C141">INDEX(Data_DBD!$C:$C,$A141)</f>
        <v/>
      </c>
      <c r="D141" s="17">
        <f t="array" ref="D141">INDEX(Data_DBD!$E:$E,$A141)</f>
        <v/>
      </c>
      <c r="E141" s="17">
        <f t="array" ref="E141">INDEX(Data_DBD!$F:$F,$A141)</f>
        <v/>
      </c>
      <c r="H141" s="17" t="n">
        <v>95</v>
      </c>
      <c r="I141" s="17" t="n">
        <v>11</v>
      </c>
      <c r="J141" s="17" t="n">
        <v>3</v>
      </c>
      <c r="K141" s="17" t="n">
        <v>1</v>
      </c>
      <c r="L141" s="17" t="inlineStr">
        <is>
          <t>Tinggi</t>
        </is>
      </c>
    </row>
    <row r="142" s="1">
      <c r="A142" s="17">
        <f>RANDBETWEEN(2,164)</f>
        <v/>
      </c>
      <c r="B142" s="17">
        <f t="array" ref="B142">INDEX(Data_DBD!$B:$B,$A142)</f>
        <v/>
      </c>
      <c r="C142" s="17">
        <f t="array" ref="C142">INDEX(Data_DBD!$C:$C,$A142)</f>
        <v/>
      </c>
      <c r="D142" s="17">
        <f t="array" ref="D142">INDEX(Data_DBD!$E:$E,$A142)</f>
        <v/>
      </c>
      <c r="E142" s="17">
        <f t="array" ref="E142">INDEX(Data_DBD!$F:$F,$A142)</f>
        <v/>
      </c>
      <c r="H142" s="17" t="n">
        <v>65</v>
      </c>
      <c r="I142" s="17" t="n">
        <v>49</v>
      </c>
      <c r="J142" s="17" t="n">
        <v>3</v>
      </c>
      <c r="K142" s="17" t="n">
        <v>0</v>
      </c>
      <c r="L142" s="17" t="inlineStr">
        <is>
          <t>Sedang</t>
        </is>
      </c>
    </row>
    <row r="143" s="1">
      <c r="A143" s="17">
        <f>RANDBETWEEN(2,164)</f>
        <v/>
      </c>
      <c r="B143" s="17">
        <f t="array" ref="B143">INDEX(Data_DBD!$B:$B,$A143)</f>
        <v/>
      </c>
      <c r="C143" s="17">
        <f t="array" ref="C143">INDEX(Data_DBD!$C:$C,$A143)</f>
        <v/>
      </c>
      <c r="D143" s="17">
        <f t="array" ref="D143">INDEX(Data_DBD!$E:$E,$A143)</f>
        <v/>
      </c>
      <c r="E143" s="17">
        <f t="array" ref="E143">INDEX(Data_DBD!$F:$F,$A143)</f>
        <v/>
      </c>
      <c r="H143" s="17" t="n">
        <v>57</v>
      </c>
      <c r="I143" s="17" t="n">
        <v>2</v>
      </c>
      <c r="J143" s="17" t="n">
        <v>2</v>
      </c>
      <c r="K143" s="17" t="n">
        <v>1</v>
      </c>
      <c r="L143" s="17" t="inlineStr">
        <is>
          <t>Sedang</t>
        </is>
      </c>
    </row>
    <row r="144" s="1">
      <c r="A144" s="17">
        <f>RANDBETWEEN(2,164)</f>
        <v/>
      </c>
      <c r="B144" s="17">
        <f t="array" ref="B144">INDEX(Data_DBD!$B:$B,$A144)</f>
        <v/>
      </c>
      <c r="C144" s="17">
        <f t="array" ref="C144">INDEX(Data_DBD!$C:$C,$A144)</f>
        <v/>
      </c>
      <c r="D144" s="17">
        <f t="array" ref="D144">INDEX(Data_DBD!$E:$E,$A144)</f>
        <v/>
      </c>
      <c r="E144" s="17">
        <f t="array" ref="E144">INDEX(Data_DBD!$F:$F,$A144)</f>
        <v/>
      </c>
      <c r="H144" s="17" t="n">
        <v>113</v>
      </c>
      <c r="I144" s="17" t="n">
        <v>69</v>
      </c>
      <c r="J144" s="17" t="n">
        <v>1</v>
      </c>
      <c r="K144" s="17" t="n">
        <v>1</v>
      </c>
      <c r="L144" s="17" t="inlineStr">
        <is>
          <t>Tinggi</t>
        </is>
      </c>
    </row>
    <row r="145" s="1">
      <c r="A145" s="17">
        <f>RANDBETWEEN(2,164)</f>
        <v/>
      </c>
      <c r="B145" s="17">
        <f t="array" ref="B145">INDEX(Data_DBD!$B:$B,$A145)</f>
        <v/>
      </c>
      <c r="C145" s="17">
        <f t="array" ref="C145">INDEX(Data_DBD!$C:$C,$A145)</f>
        <v/>
      </c>
      <c r="D145" s="17">
        <f t="array" ref="D145">INDEX(Data_DBD!$E:$E,$A145)</f>
        <v/>
      </c>
      <c r="E145" s="17">
        <f t="array" ref="E145">INDEX(Data_DBD!$F:$F,$A145)</f>
        <v/>
      </c>
      <c r="H145" s="17" t="n">
        <v>58</v>
      </c>
      <c r="I145" s="17" t="n">
        <v>17</v>
      </c>
      <c r="J145" s="17" t="n">
        <v>3</v>
      </c>
      <c r="K145" s="17" t="n">
        <v>0</v>
      </c>
      <c r="L145" s="17" t="inlineStr">
        <is>
          <t>Sedang</t>
        </is>
      </c>
    </row>
    <row r="146" s="1">
      <c r="A146" s="17">
        <f>RANDBETWEEN(2,164)</f>
        <v/>
      </c>
      <c r="B146" s="17">
        <f t="array" ref="B146">INDEX(Data_DBD!$B:$B,$A146)</f>
        <v/>
      </c>
      <c r="C146" s="17">
        <f t="array" ref="C146">INDEX(Data_DBD!$C:$C,$A146)</f>
        <v/>
      </c>
      <c r="D146" s="17">
        <f t="array" ref="D146">INDEX(Data_DBD!$E:$E,$A146)</f>
        <v/>
      </c>
      <c r="E146" s="17">
        <f t="array" ref="E146">INDEX(Data_DBD!$F:$F,$A146)</f>
        <v/>
      </c>
      <c r="H146" s="17" t="n">
        <v>111</v>
      </c>
      <c r="I146" s="17" t="n">
        <v>25</v>
      </c>
      <c r="J146" s="17" t="n">
        <v>4</v>
      </c>
      <c r="K146" s="17" t="n">
        <v>0</v>
      </c>
      <c r="L146" s="17" t="inlineStr">
        <is>
          <t>Tinggi</t>
        </is>
      </c>
    </row>
    <row r="147" s="1">
      <c r="A147" s="17">
        <f>RANDBETWEEN(2,164)</f>
        <v/>
      </c>
      <c r="B147" s="17">
        <f t="array" ref="B147">INDEX(Data_DBD!$B:$B,$A147)</f>
        <v/>
      </c>
      <c r="C147" s="17">
        <f t="array" ref="C147">INDEX(Data_DBD!$C:$C,$A147)</f>
        <v/>
      </c>
      <c r="D147" s="17">
        <f t="array" ref="D147">INDEX(Data_DBD!$E:$E,$A147)</f>
        <v/>
      </c>
      <c r="E147" s="17">
        <f t="array" ref="E147">INDEX(Data_DBD!$F:$F,$A147)</f>
        <v/>
      </c>
      <c r="H147" s="17" t="n">
        <v>6</v>
      </c>
      <c r="I147" s="17" t="n">
        <v>14</v>
      </c>
      <c r="J147" s="17" t="n">
        <v>4</v>
      </c>
      <c r="K147" s="17" t="n">
        <v>0</v>
      </c>
      <c r="L147" s="17" t="inlineStr">
        <is>
          <t>Sedang</t>
        </is>
      </c>
    </row>
    <row r="148" s="1">
      <c r="A148" s="17">
        <f>RANDBETWEEN(2,164)</f>
        <v/>
      </c>
      <c r="B148" s="17">
        <f t="array" ref="B148">INDEX(Data_DBD!$B:$B,$A148)</f>
        <v/>
      </c>
      <c r="C148" s="17">
        <f t="array" ref="C148">INDEX(Data_DBD!$C:$C,$A148)</f>
        <v/>
      </c>
      <c r="D148" s="17">
        <f t="array" ref="D148">INDEX(Data_DBD!$E:$E,$A148)</f>
        <v/>
      </c>
      <c r="E148" s="17">
        <f t="array" ref="E148">INDEX(Data_DBD!$F:$F,$A148)</f>
        <v/>
      </c>
      <c r="H148" s="17" t="n">
        <v>43</v>
      </c>
      <c r="I148" s="17" t="n">
        <v>15</v>
      </c>
      <c r="J148" s="17" t="n">
        <v>4</v>
      </c>
      <c r="K148" s="17" t="n">
        <v>0</v>
      </c>
      <c r="L148" s="17" t="inlineStr">
        <is>
          <t>Sedang</t>
        </is>
      </c>
    </row>
    <row r="149" s="1">
      <c r="A149" s="17">
        <f>RANDBETWEEN(2,164)</f>
        <v/>
      </c>
      <c r="B149" s="17">
        <f t="array" ref="B149">INDEX(Data_DBD!$B:$B,$A149)</f>
        <v/>
      </c>
      <c r="C149" s="17">
        <f t="array" ref="C149">INDEX(Data_DBD!$C:$C,$A149)</f>
        <v/>
      </c>
      <c r="D149" s="17">
        <f t="array" ref="D149">INDEX(Data_DBD!$E:$E,$A149)</f>
        <v/>
      </c>
      <c r="E149" s="17">
        <f t="array" ref="E149">INDEX(Data_DBD!$F:$F,$A149)</f>
        <v/>
      </c>
      <c r="H149" s="17" t="n">
        <v>101</v>
      </c>
      <c r="I149" s="17" t="n">
        <v>42</v>
      </c>
      <c r="J149" s="17" t="n">
        <v>5</v>
      </c>
      <c r="K149" s="17" t="n">
        <v>0</v>
      </c>
      <c r="L149" s="17" t="inlineStr">
        <is>
          <t>Tinggi</t>
        </is>
      </c>
    </row>
    <row r="150" s="1">
      <c r="A150" s="17">
        <f>RANDBETWEEN(2,164)</f>
        <v/>
      </c>
      <c r="B150" s="17">
        <f t="array" ref="B150">INDEX(Data_DBD!$B:$B,$A150)</f>
        <v/>
      </c>
      <c r="C150" s="17">
        <f t="array" ref="C150">INDEX(Data_DBD!$C:$C,$A150)</f>
        <v/>
      </c>
      <c r="D150" s="17">
        <f t="array" ref="D150">INDEX(Data_DBD!$E:$E,$A150)</f>
        <v/>
      </c>
      <c r="E150" s="17">
        <f t="array" ref="E150">INDEX(Data_DBD!$F:$F,$A150)</f>
        <v/>
      </c>
      <c r="H150" s="17" t="n">
        <v>7</v>
      </c>
      <c r="I150" s="17" t="n">
        <v>12</v>
      </c>
      <c r="J150" s="17" t="n">
        <v>1</v>
      </c>
      <c r="K150" s="17" t="n">
        <v>1</v>
      </c>
      <c r="L150" s="17" t="inlineStr">
        <is>
          <t>Sedang</t>
        </is>
      </c>
    </row>
    <row r="151" s="1">
      <c r="A151" s="17">
        <f>RANDBETWEEN(2,164)</f>
        <v/>
      </c>
      <c r="B151" s="17">
        <f t="array" ref="B151">INDEX(Data_DBD!$B:$B,$A151)</f>
        <v/>
      </c>
      <c r="C151" s="17">
        <f t="array" ref="C151">INDEX(Data_DBD!$C:$C,$A151)</f>
        <v/>
      </c>
      <c r="D151" s="17">
        <f t="array" ref="D151">INDEX(Data_DBD!$E:$E,$A151)</f>
        <v/>
      </c>
      <c r="E151" s="17">
        <f t="array" ref="E151">INDEX(Data_DBD!$F:$F,$A151)</f>
        <v/>
      </c>
      <c r="H151" s="17" t="n">
        <v>85</v>
      </c>
      <c r="I151" s="17" t="n">
        <v>27</v>
      </c>
      <c r="J151" s="17" t="n">
        <v>9</v>
      </c>
      <c r="K151" s="17" t="n">
        <v>0</v>
      </c>
      <c r="L151" s="17" t="inlineStr">
        <is>
          <t>Sedang</t>
        </is>
      </c>
    </row>
    <row r="152" s="1">
      <c r="A152" s="17">
        <f>RANDBETWEEN(2,164)</f>
        <v/>
      </c>
      <c r="B152" s="17">
        <f t="array" ref="B152">INDEX(Data_DBD!$B:$B,$A152)</f>
        <v/>
      </c>
      <c r="C152" s="17">
        <f t="array" ref="C152">INDEX(Data_DBD!$C:$C,$A152)</f>
        <v/>
      </c>
      <c r="D152" s="17">
        <f t="array" ref="D152">INDEX(Data_DBD!$E:$E,$A152)</f>
        <v/>
      </c>
      <c r="E152" s="17">
        <f t="array" ref="E152">INDEX(Data_DBD!$F:$F,$A152)</f>
        <v/>
      </c>
      <c r="H152" s="17" t="n">
        <v>122</v>
      </c>
      <c r="I152" s="17" t="n">
        <v>28</v>
      </c>
      <c r="J152" s="17" t="n">
        <v>3</v>
      </c>
      <c r="K152" s="17" t="n">
        <v>1</v>
      </c>
      <c r="L152" s="17" t="inlineStr">
        <is>
          <t>Tinggi</t>
        </is>
      </c>
    </row>
    <row r="153" s="1">
      <c r="A153" s="17">
        <f>RANDBETWEEN(2,164)</f>
        <v/>
      </c>
      <c r="B153" s="17">
        <f t="array" ref="B153">INDEX(Data_DBD!$B:$B,$A153)</f>
        <v/>
      </c>
      <c r="C153" s="17">
        <f t="array" ref="C153">INDEX(Data_DBD!$C:$C,$A153)</f>
        <v/>
      </c>
      <c r="D153" s="17">
        <f t="array" ref="D153">INDEX(Data_DBD!$E:$E,$A153)</f>
        <v/>
      </c>
      <c r="E153" s="17">
        <f t="array" ref="E153">INDEX(Data_DBD!$F:$F,$A153)</f>
        <v/>
      </c>
      <c r="H153" s="17" t="n">
        <v>35</v>
      </c>
      <c r="I153" s="17" t="n">
        <v>40</v>
      </c>
      <c r="J153" s="17" t="n">
        <v>3</v>
      </c>
      <c r="K153" s="17" t="n">
        <v>1</v>
      </c>
      <c r="L153" s="17" t="inlineStr">
        <is>
          <t>Rendah</t>
        </is>
      </c>
    </row>
    <row r="154" s="1">
      <c r="A154" s="17">
        <f>RANDBETWEEN(2,164)</f>
        <v/>
      </c>
      <c r="B154" s="17">
        <f t="array" ref="B154">INDEX(Data_DBD!$B:$B,$A154)</f>
        <v/>
      </c>
      <c r="C154" s="17">
        <f t="array" ref="C154">INDEX(Data_DBD!$C:$C,$A154)</f>
        <v/>
      </c>
      <c r="D154" s="17">
        <f t="array" ref="D154">INDEX(Data_DBD!$E:$E,$A154)</f>
        <v/>
      </c>
      <c r="E154" s="17">
        <f t="array" ref="E154">INDEX(Data_DBD!$F:$F,$A154)</f>
        <v/>
      </c>
      <c r="H154" s="17" t="n">
        <v>161</v>
      </c>
      <c r="I154" s="17" t="n">
        <v>12</v>
      </c>
      <c r="J154" s="17" t="n">
        <v>3</v>
      </c>
      <c r="K154" s="17" t="n">
        <v>1</v>
      </c>
      <c r="L154" s="17" t="inlineStr">
        <is>
          <t>Tinggi</t>
        </is>
      </c>
    </row>
    <row r="155" s="1">
      <c r="A155" s="17">
        <f>RANDBETWEEN(2,164)</f>
        <v/>
      </c>
      <c r="B155" s="17">
        <f t="array" ref="B155">INDEX(Data_DBD!$B:$B,$A155)</f>
        <v/>
      </c>
      <c r="C155" s="17">
        <f t="array" ref="C155">INDEX(Data_DBD!$C:$C,$A155)</f>
        <v/>
      </c>
      <c r="D155" s="17">
        <f t="array" ref="D155">INDEX(Data_DBD!$E:$E,$A155)</f>
        <v/>
      </c>
      <c r="E155" s="17">
        <f t="array" ref="E155">INDEX(Data_DBD!$F:$F,$A155)</f>
        <v/>
      </c>
      <c r="H155" s="17" t="n">
        <v>31</v>
      </c>
      <c r="I155" s="17" t="n">
        <v>64</v>
      </c>
      <c r="J155" s="17" t="n">
        <v>4</v>
      </c>
      <c r="K155" s="17" t="n">
        <v>1</v>
      </c>
      <c r="L155" s="17" t="inlineStr">
        <is>
          <t>Sedang</t>
        </is>
      </c>
    </row>
    <row r="156" s="1">
      <c r="A156" s="17">
        <f>RANDBETWEEN(2,164)</f>
        <v/>
      </c>
      <c r="B156" s="17">
        <f t="array" ref="B156">INDEX(Data_DBD!$B:$B,$A156)</f>
        <v/>
      </c>
      <c r="C156" s="17">
        <f t="array" ref="C156">INDEX(Data_DBD!$C:$C,$A156)</f>
        <v/>
      </c>
      <c r="D156" s="17">
        <f t="array" ref="D156">INDEX(Data_DBD!$E:$E,$A156)</f>
        <v/>
      </c>
      <c r="E156" s="17">
        <f t="array" ref="E156">INDEX(Data_DBD!$F:$F,$A156)</f>
        <v/>
      </c>
      <c r="H156" s="17" t="n">
        <v>144</v>
      </c>
      <c r="I156" s="17" t="n">
        <v>61</v>
      </c>
      <c r="J156" s="17" t="n">
        <v>4</v>
      </c>
      <c r="K156" s="17" t="n">
        <v>1</v>
      </c>
      <c r="L156" s="17" t="inlineStr">
        <is>
          <t>Tinggi</t>
        </is>
      </c>
    </row>
    <row r="157" s="1">
      <c r="A157" s="17">
        <f>RANDBETWEEN(2,164)</f>
        <v/>
      </c>
      <c r="B157" s="17">
        <f t="array" ref="B157">INDEX(Data_DBD!$B:$B,$A157)</f>
        <v/>
      </c>
      <c r="C157" s="17">
        <f t="array" ref="C157">INDEX(Data_DBD!$C:$C,$A157)</f>
        <v/>
      </c>
      <c r="D157" s="17">
        <f t="array" ref="D157">INDEX(Data_DBD!$E:$E,$A157)</f>
        <v/>
      </c>
      <c r="E157" s="17">
        <f t="array" ref="E157">INDEX(Data_DBD!$F:$F,$A157)</f>
        <v/>
      </c>
      <c r="H157" s="17" t="n">
        <v>77</v>
      </c>
      <c r="I157" s="17" t="n">
        <v>16</v>
      </c>
      <c r="J157" s="17" t="n">
        <v>4</v>
      </c>
      <c r="K157" s="17" t="n">
        <v>1</v>
      </c>
      <c r="L157" s="17" t="inlineStr">
        <is>
          <t>Sedang</t>
        </is>
      </c>
    </row>
    <row r="158" s="1">
      <c r="A158" s="17">
        <f>RANDBETWEEN(2,164)</f>
        <v/>
      </c>
      <c r="B158" s="17">
        <f t="array" ref="B158">INDEX(Data_DBD!$B:$B,$A158)</f>
        <v/>
      </c>
      <c r="C158" s="17">
        <f t="array" ref="C158">INDEX(Data_DBD!$C:$C,$A158)</f>
        <v/>
      </c>
      <c r="D158" s="17">
        <f t="array" ref="D158">INDEX(Data_DBD!$E:$E,$A158)</f>
        <v/>
      </c>
      <c r="E158" s="17">
        <f t="array" ref="E158">INDEX(Data_DBD!$F:$F,$A158)</f>
        <v/>
      </c>
      <c r="H158" s="17" t="n">
        <v>79</v>
      </c>
      <c r="I158" s="17" t="n">
        <v>29</v>
      </c>
      <c r="J158" s="17" t="n">
        <v>3</v>
      </c>
      <c r="K158" s="17" t="n">
        <v>0</v>
      </c>
      <c r="L158" s="17" t="inlineStr">
        <is>
          <t>Sedang</t>
        </is>
      </c>
    </row>
    <row r="159" s="1">
      <c r="A159" s="17">
        <f>RANDBETWEEN(2,164)</f>
        <v/>
      </c>
      <c r="B159" s="17">
        <f t="array" ref="B159">INDEX(Data_DBD!$B:$B,$A159)</f>
        <v/>
      </c>
      <c r="C159" s="17">
        <f t="array" ref="C159">INDEX(Data_DBD!$C:$C,$A159)</f>
        <v/>
      </c>
      <c r="D159" s="17">
        <f t="array" ref="D159">INDEX(Data_DBD!$E:$E,$A159)</f>
        <v/>
      </c>
      <c r="E159" s="17">
        <f t="array" ref="E159">INDEX(Data_DBD!$F:$F,$A159)</f>
        <v/>
      </c>
      <c r="H159" s="17" t="n">
        <v>103</v>
      </c>
      <c r="I159" s="17" t="n">
        <v>22</v>
      </c>
      <c r="J159" s="17" t="n">
        <v>5</v>
      </c>
      <c r="K159" s="17" t="n">
        <v>0</v>
      </c>
      <c r="L159" s="17" t="inlineStr">
        <is>
          <t>Tinggi</t>
        </is>
      </c>
    </row>
    <row r="160" s="1">
      <c r="A160" s="17">
        <f>RANDBETWEEN(2,164)</f>
        <v/>
      </c>
      <c r="B160" s="17">
        <f t="array" ref="B160">INDEX(Data_DBD!$B:$B,$A160)</f>
        <v/>
      </c>
      <c r="C160" s="17">
        <f t="array" ref="C160">INDEX(Data_DBD!$C:$C,$A160)</f>
        <v/>
      </c>
      <c r="D160" s="17">
        <f t="array" ref="D160">INDEX(Data_DBD!$E:$E,$A160)</f>
        <v/>
      </c>
      <c r="E160" s="17">
        <f t="array" ref="E160">INDEX(Data_DBD!$F:$F,$A160)</f>
        <v/>
      </c>
      <c r="H160" s="17" t="n">
        <v>94</v>
      </c>
      <c r="I160" s="17" t="n">
        <v>12</v>
      </c>
      <c r="J160" s="17" t="n">
        <v>4</v>
      </c>
      <c r="K160" s="17" t="n">
        <v>0</v>
      </c>
      <c r="L160" s="17" t="inlineStr">
        <is>
          <t>Tinggi</t>
        </is>
      </c>
    </row>
    <row r="161" s="1">
      <c r="A161" s="17">
        <f>RANDBETWEEN(2,164)</f>
        <v/>
      </c>
      <c r="B161" s="17">
        <f t="array" ref="B161">INDEX(Data_DBD!$B:$B,$A161)</f>
        <v/>
      </c>
      <c r="C161" s="17">
        <f t="array" ref="C161">INDEX(Data_DBD!$C:$C,$A161)</f>
        <v/>
      </c>
      <c r="D161" s="17">
        <f t="array" ref="D161">INDEX(Data_DBD!$E:$E,$A161)</f>
        <v/>
      </c>
      <c r="E161" s="17">
        <f t="array" ref="E161">INDEX(Data_DBD!$F:$F,$A161)</f>
        <v/>
      </c>
      <c r="H161" s="17" t="n">
        <v>81</v>
      </c>
      <c r="I161" s="17" t="n">
        <v>23</v>
      </c>
      <c r="J161" s="17" t="n">
        <v>5</v>
      </c>
      <c r="K161" s="17" t="n">
        <v>1</v>
      </c>
      <c r="L161" s="17" t="inlineStr">
        <is>
          <t>Sedang</t>
        </is>
      </c>
    </row>
    <row r="162" s="1">
      <c r="A162" s="17">
        <f>RANDBETWEEN(2,164)</f>
        <v/>
      </c>
      <c r="B162" s="17">
        <f t="array" ref="B162">INDEX(Data_DBD!$B:$B,$A162)</f>
        <v/>
      </c>
      <c r="C162" s="17">
        <f t="array" ref="C162">INDEX(Data_DBD!$C:$C,$A162)</f>
        <v/>
      </c>
      <c r="D162" s="17">
        <f t="array" ref="D162">INDEX(Data_DBD!$E:$E,$A162)</f>
        <v/>
      </c>
      <c r="E162" s="17">
        <f t="array" ref="E162">INDEX(Data_DBD!$F:$F,$A162)</f>
        <v/>
      </c>
      <c r="H162" s="17" t="n">
        <v>17</v>
      </c>
      <c r="I162" s="17" t="n">
        <v>2</v>
      </c>
      <c r="J162" s="17" t="n">
        <v>3</v>
      </c>
      <c r="K162" s="17" t="n">
        <v>0</v>
      </c>
      <c r="L162" s="17" t="inlineStr">
        <is>
          <t>Rendah</t>
        </is>
      </c>
    </row>
    <row r="163" s="1">
      <c r="A163" s="17">
        <f>RANDBETWEEN(2,164)</f>
        <v/>
      </c>
      <c r="B163" s="17">
        <f t="array" ref="B163">INDEX(Data_DBD!$B:$B,$A163)</f>
        <v/>
      </c>
      <c r="C163" s="17">
        <f t="array" ref="C163">INDEX(Data_DBD!$C:$C,$A163)</f>
        <v/>
      </c>
      <c r="D163" s="17">
        <f t="array" ref="D163">INDEX(Data_DBD!$E:$E,$A163)</f>
        <v/>
      </c>
      <c r="E163" s="17">
        <f t="array" ref="E163">INDEX(Data_DBD!$F:$F,$A163)</f>
        <v/>
      </c>
      <c r="H163" s="17" t="n">
        <v>2</v>
      </c>
      <c r="I163" s="17" t="n">
        <v>34</v>
      </c>
      <c r="J163" s="17" t="n">
        <v>3</v>
      </c>
      <c r="K163" s="17" t="n">
        <v>0</v>
      </c>
      <c r="L163" s="17" t="inlineStr">
        <is>
          <t>Sedang</t>
        </is>
      </c>
    </row>
    <row r="164" s="1">
      <c r="A164" s="17">
        <f>RANDBETWEEN(2,164)</f>
        <v/>
      </c>
      <c r="B164" s="17">
        <f t="array" ref="B164">INDEX(Data_DBD!$B:$B,$A164)</f>
        <v/>
      </c>
      <c r="C164" s="17">
        <f t="array" ref="C164">INDEX(Data_DBD!$C:$C,$A164)</f>
        <v/>
      </c>
      <c r="D164" s="17">
        <f t="array" ref="D164">INDEX(Data_DBD!$E:$E,$A164)</f>
        <v/>
      </c>
      <c r="E164" s="17">
        <f t="array" ref="E164">INDEX(Data_DBD!$F:$F,$A164)</f>
        <v/>
      </c>
      <c r="H164" s="17" t="n">
        <v>138</v>
      </c>
      <c r="I164" s="17" t="n">
        <v>13</v>
      </c>
      <c r="J164" s="17" t="n">
        <v>3</v>
      </c>
      <c r="K164" s="17" t="n">
        <v>1</v>
      </c>
      <c r="L164" s="17" t="inlineStr">
        <is>
          <t>Tinggi</t>
        </is>
      </c>
    </row>
    <row r="165" s="1">
      <c r="I165">
        <f>AVERAGE(I2:I164)</f>
        <v/>
      </c>
      <c r="J165">
        <f>AVERAGE(J2:J164)</f>
        <v/>
      </c>
      <c r="K165">
        <f>AVERAGE(K2:K164)</f>
        <v/>
      </c>
    </row>
    <row r="167" s="1">
      <c r="B167" t="n">
        <v>2</v>
      </c>
    </row>
    <row r="168" s="1">
      <c r="E168" s="21" t="inlineStr">
        <is>
          <t>USIA</t>
        </is>
      </c>
      <c r="J168" s="21" t="inlineStr">
        <is>
          <t>LAMA RAWAT INAP</t>
        </is>
      </c>
      <c r="O168" s="21" t="n"/>
      <c r="T168" s="21" t="inlineStr">
        <is>
          <t>JENIS KELAMIN</t>
        </is>
      </c>
    </row>
    <row r="169" s="1">
      <c r="E169" s="17" t="inlineStr">
        <is>
          <t>Usia</t>
        </is>
      </c>
      <c r="F169" s="17">
        <f>AVERAGEIF($I$2:$I$164,"&lt;="&amp;$I$165)</f>
        <v/>
      </c>
      <c r="G169" s="17">
        <f>AVERAGEIF($I$2:$I$164,"&gt;"&amp;$I$165)</f>
        <v/>
      </c>
      <c r="J169" s="17" t="inlineStr">
        <is>
          <t>Lama rawat inap</t>
        </is>
      </c>
      <c r="K169" s="17">
        <f>AVERAGEIF($J$2:$J$164,"&lt;="&amp;$J$165)</f>
        <v/>
      </c>
      <c r="L169" s="17">
        <f>AVERAGEIF($J$2:$J$164,"&gt;"&amp;$J$165)</f>
        <v/>
      </c>
      <c r="O169" s="17" t="n"/>
      <c r="P169" s="17" t="n"/>
      <c r="Q169" s="17" t="n"/>
      <c r="T169" s="17" t="inlineStr">
        <is>
          <t>Jenis kelamin</t>
        </is>
      </c>
      <c r="U169" s="17">
        <f>AVERAGEIF($K$2:$K$164,"&lt;="&amp;$K$165)</f>
        <v/>
      </c>
      <c r="V169" s="17">
        <f>AVERAGEIF($K$2:$K$164,"&gt;"&amp;$K$165)</f>
        <v/>
      </c>
    </row>
    <row r="170" s="1">
      <c r="E170" s="17">
        <f t="array" ref="E170:E332">IF($I$2:$I$164&lt;$F$169,"kiri",IF($I$2:$I$164&lt;$G$169,"tengah","kanan"))</f>
        <v/>
      </c>
      <c r="F170" s="17" t="inlineStr">
        <is>
          <t>Kanan &gt; 54.4</t>
        </is>
      </c>
      <c r="G170" s="17" t="n"/>
      <c r="J170" s="17">
        <f t="array" ref="J170:J332">IF($J$2:$J$164&lt;$K$169,"kiri",IF($J$2:$J$164&lt;$L$169,"tengah","kanan"))</f>
        <v/>
      </c>
      <c r="K170" s="17" t="inlineStr">
        <is>
          <t>Kanan &gt; 4.74</t>
        </is>
      </c>
      <c r="L170" s="17" t="n"/>
      <c r="O170" s="17" t="n"/>
      <c r="P170" s="17" t="n"/>
      <c r="Q170" s="17" t="n"/>
      <c r="T170" s="17">
        <f t="array" ref="T170:T332">IF($K$2:$K$164&lt;$U$169,"kiri",IF($K$2:$K$164&lt;$V$169,"tengah","kanan"))</f>
        <v/>
      </c>
      <c r="U170" s="17" t="inlineStr">
        <is>
          <t>Kanan &gt; 1</t>
        </is>
      </c>
      <c r="V170" s="17" t="n"/>
    </row>
    <row r="171" s="1">
      <c r="E171" s="17" t="inlineStr">
        <is>
          <t>tengah</t>
        </is>
      </c>
      <c r="F171" s="17">
        <f>COUNTIFS($E$170:$E$332,"Kanan",$L$2:$L$164,"Tinggi")</f>
        <v/>
      </c>
      <c r="G171" s="17">
        <f>F171/30</f>
        <v/>
      </c>
      <c r="J171" s="17" t="inlineStr">
        <is>
          <t>tengah</t>
        </is>
      </c>
      <c r="K171" s="17">
        <f>COUNTIFS($J$170:$J$332,"Kanan",$L$2:$L$164,"Tinggi")</f>
        <v/>
      </c>
      <c r="L171" s="17">
        <f>K171/27</f>
        <v/>
      </c>
      <c r="O171" s="17" t="n"/>
      <c r="P171" s="17" t="n"/>
      <c r="Q171" s="17" t="n"/>
      <c r="T171" s="17" t="inlineStr">
        <is>
          <t>tengah</t>
        </is>
      </c>
      <c r="U171" s="17">
        <f>COUNTIFS($T$170:$T$332,"Kanan",$L$2:$L$164,"Tinggi")</f>
        <v/>
      </c>
      <c r="V171" s="17">
        <f>U171/85</f>
        <v/>
      </c>
    </row>
    <row r="172" s="1">
      <c r="E172" s="17" t="inlineStr">
        <is>
          <t>kiri</t>
        </is>
      </c>
      <c r="F172" s="17">
        <f>COUNTIFS($E$170:$E$332,"Kanan",$L$2:$L$164,"Sedang")</f>
        <v/>
      </c>
      <c r="G172" s="17">
        <f>F172/30</f>
        <v/>
      </c>
      <c r="J172" s="17" t="inlineStr">
        <is>
          <t>kiri</t>
        </is>
      </c>
      <c r="K172" s="17">
        <f>COUNTIFS($J$170:$J$332,"Kanan",$L$2:$L$164,"Sedang")</f>
        <v/>
      </c>
      <c r="L172" s="17">
        <f>K172/27</f>
        <v/>
      </c>
      <c r="O172" s="17" t="n"/>
      <c r="P172" s="17" t="n"/>
      <c r="Q172" s="17" t="n"/>
      <c r="T172" s="17" t="inlineStr">
        <is>
          <t>kanan</t>
        </is>
      </c>
      <c r="U172" s="17">
        <f>COUNTIFS($T$170:$T$332,"Kanan",$L$2:$L$164,"Sedang")</f>
        <v/>
      </c>
      <c r="V172" s="17">
        <f>U172/85</f>
        <v/>
      </c>
    </row>
    <row r="173" s="1">
      <c r="E173" s="17" t="inlineStr">
        <is>
          <t>kanan</t>
        </is>
      </c>
      <c r="F173" s="17">
        <f>COUNTIFS($E$170:$E$332,"Kanan",$L$2:$L$164,"Rendah")</f>
        <v/>
      </c>
      <c r="G173" s="17">
        <f>F173/30</f>
        <v/>
      </c>
      <c r="J173" s="17" t="inlineStr">
        <is>
          <t>kiri</t>
        </is>
      </c>
      <c r="K173" s="17">
        <f>COUNTIFS($J$170:$J$332,"Kanan",$L$2:$L$164,"Rendah")</f>
        <v/>
      </c>
      <c r="L173" s="17">
        <f>K173/27</f>
        <v/>
      </c>
      <c r="O173" s="17" t="n"/>
      <c r="P173" s="17" t="n"/>
      <c r="Q173" s="17" t="n"/>
      <c r="T173" s="17" t="inlineStr">
        <is>
          <t>tengah</t>
        </is>
      </c>
      <c r="U173" s="17">
        <f>COUNTIFS($T$170:$T$332,"Kanan",$L$2:$L$164,"Rendah")</f>
        <v/>
      </c>
      <c r="V173" s="17">
        <f>U173/85</f>
        <v/>
      </c>
    </row>
    <row r="174" s="1">
      <c r="E174" s="17" t="inlineStr">
        <is>
          <t>tengah</t>
        </is>
      </c>
      <c r="F174" s="17" t="inlineStr">
        <is>
          <t>Entropy</t>
        </is>
      </c>
      <c r="G174" s="17">
        <f>-(IFERROR(G171*LOG(G171,2),0)+IFERROR(G172*LOG(G172,2),0)+IFERROR(G173*LOG(G173,2),0))</f>
        <v/>
      </c>
      <c r="J174" s="17" t="inlineStr">
        <is>
          <t>kanan</t>
        </is>
      </c>
      <c r="K174" s="17" t="inlineStr">
        <is>
          <t>Entropy</t>
        </is>
      </c>
      <c r="L174" s="17">
        <f>-(IFERROR(L171*LOG(L171,2),0)+IFERROR(L172*LOG(L172,2),0)+IFERROR(L173*LOG(L173,2),0))</f>
        <v/>
      </c>
      <c r="O174" s="17" t="n"/>
      <c r="P174" s="17" t="n"/>
      <c r="Q174" s="17" t="n"/>
      <c r="T174" s="17" t="inlineStr">
        <is>
          <t>tengah</t>
        </is>
      </c>
      <c r="U174" s="17" t="inlineStr">
        <is>
          <t>Entropy</t>
        </is>
      </c>
      <c r="V174" s="17">
        <f>-(IFERROR(V171*LOG(V171,2),0)+IFERROR(V172*LOG(V172,2),0)+IFERROR(V173*LOG(V173,2),0))</f>
        <v/>
      </c>
    </row>
    <row r="175" s="1">
      <c r="E175" s="17" t="inlineStr">
        <is>
          <t>kiri</t>
        </is>
      </c>
      <c r="F175" s="17" t="n"/>
      <c r="G175" s="17">
        <f>SUM(F171:F173)/163</f>
        <v/>
      </c>
      <c r="J175" s="17" t="inlineStr">
        <is>
          <t>tengah</t>
        </is>
      </c>
      <c r="K175" s="17" t="n"/>
      <c r="L175" s="17">
        <f>SUM(K171:K173)/163</f>
        <v/>
      </c>
      <c r="O175" s="17" t="n"/>
      <c r="P175" s="17" t="n"/>
      <c r="Q175" s="17" t="n"/>
      <c r="T175" s="17" t="inlineStr">
        <is>
          <t>kanan</t>
        </is>
      </c>
      <c r="U175" s="17" t="n"/>
      <c r="V175" s="17">
        <f>SUM(U171:U173)/163</f>
        <v/>
      </c>
    </row>
    <row r="176" s="1">
      <c r="E176" s="17" t="inlineStr">
        <is>
          <t>tengah</t>
        </is>
      </c>
      <c r="F176" s="17" t="n"/>
      <c r="G176" s="23">
        <f>G174*G175</f>
        <v/>
      </c>
      <c r="J176" s="17" t="inlineStr">
        <is>
          <t>tengah</t>
        </is>
      </c>
      <c r="K176" s="17" t="n"/>
      <c r="L176" s="23">
        <f>L174*L175</f>
        <v/>
      </c>
      <c r="O176" s="17" t="n"/>
      <c r="P176" s="17" t="n"/>
      <c r="Q176" s="23" t="n"/>
      <c r="T176" s="17" t="inlineStr">
        <is>
          <t>tengah</t>
        </is>
      </c>
      <c r="U176" s="17" t="n"/>
      <c r="V176" s="23">
        <f>V174*V175</f>
        <v/>
      </c>
    </row>
    <row r="177" s="1">
      <c r="E177" s="17" t="inlineStr">
        <is>
          <t>kanan</t>
        </is>
      </c>
      <c r="F177" s="17" t="n"/>
      <c r="G177" s="17" t="n"/>
      <c r="J177" s="17" t="inlineStr">
        <is>
          <t>kanan</t>
        </is>
      </c>
      <c r="K177" s="17" t="n"/>
      <c r="L177" s="17" t="n"/>
      <c r="O177" s="17" t="n"/>
      <c r="P177" s="17" t="n"/>
      <c r="Q177" s="17" t="n"/>
      <c r="T177" s="17" t="inlineStr">
        <is>
          <t>kanan</t>
        </is>
      </c>
      <c r="U177" s="17" t="n"/>
      <c r="V177" s="17" t="n"/>
    </row>
    <row r="178" s="1">
      <c r="E178" s="17" t="inlineStr">
        <is>
          <t>kiri</t>
        </is>
      </c>
      <c r="F178" s="17" t="n"/>
      <c r="G178" s="17" t="n"/>
      <c r="J178" s="17" t="inlineStr">
        <is>
          <t>kanan</t>
        </is>
      </c>
      <c r="K178" s="17" t="n"/>
      <c r="L178" s="17" t="n"/>
      <c r="O178" s="17" t="n"/>
      <c r="P178" s="17" t="n"/>
      <c r="Q178" s="17" t="n"/>
      <c r="T178" s="17" t="inlineStr">
        <is>
          <t>kanan</t>
        </is>
      </c>
      <c r="U178" s="17" t="n"/>
      <c r="V178" s="17" t="n"/>
    </row>
    <row r="179" s="1">
      <c r="E179" s="17" t="inlineStr">
        <is>
          <t>kanan</t>
        </is>
      </c>
      <c r="F179" s="17" t="inlineStr">
        <is>
          <t>Kiri&lt;16.61</t>
        </is>
      </c>
      <c r="G179" s="17" t="n"/>
      <c r="J179" s="17" t="inlineStr">
        <is>
          <t>kanan</t>
        </is>
      </c>
      <c r="K179" s="17" t="inlineStr">
        <is>
          <t>Kiri&lt;2.61</t>
        </is>
      </c>
      <c r="L179" s="17" t="n"/>
      <c r="O179" s="17" t="n"/>
      <c r="P179" s="17" t="n"/>
      <c r="Q179" s="17" t="n"/>
      <c r="T179" s="17" t="inlineStr">
        <is>
          <t>kanan</t>
        </is>
      </c>
      <c r="U179" s="17" t="inlineStr">
        <is>
          <t>Kiri&lt;0</t>
        </is>
      </c>
      <c r="V179" s="17" t="n"/>
    </row>
    <row r="180" s="1">
      <c r="E180" s="17" t="inlineStr">
        <is>
          <t>tengah</t>
        </is>
      </c>
      <c r="F180" s="17">
        <f>COUNTIFS($E$170:$E$332,"Kiri",$L$2:$L$164,"Tinggi")</f>
        <v/>
      </c>
      <c r="G180" s="17">
        <f>F180/48</f>
        <v/>
      </c>
      <c r="J180" s="17" t="inlineStr">
        <is>
          <t>tengah</t>
        </is>
      </c>
      <c r="K180" s="17">
        <f>COUNTIFS($J$170:$J$332,"Kiri",$L$2:$L$164,"Tinggi")</f>
        <v/>
      </c>
      <c r="L180" s="17">
        <f>K180/27</f>
        <v/>
      </c>
      <c r="O180" s="17" t="n"/>
      <c r="P180" s="17" t="n"/>
      <c r="Q180" s="17" t="n"/>
      <c r="T180" s="17" t="inlineStr">
        <is>
          <t>kanan</t>
        </is>
      </c>
      <c r="U180" s="17">
        <f>COUNTIFS($T$170:$T$332,"Kiri",$L$2:$L$164,"Tinggi")</f>
        <v/>
      </c>
      <c r="V180" s="17">
        <f>U180/57</f>
        <v/>
      </c>
    </row>
    <row r="181" s="1">
      <c r="E181" s="17" t="inlineStr">
        <is>
          <t>tengah</t>
        </is>
      </c>
      <c r="F181" s="17">
        <f>COUNTIFS($E$170:$E$332,"Kiri",$L$2:$L$164,"Sedang")</f>
        <v/>
      </c>
      <c r="G181" s="17">
        <f>F181/48</f>
        <v/>
      </c>
      <c r="J181" s="17" t="inlineStr">
        <is>
          <t>kanan</t>
        </is>
      </c>
      <c r="K181" s="17">
        <f>COUNTIFS($J$170:$J$332,"Kiri",$L$2:$L$164,"Sedang")</f>
        <v/>
      </c>
      <c r="L181" s="17">
        <f>K181/27</f>
        <v/>
      </c>
      <c r="O181" s="17" t="n"/>
      <c r="P181" s="17" t="n"/>
      <c r="Q181" s="17" t="n"/>
      <c r="T181" s="17" t="inlineStr">
        <is>
          <t>tengah</t>
        </is>
      </c>
      <c r="U181" s="17">
        <f>COUNTIFS($T$170:$T$332,"Kiri",$L$2:$L$164,"Sedang")</f>
        <v/>
      </c>
      <c r="V181" s="17">
        <f>U181/57</f>
        <v/>
      </c>
    </row>
    <row r="182" s="1">
      <c r="E182" s="17" t="inlineStr">
        <is>
          <t>kiri</t>
        </is>
      </c>
      <c r="F182" s="17">
        <f>COUNTIFS($E$170:$E$332,"Kiri",$L$2:$L$164,"Rendah")</f>
        <v/>
      </c>
      <c r="G182" s="17">
        <f>F182/48</f>
        <v/>
      </c>
      <c r="J182" s="17" t="inlineStr">
        <is>
          <t>tengah</t>
        </is>
      </c>
      <c r="K182" s="17">
        <f>COUNTIFS($J$170:$J$332,"Kiri",$L$2:$L$164,"Rendah")</f>
        <v/>
      </c>
      <c r="L182" s="17">
        <f>K182/27</f>
        <v/>
      </c>
      <c r="O182" s="17" t="n"/>
      <c r="P182" s="17" t="n"/>
      <c r="Q182" s="17" t="n"/>
      <c r="T182" s="17" t="inlineStr">
        <is>
          <t>tengah</t>
        </is>
      </c>
      <c r="U182" s="17">
        <f>COUNTIFS($T$170:$T$332,"Kiri",$L$2:$L$164,"Rendah")</f>
        <v/>
      </c>
      <c r="V182" s="17">
        <f>U182/57</f>
        <v/>
      </c>
    </row>
    <row r="183" s="1">
      <c r="E183" s="17" t="inlineStr">
        <is>
          <t>tengah</t>
        </is>
      </c>
      <c r="F183" s="17" t="inlineStr">
        <is>
          <t>Entropy</t>
        </is>
      </c>
      <c r="G183" s="17">
        <f>-(IFERROR(G180*LOG(G180,2),0)+IFERROR(G181*LOG(G181,2),0)+IFERROR(G182*LOG(G182,2),0))</f>
        <v/>
      </c>
      <c r="J183" s="17" t="inlineStr">
        <is>
          <t>kiri</t>
        </is>
      </c>
      <c r="K183" s="17" t="inlineStr">
        <is>
          <t>Entropy</t>
        </is>
      </c>
      <c r="L183" s="17">
        <f>-(IFERROR(L180*LOG(L180,2),0)+IFERROR(L181*LOG(L181,2),0)+IFERROR(L182*LOG(L182,2),0))</f>
        <v/>
      </c>
      <c r="O183" s="17" t="n"/>
      <c r="P183" s="17" t="n"/>
      <c r="Q183" s="17" t="n"/>
      <c r="T183" s="17" t="inlineStr">
        <is>
          <t>tengah</t>
        </is>
      </c>
      <c r="U183" s="17" t="inlineStr">
        <is>
          <t>Entropy</t>
        </is>
      </c>
      <c r="V183" s="17">
        <f>-(IFERROR(V180*LOG(V180,2),0)+IFERROR(V181*LOG(V181,2),0)+IFERROR(V182*LOG(V182,2),0))</f>
        <v/>
      </c>
    </row>
    <row r="184" s="1">
      <c r="E184" s="17" t="inlineStr">
        <is>
          <t>tengah</t>
        </is>
      </c>
      <c r="F184" s="17" t="n"/>
      <c r="G184" s="17">
        <f>SUM(F180:F182)/163</f>
        <v/>
      </c>
      <c r="J184" s="17" t="inlineStr">
        <is>
          <t>kiri</t>
        </is>
      </c>
      <c r="K184" s="17" t="n"/>
      <c r="L184" s="17">
        <f>SUM(K180:K182)/163</f>
        <v/>
      </c>
      <c r="O184" s="17" t="n"/>
      <c r="P184" s="17" t="n"/>
      <c r="Q184" s="17" t="n"/>
      <c r="T184" s="17" t="inlineStr">
        <is>
          <t>kanan</t>
        </is>
      </c>
      <c r="U184" s="17" t="n"/>
      <c r="V184" s="17">
        <f>SUM(U180:U182)/163</f>
        <v/>
      </c>
    </row>
    <row r="185" s="1">
      <c r="E185" s="17" t="inlineStr">
        <is>
          <t>tengah</t>
        </is>
      </c>
      <c r="F185" s="17" t="n"/>
      <c r="G185" s="23">
        <f>G183*G184</f>
        <v/>
      </c>
      <c r="J185" s="17" t="inlineStr">
        <is>
          <t>kiri</t>
        </is>
      </c>
      <c r="K185" s="17" t="n"/>
      <c r="L185" s="23">
        <f>L183*L184</f>
        <v/>
      </c>
      <c r="O185" s="17" t="n"/>
      <c r="P185" s="17" t="n"/>
      <c r="Q185" s="23" t="n"/>
      <c r="T185" s="17" t="inlineStr">
        <is>
          <t>tengah</t>
        </is>
      </c>
      <c r="U185" s="17" t="n"/>
      <c r="V185" s="23">
        <f>V183*V184</f>
        <v/>
      </c>
    </row>
    <row r="186" s="1">
      <c r="E186" s="17" t="inlineStr">
        <is>
          <t>kiri</t>
        </is>
      </c>
      <c r="F186" s="17" t="n"/>
      <c r="G186" s="17" t="n"/>
      <c r="J186" s="17" t="inlineStr">
        <is>
          <t>kiri</t>
        </is>
      </c>
      <c r="K186" s="17" t="n"/>
      <c r="L186" s="17" t="n"/>
      <c r="O186" s="17" t="n"/>
      <c r="P186" s="17" t="n"/>
      <c r="Q186" s="17" t="n"/>
      <c r="T186" s="17" t="inlineStr">
        <is>
          <t>tengah</t>
        </is>
      </c>
      <c r="U186" s="17" t="n"/>
      <c r="V186" s="17" t="n"/>
    </row>
    <row r="187" s="1">
      <c r="E187" s="17" t="inlineStr">
        <is>
          <t>kanan</t>
        </is>
      </c>
      <c r="F187" s="17" t="n"/>
      <c r="G187" s="17" t="n"/>
      <c r="J187" s="17" t="inlineStr">
        <is>
          <t>tengah</t>
        </is>
      </c>
      <c r="K187" s="17" t="n"/>
      <c r="L187" s="17" t="n"/>
      <c r="O187" s="17" t="n"/>
      <c r="P187" s="17" t="n"/>
      <c r="Q187" s="17" t="n"/>
      <c r="T187" s="17" t="inlineStr">
        <is>
          <t>kanan</t>
        </is>
      </c>
      <c r="U187" s="17" t="n"/>
      <c r="V187" s="17" t="n"/>
    </row>
    <row r="188" s="1">
      <c r="E188" s="17" t="inlineStr">
        <is>
          <t>tengah</t>
        </is>
      </c>
      <c r="F188" s="17" t="inlineStr">
        <is>
          <t>Tengah</t>
        </is>
      </c>
      <c r="G188" s="17" t="n"/>
      <c r="J188" s="17" t="inlineStr">
        <is>
          <t>tengah</t>
        </is>
      </c>
      <c r="K188" s="17" t="inlineStr">
        <is>
          <t>Tengah</t>
        </is>
      </c>
      <c r="L188" s="17" t="n"/>
      <c r="O188" s="17" t="n"/>
      <c r="P188" s="17" t="n"/>
      <c r="Q188" s="17" t="n"/>
      <c r="T188" s="17" t="inlineStr">
        <is>
          <t>kanan</t>
        </is>
      </c>
      <c r="U188" s="17" t="inlineStr">
        <is>
          <t>Tengah</t>
        </is>
      </c>
      <c r="V188" s="17" t="n"/>
    </row>
    <row r="189" s="1">
      <c r="E189" s="17" t="inlineStr">
        <is>
          <t>kiri</t>
        </is>
      </c>
      <c r="F189" s="17">
        <f>COUNTIFS($E$170:$E$332,"Tengah",$L$2:$L$164,"Tinggi")</f>
        <v/>
      </c>
      <c r="G189" s="17">
        <f>F189/85</f>
        <v/>
      </c>
      <c r="J189" s="17" t="inlineStr">
        <is>
          <t>tengah</t>
        </is>
      </c>
      <c r="K189" s="17">
        <f>COUNTIFS($J$170:$J$332,"Tengah",$L$2:$L$164,"Tinggi")</f>
        <v/>
      </c>
      <c r="L189" s="17">
        <f>K189/109</f>
        <v/>
      </c>
      <c r="O189" s="17" t="n"/>
      <c r="P189" s="17" t="n"/>
      <c r="Q189" s="17" t="n"/>
      <c r="T189" s="17" t="inlineStr">
        <is>
          <t>kanan</t>
        </is>
      </c>
      <c r="U189" s="17">
        <f>COUNTIFS($T$170:$T$332,"Tengah",$L$2:$L$164,"Tinggi")</f>
        <v/>
      </c>
      <c r="V189" s="17">
        <f>U189/78</f>
        <v/>
      </c>
    </row>
    <row r="190" s="1">
      <c r="E190" s="17" t="inlineStr">
        <is>
          <t>kiri</t>
        </is>
      </c>
      <c r="F190" s="17">
        <f>COUNTIFS($E$170:$E$332,"Tengah",$L$2:$L$164,"Sedang")</f>
        <v/>
      </c>
      <c r="G190" s="17">
        <f>F190/85</f>
        <v/>
      </c>
      <c r="J190" s="17" t="inlineStr">
        <is>
          <t>tengah</t>
        </is>
      </c>
      <c r="K190" s="17">
        <f>COUNTIFS($J$170:$J$332,"Tengah",$L$2:$L$164,"Sedang")</f>
        <v/>
      </c>
      <c r="L190" s="17">
        <f>K190/109</f>
        <v/>
      </c>
      <c r="O190" s="17" t="n"/>
      <c r="P190" s="17" t="n"/>
      <c r="Q190" s="17" t="n"/>
      <c r="T190" s="17" t="inlineStr">
        <is>
          <t>kanan</t>
        </is>
      </c>
      <c r="U190" s="17">
        <f>COUNTIFS($T$170:$T$332,"Tengah",$L$2:$L$164,"Sedang")</f>
        <v/>
      </c>
      <c r="V190" s="17">
        <f>U190/78</f>
        <v/>
      </c>
    </row>
    <row r="191" s="1">
      <c r="E191" s="17" t="inlineStr">
        <is>
          <t>kanan</t>
        </is>
      </c>
      <c r="F191" s="17">
        <f>COUNTIFS($E$170:$E$332,"Tengah",$L$2:$L$164,"Rendah")</f>
        <v/>
      </c>
      <c r="G191" s="17">
        <f>F191/85</f>
        <v/>
      </c>
      <c r="J191" s="17" t="inlineStr">
        <is>
          <t>tengah</t>
        </is>
      </c>
      <c r="K191" s="17">
        <f>COUNTIFS($J$170:$J$332,"Tengah",$L$2:$L$164,"Rendah")</f>
        <v/>
      </c>
      <c r="L191" s="17">
        <f>K191/109</f>
        <v/>
      </c>
      <c r="O191" s="17" t="n"/>
      <c r="P191" s="17" t="n"/>
      <c r="Q191" s="17" t="n"/>
      <c r="T191" s="17" t="inlineStr">
        <is>
          <t>tengah</t>
        </is>
      </c>
      <c r="U191" s="17">
        <f>COUNTIFS($T$170:$T$332,"Tengah",$L$2:$L$164,"Rendah")</f>
        <v/>
      </c>
      <c r="V191" s="17">
        <f>U191/78</f>
        <v/>
      </c>
    </row>
    <row r="192" s="1">
      <c r="E192" s="17" t="inlineStr">
        <is>
          <t>kiri</t>
        </is>
      </c>
      <c r="F192" s="17" t="inlineStr">
        <is>
          <t>Entropy</t>
        </is>
      </c>
      <c r="G192" s="17">
        <f>-(IFERROR(G189*LOG(G189,2),0)+IFERROR(G190*LOG(G190,2),0)+IFERROR(G191*LOG(G191,2),0))</f>
        <v/>
      </c>
      <c r="J192" s="17" t="inlineStr">
        <is>
          <t>tengah</t>
        </is>
      </c>
      <c r="K192" s="17" t="inlineStr">
        <is>
          <t>Entropy</t>
        </is>
      </c>
      <c r="L192" s="17">
        <f>-(IFERROR(L189*LOG(L189,2),0)+IFERROR(L190*LOG(L190,2),0)+IFERROR(L191*LOG(L191,2),0))</f>
        <v/>
      </c>
      <c r="O192" s="17" t="n"/>
      <c r="P192" s="17" t="n"/>
      <c r="Q192" s="17" t="n"/>
      <c r="T192" s="17" t="inlineStr">
        <is>
          <t>tengah</t>
        </is>
      </c>
      <c r="U192" s="17" t="inlineStr">
        <is>
          <t>Entropy</t>
        </is>
      </c>
      <c r="V192" s="17">
        <f>-(IFERROR(V189*LOG(V189,2),0)+IFERROR(V190*LOG(V190,2),0)+IFERROR(V191*LOG(V191,2),0))</f>
        <v/>
      </c>
    </row>
    <row r="193" s="1">
      <c r="E193" s="17" t="inlineStr">
        <is>
          <t>tengah</t>
        </is>
      </c>
      <c r="F193" s="17" t="n"/>
      <c r="G193" s="17">
        <f>SUM(F189:F191)/163</f>
        <v/>
      </c>
      <c r="J193" s="17" t="inlineStr">
        <is>
          <t>tengah</t>
        </is>
      </c>
      <c r="K193" s="17" t="n"/>
      <c r="L193" s="17">
        <f>SUM(K189:K191)/163</f>
        <v/>
      </c>
      <c r="O193" s="17" t="n"/>
      <c r="P193" s="17" t="n"/>
      <c r="Q193" s="17" t="n"/>
      <c r="T193" s="17" t="inlineStr">
        <is>
          <t>kanan</t>
        </is>
      </c>
      <c r="U193" s="17" t="n"/>
      <c r="V193" s="17">
        <f>SUM(U189:U191)/163</f>
        <v/>
      </c>
    </row>
    <row r="194" s="1">
      <c r="E194" s="17" t="inlineStr">
        <is>
          <t>kanan</t>
        </is>
      </c>
      <c r="F194" s="17" t="n"/>
      <c r="G194" s="23">
        <f>G192*G193</f>
        <v/>
      </c>
      <c r="J194" s="17" t="inlineStr">
        <is>
          <t>tengah</t>
        </is>
      </c>
      <c r="K194" s="17" t="n"/>
      <c r="L194" s="23">
        <f>L192*L193</f>
        <v/>
      </c>
      <c r="O194" s="17" t="n"/>
      <c r="P194" s="17" t="n"/>
      <c r="Q194" s="23" t="n"/>
      <c r="T194" s="17" t="inlineStr">
        <is>
          <t>tengah</t>
        </is>
      </c>
      <c r="U194" s="17" t="n"/>
      <c r="V194" s="23">
        <f>V192*V193</f>
        <v/>
      </c>
    </row>
    <row r="195" s="1">
      <c r="E195" s="17" t="inlineStr">
        <is>
          <t>tengah</t>
        </is>
      </c>
      <c r="F195" s="17" t="n"/>
      <c r="G195" s="17" t="n"/>
      <c r="J195" s="17" t="inlineStr">
        <is>
          <t>kiri</t>
        </is>
      </c>
      <c r="K195" s="17" t="n"/>
      <c r="L195" s="17" t="n"/>
      <c r="O195" s="17" t="n"/>
      <c r="P195" s="17" t="n"/>
      <c r="Q195" s="17" t="n"/>
      <c r="T195" s="17" t="inlineStr">
        <is>
          <t>tengah</t>
        </is>
      </c>
      <c r="U195" s="17" t="n"/>
      <c r="V195" s="17" t="n"/>
    </row>
    <row r="196" s="1">
      <c r="E196" s="17" t="inlineStr">
        <is>
          <t>tengah</t>
        </is>
      </c>
      <c r="F196" s="17" t="inlineStr">
        <is>
          <t>IG</t>
        </is>
      </c>
      <c r="G196" s="17" t="n"/>
      <c r="J196" s="17" t="inlineStr">
        <is>
          <t>tengah</t>
        </is>
      </c>
      <c r="K196" s="17" t="inlineStr">
        <is>
          <t>IG</t>
        </is>
      </c>
      <c r="L196" s="17" t="n"/>
      <c r="O196" s="17" t="n"/>
      <c r="P196" s="17" t="n"/>
      <c r="Q196" s="17" t="n"/>
      <c r="T196" s="17" t="inlineStr">
        <is>
          <t>tengah</t>
        </is>
      </c>
      <c r="U196" s="17" t="inlineStr">
        <is>
          <t>IG</t>
        </is>
      </c>
      <c r="V196" s="17" t="n"/>
    </row>
    <row r="197" s="1">
      <c r="E197" s="17" t="inlineStr">
        <is>
          <t>kanan</t>
        </is>
      </c>
      <c r="F197" s="24">
        <f>P5-(G176+G185+$G$194)</f>
        <v/>
      </c>
      <c r="G197" s="17" t="n"/>
      <c r="J197" s="17" t="inlineStr">
        <is>
          <t>tengah</t>
        </is>
      </c>
      <c r="K197" s="24">
        <f>P5-(L176+L185+L194)</f>
        <v/>
      </c>
      <c r="L197" s="17" t="n"/>
      <c r="O197" s="17" t="n"/>
      <c r="P197" s="24" t="n"/>
      <c r="Q197" s="17" t="n"/>
      <c r="T197" s="17" t="inlineStr">
        <is>
          <t>tengah</t>
        </is>
      </c>
      <c r="U197" s="24">
        <f>P5-(V176+V185+V194)</f>
        <v/>
      </c>
      <c r="V197" s="17" t="n"/>
    </row>
    <row r="198" s="1">
      <c r="E198" s="17" t="inlineStr">
        <is>
          <t>kiri</t>
        </is>
      </c>
      <c r="F198" s="17" t="n"/>
      <c r="G198" s="17" t="n"/>
      <c r="J198" s="17" t="inlineStr">
        <is>
          <t>kiri</t>
        </is>
      </c>
      <c r="K198" s="17" t="n"/>
      <c r="L198" s="17" t="n"/>
      <c r="O198" s="17" t="n"/>
      <c r="P198" s="17" t="n"/>
      <c r="Q198" s="17" t="n"/>
      <c r="T198" s="17" t="inlineStr">
        <is>
          <t>kanan</t>
        </is>
      </c>
      <c r="U198" s="17" t="n"/>
      <c r="V198" s="17" t="n"/>
    </row>
    <row r="199" s="1">
      <c r="E199" s="17" t="inlineStr">
        <is>
          <t>tengah</t>
        </is>
      </c>
      <c r="F199" s="17" t="n"/>
      <c r="G199" s="17" t="n"/>
      <c r="J199" s="17" t="inlineStr">
        <is>
          <t>tengah</t>
        </is>
      </c>
      <c r="K199" s="17" t="n"/>
      <c r="L199" s="17" t="n"/>
      <c r="O199" s="17" t="n"/>
      <c r="P199" s="17" t="n"/>
      <c r="Q199" s="17" t="n"/>
      <c r="T199" s="17" t="inlineStr">
        <is>
          <t>kanan</t>
        </is>
      </c>
      <c r="U199" s="17" t="n"/>
      <c r="V199" s="17" t="n"/>
    </row>
    <row r="200" s="1">
      <c r="E200" s="17" t="inlineStr">
        <is>
          <t>tengah</t>
        </is>
      </c>
      <c r="F200" s="17" t="n"/>
      <c r="G200" s="17" t="n"/>
      <c r="J200" s="17" t="inlineStr">
        <is>
          <t>kiri</t>
        </is>
      </c>
      <c r="K200" s="17" t="n"/>
      <c r="L200" s="17" t="n"/>
      <c r="O200" s="17" t="n"/>
      <c r="P200" s="17" t="n"/>
      <c r="Q200" s="17" t="n"/>
      <c r="T200" s="17" t="inlineStr">
        <is>
          <t>kanan</t>
        </is>
      </c>
      <c r="U200" s="17" t="n"/>
      <c r="V200" s="17" t="n"/>
    </row>
    <row r="201" s="1">
      <c r="E201" s="17" t="inlineStr">
        <is>
          <t>tengah</t>
        </is>
      </c>
      <c r="F201" s="17" t="n"/>
      <c r="G201" s="17" t="n"/>
      <c r="J201" s="17" t="inlineStr">
        <is>
          <t>kiri</t>
        </is>
      </c>
      <c r="K201" s="17" t="n"/>
      <c r="L201" s="17" t="n"/>
      <c r="O201" s="17" t="n"/>
      <c r="P201" s="17" t="n"/>
      <c r="Q201" s="17" t="n"/>
      <c r="T201" s="17" t="inlineStr">
        <is>
          <t>kanan</t>
        </is>
      </c>
      <c r="U201" s="17" t="n"/>
      <c r="V201" s="17" t="n"/>
    </row>
    <row r="202" s="1">
      <c r="E202" s="17" t="inlineStr">
        <is>
          <t>kiri</t>
        </is>
      </c>
      <c r="F202" s="17" t="n"/>
      <c r="G202" s="17" t="n"/>
      <c r="J202" s="17" t="inlineStr">
        <is>
          <t>kiri</t>
        </is>
      </c>
      <c r="K202" s="17" t="n"/>
      <c r="L202" s="17" t="n"/>
      <c r="O202" s="17" t="n"/>
      <c r="P202" s="17" t="n"/>
      <c r="Q202" s="17" t="n"/>
      <c r="T202" s="17" t="inlineStr">
        <is>
          <t>kanan</t>
        </is>
      </c>
      <c r="U202" s="17" t="n"/>
      <c r="V202" s="17" t="n"/>
    </row>
    <row r="203" s="1">
      <c r="E203" s="17" t="inlineStr">
        <is>
          <t>tengah</t>
        </is>
      </c>
      <c r="F203" s="17" t="n"/>
      <c r="G203" s="17" t="n"/>
      <c r="J203" s="17" t="inlineStr">
        <is>
          <t>tengah</t>
        </is>
      </c>
      <c r="K203" s="17" t="n"/>
      <c r="L203" s="17" t="n"/>
      <c r="O203" s="17" t="n"/>
      <c r="P203" s="17" t="n"/>
      <c r="Q203" s="17" t="n"/>
      <c r="T203" s="17" t="inlineStr">
        <is>
          <t>tengah</t>
        </is>
      </c>
      <c r="U203" s="17" t="n"/>
      <c r="V203" s="17" t="n"/>
    </row>
    <row r="204" s="1">
      <c r="E204" s="17" t="inlineStr">
        <is>
          <t>tengah</t>
        </is>
      </c>
      <c r="F204" s="17" t="n"/>
      <c r="G204" s="17" t="n"/>
      <c r="J204" s="17" t="inlineStr">
        <is>
          <t>tengah</t>
        </is>
      </c>
      <c r="K204" s="17" t="n"/>
      <c r="L204" s="17" t="n"/>
      <c r="O204" s="17" t="n"/>
      <c r="P204" s="17" t="n"/>
      <c r="Q204" s="17" t="n"/>
      <c r="T204" s="17" t="inlineStr">
        <is>
          <t>kanan</t>
        </is>
      </c>
      <c r="U204" s="17" t="n"/>
      <c r="V204" s="17" t="n"/>
    </row>
    <row r="205" s="1">
      <c r="E205" s="17" t="inlineStr">
        <is>
          <t>tengah</t>
        </is>
      </c>
      <c r="F205" s="17" t="n"/>
      <c r="G205" s="17" t="n"/>
      <c r="J205" s="17" t="inlineStr">
        <is>
          <t>tengah</t>
        </is>
      </c>
      <c r="K205" s="17" t="n"/>
      <c r="L205" s="17" t="n"/>
      <c r="O205" s="17" t="n"/>
      <c r="P205" s="17" t="n"/>
      <c r="Q205" s="17" t="n"/>
      <c r="T205" s="17" t="inlineStr">
        <is>
          <t>kanan</t>
        </is>
      </c>
      <c r="U205" s="17" t="n"/>
      <c r="V205" s="17" t="n"/>
    </row>
    <row r="206" s="1">
      <c r="E206" s="17" t="inlineStr">
        <is>
          <t>tengah</t>
        </is>
      </c>
      <c r="F206" s="17" t="n"/>
      <c r="G206" s="17" t="n"/>
      <c r="J206" s="17" t="inlineStr">
        <is>
          <t>tengah</t>
        </is>
      </c>
      <c r="K206" s="17" t="n"/>
      <c r="L206" s="17" t="n"/>
      <c r="O206" s="17" t="n"/>
      <c r="P206" s="17" t="n"/>
      <c r="Q206" s="17" t="n"/>
      <c r="T206" s="17" t="inlineStr">
        <is>
          <t>kanan</t>
        </is>
      </c>
      <c r="U206" s="17" t="n"/>
      <c r="V206" s="17" t="n"/>
    </row>
    <row r="207" s="1">
      <c r="E207" s="17" t="inlineStr">
        <is>
          <t>kiri</t>
        </is>
      </c>
      <c r="F207" s="17" t="n"/>
      <c r="G207" s="17" t="n"/>
      <c r="J207" s="17" t="inlineStr">
        <is>
          <t>tengah</t>
        </is>
      </c>
      <c r="K207" s="17" t="n"/>
      <c r="L207" s="17" t="n"/>
      <c r="O207" s="17" t="n"/>
      <c r="P207" s="17" t="n"/>
      <c r="Q207" s="17" t="n"/>
      <c r="T207" s="17" t="inlineStr">
        <is>
          <t>tengah</t>
        </is>
      </c>
      <c r="U207" s="17" t="n"/>
      <c r="V207" s="17" t="n"/>
    </row>
    <row r="208" s="1">
      <c r="E208" s="17" t="inlineStr">
        <is>
          <t>tengah</t>
        </is>
      </c>
      <c r="F208" s="17" t="n"/>
      <c r="G208" s="17" t="n"/>
      <c r="J208" s="17" t="inlineStr">
        <is>
          <t>tengah</t>
        </is>
      </c>
      <c r="K208" s="17" t="n"/>
      <c r="L208" s="17" t="n"/>
      <c r="O208" s="17" t="n"/>
      <c r="P208" s="17" t="n"/>
      <c r="Q208" s="17" t="n"/>
      <c r="T208" s="17" t="inlineStr">
        <is>
          <t>kanan</t>
        </is>
      </c>
      <c r="U208" s="17" t="n"/>
      <c r="V208" s="17" t="n"/>
    </row>
    <row r="209" s="1">
      <c r="E209" s="17" t="inlineStr">
        <is>
          <t>tengah</t>
        </is>
      </c>
      <c r="F209" s="17" t="n"/>
      <c r="G209" s="17" t="n"/>
      <c r="J209" s="17" t="inlineStr">
        <is>
          <t>tengah</t>
        </is>
      </c>
      <c r="K209" s="17" t="n"/>
      <c r="L209" s="17" t="n"/>
      <c r="O209" s="17" t="n"/>
      <c r="P209" s="17" t="n"/>
      <c r="Q209" s="17" t="n"/>
      <c r="T209" s="17" t="inlineStr">
        <is>
          <t>kanan</t>
        </is>
      </c>
      <c r="U209" s="17" t="n"/>
      <c r="V209" s="17" t="n"/>
    </row>
    <row r="210" s="1">
      <c r="E210" s="17" t="inlineStr">
        <is>
          <t>kiri</t>
        </is>
      </c>
      <c r="F210" s="17" t="n"/>
      <c r="G210" s="17" t="n"/>
      <c r="J210" s="17" t="inlineStr">
        <is>
          <t>kanan</t>
        </is>
      </c>
      <c r="K210" s="17" t="n"/>
      <c r="L210" s="17" t="n"/>
      <c r="O210" s="17" t="n"/>
      <c r="P210" s="17" t="n"/>
      <c r="Q210" s="17" t="n"/>
      <c r="T210" s="17" t="inlineStr">
        <is>
          <t>kanan</t>
        </is>
      </c>
      <c r="U210" s="17" t="n"/>
      <c r="V210" s="17" t="n"/>
    </row>
    <row r="211" s="1">
      <c r="E211" s="17" t="inlineStr">
        <is>
          <t>kiri</t>
        </is>
      </c>
      <c r="F211" s="17" t="n"/>
      <c r="G211" s="17" t="n"/>
      <c r="J211" s="17" t="inlineStr">
        <is>
          <t>tengah</t>
        </is>
      </c>
      <c r="K211" s="17" t="n"/>
      <c r="L211" s="17" t="n"/>
      <c r="O211" s="17" t="n"/>
      <c r="P211" s="17" t="n"/>
      <c r="Q211" s="17" t="n"/>
      <c r="T211" s="17" t="inlineStr">
        <is>
          <t>kanan</t>
        </is>
      </c>
      <c r="U211" s="17" t="n"/>
      <c r="V211" s="17" t="n"/>
    </row>
    <row r="212" s="1">
      <c r="E212" s="17" t="inlineStr">
        <is>
          <t>tengah</t>
        </is>
      </c>
      <c r="F212" s="17" t="n"/>
      <c r="G212" s="17" t="n"/>
      <c r="J212" s="17" t="inlineStr">
        <is>
          <t>kanan</t>
        </is>
      </c>
      <c r="K212" s="17" t="n"/>
      <c r="L212" s="17" t="n"/>
      <c r="O212" s="17" t="n"/>
      <c r="P212" s="17" t="n"/>
      <c r="Q212" s="17" t="n"/>
      <c r="T212" s="17" t="inlineStr">
        <is>
          <t>tengah</t>
        </is>
      </c>
      <c r="U212" s="17" t="n"/>
      <c r="V212" s="17" t="n"/>
    </row>
    <row r="213" s="1">
      <c r="E213" s="17" t="inlineStr">
        <is>
          <t>tengah</t>
        </is>
      </c>
      <c r="F213" s="17" t="n"/>
      <c r="G213" s="17" t="n"/>
      <c r="J213" s="17" t="inlineStr">
        <is>
          <t>tengah</t>
        </is>
      </c>
      <c r="K213" s="17" t="n"/>
      <c r="L213" s="17" t="n"/>
      <c r="O213" s="17" t="n"/>
      <c r="P213" s="17" t="n"/>
      <c r="Q213" s="17" t="n"/>
      <c r="T213" s="17" t="inlineStr">
        <is>
          <t>kanan</t>
        </is>
      </c>
      <c r="U213" s="17" t="n"/>
      <c r="V213" s="17" t="n"/>
    </row>
    <row r="214" s="1">
      <c r="E214" s="17" t="inlineStr">
        <is>
          <t>kiri</t>
        </is>
      </c>
      <c r="F214" s="17" t="n"/>
      <c r="G214" s="17" t="n"/>
      <c r="J214" s="17" t="inlineStr">
        <is>
          <t>kiri</t>
        </is>
      </c>
      <c r="K214" s="17" t="n"/>
      <c r="L214" s="17" t="n"/>
      <c r="O214" s="17" t="n"/>
      <c r="P214" s="17" t="n"/>
      <c r="Q214" s="17" t="n"/>
      <c r="T214" s="17" t="inlineStr">
        <is>
          <t>kanan</t>
        </is>
      </c>
      <c r="U214" s="17" t="n"/>
      <c r="V214" s="17" t="n"/>
    </row>
    <row r="215" s="1">
      <c r="E215" s="17" t="inlineStr">
        <is>
          <t>kanan</t>
        </is>
      </c>
      <c r="F215" s="17" t="n"/>
      <c r="G215" s="17" t="n"/>
      <c r="J215" s="17" t="inlineStr">
        <is>
          <t>kanan</t>
        </is>
      </c>
      <c r="K215" s="17" t="n"/>
      <c r="L215" s="17" t="n"/>
      <c r="O215" s="17" t="n"/>
      <c r="P215" s="17" t="n"/>
      <c r="Q215" s="17" t="n"/>
      <c r="T215" s="17" t="inlineStr">
        <is>
          <t>kanan</t>
        </is>
      </c>
      <c r="U215" s="17" t="n"/>
      <c r="V215" s="17" t="n"/>
    </row>
    <row r="216" s="1">
      <c r="E216" s="17" t="inlineStr">
        <is>
          <t>kanan</t>
        </is>
      </c>
      <c r="F216" s="17" t="n"/>
      <c r="G216" s="17" t="n"/>
      <c r="J216" s="17" t="inlineStr">
        <is>
          <t>tengah</t>
        </is>
      </c>
      <c r="K216" s="17" t="n"/>
      <c r="L216" s="17" t="n"/>
      <c r="O216" s="17" t="n"/>
      <c r="P216" s="17" t="n"/>
      <c r="Q216" s="17" t="n"/>
      <c r="T216" s="17" t="inlineStr">
        <is>
          <t>kanan</t>
        </is>
      </c>
      <c r="U216" s="17" t="n"/>
      <c r="V216" s="17" t="n"/>
    </row>
    <row r="217" s="1">
      <c r="E217" s="17" t="inlineStr">
        <is>
          <t>tengah</t>
        </is>
      </c>
      <c r="F217" s="17" t="n"/>
      <c r="G217" s="17" t="n"/>
      <c r="J217" s="17" t="inlineStr">
        <is>
          <t>tengah</t>
        </is>
      </c>
      <c r="K217" s="17" t="n"/>
      <c r="L217" s="17" t="n"/>
      <c r="O217" s="17" t="n"/>
      <c r="P217" s="17" t="n"/>
      <c r="Q217" s="17" t="n"/>
      <c r="T217" s="17" t="inlineStr">
        <is>
          <t>kanan</t>
        </is>
      </c>
      <c r="U217" s="17" t="n"/>
      <c r="V217" s="17" t="n"/>
    </row>
    <row r="218" s="1">
      <c r="E218" s="17" t="inlineStr">
        <is>
          <t>kanan</t>
        </is>
      </c>
      <c r="F218" s="17" t="n"/>
      <c r="G218" s="17" t="n"/>
      <c r="J218" s="17" t="inlineStr">
        <is>
          <t>tengah</t>
        </is>
      </c>
      <c r="K218" s="17" t="n"/>
      <c r="L218" s="17" t="n"/>
      <c r="O218" s="17" t="n"/>
      <c r="P218" s="17" t="n"/>
      <c r="Q218" s="17" t="n"/>
      <c r="T218" s="17" t="inlineStr">
        <is>
          <t>kanan</t>
        </is>
      </c>
      <c r="U218" s="17" t="n"/>
      <c r="V218" s="17" t="n"/>
    </row>
    <row r="219" s="1">
      <c r="E219" s="17" t="inlineStr">
        <is>
          <t>kiri</t>
        </is>
      </c>
      <c r="F219" s="17" t="n"/>
      <c r="G219" s="17" t="n"/>
      <c r="J219" s="17" t="inlineStr">
        <is>
          <t>tengah</t>
        </is>
      </c>
      <c r="K219" s="17" t="n"/>
      <c r="L219" s="17" t="n"/>
      <c r="O219" s="17" t="n"/>
      <c r="P219" s="17" t="n"/>
      <c r="Q219" s="17" t="n"/>
      <c r="T219" s="17" t="inlineStr">
        <is>
          <t>tengah</t>
        </is>
      </c>
      <c r="U219" s="17" t="n"/>
      <c r="V219" s="17" t="n"/>
    </row>
    <row r="220" s="1">
      <c r="E220" s="17" t="inlineStr">
        <is>
          <t>kanan</t>
        </is>
      </c>
      <c r="F220" s="17" t="n"/>
      <c r="G220" s="17" t="n"/>
      <c r="J220" s="17" t="inlineStr">
        <is>
          <t>tengah</t>
        </is>
      </c>
      <c r="K220" s="17" t="n"/>
      <c r="L220" s="17" t="n"/>
      <c r="O220" s="17" t="n"/>
      <c r="P220" s="17" t="n"/>
      <c r="Q220" s="17" t="n"/>
      <c r="T220" s="17" t="inlineStr">
        <is>
          <t>kanan</t>
        </is>
      </c>
      <c r="U220" s="17" t="n"/>
      <c r="V220" s="17" t="n"/>
    </row>
    <row r="221" s="1">
      <c r="E221" s="17" t="inlineStr">
        <is>
          <t>tengah</t>
        </is>
      </c>
      <c r="F221" s="17" t="n"/>
      <c r="G221" s="17" t="n"/>
      <c r="J221" s="17" t="inlineStr">
        <is>
          <t>tengah</t>
        </is>
      </c>
      <c r="K221" s="17" t="n"/>
      <c r="L221" s="17" t="n"/>
      <c r="O221" s="17" t="n"/>
      <c r="P221" s="17" t="n"/>
      <c r="Q221" s="17" t="n"/>
      <c r="T221" s="17" t="inlineStr">
        <is>
          <t>tengah</t>
        </is>
      </c>
      <c r="U221" s="17" t="n"/>
      <c r="V221" s="17" t="n"/>
    </row>
    <row r="222" s="1">
      <c r="E222" s="17" t="inlineStr">
        <is>
          <t>tengah</t>
        </is>
      </c>
      <c r="F222" s="17" t="n"/>
      <c r="G222" s="17" t="n"/>
      <c r="J222" s="17" t="inlineStr">
        <is>
          <t>kanan</t>
        </is>
      </c>
      <c r="K222" s="17" t="n"/>
      <c r="L222" s="17" t="n"/>
      <c r="O222" s="17" t="n"/>
      <c r="P222" s="17" t="n"/>
      <c r="Q222" s="17" t="n"/>
      <c r="T222" s="17" t="inlineStr">
        <is>
          <t>kanan</t>
        </is>
      </c>
      <c r="U222" s="17" t="n"/>
      <c r="V222" s="17" t="n"/>
    </row>
    <row r="223" s="1">
      <c r="E223" s="17" t="inlineStr">
        <is>
          <t>kanan</t>
        </is>
      </c>
      <c r="F223" s="17" t="n"/>
      <c r="G223" s="17" t="n"/>
      <c r="J223" s="17" t="inlineStr">
        <is>
          <t>tengah</t>
        </is>
      </c>
      <c r="K223" s="17" t="n"/>
      <c r="L223" s="17" t="n"/>
      <c r="O223" s="17" t="n"/>
      <c r="P223" s="17" t="n"/>
      <c r="Q223" s="17" t="n"/>
      <c r="T223" s="17" t="inlineStr">
        <is>
          <t>kanan</t>
        </is>
      </c>
      <c r="U223" s="17" t="n"/>
      <c r="V223" s="17" t="n"/>
    </row>
    <row r="224" s="1">
      <c r="E224" s="17" t="inlineStr">
        <is>
          <t>tengah</t>
        </is>
      </c>
      <c r="F224" s="17" t="n"/>
      <c r="G224" s="17" t="n"/>
      <c r="J224" s="17" t="inlineStr">
        <is>
          <t>kiri</t>
        </is>
      </c>
      <c r="K224" s="17" t="n"/>
      <c r="L224" s="17" t="n"/>
      <c r="O224" s="17" t="n"/>
      <c r="P224" s="17" t="n"/>
      <c r="Q224" s="17" t="n"/>
      <c r="T224" s="17" t="inlineStr">
        <is>
          <t>kanan</t>
        </is>
      </c>
      <c r="U224" s="17" t="n"/>
      <c r="V224" s="17" t="n"/>
    </row>
    <row r="225" s="1">
      <c r="E225" s="17" t="inlineStr">
        <is>
          <t>kanan</t>
        </is>
      </c>
      <c r="F225" s="17" t="n"/>
      <c r="G225" s="17" t="n"/>
      <c r="J225" s="17" t="inlineStr">
        <is>
          <t>tengah</t>
        </is>
      </c>
      <c r="K225" s="17" t="n"/>
      <c r="L225" s="17" t="n"/>
      <c r="O225" s="17" t="n"/>
      <c r="P225" s="17" t="n"/>
      <c r="Q225" s="17" t="n"/>
      <c r="T225" s="17" t="inlineStr">
        <is>
          <t>tengah</t>
        </is>
      </c>
      <c r="U225" s="17" t="n"/>
      <c r="V225" s="17" t="n"/>
    </row>
    <row r="226" s="1">
      <c r="E226" s="17" t="inlineStr">
        <is>
          <t>kanan</t>
        </is>
      </c>
      <c r="F226" s="17" t="n"/>
      <c r="G226" s="17" t="n"/>
      <c r="J226" s="17" t="inlineStr">
        <is>
          <t>kiri</t>
        </is>
      </c>
      <c r="K226" s="17" t="n"/>
      <c r="L226" s="17" t="n"/>
      <c r="O226" s="17" t="n"/>
      <c r="P226" s="17" t="n"/>
      <c r="Q226" s="17" t="n"/>
      <c r="T226" s="17" t="inlineStr">
        <is>
          <t>tengah</t>
        </is>
      </c>
      <c r="U226" s="17" t="n"/>
      <c r="V226" s="17" t="n"/>
    </row>
    <row r="227" s="1">
      <c r="E227" s="17" t="inlineStr">
        <is>
          <t>tengah</t>
        </is>
      </c>
      <c r="F227" s="17" t="n"/>
      <c r="G227" s="17" t="n"/>
      <c r="J227" s="17" t="inlineStr">
        <is>
          <t>tengah</t>
        </is>
      </c>
      <c r="K227" s="17" t="n"/>
      <c r="L227" s="17" t="n"/>
      <c r="O227" s="17" t="n"/>
      <c r="P227" s="17" t="n"/>
      <c r="Q227" s="17" t="n"/>
      <c r="T227" s="17" t="inlineStr">
        <is>
          <t>kanan</t>
        </is>
      </c>
      <c r="U227" s="17" t="n"/>
      <c r="V227" s="17" t="n"/>
    </row>
    <row r="228" s="1">
      <c r="E228" s="17" t="inlineStr">
        <is>
          <t>tengah</t>
        </is>
      </c>
      <c r="F228" s="17" t="n"/>
      <c r="G228" s="17" t="n"/>
      <c r="J228" s="17" t="inlineStr">
        <is>
          <t>kanan</t>
        </is>
      </c>
      <c r="K228" s="17" t="n"/>
      <c r="L228" s="17" t="n"/>
      <c r="O228" s="17" t="n"/>
      <c r="P228" s="17" t="n"/>
      <c r="Q228" s="17" t="n"/>
      <c r="T228" s="17" t="inlineStr">
        <is>
          <t>kanan</t>
        </is>
      </c>
      <c r="U228" s="17" t="n"/>
      <c r="V228" s="17" t="n"/>
    </row>
    <row r="229" s="1">
      <c r="E229" s="17" t="inlineStr">
        <is>
          <t>tengah</t>
        </is>
      </c>
      <c r="F229" s="17" t="n"/>
      <c r="G229" s="17" t="n"/>
      <c r="J229" s="17" t="inlineStr">
        <is>
          <t>tengah</t>
        </is>
      </c>
      <c r="K229" s="17" t="n"/>
      <c r="L229" s="17" t="n"/>
      <c r="O229" s="17" t="n"/>
      <c r="P229" s="17" t="n"/>
      <c r="Q229" s="17" t="n"/>
      <c r="T229" s="17" t="inlineStr">
        <is>
          <t>tengah</t>
        </is>
      </c>
      <c r="U229" s="17" t="n"/>
      <c r="V229" s="17" t="n"/>
    </row>
    <row r="230" s="1">
      <c r="E230" s="17" t="inlineStr">
        <is>
          <t>kiri</t>
        </is>
      </c>
      <c r="F230" s="17" t="n"/>
      <c r="G230" s="17" t="n"/>
      <c r="J230" s="17" t="inlineStr">
        <is>
          <t>tengah</t>
        </is>
      </c>
      <c r="K230" s="17" t="n"/>
      <c r="L230" s="17" t="n"/>
      <c r="O230" s="17" t="n"/>
      <c r="P230" s="17" t="n"/>
      <c r="Q230" s="17" t="n"/>
      <c r="T230" s="17" t="inlineStr">
        <is>
          <t>tengah</t>
        </is>
      </c>
      <c r="U230" s="17" t="n"/>
      <c r="V230" s="17" t="n"/>
    </row>
    <row r="231" s="1">
      <c r="E231" s="17" t="inlineStr">
        <is>
          <t>kiri</t>
        </is>
      </c>
      <c r="F231" s="17" t="n"/>
      <c r="G231" s="17" t="n"/>
      <c r="J231" s="17" t="inlineStr">
        <is>
          <t>tengah</t>
        </is>
      </c>
      <c r="K231" s="17" t="n"/>
      <c r="L231" s="17" t="n"/>
      <c r="O231" s="17" t="n"/>
      <c r="P231" s="17" t="n"/>
      <c r="Q231" s="17" t="n"/>
      <c r="T231" s="17" t="inlineStr">
        <is>
          <t>kanan</t>
        </is>
      </c>
      <c r="U231" s="17" t="n"/>
      <c r="V231" s="17" t="n"/>
    </row>
    <row r="232" s="1">
      <c r="E232" s="17" t="inlineStr">
        <is>
          <t>tengah</t>
        </is>
      </c>
      <c r="F232" s="17" t="n"/>
      <c r="G232" s="17" t="n"/>
      <c r="J232" s="17" t="inlineStr">
        <is>
          <t>tengah</t>
        </is>
      </c>
      <c r="K232" s="17" t="n"/>
      <c r="L232" s="17" t="n"/>
      <c r="O232" s="17" t="n"/>
      <c r="P232" s="17" t="n"/>
      <c r="Q232" s="17" t="n"/>
      <c r="T232" s="17" t="inlineStr">
        <is>
          <t>tengah</t>
        </is>
      </c>
      <c r="U232" s="17" t="n"/>
      <c r="V232" s="17" t="n"/>
    </row>
    <row r="233" s="1">
      <c r="E233" s="17" t="inlineStr">
        <is>
          <t>tengah</t>
        </is>
      </c>
      <c r="F233" s="17" t="n"/>
      <c r="G233" s="17" t="n"/>
      <c r="J233" s="17" t="inlineStr">
        <is>
          <t>tengah</t>
        </is>
      </c>
      <c r="K233" s="17" t="n"/>
      <c r="L233" s="17" t="n"/>
      <c r="O233" s="17" t="n"/>
      <c r="P233" s="17" t="n"/>
      <c r="Q233" s="17" t="n"/>
      <c r="T233" s="17" t="inlineStr">
        <is>
          <t>kanan</t>
        </is>
      </c>
      <c r="U233" s="17" t="n"/>
      <c r="V233" s="17" t="n"/>
    </row>
    <row r="234" s="1">
      <c r="E234" s="17" t="inlineStr">
        <is>
          <t>tengah</t>
        </is>
      </c>
      <c r="F234" s="17" t="n"/>
      <c r="G234" s="17" t="n"/>
      <c r="J234" s="17" t="inlineStr">
        <is>
          <t>tengah</t>
        </is>
      </c>
      <c r="K234" s="17" t="n"/>
      <c r="L234" s="17" t="n"/>
      <c r="O234" s="17" t="n"/>
      <c r="P234" s="17" t="n"/>
      <c r="Q234" s="17" t="n"/>
      <c r="T234" s="17" t="inlineStr">
        <is>
          <t>tengah</t>
        </is>
      </c>
      <c r="U234" s="17" t="n"/>
      <c r="V234" s="17" t="n"/>
    </row>
    <row r="235" s="1">
      <c r="E235" s="17" t="inlineStr">
        <is>
          <t>kanan</t>
        </is>
      </c>
      <c r="F235" s="17" t="n"/>
      <c r="G235" s="17" t="n"/>
      <c r="J235" s="17" t="inlineStr">
        <is>
          <t>kanan</t>
        </is>
      </c>
      <c r="K235" s="17" t="n"/>
      <c r="L235" s="17" t="n"/>
      <c r="O235" s="17" t="n"/>
      <c r="P235" s="17" t="n"/>
      <c r="Q235" s="17" t="n"/>
      <c r="T235" s="17" t="inlineStr">
        <is>
          <t>kanan</t>
        </is>
      </c>
      <c r="U235" s="17" t="n"/>
      <c r="V235" s="17" t="n"/>
    </row>
    <row r="236" s="1">
      <c r="E236" s="17" t="inlineStr">
        <is>
          <t>kanan</t>
        </is>
      </c>
      <c r="F236" s="17" t="n"/>
      <c r="G236" s="17" t="n"/>
      <c r="J236" s="17" t="inlineStr">
        <is>
          <t>tengah</t>
        </is>
      </c>
      <c r="K236" s="17" t="n"/>
      <c r="L236" s="17" t="n"/>
      <c r="O236" s="17" t="n"/>
      <c r="P236" s="17" t="n"/>
      <c r="Q236" s="17" t="n"/>
      <c r="T236" s="17" t="inlineStr">
        <is>
          <t>tengah</t>
        </is>
      </c>
      <c r="U236" s="17" t="n"/>
      <c r="V236" s="17" t="n"/>
    </row>
    <row r="237" s="1">
      <c r="E237" s="17" t="inlineStr">
        <is>
          <t>tengah</t>
        </is>
      </c>
      <c r="F237" s="17" t="n"/>
      <c r="G237" s="17" t="n"/>
      <c r="J237" s="17" t="inlineStr">
        <is>
          <t>kiri</t>
        </is>
      </c>
      <c r="K237" s="17" t="n"/>
      <c r="L237" s="17" t="n"/>
      <c r="O237" s="17" t="n"/>
      <c r="P237" s="17" t="n"/>
      <c r="Q237" s="17" t="n"/>
      <c r="T237" s="17" t="inlineStr">
        <is>
          <t>tengah</t>
        </is>
      </c>
      <c r="U237" s="17" t="n"/>
      <c r="V237" s="17" t="n"/>
    </row>
    <row r="238" s="1">
      <c r="E238" s="17" t="inlineStr">
        <is>
          <t>tengah</t>
        </is>
      </c>
      <c r="F238" s="17" t="n"/>
      <c r="G238" s="17" t="n"/>
      <c r="J238" s="17" t="inlineStr">
        <is>
          <t>tengah</t>
        </is>
      </c>
      <c r="K238" s="17" t="n"/>
      <c r="L238" s="17" t="n"/>
      <c r="O238" s="17" t="n"/>
      <c r="P238" s="17" t="n"/>
      <c r="Q238" s="17" t="n"/>
      <c r="T238" s="17" t="inlineStr">
        <is>
          <t>kanan</t>
        </is>
      </c>
      <c r="U238" s="17" t="n"/>
      <c r="V238" s="17" t="n"/>
    </row>
    <row r="239" s="1">
      <c r="E239" s="17" t="inlineStr">
        <is>
          <t>tengah</t>
        </is>
      </c>
      <c r="F239" s="17" t="n"/>
      <c r="G239" s="17" t="n"/>
      <c r="J239" s="17" t="inlineStr">
        <is>
          <t>tengah</t>
        </is>
      </c>
      <c r="K239" s="17" t="n"/>
      <c r="L239" s="17" t="n"/>
      <c r="O239" s="17" t="n"/>
      <c r="P239" s="17" t="n"/>
      <c r="Q239" s="17" t="n"/>
      <c r="T239" s="17" t="inlineStr">
        <is>
          <t>kanan</t>
        </is>
      </c>
      <c r="U239" s="17" t="n"/>
      <c r="V239" s="17" t="n"/>
    </row>
    <row r="240" s="1">
      <c r="E240" s="17" t="inlineStr">
        <is>
          <t>kiri</t>
        </is>
      </c>
      <c r="F240" s="17" t="n"/>
      <c r="G240" s="17" t="n"/>
      <c r="J240" s="17" t="inlineStr">
        <is>
          <t>tengah</t>
        </is>
      </c>
      <c r="K240" s="17" t="n"/>
      <c r="L240" s="17" t="n"/>
      <c r="O240" s="17" t="n"/>
      <c r="P240" s="17" t="n"/>
      <c r="Q240" s="17" t="n"/>
      <c r="T240" s="17" t="inlineStr">
        <is>
          <t>tengah</t>
        </is>
      </c>
      <c r="U240" s="17" t="n"/>
      <c r="V240" s="17" t="n"/>
    </row>
    <row r="241" s="1">
      <c r="E241" s="17" t="inlineStr">
        <is>
          <t>kiri</t>
        </is>
      </c>
      <c r="F241" s="17" t="n"/>
      <c r="G241" s="17" t="n"/>
      <c r="J241" s="17" t="inlineStr">
        <is>
          <t>tengah</t>
        </is>
      </c>
      <c r="K241" s="17" t="n"/>
      <c r="L241" s="17" t="n"/>
      <c r="O241" s="17" t="n"/>
      <c r="P241" s="17" t="n"/>
      <c r="Q241" s="17" t="n"/>
      <c r="T241" s="17" t="inlineStr">
        <is>
          <t>tengah</t>
        </is>
      </c>
      <c r="U241" s="17" t="n"/>
      <c r="V241" s="17" t="n"/>
    </row>
    <row r="242" s="1">
      <c r="E242" s="17" t="inlineStr">
        <is>
          <t>tengah</t>
        </is>
      </c>
      <c r="F242" s="17" t="n"/>
      <c r="G242" s="17" t="n"/>
      <c r="J242" s="17" t="inlineStr">
        <is>
          <t>tengah</t>
        </is>
      </c>
      <c r="K242" s="17" t="n"/>
      <c r="L242" s="17" t="n"/>
      <c r="O242" s="17" t="n"/>
      <c r="P242" s="17" t="n"/>
      <c r="Q242" s="17" t="n"/>
      <c r="T242" s="17" t="inlineStr">
        <is>
          <t>tengah</t>
        </is>
      </c>
      <c r="U242" s="17" t="n"/>
      <c r="V242" s="17" t="n"/>
    </row>
    <row r="243" s="1">
      <c r="E243" s="17" t="inlineStr">
        <is>
          <t>kiri</t>
        </is>
      </c>
      <c r="F243" s="17" t="n"/>
      <c r="G243" s="17" t="n"/>
      <c r="J243" s="17" t="inlineStr">
        <is>
          <t>kiri</t>
        </is>
      </c>
      <c r="K243" s="17" t="n"/>
      <c r="L243" s="17" t="n"/>
      <c r="O243" s="17" t="n"/>
      <c r="P243" s="17" t="n"/>
      <c r="Q243" s="17" t="n"/>
      <c r="T243" s="17" t="inlineStr">
        <is>
          <t>tengah</t>
        </is>
      </c>
      <c r="U243" s="17" t="n"/>
      <c r="V243" s="17" t="n"/>
    </row>
    <row r="244" s="1">
      <c r="E244" s="17" t="inlineStr">
        <is>
          <t>tengah</t>
        </is>
      </c>
      <c r="F244" s="17" t="n"/>
      <c r="G244" s="17" t="n"/>
      <c r="J244" s="17" t="inlineStr">
        <is>
          <t>kiri</t>
        </is>
      </c>
      <c r="K244" s="17" t="n"/>
      <c r="L244" s="17" t="n"/>
      <c r="O244" s="17" t="n"/>
      <c r="P244" s="17" t="n"/>
      <c r="Q244" s="17" t="n"/>
      <c r="T244" s="17" t="inlineStr">
        <is>
          <t>tengah</t>
        </is>
      </c>
      <c r="U244" s="17" t="n"/>
      <c r="V244" s="17" t="n"/>
    </row>
    <row r="245" s="1">
      <c r="E245" s="17" t="inlineStr">
        <is>
          <t>kiri</t>
        </is>
      </c>
      <c r="F245" s="17" t="n"/>
      <c r="G245" s="17" t="n"/>
      <c r="J245" s="17" t="inlineStr">
        <is>
          <t>tengah</t>
        </is>
      </c>
      <c r="K245" s="17" t="n"/>
      <c r="L245" s="17" t="n"/>
      <c r="O245" s="17" t="n"/>
      <c r="P245" s="17" t="n"/>
      <c r="Q245" s="17" t="n"/>
      <c r="T245" s="17" t="inlineStr">
        <is>
          <t>kanan</t>
        </is>
      </c>
      <c r="U245" s="17" t="n"/>
      <c r="V245" s="17" t="n"/>
    </row>
    <row r="246" s="1">
      <c r="E246" s="17" t="inlineStr">
        <is>
          <t>tengah</t>
        </is>
      </c>
      <c r="F246" s="17" t="n"/>
      <c r="G246" s="17" t="n"/>
      <c r="J246" s="17" t="inlineStr">
        <is>
          <t>kiri</t>
        </is>
      </c>
      <c r="K246" s="17" t="n"/>
      <c r="L246" s="17" t="n"/>
      <c r="O246" s="17" t="n"/>
      <c r="P246" s="17" t="n"/>
      <c r="Q246" s="17" t="n"/>
      <c r="T246" s="17" t="inlineStr">
        <is>
          <t>kanan</t>
        </is>
      </c>
      <c r="U246" s="17" t="n"/>
      <c r="V246" s="17" t="n"/>
    </row>
    <row r="247" s="1">
      <c r="E247" s="17" t="inlineStr">
        <is>
          <t>tengah</t>
        </is>
      </c>
      <c r="F247" s="17" t="n"/>
      <c r="G247" s="17" t="n"/>
      <c r="J247" s="17" t="inlineStr">
        <is>
          <t>tengah</t>
        </is>
      </c>
      <c r="K247" s="17" t="n"/>
      <c r="L247" s="17" t="n"/>
      <c r="O247" s="17" t="n"/>
      <c r="P247" s="17" t="n"/>
      <c r="Q247" s="17" t="n"/>
      <c r="T247" s="17" t="inlineStr">
        <is>
          <t>tengah</t>
        </is>
      </c>
      <c r="U247" s="17" t="n"/>
      <c r="V247" s="17" t="n"/>
    </row>
    <row r="248" s="1">
      <c r="E248" s="17" t="inlineStr">
        <is>
          <t>kanan</t>
        </is>
      </c>
      <c r="F248" s="17" t="n"/>
      <c r="G248" s="17" t="n"/>
      <c r="J248" s="17" t="inlineStr">
        <is>
          <t>kanan</t>
        </is>
      </c>
      <c r="K248" s="17" t="n"/>
      <c r="L248" s="17" t="n"/>
      <c r="O248" s="17" t="n"/>
      <c r="P248" s="17" t="n"/>
      <c r="Q248" s="17" t="n"/>
      <c r="T248" s="17" t="inlineStr">
        <is>
          <t>kanan</t>
        </is>
      </c>
      <c r="U248" s="17" t="n"/>
      <c r="V248" s="17" t="n"/>
    </row>
    <row r="249" s="1">
      <c r="E249" s="17" t="inlineStr">
        <is>
          <t>kiri</t>
        </is>
      </c>
      <c r="F249" s="17" t="n"/>
      <c r="G249" s="17" t="n"/>
      <c r="J249" s="17" t="inlineStr">
        <is>
          <t>tengah</t>
        </is>
      </c>
      <c r="K249" s="17" t="n"/>
      <c r="L249" s="17" t="n"/>
      <c r="O249" s="17" t="n"/>
      <c r="P249" s="17" t="n"/>
      <c r="Q249" s="17" t="n"/>
      <c r="T249" s="17" t="inlineStr">
        <is>
          <t>tengah</t>
        </is>
      </c>
      <c r="U249" s="17" t="n"/>
      <c r="V249" s="17" t="n"/>
    </row>
    <row r="250" s="1">
      <c r="E250" s="17" t="inlineStr">
        <is>
          <t>tengah</t>
        </is>
      </c>
      <c r="F250" s="17" t="n"/>
      <c r="G250" s="17" t="n"/>
      <c r="J250" s="17" t="inlineStr">
        <is>
          <t>kanan</t>
        </is>
      </c>
      <c r="K250" s="17" t="n"/>
      <c r="L250" s="17" t="n"/>
      <c r="O250" s="17" t="n"/>
      <c r="P250" s="17" t="n"/>
      <c r="Q250" s="17" t="n"/>
      <c r="T250" s="17" t="inlineStr">
        <is>
          <t>tengah</t>
        </is>
      </c>
      <c r="U250" s="17" t="n"/>
      <c r="V250" s="17" t="n"/>
    </row>
    <row r="251" s="1">
      <c r="E251" s="17" t="inlineStr">
        <is>
          <t>tengah</t>
        </is>
      </c>
      <c r="F251" s="17" t="n"/>
      <c r="G251" s="17" t="n"/>
      <c r="J251" s="17" t="inlineStr">
        <is>
          <t>tengah</t>
        </is>
      </c>
      <c r="K251" s="17" t="n"/>
      <c r="L251" s="17" t="n"/>
      <c r="O251" s="17" t="n"/>
      <c r="P251" s="17" t="n"/>
      <c r="Q251" s="17" t="n"/>
      <c r="T251" s="17" t="inlineStr">
        <is>
          <t>tengah</t>
        </is>
      </c>
      <c r="U251" s="17" t="n"/>
      <c r="V251" s="17" t="n"/>
    </row>
    <row r="252" s="1">
      <c r="E252" s="17" t="inlineStr">
        <is>
          <t>tengah</t>
        </is>
      </c>
      <c r="F252" s="17" t="n"/>
      <c r="G252" s="17" t="n"/>
      <c r="J252" s="17" t="inlineStr">
        <is>
          <t>tengah</t>
        </is>
      </c>
      <c r="K252" s="17" t="n"/>
      <c r="L252" s="17" t="n"/>
      <c r="O252" s="17" t="n"/>
      <c r="P252" s="17" t="n"/>
      <c r="Q252" s="17" t="n"/>
      <c r="T252" s="17" t="inlineStr">
        <is>
          <t>kanan</t>
        </is>
      </c>
      <c r="U252" s="17" t="n"/>
      <c r="V252" s="17" t="n"/>
    </row>
    <row r="253" s="1">
      <c r="E253" s="17" t="inlineStr">
        <is>
          <t>kanan</t>
        </is>
      </c>
      <c r="F253" s="17" t="n"/>
      <c r="G253" s="17" t="n"/>
      <c r="J253" s="17" t="inlineStr">
        <is>
          <t>tengah</t>
        </is>
      </c>
      <c r="K253" s="17" t="n"/>
      <c r="L253" s="17" t="n"/>
      <c r="O253" s="17" t="n"/>
      <c r="P253" s="17" t="n"/>
      <c r="Q253" s="17" t="n"/>
      <c r="T253" s="17" t="inlineStr">
        <is>
          <t>kanan</t>
        </is>
      </c>
      <c r="U253" s="17" t="n"/>
      <c r="V253" s="17" t="n"/>
    </row>
    <row r="254" s="1">
      <c r="E254" s="17" t="inlineStr">
        <is>
          <t>kiri</t>
        </is>
      </c>
      <c r="F254" s="17" t="n"/>
      <c r="G254" s="17" t="n"/>
      <c r="J254" s="17" t="inlineStr">
        <is>
          <t>tengah</t>
        </is>
      </c>
      <c r="K254" s="17" t="n"/>
      <c r="L254" s="17" t="n"/>
      <c r="O254" s="17" t="n"/>
      <c r="P254" s="17" t="n"/>
      <c r="Q254" s="17" t="n"/>
      <c r="T254" s="17" t="inlineStr">
        <is>
          <t>tengah</t>
        </is>
      </c>
      <c r="U254" s="17" t="n"/>
      <c r="V254" s="17" t="n"/>
    </row>
    <row r="255" s="1">
      <c r="E255" s="17" t="inlineStr">
        <is>
          <t>tengah</t>
        </is>
      </c>
      <c r="F255" s="17" t="n"/>
      <c r="G255" s="17" t="n"/>
      <c r="J255" s="17" t="inlineStr">
        <is>
          <t>tengah</t>
        </is>
      </c>
      <c r="K255" s="17" t="n"/>
      <c r="L255" s="17" t="n"/>
      <c r="O255" s="17" t="n"/>
      <c r="P255" s="17" t="n"/>
      <c r="Q255" s="17" t="n"/>
      <c r="T255" s="17" t="inlineStr">
        <is>
          <t>kanan</t>
        </is>
      </c>
      <c r="U255" s="17" t="n"/>
      <c r="V255" s="17" t="n"/>
    </row>
    <row r="256" s="1">
      <c r="E256" s="17" t="inlineStr">
        <is>
          <t>kiri</t>
        </is>
      </c>
      <c r="F256" s="17" t="n"/>
      <c r="G256" s="17" t="n"/>
      <c r="J256" s="17" t="inlineStr">
        <is>
          <t>tengah</t>
        </is>
      </c>
      <c r="K256" s="17" t="n"/>
      <c r="L256" s="17" t="n"/>
      <c r="O256" s="17" t="n"/>
      <c r="P256" s="17" t="n"/>
      <c r="Q256" s="17" t="n"/>
      <c r="T256" s="17" t="inlineStr">
        <is>
          <t>tengah</t>
        </is>
      </c>
      <c r="U256" s="17" t="n"/>
      <c r="V256" s="17" t="n"/>
    </row>
    <row r="257" s="1">
      <c r="E257" s="17" t="inlineStr">
        <is>
          <t>tengah</t>
        </is>
      </c>
      <c r="F257" s="17" t="n"/>
      <c r="G257" s="17" t="n"/>
      <c r="J257" s="17" t="inlineStr">
        <is>
          <t>tengah</t>
        </is>
      </c>
      <c r="K257" s="17" t="n"/>
      <c r="L257" s="17" t="n"/>
      <c r="O257" s="17" t="n"/>
      <c r="P257" s="17" t="n"/>
      <c r="Q257" s="17" t="n"/>
      <c r="T257" s="17" t="inlineStr">
        <is>
          <t>kanan</t>
        </is>
      </c>
      <c r="U257" s="17" t="n"/>
      <c r="V257" s="17" t="n"/>
    </row>
    <row r="258" s="1">
      <c r="E258" s="17" t="inlineStr">
        <is>
          <t>kanan</t>
        </is>
      </c>
      <c r="F258" s="17" t="n"/>
      <c r="G258" s="17" t="n"/>
      <c r="J258" s="17" t="inlineStr">
        <is>
          <t>tengah</t>
        </is>
      </c>
      <c r="K258" s="17" t="n"/>
      <c r="L258" s="17" t="n"/>
      <c r="O258" s="17" t="n"/>
      <c r="P258" s="17" t="n"/>
      <c r="Q258" s="17" t="n"/>
      <c r="T258" s="17" t="inlineStr">
        <is>
          <t>kanan</t>
        </is>
      </c>
      <c r="U258" s="17" t="n"/>
      <c r="V258" s="17" t="n"/>
    </row>
    <row r="259" s="1">
      <c r="E259" s="17" t="inlineStr">
        <is>
          <t>kiri</t>
        </is>
      </c>
      <c r="F259" s="17" t="n"/>
      <c r="G259" s="17" t="n"/>
      <c r="J259" s="17" t="inlineStr">
        <is>
          <t>tengah</t>
        </is>
      </c>
      <c r="K259" s="17" t="n"/>
      <c r="L259" s="17" t="n"/>
      <c r="O259" s="17" t="n"/>
      <c r="P259" s="17" t="n"/>
      <c r="Q259" s="17" t="n"/>
      <c r="T259" s="17" t="inlineStr">
        <is>
          <t>tengah</t>
        </is>
      </c>
      <c r="U259" s="17" t="n"/>
      <c r="V259" s="17" t="n"/>
    </row>
    <row r="260" s="1">
      <c r="E260" s="17" t="inlineStr">
        <is>
          <t>kanan</t>
        </is>
      </c>
      <c r="F260" s="17" t="n"/>
      <c r="G260" s="17" t="n"/>
      <c r="J260" s="17" t="inlineStr">
        <is>
          <t>tengah</t>
        </is>
      </c>
      <c r="K260" s="17" t="n"/>
      <c r="L260" s="17" t="n"/>
      <c r="O260" s="17" t="n"/>
      <c r="P260" s="17" t="n"/>
      <c r="Q260" s="17" t="n"/>
      <c r="T260" s="17" t="inlineStr">
        <is>
          <t>tengah</t>
        </is>
      </c>
      <c r="U260" s="17" t="n"/>
      <c r="V260" s="17" t="n"/>
    </row>
    <row r="261" s="1">
      <c r="E261" s="17" t="inlineStr">
        <is>
          <t>tengah</t>
        </is>
      </c>
      <c r="F261" s="17" t="n"/>
      <c r="G261" s="17" t="n"/>
      <c r="J261" s="17" t="inlineStr">
        <is>
          <t>tengah</t>
        </is>
      </c>
      <c r="K261" s="17" t="n"/>
      <c r="L261" s="17" t="n"/>
      <c r="O261" s="17" t="n"/>
      <c r="P261" s="17" t="n"/>
      <c r="Q261" s="17" t="n"/>
      <c r="T261" s="17" t="inlineStr">
        <is>
          <t>kanan</t>
        </is>
      </c>
      <c r="U261" s="17" t="n"/>
      <c r="V261" s="17" t="n"/>
    </row>
    <row r="262" s="1">
      <c r="E262" s="17" t="inlineStr">
        <is>
          <t>kanan</t>
        </is>
      </c>
      <c r="F262" s="17" t="n"/>
      <c r="G262" s="17" t="n"/>
      <c r="J262" s="17" t="inlineStr">
        <is>
          <t>tengah</t>
        </is>
      </c>
      <c r="K262" s="17" t="n"/>
      <c r="L262" s="17" t="n"/>
      <c r="O262" s="17" t="n"/>
      <c r="P262" s="17" t="n"/>
      <c r="Q262" s="17" t="n"/>
      <c r="T262" s="17" t="inlineStr">
        <is>
          <t>tengah</t>
        </is>
      </c>
      <c r="U262" s="17" t="n"/>
      <c r="V262" s="17" t="n"/>
    </row>
    <row r="263" s="1">
      <c r="E263" s="17" t="inlineStr">
        <is>
          <t>tengah</t>
        </is>
      </c>
      <c r="F263" s="17" t="n"/>
      <c r="G263" s="17" t="n"/>
      <c r="J263" s="17" t="inlineStr">
        <is>
          <t>kanan</t>
        </is>
      </c>
      <c r="K263" s="17" t="n"/>
      <c r="L263" s="17" t="n"/>
      <c r="O263" s="17" t="n"/>
      <c r="P263" s="17" t="n"/>
      <c r="Q263" s="17" t="n"/>
      <c r="T263" s="17" t="inlineStr">
        <is>
          <t>tengah</t>
        </is>
      </c>
      <c r="U263" s="17" t="n"/>
      <c r="V263" s="17" t="n"/>
    </row>
    <row r="264" s="1">
      <c r="E264" s="17" t="inlineStr">
        <is>
          <t>tengah</t>
        </is>
      </c>
      <c r="F264" s="17" t="n"/>
      <c r="G264" s="17" t="n"/>
      <c r="J264" s="17" t="inlineStr">
        <is>
          <t>tengah</t>
        </is>
      </c>
      <c r="K264" s="17" t="n"/>
      <c r="L264" s="17" t="n"/>
      <c r="O264" s="17" t="n"/>
      <c r="P264" s="17" t="n"/>
      <c r="Q264" s="17" t="n"/>
      <c r="T264" s="17" t="inlineStr">
        <is>
          <t>tengah</t>
        </is>
      </c>
      <c r="U264" s="17" t="n"/>
      <c r="V264" s="17" t="n"/>
    </row>
    <row r="265" s="1">
      <c r="E265" s="17" t="inlineStr">
        <is>
          <t>kiri</t>
        </is>
      </c>
      <c r="F265" s="17" t="n"/>
      <c r="G265" s="17" t="n"/>
      <c r="J265" s="17" t="inlineStr">
        <is>
          <t>tengah</t>
        </is>
      </c>
      <c r="K265" s="17" t="n"/>
      <c r="L265" s="17" t="n"/>
      <c r="O265" s="17" t="n"/>
      <c r="P265" s="17" t="n"/>
      <c r="Q265" s="17" t="n"/>
      <c r="T265" s="17" t="inlineStr">
        <is>
          <t>tengah</t>
        </is>
      </c>
      <c r="U265" s="17" t="n"/>
      <c r="V265" s="17" t="n"/>
    </row>
    <row r="266" s="1">
      <c r="E266" s="17" t="inlineStr">
        <is>
          <t>tengah</t>
        </is>
      </c>
      <c r="F266" s="17" t="n"/>
      <c r="G266" s="17" t="n"/>
      <c r="J266" s="17" t="inlineStr">
        <is>
          <t>tengah</t>
        </is>
      </c>
      <c r="K266" s="17" t="n"/>
      <c r="L266" s="17" t="n"/>
      <c r="O266" s="17" t="n"/>
      <c r="P266" s="17" t="n"/>
      <c r="Q266" s="17" t="n"/>
      <c r="T266" s="17" t="inlineStr">
        <is>
          <t>kanan</t>
        </is>
      </c>
      <c r="U266" s="17" t="n"/>
      <c r="V266" s="17" t="n"/>
    </row>
    <row r="267" s="1">
      <c r="E267" s="17" t="inlineStr">
        <is>
          <t>kanan</t>
        </is>
      </c>
      <c r="F267" s="17" t="n"/>
      <c r="G267" s="17" t="n"/>
      <c r="J267" s="17" t="inlineStr">
        <is>
          <t>kanan</t>
        </is>
      </c>
      <c r="K267" s="17" t="n"/>
      <c r="L267" s="17" t="n"/>
      <c r="O267" s="17" t="n"/>
      <c r="P267" s="17" t="n"/>
      <c r="Q267" s="17" t="n"/>
      <c r="T267" s="17" t="inlineStr">
        <is>
          <t>tengah</t>
        </is>
      </c>
      <c r="U267" s="17" t="n"/>
      <c r="V267" s="17" t="n"/>
    </row>
    <row r="268" s="1">
      <c r="E268" s="17" t="inlineStr">
        <is>
          <t>tengah</t>
        </is>
      </c>
      <c r="F268" s="17" t="n"/>
      <c r="G268" s="17" t="n"/>
      <c r="J268" s="17" t="inlineStr">
        <is>
          <t>tengah</t>
        </is>
      </c>
      <c r="K268" s="17" t="n"/>
      <c r="L268" s="17" t="n"/>
      <c r="O268" s="17" t="n"/>
      <c r="P268" s="17" t="n"/>
      <c r="Q268" s="17" t="n"/>
      <c r="T268" s="17" t="inlineStr">
        <is>
          <t>kanan</t>
        </is>
      </c>
      <c r="U268" s="17" t="n"/>
      <c r="V268" s="17" t="n"/>
    </row>
    <row r="269" s="1">
      <c r="E269" s="17" t="inlineStr">
        <is>
          <t>kiri</t>
        </is>
      </c>
      <c r="F269" s="17" t="n"/>
      <c r="G269" s="17" t="n"/>
      <c r="J269" s="17" t="inlineStr">
        <is>
          <t>kiri</t>
        </is>
      </c>
      <c r="K269" s="17" t="n"/>
      <c r="L269" s="17" t="n"/>
      <c r="O269" s="17" t="n"/>
      <c r="P269" s="17" t="n"/>
      <c r="Q269" s="17" t="n"/>
      <c r="T269" s="17" t="inlineStr">
        <is>
          <t>kanan</t>
        </is>
      </c>
      <c r="U269" s="17" t="n"/>
      <c r="V269" s="17" t="n"/>
    </row>
    <row r="270" s="1">
      <c r="E270" s="17" t="inlineStr">
        <is>
          <t>tengah</t>
        </is>
      </c>
      <c r="F270" s="17" t="n"/>
      <c r="G270" s="17" t="n"/>
      <c r="J270" s="17" t="inlineStr">
        <is>
          <t>tengah</t>
        </is>
      </c>
      <c r="K270" s="17" t="n"/>
      <c r="L270" s="17" t="n"/>
      <c r="O270" s="17" t="n"/>
      <c r="P270" s="17" t="n"/>
      <c r="Q270" s="17" t="n"/>
      <c r="T270" s="17" t="inlineStr">
        <is>
          <t>kanan</t>
        </is>
      </c>
      <c r="U270" s="17" t="n"/>
      <c r="V270" s="17" t="n"/>
    </row>
    <row r="271" s="1">
      <c r="E271" s="17" t="inlineStr">
        <is>
          <t>kiri</t>
        </is>
      </c>
      <c r="F271" s="17" t="n"/>
      <c r="G271" s="17" t="n"/>
      <c r="J271" s="17" t="inlineStr">
        <is>
          <t>tengah</t>
        </is>
      </c>
      <c r="K271" s="17" t="n"/>
      <c r="L271" s="17" t="n"/>
      <c r="O271" s="17" t="n"/>
      <c r="P271" s="17" t="n"/>
      <c r="Q271" s="17" t="n"/>
      <c r="T271" s="17" t="inlineStr">
        <is>
          <t>kanan</t>
        </is>
      </c>
      <c r="U271" s="17" t="n"/>
      <c r="V271" s="17" t="n"/>
    </row>
    <row r="272" s="1">
      <c r="E272" s="17" t="inlineStr">
        <is>
          <t>tengah</t>
        </is>
      </c>
      <c r="F272" s="17" t="n"/>
      <c r="G272" s="17" t="n"/>
      <c r="J272" s="17" t="inlineStr">
        <is>
          <t>kanan</t>
        </is>
      </c>
      <c r="K272" s="17" t="n"/>
      <c r="L272" s="17" t="n"/>
      <c r="O272" s="17" t="n"/>
      <c r="P272" s="17" t="n"/>
      <c r="Q272" s="17" t="n"/>
      <c r="T272" s="17" t="inlineStr">
        <is>
          <t>kanan</t>
        </is>
      </c>
      <c r="U272" s="17" t="n"/>
      <c r="V272" s="17" t="n"/>
    </row>
    <row r="273" s="1">
      <c r="E273" s="17" t="inlineStr">
        <is>
          <t>kiri</t>
        </is>
      </c>
      <c r="F273" s="17" t="n"/>
      <c r="G273" s="17" t="n"/>
      <c r="J273" s="17" t="inlineStr">
        <is>
          <t>kanan</t>
        </is>
      </c>
      <c r="K273" s="17" t="n"/>
      <c r="L273" s="17" t="n"/>
      <c r="O273" s="17" t="n"/>
      <c r="P273" s="17" t="n"/>
      <c r="Q273" s="17" t="n"/>
      <c r="T273" s="17" t="inlineStr">
        <is>
          <t>tengah</t>
        </is>
      </c>
      <c r="U273" s="17" t="n"/>
      <c r="V273" s="17" t="n"/>
    </row>
    <row r="274" s="1">
      <c r="E274" s="17" t="inlineStr">
        <is>
          <t>tengah</t>
        </is>
      </c>
      <c r="F274" s="17" t="n"/>
      <c r="G274" s="17" t="n"/>
      <c r="J274" s="17" t="inlineStr">
        <is>
          <t>tengah</t>
        </is>
      </c>
      <c r="K274" s="17" t="n"/>
      <c r="L274" s="17" t="n"/>
      <c r="O274" s="17" t="n"/>
      <c r="P274" s="17" t="n"/>
      <c r="Q274" s="17" t="n"/>
      <c r="T274" s="17" t="inlineStr">
        <is>
          <t>kanan</t>
        </is>
      </c>
      <c r="U274" s="17" t="n"/>
      <c r="V274" s="17" t="n"/>
    </row>
    <row r="275" s="1">
      <c r="E275" s="17" t="inlineStr">
        <is>
          <t>kiri</t>
        </is>
      </c>
      <c r="F275" s="17" t="n"/>
      <c r="G275" s="17" t="n"/>
      <c r="J275" s="17" t="inlineStr">
        <is>
          <t>tengah</t>
        </is>
      </c>
      <c r="K275" s="17" t="n"/>
      <c r="L275" s="17" t="n"/>
      <c r="O275" s="17" t="n"/>
      <c r="P275" s="17" t="n"/>
      <c r="Q275" s="17" t="n"/>
      <c r="T275" s="17" t="inlineStr">
        <is>
          <t>tengah</t>
        </is>
      </c>
      <c r="U275" s="17" t="n"/>
      <c r="V275" s="17" t="n"/>
    </row>
    <row r="276" s="1">
      <c r="E276" s="17" t="inlineStr">
        <is>
          <t>tengah</t>
        </is>
      </c>
      <c r="F276" s="17" t="n"/>
      <c r="G276" s="17" t="n"/>
      <c r="J276" s="17" t="inlineStr">
        <is>
          <t>tengah</t>
        </is>
      </c>
      <c r="K276" s="17" t="n"/>
      <c r="L276" s="17" t="n"/>
      <c r="O276" s="17" t="n"/>
      <c r="P276" s="17" t="n"/>
      <c r="Q276" s="17" t="n"/>
      <c r="T276" s="17" t="inlineStr">
        <is>
          <t>tengah</t>
        </is>
      </c>
      <c r="U276" s="17" t="n"/>
      <c r="V276" s="17" t="n"/>
    </row>
    <row r="277" s="1">
      <c r="E277" s="17" t="inlineStr">
        <is>
          <t>kanan</t>
        </is>
      </c>
      <c r="F277" s="17" t="n"/>
      <c r="G277" s="17" t="n"/>
      <c r="J277" s="17" t="inlineStr">
        <is>
          <t>kanan</t>
        </is>
      </c>
      <c r="K277" s="17" t="n"/>
      <c r="L277" s="17" t="n"/>
      <c r="O277" s="17" t="n"/>
      <c r="P277" s="17" t="n"/>
      <c r="Q277" s="17" t="n"/>
      <c r="T277" s="17" t="inlineStr">
        <is>
          <t>kanan</t>
        </is>
      </c>
      <c r="U277" s="17" t="n"/>
      <c r="V277" s="17" t="n"/>
    </row>
    <row r="278" s="1">
      <c r="E278" s="17" t="inlineStr">
        <is>
          <t>tengah</t>
        </is>
      </c>
      <c r="F278" s="17" t="n"/>
      <c r="G278" s="17" t="n"/>
      <c r="J278" s="17" t="inlineStr">
        <is>
          <t>kanan</t>
        </is>
      </c>
      <c r="K278" s="17" t="n"/>
      <c r="L278" s="17" t="n"/>
      <c r="O278" s="17" t="n"/>
      <c r="P278" s="17" t="n"/>
      <c r="Q278" s="17" t="n"/>
      <c r="T278" s="17" t="inlineStr">
        <is>
          <t>tengah</t>
        </is>
      </c>
      <c r="U278" s="17" t="n"/>
      <c r="V278" s="17" t="n"/>
    </row>
    <row r="279" s="1">
      <c r="E279" s="17" t="inlineStr">
        <is>
          <t>tengah</t>
        </is>
      </c>
      <c r="F279" s="17" t="n"/>
      <c r="G279" s="17" t="n"/>
      <c r="J279" s="17" t="inlineStr">
        <is>
          <t>tengah</t>
        </is>
      </c>
      <c r="K279" s="17" t="n"/>
      <c r="L279" s="17" t="n"/>
      <c r="O279" s="17" t="n"/>
      <c r="P279" s="17" t="n"/>
      <c r="Q279" s="17" t="n"/>
      <c r="T279" s="17" t="inlineStr">
        <is>
          <t>tengah</t>
        </is>
      </c>
      <c r="U279" s="17" t="n"/>
      <c r="V279" s="17" t="n"/>
    </row>
    <row r="280" s="1">
      <c r="E280" s="17" t="inlineStr">
        <is>
          <t>kanan</t>
        </is>
      </c>
      <c r="F280" s="17" t="n"/>
      <c r="G280" s="17" t="n"/>
      <c r="J280" s="17" t="inlineStr">
        <is>
          <t>tengah</t>
        </is>
      </c>
      <c r="K280" s="17" t="n"/>
      <c r="L280" s="17" t="n"/>
      <c r="O280" s="17" t="n"/>
      <c r="P280" s="17" t="n"/>
      <c r="Q280" s="17" t="n"/>
      <c r="T280" s="17" t="inlineStr">
        <is>
          <t>kanan</t>
        </is>
      </c>
      <c r="U280" s="17" t="n"/>
      <c r="V280" s="17" t="n"/>
    </row>
    <row r="281" s="1">
      <c r="E281" s="17" t="inlineStr">
        <is>
          <t>tengah</t>
        </is>
      </c>
      <c r="F281" s="17" t="n"/>
      <c r="G281" s="17" t="n"/>
      <c r="J281" s="17" t="inlineStr">
        <is>
          <t>tengah</t>
        </is>
      </c>
      <c r="K281" s="17" t="n"/>
      <c r="L281" s="17" t="n"/>
      <c r="O281" s="17" t="n"/>
      <c r="P281" s="17" t="n"/>
      <c r="Q281" s="17" t="n"/>
      <c r="T281" s="17" t="inlineStr">
        <is>
          <t>kanan</t>
        </is>
      </c>
      <c r="U281" s="17" t="n"/>
      <c r="V281" s="17" t="n"/>
    </row>
    <row r="282" s="1">
      <c r="E282" s="17" t="inlineStr">
        <is>
          <t>tengah</t>
        </is>
      </c>
      <c r="F282" s="17" t="n"/>
      <c r="G282" s="17" t="n"/>
      <c r="J282" s="17" t="inlineStr">
        <is>
          <t>kiri</t>
        </is>
      </c>
      <c r="K282" s="17" t="n"/>
      <c r="L282" s="17" t="n"/>
      <c r="O282" s="17" t="n"/>
      <c r="P282" s="17" t="n"/>
      <c r="Q282" s="17" t="n"/>
      <c r="T282" s="17" t="inlineStr">
        <is>
          <t>tengah</t>
        </is>
      </c>
      <c r="U282" s="17" t="n"/>
      <c r="V282" s="17" t="n"/>
    </row>
    <row r="283" s="1">
      <c r="E283" s="17" t="inlineStr">
        <is>
          <t>kiri</t>
        </is>
      </c>
      <c r="F283" s="17" t="n"/>
      <c r="G283" s="17" t="n"/>
      <c r="J283" s="17" t="inlineStr">
        <is>
          <t>tengah</t>
        </is>
      </c>
      <c r="K283" s="17" t="n"/>
      <c r="L283" s="17" t="n"/>
      <c r="O283" s="17" t="n"/>
      <c r="P283" s="17" t="n"/>
      <c r="Q283" s="17" t="n"/>
      <c r="T283" s="17" t="inlineStr">
        <is>
          <t>tengah</t>
        </is>
      </c>
      <c r="U283" s="17" t="n"/>
      <c r="V283" s="17" t="n"/>
    </row>
    <row r="284" s="1">
      <c r="E284" s="17" t="inlineStr">
        <is>
          <t>tengah</t>
        </is>
      </c>
      <c r="F284" s="17" t="n"/>
      <c r="G284" s="17" t="n"/>
      <c r="J284" s="17" t="inlineStr">
        <is>
          <t>tengah</t>
        </is>
      </c>
      <c r="K284" s="17" t="n"/>
      <c r="L284" s="17" t="n"/>
      <c r="O284" s="17" t="n"/>
      <c r="P284" s="17" t="n"/>
      <c r="Q284" s="17" t="n"/>
      <c r="T284" s="17" t="inlineStr">
        <is>
          <t>kanan</t>
        </is>
      </c>
      <c r="U284" s="17" t="n"/>
      <c r="V284" s="17" t="n"/>
    </row>
    <row r="285" s="1">
      <c r="E285" s="17" t="inlineStr">
        <is>
          <t>tengah</t>
        </is>
      </c>
      <c r="F285" s="17" t="n"/>
      <c r="G285" s="17" t="n"/>
      <c r="J285" s="17" t="inlineStr">
        <is>
          <t>kiri</t>
        </is>
      </c>
      <c r="K285" s="17" t="n"/>
      <c r="L285" s="17" t="n"/>
      <c r="O285" s="17" t="n"/>
      <c r="P285" s="17" t="n"/>
      <c r="Q285" s="17" t="n"/>
      <c r="T285" s="17" t="inlineStr">
        <is>
          <t>tengah</t>
        </is>
      </c>
      <c r="U285" s="17" t="n"/>
      <c r="V285" s="17" t="n"/>
    </row>
    <row r="286" s="1">
      <c r="E286" s="17" t="inlineStr">
        <is>
          <t>tengah</t>
        </is>
      </c>
      <c r="F286" s="17" t="n"/>
      <c r="G286" s="17" t="n"/>
      <c r="J286" s="17" t="inlineStr">
        <is>
          <t>tengah</t>
        </is>
      </c>
      <c r="K286" s="17" t="n"/>
      <c r="L286" s="17" t="n"/>
      <c r="O286" s="17" t="n"/>
      <c r="P286" s="17" t="n"/>
      <c r="Q286" s="17" t="n"/>
      <c r="T286" s="17" t="inlineStr">
        <is>
          <t>kanan</t>
        </is>
      </c>
      <c r="U286" s="17" t="n"/>
      <c r="V286" s="17" t="n"/>
    </row>
    <row r="287" s="1">
      <c r="E287" s="17" t="inlineStr">
        <is>
          <t>tengah</t>
        </is>
      </c>
      <c r="F287" s="17" t="n"/>
      <c r="G287" s="17" t="n"/>
      <c r="J287" s="17" t="inlineStr">
        <is>
          <t>kanan</t>
        </is>
      </c>
      <c r="K287" s="17" t="n"/>
      <c r="L287" s="17" t="n"/>
      <c r="O287" s="17" t="n"/>
      <c r="P287" s="17" t="n"/>
      <c r="Q287" s="17" t="n"/>
      <c r="T287" s="17" t="inlineStr">
        <is>
          <t>tengah</t>
        </is>
      </c>
      <c r="U287" s="17" t="n"/>
      <c r="V287" s="17" t="n"/>
    </row>
    <row r="288" s="1">
      <c r="E288" s="17" t="inlineStr">
        <is>
          <t>tengah</t>
        </is>
      </c>
      <c r="F288" s="17" t="n"/>
      <c r="G288" s="17" t="n"/>
      <c r="J288" s="17" t="inlineStr">
        <is>
          <t>kanan</t>
        </is>
      </c>
      <c r="K288" s="17" t="n"/>
      <c r="L288" s="17" t="n"/>
      <c r="O288" s="17" t="n"/>
      <c r="P288" s="17" t="n"/>
      <c r="Q288" s="17" t="n"/>
      <c r="T288" s="17" t="inlineStr">
        <is>
          <t>tengah</t>
        </is>
      </c>
      <c r="U288" s="17" t="n"/>
      <c r="V288" s="17" t="n"/>
    </row>
    <row r="289" s="1">
      <c r="E289" s="17" t="inlineStr">
        <is>
          <t>tengah</t>
        </is>
      </c>
      <c r="F289" s="17" t="n"/>
      <c r="G289" s="17" t="n"/>
      <c r="J289" s="17" t="inlineStr">
        <is>
          <t>tengah</t>
        </is>
      </c>
      <c r="K289" s="17" t="n"/>
      <c r="L289" s="17" t="n"/>
      <c r="O289" s="17" t="n"/>
      <c r="P289" s="17" t="n"/>
      <c r="Q289" s="17" t="n"/>
      <c r="T289" s="17" t="inlineStr">
        <is>
          <t>kanan</t>
        </is>
      </c>
      <c r="U289" s="17" t="n"/>
      <c r="V289" s="17" t="n"/>
    </row>
    <row r="290" s="1">
      <c r="E290" s="17" t="inlineStr">
        <is>
          <t>kiri</t>
        </is>
      </c>
      <c r="F290" s="17" t="n"/>
      <c r="G290" s="17" t="n"/>
      <c r="J290" s="17" t="inlineStr">
        <is>
          <t>kiri</t>
        </is>
      </c>
      <c r="K290" s="17" t="n"/>
      <c r="L290" s="17" t="n"/>
      <c r="O290" s="17" t="n"/>
      <c r="P290" s="17" t="n"/>
      <c r="Q290" s="17" t="n"/>
      <c r="T290" s="17" t="inlineStr">
        <is>
          <t>tengah</t>
        </is>
      </c>
      <c r="U290" s="17" t="n"/>
      <c r="V290" s="17" t="n"/>
    </row>
    <row r="291" s="1">
      <c r="E291" s="17" t="inlineStr">
        <is>
          <t>tengah</t>
        </is>
      </c>
      <c r="F291" s="17" t="n"/>
      <c r="G291" s="17" t="n"/>
      <c r="J291" s="17" t="inlineStr">
        <is>
          <t>tengah</t>
        </is>
      </c>
      <c r="K291" s="17" t="n"/>
      <c r="L291" s="17" t="n"/>
      <c r="O291" s="17" t="n"/>
      <c r="P291" s="17" t="n"/>
      <c r="Q291" s="17" t="n"/>
      <c r="T291" s="17" t="inlineStr">
        <is>
          <t>kanan</t>
        </is>
      </c>
      <c r="U291" s="17" t="n"/>
      <c r="V291" s="17" t="n"/>
    </row>
    <row r="292" s="1">
      <c r="E292" s="17" t="inlineStr">
        <is>
          <t>kanan</t>
        </is>
      </c>
      <c r="F292" s="17" t="n"/>
      <c r="G292" s="17" t="n"/>
      <c r="J292" s="17" t="inlineStr">
        <is>
          <t>tengah</t>
        </is>
      </c>
      <c r="K292" s="17" t="n"/>
      <c r="L292" s="17" t="n"/>
      <c r="O292" s="17" t="n"/>
      <c r="P292" s="17" t="n"/>
      <c r="Q292" s="17" t="n"/>
      <c r="T292" s="17" t="inlineStr">
        <is>
          <t>tengah</t>
        </is>
      </c>
      <c r="U292" s="17" t="n"/>
      <c r="V292" s="17" t="n"/>
    </row>
    <row r="293" s="1">
      <c r="E293" s="17" t="inlineStr">
        <is>
          <t>kiri</t>
        </is>
      </c>
      <c r="F293" s="17" t="n"/>
      <c r="G293" s="17" t="n"/>
      <c r="J293" s="17" t="inlineStr">
        <is>
          <t>kiri</t>
        </is>
      </c>
      <c r="K293" s="17" t="n"/>
      <c r="L293" s="17" t="n"/>
      <c r="O293" s="17" t="n"/>
      <c r="P293" s="17" t="n"/>
      <c r="Q293" s="17" t="n"/>
      <c r="T293" s="17" t="inlineStr">
        <is>
          <t>tengah</t>
        </is>
      </c>
      <c r="U293" s="17" t="n"/>
      <c r="V293" s="17" t="n"/>
    </row>
    <row r="294" s="1">
      <c r="E294" s="17" t="inlineStr">
        <is>
          <t>kiri</t>
        </is>
      </c>
      <c r="F294" s="17" t="n"/>
      <c r="G294" s="17" t="n"/>
      <c r="J294" s="17" t="inlineStr">
        <is>
          <t>kiri</t>
        </is>
      </c>
      <c r="K294" s="17" t="n"/>
      <c r="L294" s="17" t="n"/>
      <c r="O294" s="17" t="n"/>
      <c r="P294" s="17" t="n"/>
      <c r="Q294" s="17" t="n"/>
      <c r="T294" s="17" t="inlineStr">
        <is>
          <t>kanan</t>
        </is>
      </c>
      <c r="U294" s="17" t="n"/>
      <c r="V294" s="17" t="n"/>
    </row>
    <row r="295" s="1">
      <c r="E295" s="17" t="inlineStr">
        <is>
          <t>tengah</t>
        </is>
      </c>
      <c r="F295" s="17" t="n"/>
      <c r="G295" s="17" t="n"/>
      <c r="J295" s="17" t="inlineStr">
        <is>
          <t>tengah</t>
        </is>
      </c>
      <c r="K295" s="17" t="n"/>
      <c r="L295" s="17" t="n"/>
      <c r="O295" s="17" t="n"/>
      <c r="P295" s="17" t="n"/>
      <c r="Q295" s="17" t="n"/>
      <c r="T295" s="17" t="inlineStr">
        <is>
          <t>kanan</t>
        </is>
      </c>
      <c r="U295" s="17" t="n"/>
      <c r="V295" s="17" t="n"/>
    </row>
    <row r="296" s="1">
      <c r="E296" s="17" t="inlineStr">
        <is>
          <t>kiri</t>
        </is>
      </c>
      <c r="F296" s="17" t="n"/>
      <c r="G296" s="17" t="n"/>
      <c r="J296" s="17" t="inlineStr">
        <is>
          <t>tengah</t>
        </is>
      </c>
      <c r="K296" s="17" t="n"/>
      <c r="L296" s="17" t="n"/>
      <c r="O296" s="17" t="n"/>
      <c r="P296" s="17" t="n"/>
      <c r="Q296" s="17" t="n"/>
      <c r="T296" s="17" t="inlineStr">
        <is>
          <t>kanan</t>
        </is>
      </c>
      <c r="U296" s="17" t="n"/>
      <c r="V296" s="17" t="n"/>
    </row>
    <row r="297" s="1">
      <c r="E297" s="17" t="inlineStr">
        <is>
          <t>tengah</t>
        </is>
      </c>
      <c r="F297" s="17" t="n"/>
      <c r="G297" s="17" t="n"/>
      <c r="J297" s="17" t="inlineStr">
        <is>
          <t>tengah</t>
        </is>
      </c>
      <c r="K297" s="17" t="n"/>
      <c r="L297" s="17" t="n"/>
      <c r="O297" s="17" t="n"/>
      <c r="P297" s="17" t="n"/>
      <c r="Q297" s="17" t="n"/>
      <c r="T297" s="17" t="inlineStr">
        <is>
          <t>kanan</t>
        </is>
      </c>
      <c r="U297" s="17" t="n"/>
      <c r="V297" s="17" t="n"/>
    </row>
    <row r="298" s="1">
      <c r="E298" s="17" t="inlineStr">
        <is>
          <t>tengah</t>
        </is>
      </c>
      <c r="F298" s="17" t="n"/>
      <c r="G298" s="17" t="n"/>
      <c r="J298" s="17" t="inlineStr">
        <is>
          <t>tengah</t>
        </is>
      </c>
      <c r="K298" s="17" t="n"/>
      <c r="L298" s="17" t="n"/>
      <c r="O298" s="17" t="n"/>
      <c r="P298" s="17" t="n"/>
      <c r="Q298" s="17" t="n"/>
      <c r="T298" s="17" t="inlineStr">
        <is>
          <t>tengah</t>
        </is>
      </c>
      <c r="U298" s="17" t="n"/>
      <c r="V298" s="17" t="n"/>
    </row>
    <row r="299" s="1">
      <c r="E299" s="17" t="inlineStr">
        <is>
          <t>kanan</t>
        </is>
      </c>
      <c r="F299" s="17" t="n"/>
      <c r="G299" s="17" t="n"/>
      <c r="J299" s="17" t="inlineStr">
        <is>
          <t>tengah</t>
        </is>
      </c>
      <c r="K299" s="17" t="n"/>
      <c r="L299" s="17" t="n"/>
      <c r="O299" s="17" t="n"/>
      <c r="P299" s="17" t="n"/>
      <c r="Q299" s="17" t="n"/>
      <c r="T299" s="17" t="inlineStr">
        <is>
          <t>kanan</t>
        </is>
      </c>
      <c r="U299" s="17" t="n"/>
      <c r="V299" s="17" t="n"/>
    </row>
    <row r="300" s="1">
      <c r="E300" s="17" t="inlineStr">
        <is>
          <t>kanan</t>
        </is>
      </c>
      <c r="F300" s="17" t="n"/>
      <c r="G300" s="17" t="n"/>
      <c r="J300" s="17" t="inlineStr">
        <is>
          <t>kanan</t>
        </is>
      </c>
      <c r="K300" s="17" t="n"/>
      <c r="L300" s="17" t="n"/>
      <c r="O300" s="17" t="n"/>
      <c r="P300" s="17" t="n"/>
      <c r="Q300" s="17" t="n"/>
      <c r="T300" s="17" t="inlineStr">
        <is>
          <t>kanan</t>
        </is>
      </c>
      <c r="U300" s="17" t="n"/>
      <c r="V300" s="17" t="n"/>
    </row>
    <row r="301" s="1">
      <c r="E301" s="17" t="inlineStr">
        <is>
          <t>tengah</t>
        </is>
      </c>
      <c r="F301" s="17" t="n"/>
      <c r="G301" s="17" t="n"/>
      <c r="J301" s="17" t="inlineStr">
        <is>
          <t>tengah</t>
        </is>
      </c>
      <c r="K301" s="17" t="n"/>
      <c r="L301" s="17" t="n"/>
      <c r="O301" s="17" t="n"/>
      <c r="P301" s="17" t="n"/>
      <c r="Q301" s="17" t="n"/>
      <c r="T301" s="17" t="inlineStr">
        <is>
          <t>tengah</t>
        </is>
      </c>
      <c r="U301" s="17" t="n"/>
      <c r="V301" s="17" t="n"/>
    </row>
    <row r="302" s="1">
      <c r="E302" s="17" t="inlineStr">
        <is>
          <t>tengah</t>
        </is>
      </c>
      <c r="F302" s="17" t="n"/>
      <c r="G302" s="17" t="n"/>
      <c r="J302" s="17" t="inlineStr">
        <is>
          <t>tengah</t>
        </is>
      </c>
      <c r="K302" s="17" t="n"/>
      <c r="L302" s="17" t="n"/>
      <c r="O302" s="17" t="n"/>
      <c r="P302" s="17" t="n"/>
      <c r="Q302" s="17" t="n"/>
      <c r="T302" s="17" t="inlineStr">
        <is>
          <t>tengah</t>
        </is>
      </c>
      <c r="U302" s="17" t="n"/>
      <c r="V302" s="17" t="n"/>
    </row>
    <row r="303" s="1">
      <c r="E303" s="17" t="inlineStr">
        <is>
          <t>tengah</t>
        </is>
      </c>
      <c r="F303" s="17" t="n"/>
      <c r="G303" s="17" t="n"/>
      <c r="J303" s="17" t="inlineStr">
        <is>
          <t>tengah</t>
        </is>
      </c>
      <c r="K303" s="17" t="n"/>
      <c r="L303" s="17" t="n"/>
      <c r="O303" s="17" t="n"/>
      <c r="P303" s="17" t="n"/>
      <c r="Q303" s="17" t="n"/>
      <c r="T303" s="17" t="inlineStr">
        <is>
          <t>tengah</t>
        </is>
      </c>
      <c r="U303" s="17" t="n"/>
      <c r="V303" s="17" t="n"/>
    </row>
    <row r="304" s="1">
      <c r="E304" s="17" t="inlineStr">
        <is>
          <t>tengah</t>
        </is>
      </c>
      <c r="F304" s="17" t="n"/>
      <c r="G304" s="17" t="n"/>
      <c r="J304" s="17" t="inlineStr">
        <is>
          <t>tengah</t>
        </is>
      </c>
      <c r="K304" s="17" t="n"/>
      <c r="L304" s="17" t="n"/>
      <c r="O304" s="17" t="n"/>
      <c r="P304" s="17" t="n"/>
      <c r="Q304" s="17" t="n"/>
      <c r="T304" s="17" t="inlineStr">
        <is>
          <t>kanan</t>
        </is>
      </c>
      <c r="U304" s="17" t="n"/>
      <c r="V304" s="17" t="n"/>
    </row>
    <row r="305" s="1">
      <c r="E305" s="17" t="inlineStr">
        <is>
          <t>tengah</t>
        </is>
      </c>
      <c r="F305" s="17" t="n"/>
      <c r="G305" s="17" t="n"/>
      <c r="J305" s="17" t="inlineStr">
        <is>
          <t>tengah</t>
        </is>
      </c>
      <c r="K305" s="17" t="n"/>
      <c r="L305" s="17" t="n"/>
      <c r="O305" s="17" t="n"/>
      <c r="P305" s="17" t="n"/>
      <c r="Q305" s="17" t="n"/>
      <c r="T305" s="17" t="inlineStr">
        <is>
          <t>tengah</t>
        </is>
      </c>
      <c r="U305" s="17" t="n"/>
      <c r="V305" s="17" t="n"/>
    </row>
    <row r="306" s="1">
      <c r="E306" s="17" t="inlineStr">
        <is>
          <t>kiri</t>
        </is>
      </c>
      <c r="F306" s="17" t="n"/>
      <c r="G306" s="17" t="n"/>
      <c r="J306" s="17" t="inlineStr">
        <is>
          <t>tengah</t>
        </is>
      </c>
      <c r="K306" s="17" t="n"/>
      <c r="L306" s="17" t="n"/>
      <c r="O306" s="17" t="n"/>
      <c r="P306" s="17" t="n"/>
      <c r="Q306" s="17" t="n"/>
      <c r="T306" s="17" t="inlineStr">
        <is>
          <t>tengah</t>
        </is>
      </c>
      <c r="U306" s="17" t="n"/>
      <c r="V306" s="17" t="n"/>
    </row>
    <row r="307" s="1">
      <c r="E307" s="17" t="inlineStr">
        <is>
          <t>kiri</t>
        </is>
      </c>
      <c r="F307" s="17" t="n"/>
      <c r="G307" s="17" t="n"/>
      <c r="J307" s="17" t="inlineStr">
        <is>
          <t>tengah</t>
        </is>
      </c>
      <c r="K307" s="17" t="n"/>
      <c r="L307" s="17" t="n"/>
      <c r="O307" s="17" t="n"/>
      <c r="P307" s="17" t="n"/>
      <c r="Q307" s="17" t="n"/>
      <c r="T307" s="17" t="inlineStr">
        <is>
          <t>tengah</t>
        </is>
      </c>
      <c r="U307" s="17" t="n"/>
      <c r="V307" s="17" t="n"/>
    </row>
    <row r="308" s="1">
      <c r="E308" s="17" t="inlineStr">
        <is>
          <t>tengah</t>
        </is>
      </c>
      <c r="F308" s="17" t="n"/>
      <c r="G308" s="17" t="n"/>
      <c r="J308" s="17" t="inlineStr">
        <is>
          <t>kanan</t>
        </is>
      </c>
      <c r="K308" s="17" t="n"/>
      <c r="L308" s="17" t="n"/>
      <c r="O308" s="17" t="n"/>
      <c r="P308" s="17" t="n"/>
      <c r="Q308" s="17" t="n"/>
      <c r="T308" s="17" t="inlineStr">
        <is>
          <t>kanan</t>
        </is>
      </c>
      <c r="U308" s="17" t="n"/>
      <c r="V308" s="17" t="n"/>
    </row>
    <row r="309" s="1">
      <c r="E309" s="17" t="inlineStr">
        <is>
          <t>kiri</t>
        </is>
      </c>
      <c r="F309" s="17" t="n"/>
      <c r="G309" s="17" t="n"/>
      <c r="J309" s="17" t="inlineStr">
        <is>
          <t>tengah</t>
        </is>
      </c>
      <c r="K309" s="17" t="n"/>
      <c r="L309" s="17" t="n"/>
      <c r="O309" s="17" t="n"/>
      <c r="P309" s="17" t="n"/>
      <c r="Q309" s="17" t="n"/>
      <c r="T309" s="17" t="inlineStr">
        <is>
          <t>kanan</t>
        </is>
      </c>
      <c r="U309" s="17" t="n"/>
      <c r="V309" s="17" t="n"/>
    </row>
    <row r="310" s="1">
      <c r="E310" s="17" t="inlineStr">
        <is>
          <t>tengah</t>
        </is>
      </c>
      <c r="F310" s="17" t="n"/>
      <c r="G310" s="17" t="n"/>
      <c r="J310" s="17" t="inlineStr">
        <is>
          <t>tengah</t>
        </is>
      </c>
      <c r="K310" s="17" t="n"/>
      <c r="L310" s="17" t="n"/>
      <c r="O310" s="17" t="n"/>
      <c r="P310" s="17" t="n"/>
      <c r="Q310" s="17" t="n"/>
      <c r="T310" s="17" t="inlineStr">
        <is>
          <t>tengah</t>
        </is>
      </c>
      <c r="U310" s="17" t="n"/>
      <c r="V310" s="17" t="n"/>
    </row>
    <row r="311" s="1">
      <c r="E311" s="17" t="inlineStr">
        <is>
          <t>kiri</t>
        </is>
      </c>
      <c r="F311" s="17" t="n"/>
      <c r="G311" s="17" t="n"/>
      <c r="J311" s="17" t="inlineStr">
        <is>
          <t>kiri</t>
        </is>
      </c>
      <c r="K311" s="17" t="n"/>
      <c r="L311" s="17" t="n"/>
      <c r="O311" s="17" t="n"/>
      <c r="P311" s="17" t="n"/>
      <c r="Q311" s="17" t="n"/>
      <c r="T311" s="17" t="inlineStr">
        <is>
          <t>kanan</t>
        </is>
      </c>
      <c r="U311" s="17" t="n"/>
      <c r="V311" s="17" t="n"/>
    </row>
    <row r="312" s="1">
      <c r="E312" s="17" t="inlineStr">
        <is>
          <t>kanan</t>
        </is>
      </c>
      <c r="F312" s="17" t="n"/>
      <c r="G312" s="17" t="n"/>
      <c r="J312" s="17" t="inlineStr">
        <is>
          <t>kiri</t>
        </is>
      </c>
      <c r="K312" s="17" t="n"/>
      <c r="L312" s="17" t="n"/>
      <c r="O312" s="17" t="n"/>
      <c r="P312" s="17" t="n"/>
      <c r="Q312" s="17" t="n"/>
      <c r="T312" s="17" t="inlineStr">
        <is>
          <t>kanan</t>
        </is>
      </c>
      <c r="U312" s="17" t="n"/>
      <c r="V312" s="17" t="n"/>
    </row>
    <row r="313" s="1">
      <c r="E313" s="17" t="inlineStr">
        <is>
          <t>tengah</t>
        </is>
      </c>
      <c r="F313" s="17" t="n"/>
      <c r="G313" s="17" t="n"/>
      <c r="J313" s="17" t="inlineStr">
        <is>
          <t>tengah</t>
        </is>
      </c>
      <c r="K313" s="17" t="n"/>
      <c r="L313" s="17" t="n"/>
      <c r="O313" s="17" t="n"/>
      <c r="P313" s="17" t="n"/>
      <c r="Q313" s="17" t="n"/>
      <c r="T313" s="17" t="inlineStr">
        <is>
          <t>tengah</t>
        </is>
      </c>
      <c r="U313" s="17" t="n"/>
      <c r="V313" s="17" t="n"/>
    </row>
    <row r="314" s="1">
      <c r="E314" s="17" t="inlineStr">
        <is>
          <t>tengah</t>
        </is>
      </c>
      <c r="F314" s="17" t="n"/>
      <c r="G314" s="17" t="n"/>
      <c r="J314" s="17" t="inlineStr">
        <is>
          <t>tengah</t>
        </is>
      </c>
      <c r="K314" s="17" t="n"/>
      <c r="L314" s="17" t="n"/>
      <c r="O314" s="17" t="n"/>
      <c r="P314" s="17" t="n"/>
      <c r="Q314" s="17" t="n"/>
      <c r="T314" s="17" t="inlineStr">
        <is>
          <t>tengah</t>
        </is>
      </c>
      <c r="U314" s="17" t="n"/>
      <c r="V314" s="17" t="n"/>
    </row>
    <row r="315" s="1">
      <c r="E315" s="17" t="inlineStr">
        <is>
          <t>kiri</t>
        </is>
      </c>
      <c r="F315" s="17" t="n"/>
      <c r="G315" s="17" t="n"/>
      <c r="J315" s="17" t="inlineStr">
        <is>
          <t>tengah</t>
        </is>
      </c>
      <c r="K315" s="17" t="n"/>
      <c r="L315" s="17" t="n"/>
      <c r="O315" s="17" t="n"/>
      <c r="P315" s="17" t="n"/>
      <c r="Q315" s="17" t="n"/>
      <c r="T315" s="17" t="inlineStr">
        <is>
          <t>tengah</t>
        </is>
      </c>
      <c r="U315" s="17" t="n"/>
      <c r="V315" s="17" t="n"/>
    </row>
    <row r="316" s="1">
      <c r="E316" s="17" t="inlineStr">
        <is>
          <t>kiri</t>
        </is>
      </c>
      <c r="F316" s="17" t="n"/>
      <c r="G316" s="17" t="n"/>
      <c r="J316" s="17" t="inlineStr">
        <is>
          <t>tengah</t>
        </is>
      </c>
      <c r="K316" s="17" t="n"/>
      <c r="L316" s="17" t="n"/>
      <c r="O316" s="17" t="n"/>
      <c r="P316" s="17" t="n"/>
      <c r="Q316" s="17" t="n"/>
      <c r="T316" s="17" t="inlineStr">
        <is>
          <t>tengah</t>
        </is>
      </c>
      <c r="U316" s="17" t="n"/>
      <c r="V316" s="17" t="n"/>
    </row>
    <row r="317" s="1">
      <c r="E317" s="17" t="inlineStr">
        <is>
          <t>tengah</t>
        </is>
      </c>
      <c r="F317" s="17" t="n"/>
      <c r="G317" s="17" t="n"/>
      <c r="J317" s="17" t="inlineStr">
        <is>
          <t>kanan</t>
        </is>
      </c>
      <c r="K317" s="17" t="n"/>
      <c r="L317" s="17" t="n"/>
      <c r="O317" s="17" t="n"/>
      <c r="P317" s="17" t="n"/>
      <c r="Q317" s="17" t="n"/>
      <c r="T317" s="17" t="inlineStr">
        <is>
          <t>tengah</t>
        </is>
      </c>
      <c r="U317" s="17" t="n"/>
      <c r="V317" s="17" t="n"/>
    </row>
    <row r="318" s="1">
      <c r="E318" s="17" t="inlineStr">
        <is>
          <t>kiri</t>
        </is>
      </c>
      <c r="F318" s="17" t="n"/>
      <c r="G318" s="17" t="n"/>
      <c r="J318" s="17" t="inlineStr">
        <is>
          <t>kiri</t>
        </is>
      </c>
      <c r="K318" s="17" t="n"/>
      <c r="L318" s="17" t="n"/>
      <c r="O318" s="17" t="n"/>
      <c r="P318" s="17" t="n"/>
      <c r="Q318" s="17" t="n"/>
      <c r="T318" s="17" t="inlineStr">
        <is>
          <t>kanan</t>
        </is>
      </c>
      <c r="U318" s="17" t="n"/>
      <c r="V318" s="17" t="n"/>
    </row>
    <row r="319" s="1">
      <c r="E319" s="17" t="inlineStr">
        <is>
          <t>tengah</t>
        </is>
      </c>
      <c r="F319" s="17" t="n"/>
      <c r="G319" s="17" t="n"/>
      <c r="J319" s="17" t="inlineStr">
        <is>
          <t>kanan</t>
        </is>
      </c>
      <c r="K319" s="17" t="n"/>
      <c r="L319" s="17" t="n"/>
      <c r="O319" s="17" t="n"/>
      <c r="P319" s="17" t="n"/>
      <c r="Q319" s="17" t="n"/>
      <c r="T319" s="17" t="inlineStr">
        <is>
          <t>tengah</t>
        </is>
      </c>
      <c r="U319" s="17" t="n"/>
      <c r="V319" s="17" t="n"/>
    </row>
    <row r="320" s="1">
      <c r="E320" s="17" t="inlineStr">
        <is>
          <t>tengah</t>
        </is>
      </c>
      <c r="F320" s="17" t="n"/>
      <c r="G320" s="17" t="n"/>
      <c r="J320" s="17" t="inlineStr">
        <is>
          <t>tengah</t>
        </is>
      </c>
      <c r="K320" s="17" t="n"/>
      <c r="L320" s="17" t="n"/>
      <c r="O320" s="17" t="n"/>
      <c r="P320" s="17" t="n"/>
      <c r="Q320" s="17" t="n"/>
      <c r="T320" s="17" t="inlineStr">
        <is>
          <t>kanan</t>
        </is>
      </c>
      <c r="U320" s="17" t="n"/>
      <c r="V320" s="17" t="n"/>
    </row>
    <row r="321" s="1">
      <c r="E321" s="17" t="inlineStr">
        <is>
          <t>tengah</t>
        </is>
      </c>
      <c r="F321" s="17" t="n"/>
      <c r="G321" s="17" t="n"/>
      <c r="J321" s="17" t="inlineStr">
        <is>
          <t>tengah</t>
        </is>
      </c>
      <c r="K321" s="17" t="n"/>
      <c r="L321" s="17" t="n"/>
      <c r="O321" s="17" t="n"/>
      <c r="P321" s="17" t="n"/>
      <c r="Q321" s="17" t="n"/>
      <c r="T321" s="17" t="inlineStr">
        <is>
          <t>kanan</t>
        </is>
      </c>
      <c r="U321" s="17" t="n"/>
      <c r="V321" s="17" t="n"/>
    </row>
    <row r="322" s="1">
      <c r="E322" s="17" t="inlineStr">
        <is>
          <t>kiri</t>
        </is>
      </c>
      <c r="F322" s="17" t="n"/>
      <c r="G322" s="17" t="n"/>
      <c r="J322" s="17" t="inlineStr">
        <is>
          <t>tengah</t>
        </is>
      </c>
      <c r="K322" s="17" t="n"/>
      <c r="L322" s="17" t="n"/>
      <c r="O322" s="17" t="n"/>
      <c r="P322" s="17" t="n"/>
      <c r="Q322" s="17" t="n"/>
      <c r="T322" s="17" t="inlineStr">
        <is>
          <t>kanan</t>
        </is>
      </c>
      <c r="U322" s="17" t="n"/>
      <c r="V322" s="17" t="n"/>
    </row>
    <row r="323" s="1">
      <c r="E323" s="17" t="inlineStr">
        <is>
          <t>kanan</t>
        </is>
      </c>
      <c r="F323" s="17" t="n"/>
      <c r="G323" s="17" t="n"/>
      <c r="J323" s="17" t="inlineStr">
        <is>
          <t>tengah</t>
        </is>
      </c>
      <c r="K323" s="17" t="n"/>
      <c r="L323" s="17" t="n"/>
      <c r="O323" s="17" t="n"/>
      <c r="P323" s="17" t="n"/>
      <c r="Q323" s="17" t="n"/>
      <c r="T323" s="17" t="inlineStr">
        <is>
          <t>kanan</t>
        </is>
      </c>
      <c r="U323" s="17" t="n"/>
      <c r="V323" s="17" t="n"/>
    </row>
    <row r="324" s="1">
      <c r="E324" s="17" t="inlineStr">
        <is>
          <t>kanan</t>
        </is>
      </c>
      <c r="F324" s="17" t="n"/>
      <c r="G324" s="17" t="n"/>
      <c r="J324" s="17" t="inlineStr">
        <is>
          <t>tengah</t>
        </is>
      </c>
      <c r="K324" s="17" t="n"/>
      <c r="L324" s="17" t="n"/>
      <c r="O324" s="17" t="n"/>
      <c r="P324" s="17" t="n"/>
      <c r="Q324" s="17" t="n"/>
      <c r="T324" s="17" t="inlineStr">
        <is>
          <t>kanan</t>
        </is>
      </c>
      <c r="U324" s="17" t="n"/>
      <c r="V324" s="17" t="n"/>
    </row>
    <row r="325" s="1">
      <c r="E325" s="17" t="inlineStr">
        <is>
          <t>kiri</t>
        </is>
      </c>
      <c r="F325" s="17" t="n"/>
      <c r="G325" s="17" t="n"/>
      <c r="J325" s="17" t="inlineStr">
        <is>
          <t>tengah</t>
        </is>
      </c>
      <c r="K325" s="17" t="n"/>
      <c r="L325" s="17" t="n"/>
      <c r="O325" s="17" t="n"/>
      <c r="P325" s="17" t="n"/>
      <c r="Q325" s="17" t="n"/>
      <c r="T325" s="17" t="inlineStr">
        <is>
          <t>kanan</t>
        </is>
      </c>
      <c r="U325" s="17" t="n"/>
      <c r="V325" s="17" t="n"/>
    </row>
    <row r="326" s="1">
      <c r="E326" s="17" t="inlineStr">
        <is>
          <t>tengah</t>
        </is>
      </c>
      <c r="F326" s="17" t="n"/>
      <c r="G326" s="17" t="n"/>
      <c r="J326" s="17" t="inlineStr">
        <is>
          <t>tengah</t>
        </is>
      </c>
      <c r="K326" s="17" t="n"/>
      <c r="L326" s="17" t="n"/>
      <c r="O326" s="17" t="n"/>
      <c r="P326" s="17" t="n"/>
      <c r="Q326" s="17" t="n"/>
      <c r="T326" s="17" t="inlineStr">
        <is>
          <t>tengah</t>
        </is>
      </c>
      <c r="U326" s="17" t="n"/>
      <c r="V326" s="17" t="n"/>
    </row>
    <row r="327" s="1">
      <c r="E327" s="17" t="inlineStr">
        <is>
          <t>tengah</t>
        </is>
      </c>
      <c r="F327" s="17" t="n"/>
      <c r="G327" s="17" t="n"/>
      <c r="J327" s="17" t="inlineStr">
        <is>
          <t>kanan</t>
        </is>
      </c>
      <c r="K327" s="17" t="n"/>
      <c r="L327" s="17" t="n"/>
      <c r="O327" s="17" t="n"/>
      <c r="P327" s="17" t="n"/>
      <c r="Q327" s="17" t="n"/>
      <c r="T327" s="17" t="inlineStr">
        <is>
          <t>tengah</t>
        </is>
      </c>
      <c r="U327" s="17" t="n"/>
      <c r="V327" s="17" t="n"/>
    </row>
    <row r="328" s="1">
      <c r="E328" s="17" t="inlineStr">
        <is>
          <t>kiri</t>
        </is>
      </c>
      <c r="F328" s="17" t="n"/>
      <c r="G328" s="17" t="n"/>
      <c r="J328" s="17" t="inlineStr">
        <is>
          <t>tengah</t>
        </is>
      </c>
      <c r="K328" s="17" t="n"/>
      <c r="L328" s="17" t="n"/>
      <c r="O328" s="17" t="n"/>
      <c r="P328" s="17" t="n"/>
      <c r="Q328" s="17" t="n"/>
      <c r="T328" s="17" t="inlineStr">
        <is>
          <t>tengah</t>
        </is>
      </c>
      <c r="U328" s="17" t="n"/>
      <c r="V328" s="17" t="n"/>
    </row>
    <row r="329" s="1">
      <c r="E329" s="17" t="inlineStr">
        <is>
          <t>tengah</t>
        </is>
      </c>
      <c r="F329" s="17" t="n"/>
      <c r="G329" s="17" t="n"/>
      <c r="J329" s="17" t="inlineStr">
        <is>
          <t>kanan</t>
        </is>
      </c>
      <c r="K329" s="17" t="n"/>
      <c r="L329" s="17" t="n"/>
      <c r="O329" s="17" t="n"/>
      <c r="P329" s="17" t="n"/>
      <c r="Q329" s="17" t="n"/>
      <c r="T329" s="17" t="inlineStr">
        <is>
          <t>kanan</t>
        </is>
      </c>
      <c r="U329" s="17" t="n"/>
      <c r="V329" s="17" t="n"/>
    </row>
    <row r="330" s="1">
      <c r="E330" s="17" t="inlineStr">
        <is>
          <t>kiri</t>
        </is>
      </c>
      <c r="F330" s="17" t="n"/>
      <c r="G330" s="17" t="n"/>
      <c r="J330" s="17" t="inlineStr">
        <is>
          <t>tengah</t>
        </is>
      </c>
      <c r="K330" s="17" t="n"/>
      <c r="L330" s="17" t="n"/>
      <c r="O330" s="17" t="n"/>
      <c r="P330" s="17" t="n"/>
      <c r="Q330" s="17" t="n"/>
      <c r="T330" s="17" t="inlineStr">
        <is>
          <t>tengah</t>
        </is>
      </c>
      <c r="U330" s="17" t="n"/>
      <c r="V330" s="17" t="n"/>
    </row>
    <row r="331" s="1">
      <c r="E331" s="17" t="inlineStr">
        <is>
          <t>tengah</t>
        </is>
      </c>
      <c r="F331" s="17" t="n"/>
      <c r="G331" s="17" t="n"/>
      <c r="J331" s="17" t="inlineStr">
        <is>
          <t>tengah</t>
        </is>
      </c>
      <c r="K331" s="17" t="n"/>
      <c r="L331" s="17" t="n"/>
      <c r="O331" s="17" t="n"/>
      <c r="P331" s="17" t="n"/>
      <c r="Q331" s="17" t="n"/>
      <c r="T331" s="17" t="inlineStr">
        <is>
          <t>tengah</t>
        </is>
      </c>
      <c r="U331" s="17" t="n"/>
      <c r="V331" s="17" t="n"/>
    </row>
    <row r="332" s="1">
      <c r="E332" s="17" t="inlineStr">
        <is>
          <t>kiri</t>
        </is>
      </c>
      <c r="F332" s="17" t="n"/>
      <c r="G332" s="17" t="n"/>
      <c r="J332" s="17" t="inlineStr">
        <is>
          <t>tengah</t>
        </is>
      </c>
      <c r="K332" s="17" t="n"/>
      <c r="L332" s="17" t="n"/>
      <c r="O332" s="17" t="n"/>
      <c r="P332" s="17" t="n"/>
      <c r="Q332" s="17" t="n"/>
      <c r="T332" s="17" t="inlineStr">
        <is>
          <t>kanan</t>
        </is>
      </c>
      <c r="U332" s="17" t="n"/>
      <c r="V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2"/>
  <sheetViews>
    <sheetView topLeftCell="F1" zoomScale="98" zoomScaleNormal="98" workbookViewId="0">
      <selection activeCell="V160" sqref="V160"/>
    </sheetView>
  </sheetViews>
  <sheetFormatPr baseColWidth="8" defaultColWidth="9.00740740740741" defaultRowHeight="15"/>
  <cols>
    <col width="15.8592592592593" customWidth="1" style="1" min="2" max="3"/>
    <col width="13.8592592592593" customWidth="1" style="1" min="4" max="5"/>
    <col width="15.8592592592593" customWidth="1" style="1" min="9" max="9"/>
    <col width="13.2888888888889" customWidth="1" style="1" min="10" max="10"/>
    <col width="13.8592592592593" customWidth="1" style="1" min="11" max="11"/>
    <col width="12.5703703703704" customWidth="1" style="1" min="14" max="14"/>
    <col width="16.1407407407407" customWidth="1" style="1" min="15" max="15"/>
  </cols>
  <sheetData>
    <row r="1" s="1">
      <c r="A1" s="16" t="inlineStr">
        <is>
          <t>No</t>
        </is>
      </c>
      <c r="B1" s="16" t="inlineStr">
        <is>
          <t>Lama Rawat Inap</t>
        </is>
      </c>
      <c r="C1" s="16" t="inlineStr">
        <is>
          <t>Jenis Kelamin</t>
        </is>
      </c>
      <c r="D1" s="16" t="inlineStr">
        <is>
          <t>Tingkat Resiko</t>
        </is>
      </c>
      <c r="H1" s="40" t="inlineStr">
        <is>
          <t>No</t>
        </is>
      </c>
      <c r="I1" s="40" t="inlineStr">
        <is>
          <t>Lama Rawat Inap</t>
        </is>
      </c>
      <c r="J1" s="40" t="inlineStr">
        <is>
          <t>Jenis Kelamin</t>
        </is>
      </c>
      <c r="K1" s="40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INDEX(Data_DBD!$C:$C,$A2)</f>
        <v/>
      </c>
      <c r="C2" s="17">
        <f t="array" ref="C2">INDEX(Data_DBD!$E:$E,$A2)</f>
        <v/>
      </c>
      <c r="D2" s="17">
        <f t="array" ref="D2">INDEX(Data_DBD!$F:$F,$A2)</f>
        <v/>
      </c>
      <c r="H2" s="17" t="n">
        <v>98</v>
      </c>
      <c r="I2" s="17" t="n">
        <v>2</v>
      </c>
      <c r="J2" s="17" t="n">
        <v>1</v>
      </c>
      <c r="K2" s="17" t="inlineStr">
        <is>
          <t>Tinggi</t>
        </is>
      </c>
      <c r="O2" s="19" t="inlineStr">
        <is>
          <t>Tinggi</t>
        </is>
      </c>
      <c r="P2" s="19">
        <f>COUNTIF(K2:K164,"Tinggi")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INDEX(Data_DBD!$C:$C,$A3)</f>
        <v/>
      </c>
      <c r="C3" s="17">
        <f t="array" ref="C3">INDEX(Data_DBD!$E:$E,$A3)</f>
        <v/>
      </c>
      <c r="D3" s="17">
        <f t="array" ref="D3">INDEX(Data_DBD!$F:$F,$A3)</f>
        <v/>
      </c>
      <c r="H3" s="17" t="n">
        <v>126</v>
      </c>
      <c r="I3" s="17" t="n">
        <v>3</v>
      </c>
      <c r="J3" s="17" t="n">
        <v>1</v>
      </c>
      <c r="K3" s="17" t="inlineStr">
        <is>
          <t>Tinggi</t>
        </is>
      </c>
      <c r="O3" s="19" t="inlineStr">
        <is>
          <t>Sedang</t>
        </is>
      </c>
      <c r="P3" s="19">
        <f>COUNTIF(K2:K164,"Sedang")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INDEX(Data_DBD!$C:$C,$A4)</f>
        <v/>
      </c>
      <c r="C4" s="17">
        <f t="array" ref="C4">INDEX(Data_DBD!$E:$E,$A4)</f>
        <v/>
      </c>
      <c r="D4" s="17">
        <f t="array" ref="D4">INDEX(Data_DBD!$F:$F,$A4)</f>
        <v/>
      </c>
      <c r="H4" s="17" t="n">
        <v>49</v>
      </c>
      <c r="I4" s="17" t="n">
        <v>5</v>
      </c>
      <c r="J4" s="17" t="n">
        <v>0</v>
      </c>
      <c r="K4" s="17" t="inlineStr">
        <is>
          <t>Sedang</t>
        </is>
      </c>
      <c r="O4" s="19" t="inlineStr">
        <is>
          <t>Rendah</t>
        </is>
      </c>
      <c r="P4" s="19">
        <f>COUNTIF(K2:K164,"Rendah")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INDEX(Data_DBD!$C:$C,$A5)</f>
        <v/>
      </c>
      <c r="C5" s="17">
        <f t="array" ref="C5">INDEX(Data_DBD!$E:$E,$A5)</f>
        <v/>
      </c>
      <c r="D5" s="17">
        <f t="array" ref="D5">INDEX(Data_DBD!$F:$F,$A5)</f>
        <v/>
      </c>
      <c r="H5" s="17" t="n">
        <v>14</v>
      </c>
      <c r="I5" s="17" t="n">
        <v>4</v>
      </c>
      <c r="J5" s="17" t="n">
        <v>1</v>
      </c>
      <c r="K5" s="17" t="inlineStr">
        <is>
          <t>Rendah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INDEX(Data_DBD!$C:$C,$A6)</f>
        <v/>
      </c>
      <c r="C6" s="17">
        <f t="array" ref="C6">INDEX(Data_DBD!$E:$E,$A6)</f>
        <v/>
      </c>
      <c r="D6" s="17">
        <f t="array" ref="D6">INDEX(Data_DBD!$F:$F,$A6)</f>
        <v/>
      </c>
      <c r="H6" s="17" t="n">
        <v>54</v>
      </c>
      <c r="I6" s="17" t="n">
        <v>3</v>
      </c>
      <c r="J6" s="17" t="n">
        <v>0</v>
      </c>
      <c r="K6" s="17" t="inlineStr">
        <is>
          <t>Sedang</t>
        </is>
      </c>
    </row>
    <row r="7" s="1">
      <c r="A7" s="17">
        <f>RANDBETWEEN(2,164)</f>
        <v/>
      </c>
      <c r="B7" s="17">
        <f t="array" ref="B7">INDEX(Data_DBD!$C:$C,$A7)</f>
        <v/>
      </c>
      <c r="C7" s="17">
        <f t="array" ref="C7">INDEX(Data_DBD!$E:$E,$A7)</f>
        <v/>
      </c>
      <c r="D7" s="17">
        <f t="array" ref="D7">INDEX(Data_DBD!$F:$F,$A7)</f>
        <v/>
      </c>
      <c r="H7" s="17" t="n">
        <v>80</v>
      </c>
      <c r="I7" s="17" t="n">
        <v>3</v>
      </c>
      <c r="J7" s="17" t="n">
        <v>1</v>
      </c>
      <c r="K7" s="17" t="inlineStr">
        <is>
          <t>Sedang</t>
        </is>
      </c>
    </row>
    <row r="8" s="1">
      <c r="A8" s="17">
        <f>RANDBETWEEN(2,164)</f>
        <v/>
      </c>
      <c r="B8" s="17">
        <f t="array" ref="B8">INDEX(Data_DBD!$C:$C,$A8)</f>
        <v/>
      </c>
      <c r="C8" s="17">
        <f t="array" ref="C8">INDEX(Data_DBD!$E:$E,$A8)</f>
        <v/>
      </c>
      <c r="D8" s="17">
        <f t="array" ref="D8">INDEX(Data_DBD!$F:$F,$A8)</f>
        <v/>
      </c>
      <c r="H8" s="17" t="n">
        <v>36</v>
      </c>
      <c r="I8" s="17" t="n">
        <v>1</v>
      </c>
      <c r="J8" s="17" t="n">
        <v>1</v>
      </c>
      <c r="K8" s="17" t="inlineStr">
        <is>
          <t>Rendah</t>
        </is>
      </c>
    </row>
    <row r="9" s="1">
      <c r="A9" s="17">
        <f>RANDBETWEEN(2,164)</f>
        <v/>
      </c>
      <c r="B9" s="17">
        <f t="array" ref="B9">INDEX(Data_DBD!$C:$C,$A9)</f>
        <v/>
      </c>
      <c r="C9" s="17">
        <f t="array" ref="C9">INDEX(Data_DBD!$E:$E,$A9)</f>
        <v/>
      </c>
      <c r="D9" s="17">
        <f t="array" ref="D9">INDEX(Data_DBD!$F:$F,$A9)</f>
        <v/>
      </c>
      <c r="H9" s="17" t="n">
        <v>105</v>
      </c>
      <c r="I9" s="17" t="n">
        <v>3</v>
      </c>
      <c r="J9" s="17" t="n">
        <v>1</v>
      </c>
      <c r="K9" s="17" t="inlineStr">
        <is>
          <t>Tinggi</t>
        </is>
      </c>
    </row>
    <row r="10" s="1">
      <c r="A10" s="17">
        <f>RANDBETWEEN(2,164)</f>
        <v/>
      </c>
      <c r="B10" s="17">
        <f t="array" ref="B10">INDEX(Data_DBD!$C:$C,$A10)</f>
        <v/>
      </c>
      <c r="C10" s="17">
        <f t="array" ref="C10">INDEX(Data_DBD!$E:$E,$A10)</f>
        <v/>
      </c>
      <c r="D10" s="17">
        <f t="array" ref="D10">INDEX(Data_DBD!$F:$F,$A10)</f>
        <v/>
      </c>
      <c r="H10" s="17" t="n">
        <v>26</v>
      </c>
      <c r="I10" s="17" t="n">
        <v>4</v>
      </c>
      <c r="J10" s="17" t="n">
        <v>1</v>
      </c>
      <c r="K10" s="17" t="inlineStr">
        <is>
          <t>Sedang</t>
        </is>
      </c>
    </row>
    <row r="11" s="1">
      <c r="A11" s="17">
        <f>RANDBETWEEN(2,164)</f>
        <v/>
      </c>
      <c r="B11" s="17">
        <f t="array" ref="B11">INDEX(Data_DBD!$C:$C,$A11)</f>
        <v/>
      </c>
      <c r="C11" s="17">
        <f t="array" ref="C11">INDEX(Data_DBD!$E:$E,$A11)</f>
        <v/>
      </c>
      <c r="D11" s="17">
        <f t="array" ref="D11">INDEX(Data_DBD!$F:$F,$A11)</f>
        <v/>
      </c>
      <c r="H11" s="17" t="n">
        <v>63</v>
      </c>
      <c r="I11" s="17" t="n">
        <v>3</v>
      </c>
      <c r="J11" s="17" t="n">
        <v>0</v>
      </c>
      <c r="K11" s="17" t="inlineStr">
        <is>
          <t>Sedang</t>
        </is>
      </c>
    </row>
    <row r="12" s="1">
      <c r="A12" s="17">
        <f>RANDBETWEEN(2,164)</f>
        <v/>
      </c>
      <c r="B12" s="17">
        <f t="array" ref="B12">INDEX(Data_DBD!$C:$C,$A12)</f>
        <v/>
      </c>
      <c r="C12" s="17">
        <f t="array" ref="C12">INDEX(Data_DBD!$E:$E,$A12)</f>
        <v/>
      </c>
      <c r="D12" s="17">
        <f t="array" ref="D12">INDEX(Data_DBD!$F:$F,$A12)</f>
        <v/>
      </c>
      <c r="H12" s="17" t="n">
        <v>107</v>
      </c>
      <c r="I12" s="17" t="n">
        <v>5</v>
      </c>
      <c r="J12" s="17" t="n">
        <v>0</v>
      </c>
      <c r="K12" s="17" t="inlineStr">
        <is>
          <t>Tinggi</t>
        </is>
      </c>
    </row>
    <row r="13" s="1">
      <c r="A13" s="17">
        <f>RANDBETWEEN(2,164)</f>
        <v/>
      </c>
      <c r="B13" s="17">
        <f t="array" ref="B13">INDEX(Data_DBD!$C:$C,$A13)</f>
        <v/>
      </c>
      <c r="C13" s="17">
        <f t="array" ref="C13">INDEX(Data_DBD!$E:$E,$A13)</f>
        <v/>
      </c>
      <c r="D13" s="17">
        <f t="array" ref="D13">INDEX(Data_DBD!$F:$F,$A13)</f>
        <v/>
      </c>
      <c r="H13" s="17" t="n">
        <v>50</v>
      </c>
      <c r="I13" s="17" t="n">
        <v>5</v>
      </c>
      <c r="J13" s="17" t="n">
        <v>0</v>
      </c>
      <c r="K13" s="17" t="inlineStr">
        <is>
          <t>Sedang</t>
        </is>
      </c>
    </row>
    <row r="14" s="1">
      <c r="A14" s="17">
        <f>RANDBETWEEN(2,164)</f>
        <v/>
      </c>
      <c r="B14" s="17">
        <f t="array" ref="B14">INDEX(Data_DBD!$C:$C,$A14)</f>
        <v/>
      </c>
      <c r="C14" s="17">
        <f t="array" ref="C14">INDEX(Data_DBD!$E:$E,$A14)</f>
        <v/>
      </c>
      <c r="D14" s="17">
        <f t="array" ref="D14">INDEX(Data_DBD!$F:$F,$A14)</f>
        <v/>
      </c>
      <c r="H14" s="17" t="n">
        <v>99</v>
      </c>
      <c r="I14" s="17" t="n">
        <v>2</v>
      </c>
      <c r="J14" s="17" t="n">
        <v>1</v>
      </c>
      <c r="K14" s="17" t="inlineStr">
        <is>
          <t>Tinggi</t>
        </is>
      </c>
    </row>
    <row r="15" s="1">
      <c r="A15" s="17">
        <f>RANDBETWEEN(2,164)</f>
        <v/>
      </c>
      <c r="B15" s="17">
        <f t="array" ref="B15">INDEX(Data_DBD!$C:$C,$A15)</f>
        <v/>
      </c>
      <c r="C15" s="17">
        <f t="array" ref="C15">INDEX(Data_DBD!$E:$E,$A15)</f>
        <v/>
      </c>
      <c r="D15" s="17">
        <f t="array" ref="D15">INDEX(Data_DBD!$F:$F,$A15)</f>
        <v/>
      </c>
      <c r="H15" s="17" t="n">
        <v>149</v>
      </c>
      <c r="I15" s="17" t="n">
        <v>5</v>
      </c>
      <c r="J15" s="17" t="n">
        <v>0</v>
      </c>
      <c r="K15" s="17" t="inlineStr">
        <is>
          <t>Tinggi</t>
        </is>
      </c>
    </row>
    <row r="16" s="1">
      <c r="A16" s="17">
        <f>RANDBETWEEN(2,164)</f>
        <v/>
      </c>
      <c r="B16" s="17">
        <f t="array" ref="B16">INDEX(Data_DBD!$C:$C,$A16)</f>
        <v/>
      </c>
      <c r="C16" s="17">
        <f t="array" ref="C16">INDEX(Data_DBD!$E:$E,$A16)</f>
        <v/>
      </c>
      <c r="D16" s="17">
        <f t="array" ref="D16">INDEX(Data_DBD!$F:$F,$A16)</f>
        <v/>
      </c>
      <c r="H16" s="17" t="n">
        <v>72</v>
      </c>
      <c r="I16" s="17" t="n">
        <v>5</v>
      </c>
      <c r="J16" s="17" t="n">
        <v>1</v>
      </c>
      <c r="K16" s="17" t="inlineStr">
        <is>
          <t>Sedang</t>
        </is>
      </c>
    </row>
    <row r="17" s="1">
      <c r="A17" s="17">
        <f>RANDBETWEEN(2,164)</f>
        <v/>
      </c>
      <c r="B17" s="17">
        <f t="array" ref="B17">INDEX(Data_DBD!$C:$C,$A17)</f>
        <v/>
      </c>
      <c r="C17" s="17">
        <f t="array" ref="C17">INDEX(Data_DBD!$E:$E,$A17)</f>
        <v/>
      </c>
      <c r="D17" s="17">
        <f t="array" ref="D17">INDEX(Data_DBD!$F:$F,$A17)</f>
        <v/>
      </c>
      <c r="H17" s="17" t="n">
        <v>109</v>
      </c>
      <c r="I17" s="17" t="n">
        <v>3</v>
      </c>
      <c r="J17" s="17" t="n">
        <v>1</v>
      </c>
      <c r="K17" s="17" t="inlineStr">
        <is>
          <t>Tinggi</t>
        </is>
      </c>
    </row>
    <row r="18" s="1">
      <c r="A18" s="17">
        <f>RANDBETWEEN(2,164)</f>
        <v/>
      </c>
      <c r="B18" s="17">
        <f t="array" ref="B18">INDEX(Data_DBD!$C:$C,$A18)</f>
        <v/>
      </c>
      <c r="C18" s="17">
        <f t="array" ref="C18">INDEX(Data_DBD!$E:$E,$A18)</f>
        <v/>
      </c>
      <c r="D18" s="17">
        <f t="array" ref="D18">INDEX(Data_DBD!$F:$F,$A18)</f>
        <v/>
      </c>
      <c r="H18" s="17" t="n">
        <v>88</v>
      </c>
      <c r="I18" s="17" t="n">
        <v>4</v>
      </c>
      <c r="J18" s="17" t="n">
        <v>1</v>
      </c>
      <c r="K18" s="17" t="inlineStr">
        <is>
          <t>Sedang</t>
        </is>
      </c>
    </row>
    <row r="19" s="1">
      <c r="A19" s="17">
        <f>RANDBETWEEN(2,164)</f>
        <v/>
      </c>
      <c r="B19" s="17">
        <f t="array" ref="B19">INDEX(Data_DBD!$C:$C,$A19)</f>
        <v/>
      </c>
      <c r="C19" s="17">
        <f t="array" ref="C19">INDEX(Data_DBD!$E:$E,$A19)</f>
        <v/>
      </c>
      <c r="D19" s="17">
        <f t="array" ref="D19">INDEX(Data_DBD!$F:$F,$A19)</f>
        <v/>
      </c>
      <c r="H19" s="17" t="n">
        <v>56</v>
      </c>
      <c r="I19" s="17" t="n">
        <v>3</v>
      </c>
      <c r="J19" s="17" t="n">
        <v>0</v>
      </c>
      <c r="K19" s="17" t="inlineStr">
        <is>
          <t>Sedang</t>
        </is>
      </c>
    </row>
    <row r="20" s="1">
      <c r="A20" s="17">
        <f>RANDBETWEEN(2,164)</f>
        <v/>
      </c>
      <c r="B20" s="17">
        <f t="array" ref="B20">INDEX(Data_DBD!$C:$C,$A20)</f>
        <v/>
      </c>
      <c r="C20" s="17">
        <f t="array" ref="C20">INDEX(Data_DBD!$E:$E,$A20)</f>
        <v/>
      </c>
      <c r="D20" s="17">
        <f t="array" ref="D20">INDEX(Data_DBD!$F:$F,$A20)</f>
        <v/>
      </c>
      <c r="H20" s="17" t="n">
        <v>39</v>
      </c>
      <c r="I20" s="17" t="n">
        <v>5</v>
      </c>
      <c r="J20" s="17" t="n">
        <v>1</v>
      </c>
      <c r="K20" s="17" t="inlineStr">
        <is>
          <t>Sedang</t>
        </is>
      </c>
    </row>
    <row r="21" s="1">
      <c r="A21" s="17">
        <f>RANDBETWEEN(2,164)</f>
        <v/>
      </c>
      <c r="B21" s="17">
        <f t="array" ref="B21">INDEX(Data_DBD!$C:$C,$A21)</f>
        <v/>
      </c>
      <c r="C21" s="17">
        <f t="array" ref="C21">INDEX(Data_DBD!$E:$E,$A21)</f>
        <v/>
      </c>
      <c r="D21" s="17">
        <f t="array" ref="D21">INDEX(Data_DBD!$F:$F,$A21)</f>
        <v/>
      </c>
      <c r="H21" s="17" t="n">
        <v>72</v>
      </c>
      <c r="I21" s="17" t="n">
        <v>5</v>
      </c>
      <c r="J21" s="17" t="n">
        <v>1</v>
      </c>
      <c r="K21" s="17" t="inlineStr">
        <is>
          <t>Sedang</t>
        </is>
      </c>
    </row>
    <row r="22" s="1">
      <c r="A22" s="17">
        <f>RANDBETWEEN(2,164)</f>
        <v/>
      </c>
      <c r="B22" s="17">
        <f t="array" ref="B22">INDEX(Data_DBD!$C:$C,$A22)</f>
        <v/>
      </c>
      <c r="C22" s="17">
        <f t="array" ref="C22">INDEX(Data_DBD!$E:$E,$A22)</f>
        <v/>
      </c>
      <c r="D22" s="17">
        <f t="array" ref="D22">INDEX(Data_DBD!$F:$F,$A22)</f>
        <v/>
      </c>
      <c r="H22" s="17" t="n">
        <v>128</v>
      </c>
      <c r="I22" s="17" t="n">
        <v>2</v>
      </c>
      <c r="J22" s="17" t="n">
        <v>0</v>
      </c>
      <c r="K22" s="17" t="inlineStr">
        <is>
          <t>Tinggi</t>
        </is>
      </c>
    </row>
    <row r="23" s="1">
      <c r="A23" s="17">
        <f>RANDBETWEEN(2,164)</f>
        <v/>
      </c>
      <c r="B23" s="17">
        <f t="array" ref="B23">INDEX(Data_DBD!$C:$C,$A23)</f>
        <v/>
      </c>
      <c r="C23" s="17">
        <f t="array" ref="C23">INDEX(Data_DBD!$E:$E,$A23)</f>
        <v/>
      </c>
      <c r="D23" s="17">
        <f t="array" ref="D23">INDEX(Data_DBD!$F:$F,$A23)</f>
        <v/>
      </c>
      <c r="H23" s="17" t="n">
        <v>35</v>
      </c>
      <c r="I23" s="17" t="n">
        <v>3</v>
      </c>
      <c r="J23" s="17" t="n">
        <v>1</v>
      </c>
      <c r="K23" s="17" t="inlineStr">
        <is>
          <t>Rendah</t>
        </is>
      </c>
    </row>
    <row r="24" s="1">
      <c r="A24" s="17">
        <f>RANDBETWEEN(2,164)</f>
        <v/>
      </c>
      <c r="B24" s="17">
        <f t="array" ref="B24">INDEX(Data_DBD!$C:$C,$A24)</f>
        <v/>
      </c>
      <c r="C24" s="17">
        <f t="array" ref="C24">INDEX(Data_DBD!$E:$E,$A24)</f>
        <v/>
      </c>
      <c r="D24" s="17">
        <f t="array" ref="D24">INDEX(Data_DBD!$F:$F,$A24)</f>
        <v/>
      </c>
      <c r="H24" s="17" t="n">
        <v>98</v>
      </c>
      <c r="I24" s="17" t="n">
        <v>2</v>
      </c>
      <c r="J24" s="17" t="n">
        <v>1</v>
      </c>
      <c r="K24" s="17" t="inlineStr">
        <is>
          <t>Tinggi</t>
        </is>
      </c>
    </row>
    <row r="25" s="1">
      <c r="A25" s="17">
        <f>RANDBETWEEN(2,164)</f>
        <v/>
      </c>
      <c r="B25" s="17">
        <f t="array" ref="B25">INDEX(Data_DBD!$C:$C,$A25)</f>
        <v/>
      </c>
      <c r="C25" s="17">
        <f t="array" ref="C25">INDEX(Data_DBD!$E:$E,$A25)</f>
        <v/>
      </c>
      <c r="D25" s="17">
        <f t="array" ref="D25">INDEX(Data_DBD!$F:$F,$A25)</f>
        <v/>
      </c>
      <c r="H25" s="17" t="n">
        <v>12</v>
      </c>
      <c r="I25" s="17" t="n">
        <v>3</v>
      </c>
      <c r="J25" s="17" t="n">
        <v>0</v>
      </c>
      <c r="K25" s="17" t="inlineStr">
        <is>
          <t>Sedang</t>
        </is>
      </c>
    </row>
    <row r="26" s="1">
      <c r="A26" s="17">
        <f>RANDBETWEEN(2,164)</f>
        <v/>
      </c>
      <c r="B26" s="17">
        <f t="array" ref="B26">INDEX(Data_DBD!$C:$C,$A26)</f>
        <v/>
      </c>
      <c r="C26" s="17">
        <f t="array" ref="C26">INDEX(Data_DBD!$E:$E,$A26)</f>
        <v/>
      </c>
      <c r="D26" s="17">
        <f t="array" ref="D26">INDEX(Data_DBD!$F:$F,$A26)</f>
        <v/>
      </c>
      <c r="H26" s="17" t="n">
        <v>7</v>
      </c>
      <c r="I26" s="17" t="n">
        <v>1</v>
      </c>
      <c r="J26" s="17" t="n">
        <v>1</v>
      </c>
      <c r="K26" s="17" t="inlineStr">
        <is>
          <t>Sedang</t>
        </is>
      </c>
    </row>
    <row r="27" s="1">
      <c r="A27" s="17">
        <f>RANDBETWEEN(2,164)</f>
        <v/>
      </c>
      <c r="B27" s="17">
        <f t="array" ref="B27">INDEX(Data_DBD!$C:$C,$A27)</f>
        <v/>
      </c>
      <c r="C27" s="17">
        <f t="array" ref="C27">INDEX(Data_DBD!$E:$E,$A27)</f>
        <v/>
      </c>
      <c r="D27" s="17">
        <f t="array" ref="D27">INDEX(Data_DBD!$F:$F,$A27)</f>
        <v/>
      </c>
      <c r="H27" s="17" t="n">
        <v>71</v>
      </c>
      <c r="I27" s="17" t="n">
        <v>3</v>
      </c>
      <c r="J27" s="17" t="n">
        <v>0</v>
      </c>
      <c r="K27" s="17" t="inlineStr">
        <is>
          <t>Sedang</t>
        </is>
      </c>
    </row>
    <row r="28" s="1">
      <c r="A28" s="17">
        <f>RANDBETWEEN(2,164)</f>
        <v/>
      </c>
      <c r="B28" s="17">
        <f t="array" ref="B28">INDEX(Data_DBD!$C:$C,$A28)</f>
        <v/>
      </c>
      <c r="C28" s="17">
        <f t="array" ref="C28">INDEX(Data_DBD!$E:$E,$A28)</f>
        <v/>
      </c>
      <c r="D28" s="17">
        <f t="array" ref="D28">INDEX(Data_DBD!$F:$F,$A28)</f>
        <v/>
      </c>
      <c r="H28" s="17" t="n">
        <v>34</v>
      </c>
      <c r="I28" s="17" t="n">
        <v>3</v>
      </c>
      <c r="J28" s="17" t="n">
        <v>0</v>
      </c>
      <c r="K28" s="17" t="inlineStr">
        <is>
          <t>Sedang</t>
        </is>
      </c>
    </row>
    <row r="29" s="1">
      <c r="A29" s="17">
        <f>RANDBETWEEN(2,164)</f>
        <v/>
      </c>
      <c r="B29" s="17">
        <f t="array" ref="B29">INDEX(Data_DBD!$C:$C,$A29)</f>
        <v/>
      </c>
      <c r="C29" s="17">
        <f t="array" ref="C29">INDEX(Data_DBD!$E:$E,$A29)</f>
        <v/>
      </c>
      <c r="D29" s="17">
        <f t="array" ref="D29">INDEX(Data_DBD!$F:$F,$A29)</f>
        <v/>
      </c>
      <c r="H29" s="17" t="n">
        <v>62</v>
      </c>
      <c r="I29" s="17" t="n">
        <v>4</v>
      </c>
      <c r="J29" s="17" t="n">
        <v>1</v>
      </c>
      <c r="K29" s="17" t="inlineStr">
        <is>
          <t>Sedang</t>
        </is>
      </c>
    </row>
    <row r="30" s="1">
      <c r="A30" s="17">
        <f>RANDBETWEEN(2,164)</f>
        <v/>
      </c>
      <c r="B30" s="17">
        <f t="array" ref="B30">INDEX(Data_DBD!$C:$C,$A30)</f>
        <v/>
      </c>
      <c r="C30" s="17">
        <f t="array" ref="C30">INDEX(Data_DBD!$E:$E,$A30)</f>
        <v/>
      </c>
      <c r="D30" s="17">
        <f t="array" ref="D30">INDEX(Data_DBD!$F:$F,$A30)</f>
        <v/>
      </c>
      <c r="H30" s="17" t="n">
        <v>3</v>
      </c>
      <c r="I30" s="17" t="n">
        <v>3</v>
      </c>
      <c r="J30" s="17" t="n">
        <v>1</v>
      </c>
      <c r="K30" s="17" t="inlineStr">
        <is>
          <t>Sedang</t>
        </is>
      </c>
    </row>
    <row r="31" s="1">
      <c r="A31" s="17">
        <f>RANDBETWEEN(2,164)</f>
        <v/>
      </c>
      <c r="B31" s="17">
        <f t="array" ref="B31">INDEX(Data_DBD!$C:$C,$A31)</f>
        <v/>
      </c>
      <c r="C31" s="17">
        <f t="array" ref="C31">INDEX(Data_DBD!$E:$E,$A31)</f>
        <v/>
      </c>
      <c r="D31" s="17">
        <f t="array" ref="D31">INDEX(Data_DBD!$F:$F,$A31)</f>
        <v/>
      </c>
      <c r="H31" s="17" t="n">
        <v>3</v>
      </c>
      <c r="I31" s="17" t="n">
        <v>3</v>
      </c>
      <c r="J31" s="17" t="n">
        <v>1</v>
      </c>
      <c r="K31" s="17" t="inlineStr">
        <is>
          <t>Sedang</t>
        </is>
      </c>
    </row>
    <row r="32" s="1">
      <c r="A32" s="17">
        <f>RANDBETWEEN(2,164)</f>
        <v/>
      </c>
      <c r="B32" s="17">
        <f t="array" ref="B32">INDEX(Data_DBD!$C:$C,$A32)</f>
        <v/>
      </c>
      <c r="C32" s="17">
        <f t="array" ref="C32">INDEX(Data_DBD!$E:$E,$A32)</f>
        <v/>
      </c>
      <c r="D32" s="17">
        <f t="array" ref="D32">INDEX(Data_DBD!$F:$F,$A32)</f>
        <v/>
      </c>
      <c r="H32" s="17" t="n">
        <v>41</v>
      </c>
      <c r="I32" s="17" t="n">
        <v>4</v>
      </c>
      <c r="J32" s="17" t="n">
        <v>0</v>
      </c>
      <c r="K32" s="17" t="inlineStr">
        <is>
          <t>Sedang</t>
        </is>
      </c>
    </row>
    <row r="33" s="1">
      <c r="A33" s="17">
        <f>RANDBETWEEN(2,164)</f>
        <v/>
      </c>
      <c r="B33" s="17">
        <f t="array" ref="B33">INDEX(Data_DBD!$C:$C,$A33)</f>
        <v/>
      </c>
      <c r="C33" s="17">
        <f t="array" ref="C33">INDEX(Data_DBD!$E:$E,$A33)</f>
        <v/>
      </c>
      <c r="D33" s="17">
        <f t="array" ref="D33">INDEX(Data_DBD!$F:$F,$A33)</f>
        <v/>
      </c>
      <c r="H33" s="17" t="n">
        <v>146</v>
      </c>
      <c r="I33" s="17" t="n">
        <v>2</v>
      </c>
      <c r="J33" s="17" t="n">
        <v>1</v>
      </c>
      <c r="K33" s="17" t="inlineStr">
        <is>
          <t>Tinggi</t>
        </is>
      </c>
    </row>
    <row r="34" s="1">
      <c r="A34" s="17">
        <f>RANDBETWEEN(2,164)</f>
        <v/>
      </c>
      <c r="B34" s="17">
        <f t="array" ref="B34">INDEX(Data_DBD!$C:$C,$A34)</f>
        <v/>
      </c>
      <c r="C34" s="17">
        <f t="array" ref="C34">INDEX(Data_DBD!$E:$E,$A34)</f>
        <v/>
      </c>
      <c r="D34" s="17">
        <f t="array" ref="D34">INDEX(Data_DBD!$F:$F,$A34)</f>
        <v/>
      </c>
      <c r="H34" s="17" t="n">
        <v>107</v>
      </c>
      <c r="I34" s="17" t="n">
        <v>5</v>
      </c>
      <c r="J34" s="17" t="n">
        <v>0</v>
      </c>
      <c r="K34" s="17" t="inlineStr">
        <is>
          <t>Tinggi</t>
        </is>
      </c>
    </row>
    <row r="35" s="1">
      <c r="A35" s="17">
        <f>RANDBETWEEN(2,164)</f>
        <v/>
      </c>
      <c r="B35" s="17">
        <f t="array" ref="B35">INDEX(Data_DBD!$C:$C,$A35)</f>
        <v/>
      </c>
      <c r="C35" s="17">
        <f t="array" ref="C35">INDEX(Data_DBD!$E:$E,$A35)</f>
        <v/>
      </c>
      <c r="D35" s="17">
        <f t="array" ref="D35">INDEX(Data_DBD!$F:$F,$A35)</f>
        <v/>
      </c>
      <c r="H35" s="17" t="n">
        <v>114</v>
      </c>
      <c r="I35" s="17" t="n">
        <v>2</v>
      </c>
      <c r="J35" s="17" t="n">
        <v>1</v>
      </c>
      <c r="K35" s="17" t="inlineStr">
        <is>
          <t>Tinggi</t>
        </is>
      </c>
    </row>
    <row r="36" s="1">
      <c r="A36" s="17">
        <f>RANDBETWEEN(2,164)</f>
        <v/>
      </c>
      <c r="B36" s="17">
        <f t="array" ref="B36">INDEX(Data_DBD!$C:$C,$A36)</f>
        <v/>
      </c>
      <c r="C36" s="17">
        <f t="array" ref="C36">INDEX(Data_DBD!$E:$E,$A36)</f>
        <v/>
      </c>
      <c r="D36" s="17">
        <f t="array" ref="D36">INDEX(Data_DBD!$F:$F,$A36)</f>
        <v/>
      </c>
      <c r="H36" s="17" t="n">
        <v>47</v>
      </c>
      <c r="I36" s="17" t="n">
        <v>2</v>
      </c>
      <c r="J36" s="17" t="n">
        <v>0</v>
      </c>
      <c r="K36" s="17" t="inlineStr">
        <is>
          <t>Sedang</t>
        </is>
      </c>
    </row>
    <row r="37" s="1">
      <c r="A37" s="17">
        <f>RANDBETWEEN(2,164)</f>
        <v/>
      </c>
      <c r="B37" s="17">
        <f t="array" ref="B37">INDEX(Data_DBD!$C:$C,$A37)</f>
        <v/>
      </c>
      <c r="C37" s="17">
        <f t="array" ref="C37">INDEX(Data_DBD!$E:$E,$A37)</f>
        <v/>
      </c>
      <c r="D37" s="17">
        <f t="array" ref="D37">INDEX(Data_DBD!$F:$F,$A37)</f>
        <v/>
      </c>
      <c r="H37" s="17" t="n">
        <v>40</v>
      </c>
      <c r="I37" s="17" t="n">
        <v>3</v>
      </c>
      <c r="J37" s="17" t="n">
        <v>1</v>
      </c>
      <c r="K37" s="17" t="inlineStr">
        <is>
          <t>Sedang</t>
        </is>
      </c>
    </row>
    <row r="38" s="1">
      <c r="A38" s="17">
        <f>RANDBETWEEN(2,164)</f>
        <v/>
      </c>
      <c r="B38" s="17">
        <f t="array" ref="B38">INDEX(Data_DBD!$C:$C,$A38)</f>
        <v/>
      </c>
      <c r="C38" s="17">
        <f t="array" ref="C38">INDEX(Data_DBD!$E:$E,$A38)</f>
        <v/>
      </c>
      <c r="D38" s="17">
        <f t="array" ref="D38">INDEX(Data_DBD!$F:$F,$A38)</f>
        <v/>
      </c>
      <c r="H38" s="17" t="n">
        <v>104</v>
      </c>
      <c r="I38" s="17" t="n">
        <v>4</v>
      </c>
      <c r="J38" s="17" t="n">
        <v>1</v>
      </c>
      <c r="K38" s="17" t="inlineStr">
        <is>
          <t>Tinggi</t>
        </is>
      </c>
    </row>
    <row r="39" s="1">
      <c r="A39" s="17">
        <f>RANDBETWEEN(2,164)</f>
        <v/>
      </c>
      <c r="B39" s="17">
        <f t="array" ref="B39">INDEX(Data_DBD!$C:$C,$A39)</f>
        <v/>
      </c>
      <c r="C39" s="17">
        <f t="array" ref="C39">INDEX(Data_DBD!$E:$E,$A39)</f>
        <v/>
      </c>
      <c r="D39" s="17">
        <f t="array" ref="D39">INDEX(Data_DBD!$F:$F,$A39)</f>
        <v/>
      </c>
      <c r="H39" s="17" t="n">
        <v>78</v>
      </c>
      <c r="I39" s="17" t="n">
        <v>3</v>
      </c>
      <c r="J39" s="17" t="n">
        <v>0</v>
      </c>
      <c r="K39" s="17" t="inlineStr">
        <is>
          <t>Sedang</t>
        </is>
      </c>
    </row>
    <row r="40" s="1">
      <c r="A40" s="17">
        <f>RANDBETWEEN(2,164)</f>
        <v/>
      </c>
      <c r="B40" s="17">
        <f t="array" ref="B40">INDEX(Data_DBD!$C:$C,$A40)</f>
        <v/>
      </c>
      <c r="C40" s="17">
        <f t="array" ref="C40">INDEX(Data_DBD!$E:$E,$A40)</f>
        <v/>
      </c>
      <c r="D40" s="17">
        <f t="array" ref="D40">INDEX(Data_DBD!$F:$F,$A40)</f>
        <v/>
      </c>
      <c r="H40" s="17" t="n">
        <v>149</v>
      </c>
      <c r="I40" s="17" t="n">
        <v>5</v>
      </c>
      <c r="J40" s="17" t="n">
        <v>0</v>
      </c>
      <c r="K40" s="17" t="inlineStr">
        <is>
          <t>Tinggi</t>
        </is>
      </c>
    </row>
    <row r="41" s="1">
      <c r="A41" s="17">
        <f>RANDBETWEEN(2,164)</f>
        <v/>
      </c>
      <c r="B41" s="17">
        <f t="array" ref="B41">INDEX(Data_DBD!$C:$C,$A41)</f>
        <v/>
      </c>
      <c r="C41" s="17">
        <f t="array" ref="C41">INDEX(Data_DBD!$E:$E,$A41)</f>
        <v/>
      </c>
      <c r="D41" s="17">
        <f t="array" ref="D41">INDEX(Data_DBD!$F:$F,$A41)</f>
        <v/>
      </c>
      <c r="H41" s="17" t="n">
        <v>154</v>
      </c>
      <c r="I41" s="17" t="n">
        <v>5</v>
      </c>
      <c r="J41" s="17" t="n">
        <v>1</v>
      </c>
      <c r="K41" s="17" t="inlineStr">
        <is>
          <t>Tinggi</t>
        </is>
      </c>
    </row>
    <row r="42" s="1">
      <c r="A42" s="17">
        <f>RANDBETWEEN(2,164)</f>
        <v/>
      </c>
      <c r="B42" s="17">
        <f t="array" ref="B42">INDEX(Data_DBD!$C:$C,$A42)</f>
        <v/>
      </c>
      <c r="C42" s="17">
        <f t="array" ref="C42">INDEX(Data_DBD!$E:$E,$A42)</f>
        <v/>
      </c>
      <c r="D42" s="17">
        <f t="array" ref="D42">INDEX(Data_DBD!$F:$F,$A42)</f>
        <v/>
      </c>
      <c r="H42" s="17" t="n">
        <v>37</v>
      </c>
      <c r="I42" s="17" t="n">
        <v>4</v>
      </c>
      <c r="J42" s="17" t="n">
        <v>1</v>
      </c>
      <c r="K42" s="17" t="inlineStr">
        <is>
          <t>Rendah</t>
        </is>
      </c>
    </row>
    <row r="43" s="1">
      <c r="A43" s="17">
        <f>RANDBETWEEN(2,164)</f>
        <v/>
      </c>
      <c r="B43" s="17">
        <f t="array" ref="B43">INDEX(Data_DBD!$C:$C,$A43)</f>
        <v/>
      </c>
      <c r="C43" s="17">
        <f t="array" ref="C43">INDEX(Data_DBD!$E:$E,$A43)</f>
        <v/>
      </c>
      <c r="D43" s="17">
        <f t="array" ref="D43">INDEX(Data_DBD!$F:$F,$A43)</f>
        <v/>
      </c>
      <c r="H43" s="17" t="n">
        <v>52</v>
      </c>
      <c r="I43" s="17" t="n">
        <v>4</v>
      </c>
      <c r="J43" s="17" t="n">
        <v>1</v>
      </c>
      <c r="K43" s="17" t="inlineStr">
        <is>
          <t>Sedang</t>
        </is>
      </c>
    </row>
    <row r="44" s="1">
      <c r="A44" s="17">
        <f>RANDBETWEEN(2,164)</f>
        <v/>
      </c>
      <c r="B44" s="17">
        <f t="array" ref="B44">INDEX(Data_DBD!$C:$C,$A44)</f>
        <v/>
      </c>
      <c r="C44" s="17">
        <f t="array" ref="C44">INDEX(Data_DBD!$E:$E,$A44)</f>
        <v/>
      </c>
      <c r="D44" s="17">
        <f t="array" ref="D44">INDEX(Data_DBD!$F:$F,$A44)</f>
        <v/>
      </c>
      <c r="H44" s="17" t="n">
        <v>30</v>
      </c>
      <c r="I44" s="17" t="n">
        <v>2</v>
      </c>
      <c r="J44" s="17" t="n">
        <v>1</v>
      </c>
      <c r="K44" s="17" t="inlineStr">
        <is>
          <t>Sedang</t>
        </is>
      </c>
    </row>
    <row r="45" s="1">
      <c r="A45" s="17">
        <f>RANDBETWEEN(2,164)</f>
        <v/>
      </c>
      <c r="B45" s="17">
        <f t="array" ref="B45">INDEX(Data_DBD!$C:$C,$A45)</f>
        <v/>
      </c>
      <c r="C45" s="17">
        <f t="array" ref="C45">INDEX(Data_DBD!$E:$E,$A45)</f>
        <v/>
      </c>
      <c r="D45" s="17">
        <f t="array" ref="D45">INDEX(Data_DBD!$F:$F,$A45)</f>
        <v/>
      </c>
      <c r="H45" s="17" t="n">
        <v>71</v>
      </c>
      <c r="I45" s="17" t="n">
        <v>3</v>
      </c>
      <c r="J45" s="17" t="n">
        <v>0</v>
      </c>
      <c r="K45" s="17" t="inlineStr">
        <is>
          <t>Sedang</t>
        </is>
      </c>
    </row>
    <row r="46" s="1">
      <c r="A46" s="17">
        <f>RANDBETWEEN(2,164)</f>
        <v/>
      </c>
      <c r="B46" s="17">
        <f t="array" ref="B46">INDEX(Data_DBD!$C:$C,$A46)</f>
        <v/>
      </c>
      <c r="C46" s="17">
        <f t="array" ref="C46">INDEX(Data_DBD!$E:$E,$A46)</f>
        <v/>
      </c>
      <c r="D46" s="17">
        <f t="array" ref="D46">INDEX(Data_DBD!$F:$F,$A46)</f>
        <v/>
      </c>
      <c r="H46" s="17" t="n">
        <v>139</v>
      </c>
      <c r="I46" s="17" t="n">
        <v>7</v>
      </c>
      <c r="J46" s="17" t="n">
        <v>0</v>
      </c>
      <c r="K46" s="17" t="inlineStr">
        <is>
          <t>Tinggi</t>
        </is>
      </c>
    </row>
    <row r="47" s="1">
      <c r="A47" s="17">
        <f>RANDBETWEEN(2,164)</f>
        <v/>
      </c>
      <c r="B47" s="17">
        <f t="array" ref="B47">INDEX(Data_DBD!$C:$C,$A47)</f>
        <v/>
      </c>
      <c r="C47" s="17">
        <f t="array" ref="C47">INDEX(Data_DBD!$E:$E,$A47)</f>
        <v/>
      </c>
      <c r="D47" s="17">
        <f t="array" ref="D47">INDEX(Data_DBD!$F:$F,$A47)</f>
        <v/>
      </c>
      <c r="H47" s="17" t="n">
        <v>109</v>
      </c>
      <c r="I47" s="17" t="n">
        <v>3</v>
      </c>
      <c r="J47" s="17" t="n">
        <v>1</v>
      </c>
      <c r="K47" s="17" t="inlineStr">
        <is>
          <t>Tinggi</t>
        </is>
      </c>
    </row>
    <row r="48" s="1">
      <c r="A48" s="17">
        <f>RANDBETWEEN(2,164)</f>
        <v/>
      </c>
      <c r="B48" s="17">
        <f t="array" ref="B48">INDEX(Data_DBD!$C:$C,$A48)</f>
        <v/>
      </c>
      <c r="C48" s="17">
        <f t="array" ref="C48">INDEX(Data_DBD!$E:$E,$A48)</f>
        <v/>
      </c>
      <c r="D48" s="17">
        <f t="array" ref="D48">INDEX(Data_DBD!$F:$F,$A48)</f>
        <v/>
      </c>
      <c r="H48" s="17" t="n">
        <v>147</v>
      </c>
      <c r="I48" s="17" t="n">
        <v>10</v>
      </c>
      <c r="J48" s="17" t="n">
        <v>1</v>
      </c>
      <c r="K48" s="17" t="inlineStr">
        <is>
          <t>Tinggi</t>
        </is>
      </c>
    </row>
    <row r="49" s="1">
      <c r="A49" s="17">
        <f>RANDBETWEEN(2,164)</f>
        <v/>
      </c>
      <c r="B49" s="17">
        <f t="array" ref="B49">INDEX(Data_DBD!$C:$C,$A49)</f>
        <v/>
      </c>
      <c r="C49" s="17">
        <f t="array" ref="C49">INDEX(Data_DBD!$E:$E,$A49)</f>
        <v/>
      </c>
      <c r="D49" s="17">
        <f t="array" ref="D49">INDEX(Data_DBD!$F:$F,$A49)</f>
        <v/>
      </c>
      <c r="H49" s="17" t="n">
        <v>76</v>
      </c>
      <c r="I49" s="17" t="n">
        <v>2</v>
      </c>
      <c r="J49" s="17" t="n">
        <v>0</v>
      </c>
      <c r="K49" s="17" t="inlineStr">
        <is>
          <t>Sedang</t>
        </is>
      </c>
    </row>
    <row r="50" s="1">
      <c r="A50" s="17">
        <f>RANDBETWEEN(2,164)</f>
        <v/>
      </c>
      <c r="B50" s="17">
        <f t="array" ref="B50">INDEX(Data_DBD!$C:$C,$A50)</f>
        <v/>
      </c>
      <c r="C50" s="17">
        <f t="array" ref="C50">INDEX(Data_DBD!$E:$E,$A50)</f>
        <v/>
      </c>
      <c r="D50" s="17">
        <f t="array" ref="D50">INDEX(Data_DBD!$F:$F,$A50)</f>
        <v/>
      </c>
      <c r="H50" s="17" t="n">
        <v>137</v>
      </c>
      <c r="I50" s="17" t="n">
        <v>1</v>
      </c>
      <c r="J50" s="17" t="n">
        <v>1</v>
      </c>
      <c r="K50" s="17" t="inlineStr">
        <is>
          <t>Tinggi</t>
        </is>
      </c>
    </row>
    <row r="51" s="1">
      <c r="A51" s="17">
        <f>RANDBETWEEN(2,164)</f>
        <v/>
      </c>
      <c r="B51" s="17">
        <f t="array" ref="B51">INDEX(Data_DBD!$C:$C,$A51)</f>
        <v/>
      </c>
      <c r="C51" s="17">
        <f t="array" ref="C51">INDEX(Data_DBD!$E:$E,$A51)</f>
        <v/>
      </c>
      <c r="D51" s="17">
        <f t="array" ref="D51">INDEX(Data_DBD!$F:$F,$A51)</f>
        <v/>
      </c>
      <c r="H51" s="17" t="n">
        <v>72</v>
      </c>
      <c r="I51" s="17" t="n">
        <v>5</v>
      </c>
      <c r="J51" s="17" t="n">
        <v>1</v>
      </c>
      <c r="K51" s="17" t="inlineStr">
        <is>
          <t>Sedang</t>
        </is>
      </c>
    </row>
    <row r="52" s="1">
      <c r="A52" s="17">
        <f>RANDBETWEEN(2,164)</f>
        <v/>
      </c>
      <c r="B52" s="17">
        <f t="array" ref="B52">INDEX(Data_DBD!$C:$C,$A52)</f>
        <v/>
      </c>
      <c r="C52" s="17">
        <f t="array" ref="C52">INDEX(Data_DBD!$E:$E,$A52)</f>
        <v/>
      </c>
      <c r="D52" s="17">
        <f t="array" ref="D52">INDEX(Data_DBD!$F:$F,$A52)</f>
        <v/>
      </c>
      <c r="H52" s="17" t="n">
        <v>11</v>
      </c>
      <c r="I52" s="17" t="n">
        <v>5</v>
      </c>
      <c r="J52" s="17" t="n">
        <v>1</v>
      </c>
      <c r="K52" s="17" t="inlineStr">
        <is>
          <t>Sedang</t>
        </is>
      </c>
    </row>
    <row r="53" s="1">
      <c r="A53" s="17">
        <f>RANDBETWEEN(2,164)</f>
        <v/>
      </c>
      <c r="B53" s="17">
        <f t="array" ref="B53">INDEX(Data_DBD!$C:$C,$A53)</f>
        <v/>
      </c>
      <c r="C53" s="17">
        <f t="array" ref="C53">INDEX(Data_DBD!$E:$E,$A53)</f>
        <v/>
      </c>
      <c r="D53" s="17">
        <f t="array" ref="D53">INDEX(Data_DBD!$F:$F,$A53)</f>
        <v/>
      </c>
      <c r="H53" s="17" t="n">
        <v>123</v>
      </c>
      <c r="I53" s="17" t="n">
        <v>4</v>
      </c>
      <c r="J53" s="17" t="n">
        <v>0</v>
      </c>
      <c r="K53" s="17" t="inlineStr">
        <is>
          <t>Tinggi</t>
        </is>
      </c>
    </row>
    <row r="54" s="1">
      <c r="A54" s="17">
        <f>RANDBETWEEN(2,164)</f>
        <v/>
      </c>
      <c r="B54" s="17">
        <f t="array" ref="B54">INDEX(Data_DBD!$C:$C,$A54)</f>
        <v/>
      </c>
      <c r="C54" s="17">
        <f t="array" ref="C54">INDEX(Data_DBD!$E:$E,$A54)</f>
        <v/>
      </c>
      <c r="D54" s="17">
        <f t="array" ref="D54">INDEX(Data_DBD!$F:$F,$A54)</f>
        <v/>
      </c>
      <c r="H54" s="17" t="n">
        <v>51</v>
      </c>
      <c r="I54" s="17" t="n">
        <v>4</v>
      </c>
      <c r="J54" s="17" t="n">
        <v>0</v>
      </c>
      <c r="K54" s="17" t="inlineStr">
        <is>
          <t>Sedang</t>
        </is>
      </c>
    </row>
    <row r="55" s="1">
      <c r="A55" s="17">
        <f>RANDBETWEEN(2,164)</f>
        <v/>
      </c>
      <c r="B55" s="17">
        <f t="array" ref="B55">INDEX(Data_DBD!$C:$C,$A55)</f>
        <v/>
      </c>
      <c r="C55" s="17">
        <f t="array" ref="C55">INDEX(Data_DBD!$E:$E,$A55)</f>
        <v/>
      </c>
      <c r="D55" s="17">
        <f t="array" ref="D55">INDEX(Data_DBD!$F:$F,$A55)</f>
        <v/>
      </c>
      <c r="H55" s="17" t="n">
        <v>70</v>
      </c>
      <c r="I55" s="17" t="n">
        <v>3</v>
      </c>
      <c r="J55" s="17" t="n">
        <v>1</v>
      </c>
      <c r="K55" s="17" t="inlineStr">
        <is>
          <t>Sedang</t>
        </is>
      </c>
    </row>
    <row r="56" s="1">
      <c r="A56" s="17">
        <f>RANDBETWEEN(2,164)</f>
        <v/>
      </c>
      <c r="B56" s="17">
        <f t="array" ref="B56">INDEX(Data_DBD!$C:$C,$A56)</f>
        <v/>
      </c>
      <c r="C56" s="17">
        <f t="array" ref="C56">INDEX(Data_DBD!$E:$E,$A56)</f>
        <v/>
      </c>
      <c r="D56" s="17">
        <f t="array" ref="D56">INDEX(Data_DBD!$F:$F,$A56)</f>
        <v/>
      </c>
      <c r="H56" s="17" t="n">
        <v>81</v>
      </c>
      <c r="I56" s="17" t="n">
        <v>5</v>
      </c>
      <c r="J56" s="17" t="n">
        <v>1</v>
      </c>
      <c r="K56" s="17" t="inlineStr">
        <is>
          <t>Sedang</t>
        </is>
      </c>
    </row>
    <row r="57" s="1">
      <c r="A57" s="17">
        <f>RANDBETWEEN(2,164)</f>
        <v/>
      </c>
      <c r="B57" s="17">
        <f t="array" ref="B57">INDEX(Data_DBD!$C:$C,$A57)</f>
        <v/>
      </c>
      <c r="C57" s="17">
        <f t="array" ref="C57">INDEX(Data_DBD!$E:$E,$A57)</f>
        <v/>
      </c>
      <c r="D57" s="17">
        <f t="array" ref="D57">INDEX(Data_DBD!$F:$F,$A57)</f>
        <v/>
      </c>
      <c r="H57" s="17" t="n">
        <v>51</v>
      </c>
      <c r="I57" s="17" t="n">
        <v>4</v>
      </c>
      <c r="J57" s="17" t="n">
        <v>0</v>
      </c>
      <c r="K57" s="17" t="inlineStr">
        <is>
          <t>Sedang</t>
        </is>
      </c>
    </row>
    <row r="58" s="1">
      <c r="A58" s="17">
        <f>RANDBETWEEN(2,164)</f>
        <v/>
      </c>
      <c r="B58" s="17">
        <f t="array" ref="B58">INDEX(Data_DBD!$C:$C,$A58)</f>
        <v/>
      </c>
      <c r="C58" s="17">
        <f t="array" ref="C58">INDEX(Data_DBD!$E:$E,$A58)</f>
        <v/>
      </c>
      <c r="D58" s="17">
        <f t="array" ref="D58">INDEX(Data_DBD!$F:$F,$A58)</f>
        <v/>
      </c>
      <c r="H58" s="17" t="n">
        <v>92</v>
      </c>
      <c r="I58" s="17" t="n">
        <v>7</v>
      </c>
      <c r="J58" s="17" t="n">
        <v>0</v>
      </c>
      <c r="K58" s="17" t="inlineStr">
        <is>
          <t>Tinggi</t>
        </is>
      </c>
    </row>
    <row r="59" s="1">
      <c r="A59" s="17">
        <f>RANDBETWEEN(2,164)</f>
        <v/>
      </c>
      <c r="B59" s="17">
        <f t="array" ref="B59">INDEX(Data_DBD!$C:$C,$A59)</f>
        <v/>
      </c>
      <c r="C59" s="17">
        <f t="array" ref="C59">INDEX(Data_DBD!$E:$E,$A59)</f>
        <v/>
      </c>
      <c r="D59" s="17">
        <f t="array" ref="D59">INDEX(Data_DBD!$F:$F,$A59)</f>
        <v/>
      </c>
      <c r="H59" s="17" t="n">
        <v>60</v>
      </c>
      <c r="I59" s="17" t="n">
        <v>4</v>
      </c>
      <c r="J59" s="17" t="n">
        <v>0</v>
      </c>
      <c r="K59" s="17" t="inlineStr">
        <is>
          <t>Sedang</t>
        </is>
      </c>
    </row>
    <row r="60" s="1">
      <c r="A60" s="17">
        <f>RANDBETWEEN(2,164)</f>
        <v/>
      </c>
      <c r="B60" s="17">
        <f t="array" ref="B60">INDEX(Data_DBD!$C:$C,$A60)</f>
        <v/>
      </c>
      <c r="C60" s="17">
        <f t="array" ref="C60">INDEX(Data_DBD!$E:$E,$A60)</f>
        <v/>
      </c>
      <c r="D60" s="17">
        <f t="array" ref="D60">INDEX(Data_DBD!$F:$F,$A60)</f>
        <v/>
      </c>
      <c r="H60" s="17" t="n">
        <v>103</v>
      </c>
      <c r="I60" s="17" t="n">
        <v>5</v>
      </c>
      <c r="J60" s="17" t="n">
        <v>0</v>
      </c>
      <c r="K60" s="17" t="inlineStr">
        <is>
          <t>Tinggi</t>
        </is>
      </c>
    </row>
    <row r="61" s="1">
      <c r="A61" s="17">
        <f>RANDBETWEEN(2,164)</f>
        <v/>
      </c>
      <c r="B61" s="17">
        <f t="array" ref="B61">INDEX(Data_DBD!$C:$C,$A61)</f>
        <v/>
      </c>
      <c r="C61" s="17">
        <f t="array" ref="C61">INDEX(Data_DBD!$E:$E,$A61)</f>
        <v/>
      </c>
      <c r="D61" s="17">
        <f t="array" ref="D61">INDEX(Data_DBD!$F:$F,$A61)</f>
        <v/>
      </c>
      <c r="H61" s="17" t="n">
        <v>70</v>
      </c>
      <c r="I61" s="17" t="n">
        <v>3</v>
      </c>
      <c r="J61" s="17" t="n">
        <v>1</v>
      </c>
      <c r="K61" s="17" t="inlineStr">
        <is>
          <t>Sedang</t>
        </is>
      </c>
    </row>
    <row r="62" s="1">
      <c r="A62" s="17">
        <f>RANDBETWEEN(2,164)</f>
        <v/>
      </c>
      <c r="B62" s="17">
        <f t="array" ref="B62">INDEX(Data_DBD!$C:$C,$A62)</f>
        <v/>
      </c>
      <c r="C62" s="17">
        <f t="array" ref="C62">INDEX(Data_DBD!$E:$E,$A62)</f>
        <v/>
      </c>
      <c r="D62" s="17">
        <f t="array" ref="D62">INDEX(Data_DBD!$F:$F,$A62)</f>
        <v/>
      </c>
      <c r="H62" s="17" t="n">
        <v>101</v>
      </c>
      <c r="I62" s="17" t="n">
        <v>5</v>
      </c>
      <c r="J62" s="17" t="n">
        <v>0</v>
      </c>
      <c r="K62" s="17" t="inlineStr">
        <is>
          <t>Tinggi</t>
        </is>
      </c>
    </row>
    <row r="63" s="1">
      <c r="A63" s="17">
        <f>RANDBETWEEN(2,164)</f>
        <v/>
      </c>
      <c r="B63" s="17">
        <f t="array" ref="B63">INDEX(Data_DBD!$C:$C,$A63)</f>
        <v/>
      </c>
      <c r="C63" s="17">
        <f t="array" ref="C63">INDEX(Data_DBD!$E:$E,$A63)</f>
        <v/>
      </c>
      <c r="D63" s="17">
        <f t="array" ref="D63">INDEX(Data_DBD!$F:$F,$A63)</f>
        <v/>
      </c>
      <c r="H63" s="17" t="n">
        <v>72</v>
      </c>
      <c r="I63" s="17" t="n">
        <v>5</v>
      </c>
      <c r="J63" s="17" t="n">
        <v>1</v>
      </c>
      <c r="K63" s="17" t="inlineStr">
        <is>
          <t>Sedang</t>
        </is>
      </c>
    </row>
    <row r="64" s="1">
      <c r="A64" s="17">
        <f>RANDBETWEEN(2,164)</f>
        <v/>
      </c>
      <c r="B64" s="17">
        <f t="array" ref="B64">INDEX(Data_DBD!$C:$C,$A64)</f>
        <v/>
      </c>
      <c r="C64" s="17">
        <f t="array" ref="C64">INDEX(Data_DBD!$E:$E,$A64)</f>
        <v/>
      </c>
      <c r="D64" s="17">
        <f t="array" ref="D64">INDEX(Data_DBD!$F:$F,$A64)</f>
        <v/>
      </c>
      <c r="H64" s="17" t="n">
        <v>130</v>
      </c>
      <c r="I64" s="17" t="n">
        <v>4</v>
      </c>
      <c r="J64" s="17" t="n">
        <v>0</v>
      </c>
      <c r="K64" s="17" t="inlineStr">
        <is>
          <t>Tinggi</t>
        </is>
      </c>
    </row>
    <row r="65" s="1">
      <c r="A65" s="17">
        <f>RANDBETWEEN(2,164)</f>
        <v/>
      </c>
      <c r="B65" s="17">
        <f t="array" ref="B65">INDEX(Data_DBD!$C:$C,$A65)</f>
        <v/>
      </c>
      <c r="C65" s="17">
        <f t="array" ref="C65">INDEX(Data_DBD!$E:$E,$A65)</f>
        <v/>
      </c>
      <c r="D65" s="17">
        <f t="array" ref="D65">INDEX(Data_DBD!$F:$F,$A65)</f>
        <v/>
      </c>
      <c r="H65" s="17" t="n">
        <v>20</v>
      </c>
      <c r="I65" s="17" t="n">
        <v>5</v>
      </c>
      <c r="J65" s="17" t="n">
        <v>0</v>
      </c>
      <c r="K65" s="17" t="inlineStr">
        <is>
          <t>Rendah</t>
        </is>
      </c>
    </row>
    <row r="66" s="1">
      <c r="A66" s="17">
        <f>RANDBETWEEN(2,164)</f>
        <v/>
      </c>
      <c r="B66" s="17">
        <f t="array" ref="B66">INDEX(Data_DBD!$C:$C,$A66)</f>
        <v/>
      </c>
      <c r="C66" s="17">
        <f t="array" ref="C66">INDEX(Data_DBD!$E:$E,$A66)</f>
        <v/>
      </c>
      <c r="D66" s="17">
        <f t="array" ref="D66">INDEX(Data_DBD!$F:$F,$A66)</f>
        <v/>
      </c>
      <c r="H66" s="17" t="n">
        <v>75</v>
      </c>
      <c r="I66" s="17" t="n">
        <v>2</v>
      </c>
      <c r="J66" s="17" t="n">
        <v>1</v>
      </c>
      <c r="K66" s="17" t="inlineStr">
        <is>
          <t>Sedang</t>
        </is>
      </c>
    </row>
    <row r="67" s="1">
      <c r="A67" s="17">
        <f>RANDBETWEEN(2,164)</f>
        <v/>
      </c>
      <c r="B67" s="17">
        <f t="array" ref="B67">INDEX(Data_DBD!$C:$C,$A67)</f>
        <v/>
      </c>
      <c r="C67" s="17">
        <f t="array" ref="C67">INDEX(Data_DBD!$E:$E,$A67)</f>
        <v/>
      </c>
      <c r="D67" s="17">
        <f t="array" ref="D67">INDEX(Data_DBD!$F:$F,$A67)</f>
        <v/>
      </c>
      <c r="H67" s="17" t="n">
        <v>94</v>
      </c>
      <c r="I67" s="17" t="n">
        <v>4</v>
      </c>
      <c r="J67" s="17" t="n">
        <v>0</v>
      </c>
      <c r="K67" s="17" t="inlineStr">
        <is>
          <t>Tinggi</t>
        </is>
      </c>
    </row>
    <row r="68" s="1">
      <c r="A68" s="17">
        <f>RANDBETWEEN(2,164)</f>
        <v/>
      </c>
      <c r="B68" s="17">
        <f t="array" ref="B68">INDEX(Data_DBD!$C:$C,$A68)</f>
        <v/>
      </c>
      <c r="C68" s="17">
        <f t="array" ref="C68">INDEX(Data_DBD!$E:$E,$A68)</f>
        <v/>
      </c>
      <c r="D68" s="17">
        <f t="array" ref="D68">INDEX(Data_DBD!$F:$F,$A68)</f>
        <v/>
      </c>
      <c r="H68" s="17" t="n">
        <v>37</v>
      </c>
      <c r="I68" s="17" t="n">
        <v>4</v>
      </c>
      <c r="J68" s="17" t="n">
        <v>1</v>
      </c>
      <c r="K68" s="17" t="inlineStr">
        <is>
          <t>Rendah</t>
        </is>
      </c>
    </row>
    <row r="69" s="1">
      <c r="A69" s="17">
        <f>RANDBETWEEN(2,164)</f>
        <v/>
      </c>
      <c r="B69" s="17">
        <f t="array" ref="B69">INDEX(Data_DBD!$C:$C,$A69)</f>
        <v/>
      </c>
      <c r="C69" s="17">
        <f t="array" ref="C69">INDEX(Data_DBD!$E:$E,$A69)</f>
        <v/>
      </c>
      <c r="D69" s="17">
        <f t="array" ref="D69">INDEX(Data_DBD!$F:$F,$A69)</f>
        <v/>
      </c>
      <c r="H69" s="17" t="n">
        <v>144</v>
      </c>
      <c r="I69" s="17" t="n">
        <v>4</v>
      </c>
      <c r="J69" s="17" t="n">
        <v>1</v>
      </c>
      <c r="K69" s="17" t="inlineStr">
        <is>
          <t>Tinggi</t>
        </is>
      </c>
    </row>
    <row r="70" s="1">
      <c r="A70" s="17">
        <f>RANDBETWEEN(2,164)</f>
        <v/>
      </c>
      <c r="B70" s="17">
        <f t="array" ref="B70">INDEX(Data_DBD!$C:$C,$A70)</f>
        <v/>
      </c>
      <c r="C70" s="17">
        <f t="array" ref="C70">INDEX(Data_DBD!$E:$E,$A70)</f>
        <v/>
      </c>
      <c r="D70" s="17">
        <f t="array" ref="D70">INDEX(Data_DBD!$F:$F,$A70)</f>
        <v/>
      </c>
      <c r="H70" s="17" t="n">
        <v>154</v>
      </c>
      <c r="I70" s="17" t="n">
        <v>5</v>
      </c>
      <c r="J70" s="17" t="n">
        <v>1</v>
      </c>
      <c r="K70" s="17" t="inlineStr">
        <is>
          <t>Tinggi</t>
        </is>
      </c>
    </row>
    <row r="71" s="1">
      <c r="A71" s="17">
        <f>RANDBETWEEN(2,164)</f>
        <v/>
      </c>
      <c r="B71" s="17">
        <f t="array" ref="B71">INDEX(Data_DBD!$C:$C,$A71)</f>
        <v/>
      </c>
      <c r="C71" s="17">
        <f t="array" ref="C71">INDEX(Data_DBD!$E:$E,$A71)</f>
        <v/>
      </c>
      <c r="D71" s="17">
        <f t="array" ref="D71">INDEX(Data_DBD!$F:$F,$A71)</f>
        <v/>
      </c>
      <c r="H71" s="17" t="n">
        <v>111</v>
      </c>
      <c r="I71" s="17" t="n">
        <v>4</v>
      </c>
      <c r="J71" s="17" t="n">
        <v>0</v>
      </c>
      <c r="K71" s="17" t="inlineStr">
        <is>
          <t>Tinggi</t>
        </is>
      </c>
    </row>
    <row r="72" s="1">
      <c r="A72" s="17">
        <f>RANDBETWEEN(2,164)</f>
        <v/>
      </c>
      <c r="B72" s="17">
        <f t="array" ref="B72">INDEX(Data_DBD!$C:$C,$A72)</f>
        <v/>
      </c>
      <c r="C72" s="17">
        <f t="array" ref="C72">INDEX(Data_DBD!$E:$E,$A72)</f>
        <v/>
      </c>
      <c r="D72" s="17">
        <f t="array" ref="D72">INDEX(Data_DBD!$F:$F,$A72)</f>
        <v/>
      </c>
      <c r="H72" s="17" t="n">
        <v>149</v>
      </c>
      <c r="I72" s="17" t="n">
        <v>5</v>
      </c>
      <c r="J72" s="17" t="n">
        <v>0</v>
      </c>
      <c r="K72" s="17" t="inlineStr">
        <is>
          <t>Tinggi</t>
        </is>
      </c>
    </row>
    <row r="73" s="1">
      <c r="A73" s="17">
        <f>RANDBETWEEN(2,164)</f>
        <v/>
      </c>
      <c r="B73" s="17">
        <f t="array" ref="B73">INDEX(Data_DBD!$C:$C,$A73)</f>
        <v/>
      </c>
      <c r="C73" s="17">
        <f t="array" ref="C73">INDEX(Data_DBD!$E:$E,$A73)</f>
        <v/>
      </c>
      <c r="D73" s="17">
        <f t="array" ref="D73">INDEX(Data_DBD!$F:$F,$A73)</f>
        <v/>
      </c>
      <c r="H73" s="17" t="n">
        <v>52</v>
      </c>
      <c r="I73" s="17" t="n">
        <v>4</v>
      </c>
      <c r="J73" s="17" t="n">
        <v>1</v>
      </c>
      <c r="K73" s="17" t="inlineStr">
        <is>
          <t>Sedang</t>
        </is>
      </c>
    </row>
    <row r="74" s="1">
      <c r="A74" s="17">
        <f>RANDBETWEEN(2,164)</f>
        <v/>
      </c>
      <c r="B74" s="17">
        <f t="array" ref="B74">INDEX(Data_DBD!$C:$C,$A74)</f>
        <v/>
      </c>
      <c r="C74" s="17">
        <f t="array" ref="C74">INDEX(Data_DBD!$E:$E,$A74)</f>
        <v/>
      </c>
      <c r="D74" s="17">
        <f t="array" ref="D74">INDEX(Data_DBD!$F:$F,$A74)</f>
        <v/>
      </c>
      <c r="H74" s="17" t="n">
        <v>65</v>
      </c>
      <c r="I74" s="17" t="n">
        <v>3</v>
      </c>
      <c r="J74" s="17" t="n">
        <v>0</v>
      </c>
      <c r="K74" s="17" t="inlineStr">
        <is>
          <t>Sedang</t>
        </is>
      </c>
    </row>
    <row r="75" s="1">
      <c r="A75" s="17">
        <f>RANDBETWEEN(2,164)</f>
        <v/>
      </c>
      <c r="B75" s="17">
        <f t="array" ref="B75">INDEX(Data_DBD!$C:$C,$A75)</f>
        <v/>
      </c>
      <c r="C75" s="17">
        <f t="array" ref="C75">INDEX(Data_DBD!$E:$E,$A75)</f>
        <v/>
      </c>
      <c r="D75" s="17">
        <f t="array" ref="D75">INDEX(Data_DBD!$F:$F,$A75)</f>
        <v/>
      </c>
      <c r="H75" s="17" t="n">
        <v>112</v>
      </c>
      <c r="I75" s="17" t="n">
        <v>3</v>
      </c>
      <c r="J75" s="17" t="n">
        <v>1</v>
      </c>
      <c r="K75" s="17" t="inlineStr">
        <is>
          <t>Tinggi</t>
        </is>
      </c>
    </row>
    <row r="76" s="1">
      <c r="A76" s="17">
        <f>RANDBETWEEN(2,164)</f>
        <v/>
      </c>
      <c r="B76" s="17">
        <f t="array" ref="B76">INDEX(Data_DBD!$C:$C,$A76)</f>
        <v/>
      </c>
      <c r="C76" s="17">
        <f t="array" ref="C76">INDEX(Data_DBD!$E:$E,$A76)</f>
        <v/>
      </c>
      <c r="D76" s="17">
        <f t="array" ref="D76">INDEX(Data_DBD!$F:$F,$A76)</f>
        <v/>
      </c>
      <c r="H76" s="17" t="n">
        <v>25</v>
      </c>
      <c r="I76" s="17" t="n">
        <v>5</v>
      </c>
      <c r="J76" s="17" t="n">
        <v>0</v>
      </c>
      <c r="K76" s="17" t="inlineStr">
        <is>
          <t>Sedang</t>
        </is>
      </c>
    </row>
    <row r="77" s="1">
      <c r="A77" s="17">
        <f>RANDBETWEEN(2,164)</f>
        <v/>
      </c>
      <c r="B77" s="17">
        <f t="array" ref="B77">INDEX(Data_DBD!$C:$C,$A77)</f>
        <v/>
      </c>
      <c r="C77" s="17">
        <f t="array" ref="C77">INDEX(Data_DBD!$E:$E,$A77)</f>
        <v/>
      </c>
      <c r="D77" s="17">
        <f t="array" ref="D77">INDEX(Data_DBD!$F:$F,$A77)</f>
        <v/>
      </c>
      <c r="H77" s="17" t="n">
        <v>138</v>
      </c>
      <c r="I77" s="17" t="n">
        <v>3</v>
      </c>
      <c r="J77" s="17" t="n">
        <v>1</v>
      </c>
      <c r="K77" s="17" t="inlineStr">
        <is>
          <t>Tinggi</t>
        </is>
      </c>
    </row>
    <row r="78" s="1">
      <c r="A78" s="17">
        <f>RANDBETWEEN(2,164)</f>
        <v/>
      </c>
      <c r="B78" s="17">
        <f t="array" ref="B78">INDEX(Data_DBD!$C:$C,$A78)</f>
        <v/>
      </c>
      <c r="C78" s="17">
        <f t="array" ref="C78">INDEX(Data_DBD!$E:$E,$A78)</f>
        <v/>
      </c>
      <c r="D78" s="17">
        <f t="array" ref="D78">INDEX(Data_DBD!$F:$F,$A78)</f>
        <v/>
      </c>
      <c r="H78" s="17" t="n">
        <v>133</v>
      </c>
      <c r="I78" s="17" t="n">
        <v>4</v>
      </c>
      <c r="J78" s="17" t="n">
        <v>0</v>
      </c>
      <c r="K78" s="17" t="inlineStr">
        <is>
          <t>Tinggi</t>
        </is>
      </c>
    </row>
    <row r="79" s="1">
      <c r="A79" s="17">
        <f>RANDBETWEEN(2,164)</f>
        <v/>
      </c>
      <c r="B79" s="17">
        <f t="array" ref="B79">INDEX(Data_DBD!$C:$C,$A79)</f>
        <v/>
      </c>
      <c r="C79" s="17">
        <f t="array" ref="C79">INDEX(Data_DBD!$E:$E,$A79)</f>
        <v/>
      </c>
      <c r="D79" s="17">
        <f t="array" ref="D79">INDEX(Data_DBD!$F:$F,$A79)</f>
        <v/>
      </c>
      <c r="H79" s="17" t="n">
        <v>43</v>
      </c>
      <c r="I79" s="17" t="n">
        <v>4</v>
      </c>
      <c r="J79" s="17" t="n">
        <v>0</v>
      </c>
      <c r="K79" s="17" t="inlineStr">
        <is>
          <t>Sedang</t>
        </is>
      </c>
    </row>
    <row r="80" s="1">
      <c r="A80" s="17">
        <f>RANDBETWEEN(2,164)</f>
        <v/>
      </c>
      <c r="B80" s="17">
        <f t="array" ref="B80">INDEX(Data_DBD!$C:$C,$A80)</f>
        <v/>
      </c>
      <c r="C80" s="17">
        <f t="array" ref="C80">INDEX(Data_DBD!$E:$E,$A80)</f>
        <v/>
      </c>
      <c r="D80" s="17">
        <f t="array" ref="D80">INDEX(Data_DBD!$F:$F,$A80)</f>
        <v/>
      </c>
      <c r="H80" s="17" t="n">
        <v>162</v>
      </c>
      <c r="I80" s="17" t="n">
        <v>3</v>
      </c>
      <c r="J80" s="17" t="n">
        <v>1</v>
      </c>
      <c r="K80" s="17" t="inlineStr">
        <is>
          <t>Rendah</t>
        </is>
      </c>
    </row>
    <row r="81" s="1">
      <c r="A81" s="17">
        <f>RANDBETWEEN(2,164)</f>
        <v/>
      </c>
      <c r="B81" s="17">
        <f t="array" ref="B81">INDEX(Data_DBD!$C:$C,$A81)</f>
        <v/>
      </c>
      <c r="C81" s="17">
        <f t="array" ref="C81">INDEX(Data_DBD!$E:$E,$A81)</f>
        <v/>
      </c>
      <c r="D81" s="17">
        <f t="array" ref="D81">INDEX(Data_DBD!$F:$F,$A81)</f>
        <v/>
      </c>
      <c r="H81" s="17" t="n">
        <v>42</v>
      </c>
      <c r="I81" s="17" t="n">
        <v>5</v>
      </c>
      <c r="J81" s="17" t="n">
        <v>1</v>
      </c>
      <c r="K81" s="17" t="inlineStr">
        <is>
          <t>Sedang</t>
        </is>
      </c>
    </row>
    <row r="82" s="1">
      <c r="A82" s="17">
        <f>RANDBETWEEN(2,164)</f>
        <v/>
      </c>
      <c r="B82" s="17">
        <f t="array" ref="B82">INDEX(Data_DBD!$C:$C,$A82)</f>
        <v/>
      </c>
      <c r="C82" s="17">
        <f t="array" ref="C82">INDEX(Data_DBD!$E:$E,$A82)</f>
        <v/>
      </c>
      <c r="D82" s="17">
        <f t="array" ref="D82">INDEX(Data_DBD!$F:$F,$A82)</f>
        <v/>
      </c>
      <c r="H82" s="17" t="n">
        <v>43</v>
      </c>
      <c r="I82" s="17" t="n">
        <v>4</v>
      </c>
      <c r="J82" s="17" t="n">
        <v>0</v>
      </c>
      <c r="K82" s="17" t="inlineStr">
        <is>
          <t>Sedang</t>
        </is>
      </c>
    </row>
    <row r="83" s="1">
      <c r="A83" s="17">
        <f>RANDBETWEEN(2,164)</f>
        <v/>
      </c>
      <c r="B83" s="17">
        <f t="array" ref="B83">INDEX(Data_DBD!$C:$C,$A83)</f>
        <v/>
      </c>
      <c r="C83" s="17">
        <f t="array" ref="C83">INDEX(Data_DBD!$E:$E,$A83)</f>
        <v/>
      </c>
      <c r="D83" s="17">
        <f t="array" ref="D83">INDEX(Data_DBD!$F:$F,$A83)</f>
        <v/>
      </c>
      <c r="H83" s="17" t="n">
        <v>80</v>
      </c>
      <c r="I83" s="17" t="n">
        <v>3</v>
      </c>
      <c r="J83" s="17" t="n">
        <v>1</v>
      </c>
      <c r="K83" s="17" t="inlineStr">
        <is>
          <t>Sedang</t>
        </is>
      </c>
    </row>
    <row r="84" s="1">
      <c r="A84" s="17">
        <f>RANDBETWEEN(2,164)</f>
        <v/>
      </c>
      <c r="B84" s="17">
        <f t="array" ref="B84">INDEX(Data_DBD!$C:$C,$A84)</f>
        <v/>
      </c>
      <c r="C84" s="17">
        <f t="array" ref="C84">INDEX(Data_DBD!$E:$E,$A84)</f>
        <v/>
      </c>
      <c r="D84" s="17">
        <f t="array" ref="D84">INDEX(Data_DBD!$F:$F,$A84)</f>
        <v/>
      </c>
      <c r="H84" s="17" t="n">
        <v>78</v>
      </c>
      <c r="I84" s="17" t="n">
        <v>3</v>
      </c>
      <c r="J84" s="17" t="n">
        <v>0</v>
      </c>
      <c r="K84" s="17" t="inlineStr">
        <is>
          <t>Sedang</t>
        </is>
      </c>
    </row>
    <row r="85" s="1">
      <c r="A85" s="17">
        <f>RANDBETWEEN(2,164)</f>
        <v/>
      </c>
      <c r="B85" s="17">
        <f t="array" ref="B85">INDEX(Data_DBD!$C:$C,$A85)</f>
        <v/>
      </c>
      <c r="C85" s="17">
        <f t="array" ref="C85">INDEX(Data_DBD!$E:$E,$A85)</f>
        <v/>
      </c>
      <c r="D85" s="17">
        <f t="array" ref="D85">INDEX(Data_DBD!$F:$F,$A85)</f>
        <v/>
      </c>
      <c r="H85" s="17" t="n">
        <v>134</v>
      </c>
      <c r="I85" s="17" t="n">
        <v>2</v>
      </c>
      <c r="J85" s="17" t="n">
        <v>1</v>
      </c>
      <c r="K85" s="17" t="inlineStr">
        <is>
          <t>Tinggi</t>
        </is>
      </c>
    </row>
    <row r="86" s="1">
      <c r="A86" s="17">
        <f>RANDBETWEEN(2,164)</f>
        <v/>
      </c>
      <c r="B86" s="17">
        <f t="array" ref="B86">INDEX(Data_DBD!$C:$C,$A86)</f>
        <v/>
      </c>
      <c r="C86" s="17">
        <f t="array" ref="C86">INDEX(Data_DBD!$E:$E,$A86)</f>
        <v/>
      </c>
      <c r="D86" s="17">
        <f t="array" ref="D86">INDEX(Data_DBD!$F:$F,$A86)</f>
        <v/>
      </c>
      <c r="H86" s="17" t="n">
        <v>22</v>
      </c>
      <c r="I86" s="17" t="n">
        <v>3</v>
      </c>
      <c r="J86" s="17" t="n">
        <v>0</v>
      </c>
      <c r="K86" s="17" t="inlineStr">
        <is>
          <t>Sedang</t>
        </is>
      </c>
    </row>
    <row r="87" s="1">
      <c r="A87" s="17">
        <f>RANDBETWEEN(2,164)</f>
        <v/>
      </c>
      <c r="B87" s="17">
        <f t="array" ref="B87">INDEX(Data_DBD!$C:$C,$A87)</f>
        <v/>
      </c>
      <c r="C87" s="17">
        <f t="array" ref="C87">INDEX(Data_DBD!$E:$E,$A87)</f>
        <v/>
      </c>
      <c r="D87" s="17">
        <f t="array" ref="D87">INDEX(Data_DBD!$F:$F,$A87)</f>
        <v/>
      </c>
      <c r="H87" s="17" t="n">
        <v>49</v>
      </c>
      <c r="I87" s="17" t="n">
        <v>5</v>
      </c>
      <c r="J87" s="17" t="n">
        <v>0</v>
      </c>
      <c r="K87" s="17" t="inlineStr">
        <is>
          <t>Sedang</t>
        </is>
      </c>
    </row>
    <row r="88" s="1">
      <c r="A88" s="17">
        <f>RANDBETWEEN(2,164)</f>
        <v/>
      </c>
      <c r="B88" s="17">
        <f t="array" ref="B88">INDEX(Data_DBD!$C:$C,$A88)</f>
        <v/>
      </c>
      <c r="C88" s="17">
        <f t="array" ref="C88">INDEX(Data_DBD!$E:$E,$A88)</f>
        <v/>
      </c>
      <c r="D88" s="17">
        <f t="array" ref="D88">INDEX(Data_DBD!$F:$F,$A88)</f>
        <v/>
      </c>
      <c r="H88" s="17" t="n">
        <v>73</v>
      </c>
      <c r="I88" s="17" t="n">
        <v>3</v>
      </c>
      <c r="J88" s="17" t="n">
        <v>1</v>
      </c>
      <c r="K88" s="17" t="inlineStr">
        <is>
          <t>Sedang</t>
        </is>
      </c>
    </row>
    <row r="89" s="1">
      <c r="A89" s="17">
        <f>RANDBETWEEN(2,164)</f>
        <v/>
      </c>
      <c r="B89" s="17">
        <f t="array" ref="B89">INDEX(Data_DBD!$C:$C,$A89)</f>
        <v/>
      </c>
      <c r="C89" s="17">
        <f t="array" ref="C89">INDEX(Data_DBD!$E:$E,$A89)</f>
        <v/>
      </c>
      <c r="D89" s="17">
        <f t="array" ref="D89">INDEX(Data_DBD!$F:$F,$A89)</f>
        <v/>
      </c>
      <c r="H89" s="17" t="n">
        <v>67</v>
      </c>
      <c r="I89" s="17" t="n">
        <v>3</v>
      </c>
      <c r="J89" s="17" t="n">
        <v>1</v>
      </c>
      <c r="K89" s="17" t="inlineStr">
        <is>
          <t>Sedang</t>
        </is>
      </c>
    </row>
    <row r="90" s="1">
      <c r="A90" s="17">
        <f>RANDBETWEEN(2,164)</f>
        <v/>
      </c>
      <c r="B90" s="17">
        <f t="array" ref="B90">INDEX(Data_DBD!$C:$C,$A90)</f>
        <v/>
      </c>
      <c r="C90" s="17">
        <f t="array" ref="C90">INDEX(Data_DBD!$E:$E,$A90)</f>
        <v/>
      </c>
      <c r="D90" s="17">
        <f t="array" ref="D90">INDEX(Data_DBD!$F:$F,$A90)</f>
        <v/>
      </c>
      <c r="H90" s="17" t="n">
        <v>91</v>
      </c>
      <c r="I90" s="17" t="n">
        <v>1</v>
      </c>
      <c r="J90" s="17" t="n">
        <v>1</v>
      </c>
      <c r="K90" s="17" t="inlineStr">
        <is>
          <t>Tinggi</t>
        </is>
      </c>
    </row>
    <row r="91" s="1">
      <c r="A91" s="17">
        <f>RANDBETWEEN(2,164)</f>
        <v/>
      </c>
      <c r="B91" s="17">
        <f t="array" ref="B91">INDEX(Data_DBD!$C:$C,$A91)</f>
        <v/>
      </c>
      <c r="C91" s="17">
        <f t="array" ref="C91">INDEX(Data_DBD!$E:$E,$A91)</f>
        <v/>
      </c>
      <c r="D91" s="17">
        <f t="array" ref="D91">INDEX(Data_DBD!$F:$F,$A91)</f>
        <v/>
      </c>
      <c r="H91" s="17" t="n">
        <v>13</v>
      </c>
      <c r="I91" s="17" t="n">
        <v>2</v>
      </c>
      <c r="J91" s="17" t="n">
        <v>0</v>
      </c>
      <c r="K91" s="17" t="inlineStr">
        <is>
          <t>Sedang</t>
        </is>
      </c>
    </row>
    <row r="92" s="1">
      <c r="A92" s="17">
        <f>RANDBETWEEN(2,164)</f>
        <v/>
      </c>
      <c r="B92" s="17">
        <f t="array" ref="B92">INDEX(Data_DBD!$C:$C,$A92)</f>
        <v/>
      </c>
      <c r="C92" s="17">
        <f t="array" ref="C92">INDEX(Data_DBD!$E:$E,$A92)</f>
        <v/>
      </c>
      <c r="D92" s="17">
        <f t="array" ref="D92">INDEX(Data_DBD!$F:$F,$A92)</f>
        <v/>
      </c>
      <c r="H92" s="17" t="n">
        <v>149</v>
      </c>
      <c r="I92" s="17" t="n">
        <v>5</v>
      </c>
      <c r="J92" s="17" t="n">
        <v>0</v>
      </c>
      <c r="K92" s="17" t="inlineStr">
        <is>
          <t>Tinggi</t>
        </is>
      </c>
    </row>
    <row r="93" s="1">
      <c r="A93" s="17">
        <f>RANDBETWEEN(2,164)</f>
        <v/>
      </c>
      <c r="B93" s="17">
        <f t="array" ref="B93">INDEX(Data_DBD!$C:$C,$A93)</f>
        <v/>
      </c>
      <c r="C93" s="17">
        <f t="array" ref="C93">INDEX(Data_DBD!$E:$E,$A93)</f>
        <v/>
      </c>
      <c r="D93" s="17">
        <f t="array" ref="D93">INDEX(Data_DBD!$F:$F,$A93)</f>
        <v/>
      </c>
      <c r="H93" s="17" t="n">
        <v>109</v>
      </c>
      <c r="I93" s="17" t="n">
        <v>3</v>
      </c>
      <c r="J93" s="17" t="n">
        <v>1</v>
      </c>
      <c r="K93" s="17" t="inlineStr">
        <is>
          <t>Tinggi</t>
        </is>
      </c>
    </row>
    <row r="94" s="1">
      <c r="A94" s="17">
        <f>RANDBETWEEN(2,164)</f>
        <v/>
      </c>
      <c r="B94" s="17">
        <f t="array" ref="B94">INDEX(Data_DBD!$C:$C,$A94)</f>
        <v/>
      </c>
      <c r="C94" s="17">
        <f t="array" ref="C94">INDEX(Data_DBD!$E:$E,$A94)</f>
        <v/>
      </c>
      <c r="D94" s="17">
        <f t="array" ref="D94">INDEX(Data_DBD!$F:$F,$A94)</f>
        <v/>
      </c>
      <c r="H94" s="17" t="n">
        <v>135</v>
      </c>
      <c r="I94" s="17" t="n">
        <v>2</v>
      </c>
      <c r="J94" s="17" t="n">
        <v>0</v>
      </c>
      <c r="K94" s="17" t="inlineStr">
        <is>
          <t>Tinggi</t>
        </is>
      </c>
    </row>
    <row r="95" s="1">
      <c r="A95" s="17">
        <f>RANDBETWEEN(2,164)</f>
        <v/>
      </c>
      <c r="B95" s="17">
        <f t="array" ref="B95">INDEX(Data_DBD!$C:$C,$A95)</f>
        <v/>
      </c>
      <c r="C95" s="17">
        <f t="array" ref="C95">INDEX(Data_DBD!$E:$E,$A95)</f>
        <v/>
      </c>
      <c r="D95" s="17">
        <f t="array" ref="D95">INDEX(Data_DBD!$F:$F,$A95)</f>
        <v/>
      </c>
      <c r="H95" s="17" t="n">
        <v>144</v>
      </c>
      <c r="I95" s="17" t="n">
        <v>4</v>
      </c>
      <c r="J95" s="17" t="n">
        <v>1</v>
      </c>
      <c r="K95" s="17" t="inlineStr">
        <is>
          <t>Tinggi</t>
        </is>
      </c>
    </row>
    <row r="96" s="1">
      <c r="A96" s="17">
        <f>RANDBETWEEN(2,164)</f>
        <v/>
      </c>
      <c r="B96" s="17">
        <f t="array" ref="B96">INDEX(Data_DBD!$C:$C,$A96)</f>
        <v/>
      </c>
      <c r="C96" s="17">
        <f t="array" ref="C96">INDEX(Data_DBD!$E:$E,$A96)</f>
        <v/>
      </c>
      <c r="D96" s="17">
        <f t="array" ref="D96">INDEX(Data_DBD!$F:$F,$A96)</f>
        <v/>
      </c>
      <c r="H96" s="17" t="n">
        <v>91</v>
      </c>
      <c r="I96" s="17" t="n">
        <v>1</v>
      </c>
      <c r="J96" s="17" t="n">
        <v>1</v>
      </c>
      <c r="K96" s="17" t="inlineStr">
        <is>
          <t>Tinggi</t>
        </is>
      </c>
    </row>
    <row r="97" s="1">
      <c r="A97" s="17">
        <f>RANDBETWEEN(2,164)</f>
        <v/>
      </c>
      <c r="B97" s="17">
        <f t="array" ref="B97">INDEX(Data_DBD!$C:$C,$A97)</f>
        <v/>
      </c>
      <c r="C97" s="17">
        <f t="array" ref="C97">INDEX(Data_DBD!$E:$E,$A97)</f>
        <v/>
      </c>
      <c r="D97" s="17">
        <f t="array" ref="D97">INDEX(Data_DBD!$F:$F,$A97)</f>
        <v/>
      </c>
      <c r="H97" s="17" t="n">
        <v>66</v>
      </c>
      <c r="I97" s="17" t="n">
        <v>5</v>
      </c>
      <c r="J97" s="17" t="n">
        <v>1</v>
      </c>
      <c r="K97" s="17" t="inlineStr">
        <is>
          <t>Sedang</t>
        </is>
      </c>
    </row>
    <row r="98" s="1">
      <c r="A98" s="17">
        <f>RANDBETWEEN(2,164)</f>
        <v/>
      </c>
      <c r="B98" s="17">
        <f t="array" ref="B98">INDEX(Data_DBD!$C:$C,$A98)</f>
        <v/>
      </c>
      <c r="C98" s="17">
        <f t="array" ref="C98">INDEX(Data_DBD!$E:$E,$A98)</f>
        <v/>
      </c>
      <c r="D98" s="17">
        <f t="array" ref="D98">INDEX(Data_DBD!$F:$F,$A98)</f>
        <v/>
      </c>
      <c r="H98" s="17" t="n">
        <v>3</v>
      </c>
      <c r="I98" s="17" t="n">
        <v>3</v>
      </c>
      <c r="J98" s="17" t="n">
        <v>1</v>
      </c>
      <c r="K98" s="17" t="inlineStr">
        <is>
          <t>Sedang</t>
        </is>
      </c>
    </row>
    <row r="99" s="1">
      <c r="A99" s="17">
        <f>RANDBETWEEN(2,164)</f>
        <v/>
      </c>
      <c r="B99" s="17">
        <f t="array" ref="B99">INDEX(Data_DBD!$C:$C,$A99)</f>
        <v/>
      </c>
      <c r="C99" s="17">
        <f t="array" ref="C99">INDEX(Data_DBD!$E:$E,$A99)</f>
        <v/>
      </c>
      <c r="D99" s="17">
        <f t="array" ref="D99">INDEX(Data_DBD!$F:$F,$A99)</f>
        <v/>
      </c>
      <c r="H99" s="17" t="n">
        <v>103</v>
      </c>
      <c r="I99" s="17" t="n">
        <v>5</v>
      </c>
      <c r="J99" s="17" t="n">
        <v>0</v>
      </c>
      <c r="K99" s="17" t="inlineStr">
        <is>
          <t>Tinggi</t>
        </is>
      </c>
    </row>
    <row r="100" s="1">
      <c r="A100" s="17">
        <f>RANDBETWEEN(2,164)</f>
        <v/>
      </c>
      <c r="B100" s="17">
        <f t="array" ref="B100">INDEX(Data_DBD!$C:$C,$A100)</f>
        <v/>
      </c>
      <c r="C100" s="17">
        <f t="array" ref="C100">INDEX(Data_DBD!$E:$E,$A100)</f>
        <v/>
      </c>
      <c r="D100" s="17">
        <f t="array" ref="D100">INDEX(Data_DBD!$F:$F,$A100)</f>
        <v/>
      </c>
      <c r="H100" s="17" t="n">
        <v>15</v>
      </c>
      <c r="I100" s="17" t="n">
        <v>2</v>
      </c>
      <c r="J100" s="17" t="n">
        <v>0</v>
      </c>
      <c r="K100" s="17" t="inlineStr">
        <is>
          <t>Rendah</t>
        </is>
      </c>
    </row>
    <row r="101" s="1">
      <c r="A101" s="17">
        <f>RANDBETWEEN(2,164)</f>
        <v/>
      </c>
      <c r="B101" s="17">
        <f t="array" ref="B101">INDEX(Data_DBD!$C:$C,$A101)</f>
        <v/>
      </c>
      <c r="C101" s="17">
        <f t="array" ref="C101">INDEX(Data_DBD!$E:$E,$A101)</f>
        <v/>
      </c>
      <c r="D101" s="17">
        <f t="array" ref="D101">INDEX(Data_DBD!$F:$F,$A101)</f>
        <v/>
      </c>
      <c r="H101" s="17" t="n">
        <v>102</v>
      </c>
      <c r="I101" s="17" t="n">
        <v>4</v>
      </c>
      <c r="J101" s="17" t="n">
        <v>0</v>
      </c>
      <c r="K101" s="17" t="inlineStr">
        <is>
          <t>Tinggi</t>
        </is>
      </c>
    </row>
    <row r="102" s="1">
      <c r="A102" s="17">
        <f>RANDBETWEEN(2,164)</f>
        <v/>
      </c>
      <c r="B102" s="17">
        <f t="array" ref="B102">INDEX(Data_DBD!$C:$C,$A102)</f>
        <v/>
      </c>
      <c r="C102" s="17">
        <f t="array" ref="C102">INDEX(Data_DBD!$E:$E,$A102)</f>
        <v/>
      </c>
      <c r="D102" s="17">
        <f t="array" ref="D102">INDEX(Data_DBD!$F:$F,$A102)</f>
        <v/>
      </c>
      <c r="H102" s="17" t="n">
        <v>91</v>
      </c>
      <c r="I102" s="17" t="n">
        <v>1</v>
      </c>
      <c r="J102" s="17" t="n">
        <v>1</v>
      </c>
      <c r="K102" s="17" t="inlineStr">
        <is>
          <t>Tinggi</t>
        </is>
      </c>
    </row>
    <row r="103" s="1">
      <c r="A103" s="17">
        <f>RANDBETWEEN(2,164)</f>
        <v/>
      </c>
      <c r="B103" s="17">
        <f t="array" ref="B103">INDEX(Data_DBD!$C:$C,$A103)</f>
        <v/>
      </c>
      <c r="C103" s="17">
        <f t="array" ref="C103">INDEX(Data_DBD!$E:$E,$A103)</f>
        <v/>
      </c>
      <c r="D103" s="17">
        <f t="array" ref="D103">INDEX(Data_DBD!$F:$F,$A103)</f>
        <v/>
      </c>
      <c r="H103" s="17" t="n">
        <v>137</v>
      </c>
      <c r="I103" s="17" t="n">
        <v>1</v>
      </c>
      <c r="J103" s="17" t="n">
        <v>1</v>
      </c>
      <c r="K103" s="17" t="inlineStr">
        <is>
          <t>Tinggi</t>
        </is>
      </c>
    </row>
    <row r="104" s="1">
      <c r="A104" s="17">
        <f>RANDBETWEEN(2,164)</f>
        <v/>
      </c>
      <c r="B104" s="17">
        <f t="array" ref="B104">INDEX(Data_DBD!$C:$C,$A104)</f>
        <v/>
      </c>
      <c r="C104" s="17">
        <f t="array" ref="C104">INDEX(Data_DBD!$E:$E,$A104)</f>
        <v/>
      </c>
      <c r="D104" s="17">
        <f t="array" ref="D104">INDEX(Data_DBD!$F:$F,$A104)</f>
        <v/>
      </c>
      <c r="H104" s="17" t="n">
        <v>104</v>
      </c>
      <c r="I104" s="17" t="n">
        <v>4</v>
      </c>
      <c r="J104" s="17" t="n">
        <v>1</v>
      </c>
      <c r="K104" s="17" t="inlineStr">
        <is>
          <t>Tinggi</t>
        </is>
      </c>
    </row>
    <row r="105" s="1">
      <c r="A105" s="17">
        <f>RANDBETWEEN(2,164)</f>
        <v/>
      </c>
      <c r="B105" s="17">
        <f t="array" ref="B105">INDEX(Data_DBD!$C:$C,$A105)</f>
        <v/>
      </c>
      <c r="C105" s="17">
        <f t="array" ref="C105">INDEX(Data_DBD!$E:$E,$A105)</f>
        <v/>
      </c>
      <c r="D105" s="17">
        <f t="array" ref="D105">INDEX(Data_DBD!$F:$F,$A105)</f>
        <v/>
      </c>
      <c r="H105" s="17" t="n">
        <v>118</v>
      </c>
      <c r="I105" s="17" t="n">
        <v>4</v>
      </c>
      <c r="J105" s="17" t="n">
        <v>1</v>
      </c>
      <c r="K105" s="17" t="inlineStr">
        <is>
          <t>Tinggi</t>
        </is>
      </c>
    </row>
    <row r="106" s="1">
      <c r="A106" s="17">
        <f>RANDBETWEEN(2,164)</f>
        <v/>
      </c>
      <c r="B106" s="17">
        <f t="array" ref="B106">INDEX(Data_DBD!$C:$C,$A106)</f>
        <v/>
      </c>
      <c r="C106" s="17">
        <f t="array" ref="C106">INDEX(Data_DBD!$E:$E,$A106)</f>
        <v/>
      </c>
      <c r="D106" s="17">
        <f t="array" ref="D106">INDEX(Data_DBD!$F:$F,$A106)</f>
        <v/>
      </c>
      <c r="H106" s="17" t="n">
        <v>114</v>
      </c>
      <c r="I106" s="17" t="n">
        <v>2</v>
      </c>
      <c r="J106" s="17" t="n">
        <v>1</v>
      </c>
      <c r="K106" s="17" t="inlineStr">
        <is>
          <t>Tinggi</t>
        </is>
      </c>
    </row>
    <row r="107" s="1">
      <c r="A107" s="17">
        <f>RANDBETWEEN(2,164)</f>
        <v/>
      </c>
      <c r="B107" s="17">
        <f t="array" ref="B107">INDEX(Data_DBD!$C:$C,$A107)</f>
        <v/>
      </c>
      <c r="C107" s="17">
        <f t="array" ref="C107">INDEX(Data_DBD!$E:$E,$A107)</f>
        <v/>
      </c>
      <c r="D107" s="17">
        <f t="array" ref="D107">INDEX(Data_DBD!$F:$F,$A107)</f>
        <v/>
      </c>
      <c r="H107" s="17" t="n">
        <v>52</v>
      </c>
      <c r="I107" s="17" t="n">
        <v>4</v>
      </c>
      <c r="J107" s="17" t="n">
        <v>1</v>
      </c>
      <c r="K107" s="17" t="inlineStr">
        <is>
          <t>Sedang</t>
        </is>
      </c>
    </row>
    <row r="108" s="1">
      <c r="A108" s="17">
        <f>RANDBETWEEN(2,164)</f>
        <v/>
      </c>
      <c r="B108" s="17">
        <f t="array" ref="B108">INDEX(Data_DBD!$C:$C,$A108)</f>
        <v/>
      </c>
      <c r="C108" s="17">
        <f t="array" ref="C108">INDEX(Data_DBD!$E:$E,$A108)</f>
        <v/>
      </c>
      <c r="D108" s="17">
        <f t="array" ref="D108">INDEX(Data_DBD!$F:$F,$A108)</f>
        <v/>
      </c>
      <c r="H108" s="17" t="n">
        <v>52</v>
      </c>
      <c r="I108" s="17" t="n">
        <v>4</v>
      </c>
      <c r="J108" s="17" t="n">
        <v>1</v>
      </c>
      <c r="K108" s="17" t="inlineStr">
        <is>
          <t>Sedang</t>
        </is>
      </c>
    </row>
    <row r="109" s="1">
      <c r="A109" s="17">
        <f>RANDBETWEEN(2,164)</f>
        <v/>
      </c>
      <c r="B109" s="17">
        <f t="array" ref="B109">INDEX(Data_DBD!$C:$C,$A109)</f>
        <v/>
      </c>
      <c r="C109" s="17">
        <f t="array" ref="C109">INDEX(Data_DBD!$E:$E,$A109)</f>
        <v/>
      </c>
      <c r="D109" s="17">
        <f t="array" ref="D109">INDEX(Data_DBD!$F:$F,$A109)</f>
        <v/>
      </c>
      <c r="H109" s="17" t="n">
        <v>140</v>
      </c>
      <c r="I109" s="17" t="n">
        <v>5</v>
      </c>
      <c r="J109" s="17" t="n">
        <v>1</v>
      </c>
      <c r="K109" s="17" t="inlineStr">
        <is>
          <t>Tinggi</t>
        </is>
      </c>
    </row>
    <row r="110" s="1">
      <c r="A110" s="17">
        <f>RANDBETWEEN(2,164)</f>
        <v/>
      </c>
      <c r="B110" s="17">
        <f t="array" ref="B110">INDEX(Data_DBD!$C:$C,$A110)</f>
        <v/>
      </c>
      <c r="C110" s="17">
        <f t="array" ref="C110">INDEX(Data_DBD!$E:$E,$A110)</f>
        <v/>
      </c>
      <c r="D110" s="17">
        <f t="array" ref="D110">INDEX(Data_DBD!$F:$F,$A110)</f>
        <v/>
      </c>
      <c r="H110" s="17" t="n">
        <v>124</v>
      </c>
      <c r="I110" s="17" t="n">
        <v>3</v>
      </c>
      <c r="J110" s="17" t="n">
        <v>1</v>
      </c>
      <c r="K110" s="17" t="inlineStr">
        <is>
          <t>Tinggi</t>
        </is>
      </c>
    </row>
    <row r="111" s="1">
      <c r="A111" s="17">
        <f>RANDBETWEEN(2,164)</f>
        <v/>
      </c>
      <c r="B111" s="17">
        <f t="array" ref="B111">INDEX(Data_DBD!$C:$C,$A111)</f>
        <v/>
      </c>
      <c r="C111" s="17">
        <f t="array" ref="C111">INDEX(Data_DBD!$E:$E,$A111)</f>
        <v/>
      </c>
      <c r="D111" s="17">
        <f t="array" ref="D111">INDEX(Data_DBD!$F:$F,$A111)</f>
        <v/>
      </c>
      <c r="H111" s="17" t="n">
        <v>114</v>
      </c>
      <c r="I111" s="17" t="n">
        <v>2</v>
      </c>
      <c r="J111" s="17" t="n">
        <v>1</v>
      </c>
      <c r="K111" s="17" t="inlineStr">
        <is>
          <t>Tinggi</t>
        </is>
      </c>
    </row>
    <row r="112" s="1">
      <c r="A112" s="17">
        <f>RANDBETWEEN(2,164)</f>
        <v/>
      </c>
      <c r="B112" s="17">
        <f t="array" ref="B112">INDEX(Data_DBD!$C:$C,$A112)</f>
        <v/>
      </c>
      <c r="C112" s="17">
        <f t="array" ref="C112">INDEX(Data_DBD!$E:$E,$A112)</f>
        <v/>
      </c>
      <c r="D112" s="17">
        <f t="array" ref="D112">INDEX(Data_DBD!$F:$F,$A112)</f>
        <v/>
      </c>
      <c r="H112" s="17" t="n">
        <v>22</v>
      </c>
      <c r="I112" s="17" t="n">
        <v>3</v>
      </c>
      <c r="J112" s="17" t="n">
        <v>0</v>
      </c>
      <c r="K112" s="17" t="inlineStr">
        <is>
          <t>Sedang</t>
        </is>
      </c>
    </row>
    <row r="113" s="1">
      <c r="A113" s="17">
        <f>RANDBETWEEN(2,164)</f>
        <v/>
      </c>
      <c r="B113" s="17">
        <f t="array" ref="B113">INDEX(Data_DBD!$C:$C,$A113)</f>
        <v/>
      </c>
      <c r="C113" s="17">
        <f t="array" ref="C113">INDEX(Data_DBD!$E:$E,$A113)</f>
        <v/>
      </c>
      <c r="D113" s="17">
        <f t="array" ref="D113">INDEX(Data_DBD!$F:$F,$A113)</f>
        <v/>
      </c>
      <c r="H113" s="17" t="n">
        <v>51</v>
      </c>
      <c r="I113" s="17" t="n">
        <v>4</v>
      </c>
      <c r="J113" s="17" t="n">
        <v>0</v>
      </c>
      <c r="K113" s="17" t="inlineStr">
        <is>
          <t>Sedang</t>
        </is>
      </c>
    </row>
    <row r="114" s="1">
      <c r="A114" s="17">
        <f>RANDBETWEEN(2,164)</f>
        <v/>
      </c>
      <c r="B114" s="17">
        <f t="array" ref="B114">INDEX(Data_DBD!$C:$C,$A114)</f>
        <v/>
      </c>
      <c r="C114" s="17">
        <f t="array" ref="C114">INDEX(Data_DBD!$E:$E,$A114)</f>
        <v/>
      </c>
      <c r="D114" s="17">
        <f t="array" ref="D114">INDEX(Data_DBD!$F:$F,$A114)</f>
        <v/>
      </c>
      <c r="H114" s="17" t="n">
        <v>158</v>
      </c>
      <c r="I114" s="17" t="n">
        <v>2</v>
      </c>
      <c r="J114" s="17" t="n">
        <v>0</v>
      </c>
      <c r="K114" s="17" t="inlineStr">
        <is>
          <t>Tinggi</t>
        </is>
      </c>
    </row>
    <row r="115" s="1">
      <c r="A115" s="17">
        <f>RANDBETWEEN(2,164)</f>
        <v/>
      </c>
      <c r="B115" s="17">
        <f t="array" ref="B115">INDEX(Data_DBD!$C:$C,$A115)</f>
        <v/>
      </c>
      <c r="C115" s="17">
        <f t="array" ref="C115">INDEX(Data_DBD!$E:$E,$A115)</f>
        <v/>
      </c>
      <c r="D115" s="17">
        <f t="array" ref="D115">INDEX(Data_DBD!$F:$F,$A115)</f>
        <v/>
      </c>
      <c r="H115" s="17" t="n">
        <v>86</v>
      </c>
      <c r="I115" s="17" t="n">
        <v>3</v>
      </c>
      <c r="J115" s="17" t="n">
        <v>0</v>
      </c>
      <c r="K115" s="17" t="inlineStr">
        <is>
          <t>Sedang</t>
        </is>
      </c>
    </row>
    <row r="116" s="1">
      <c r="A116" s="17">
        <f>RANDBETWEEN(2,164)</f>
        <v/>
      </c>
      <c r="B116" s="17">
        <f t="array" ref="B116">INDEX(Data_DBD!$C:$C,$A116)</f>
        <v/>
      </c>
      <c r="C116" s="17">
        <f t="array" ref="C116">INDEX(Data_DBD!$E:$E,$A116)</f>
        <v/>
      </c>
      <c r="D116" s="17">
        <f t="array" ref="D116">INDEX(Data_DBD!$F:$F,$A116)</f>
        <v/>
      </c>
      <c r="H116" s="17" t="n">
        <v>138</v>
      </c>
      <c r="I116" s="17" t="n">
        <v>3</v>
      </c>
      <c r="J116" s="17" t="n">
        <v>1</v>
      </c>
      <c r="K116" s="17" t="inlineStr">
        <is>
          <t>Tinggi</t>
        </is>
      </c>
    </row>
    <row r="117" s="1">
      <c r="A117" s="17">
        <f>RANDBETWEEN(2,164)</f>
        <v/>
      </c>
      <c r="B117" s="17">
        <f t="array" ref="B117">INDEX(Data_DBD!$C:$C,$A117)</f>
        <v/>
      </c>
      <c r="C117" s="17">
        <f t="array" ref="C117">INDEX(Data_DBD!$E:$E,$A117)</f>
        <v/>
      </c>
      <c r="D117" s="17">
        <f t="array" ref="D117">INDEX(Data_DBD!$F:$F,$A117)</f>
        <v/>
      </c>
      <c r="H117" s="17" t="n">
        <v>142</v>
      </c>
      <c r="I117" s="17" t="n">
        <v>2</v>
      </c>
      <c r="J117" s="17" t="n">
        <v>1</v>
      </c>
      <c r="K117" s="17" t="inlineStr">
        <is>
          <t>Tinggi</t>
        </is>
      </c>
    </row>
    <row r="118" s="1">
      <c r="A118" s="17">
        <f>RANDBETWEEN(2,164)</f>
        <v/>
      </c>
      <c r="B118" s="17">
        <f t="array" ref="B118">INDEX(Data_DBD!$C:$C,$A118)</f>
        <v/>
      </c>
      <c r="C118" s="17">
        <f t="array" ref="C118">INDEX(Data_DBD!$E:$E,$A118)</f>
        <v/>
      </c>
      <c r="D118" s="17">
        <f t="array" ref="D118">INDEX(Data_DBD!$F:$F,$A118)</f>
        <v/>
      </c>
      <c r="H118" s="17" t="n">
        <v>2</v>
      </c>
      <c r="I118" s="17" t="n">
        <v>3</v>
      </c>
      <c r="J118" s="17" t="n">
        <v>0</v>
      </c>
      <c r="K118" s="17" t="inlineStr">
        <is>
          <t>Sedang</t>
        </is>
      </c>
    </row>
    <row r="119" s="1">
      <c r="A119" s="17">
        <f>RANDBETWEEN(2,164)</f>
        <v/>
      </c>
      <c r="B119" s="17">
        <f t="array" ref="B119">INDEX(Data_DBD!$C:$C,$A119)</f>
        <v/>
      </c>
      <c r="C119" s="17">
        <f t="array" ref="C119">INDEX(Data_DBD!$E:$E,$A119)</f>
        <v/>
      </c>
      <c r="D119" s="17">
        <f t="array" ref="D119">INDEX(Data_DBD!$F:$F,$A119)</f>
        <v/>
      </c>
      <c r="H119" s="17" t="n">
        <v>53</v>
      </c>
      <c r="I119" s="17" t="n">
        <v>4</v>
      </c>
      <c r="J119" s="17" t="n">
        <v>1</v>
      </c>
      <c r="K119" s="17" t="inlineStr">
        <is>
          <t>Sedang</t>
        </is>
      </c>
    </row>
    <row r="120" s="1">
      <c r="A120" s="17">
        <f>RANDBETWEEN(2,164)</f>
        <v/>
      </c>
      <c r="B120" s="17">
        <f t="array" ref="B120">INDEX(Data_DBD!$C:$C,$A120)</f>
        <v/>
      </c>
      <c r="C120" s="17">
        <f t="array" ref="C120">INDEX(Data_DBD!$E:$E,$A120)</f>
        <v/>
      </c>
      <c r="D120" s="17">
        <f t="array" ref="D120">INDEX(Data_DBD!$F:$F,$A120)</f>
        <v/>
      </c>
      <c r="H120" s="17" t="n">
        <v>62</v>
      </c>
      <c r="I120" s="17" t="n">
        <v>4</v>
      </c>
      <c r="J120" s="17" t="n">
        <v>1</v>
      </c>
      <c r="K120" s="17" t="inlineStr">
        <is>
          <t>Sedang</t>
        </is>
      </c>
    </row>
    <row r="121" s="1">
      <c r="A121" s="17">
        <f>RANDBETWEEN(2,164)</f>
        <v/>
      </c>
      <c r="B121" s="17">
        <f t="array" ref="B121">INDEX(Data_DBD!$C:$C,$A121)</f>
        <v/>
      </c>
      <c r="C121" s="17">
        <f t="array" ref="C121">INDEX(Data_DBD!$E:$E,$A121)</f>
        <v/>
      </c>
      <c r="D121" s="17">
        <f t="array" ref="D121">INDEX(Data_DBD!$F:$F,$A121)</f>
        <v/>
      </c>
      <c r="H121" s="17" t="n">
        <v>68</v>
      </c>
      <c r="I121" s="17" t="n">
        <v>5</v>
      </c>
      <c r="J121" s="17" t="n">
        <v>0</v>
      </c>
      <c r="K121" s="17" t="inlineStr">
        <is>
          <t>Sedang</t>
        </is>
      </c>
    </row>
    <row r="122" s="1">
      <c r="A122" s="17">
        <f>RANDBETWEEN(2,164)</f>
        <v/>
      </c>
      <c r="B122" s="17">
        <f t="array" ref="B122">INDEX(Data_DBD!$C:$C,$A122)</f>
        <v/>
      </c>
      <c r="C122" s="17">
        <f t="array" ref="C122">INDEX(Data_DBD!$E:$E,$A122)</f>
        <v/>
      </c>
      <c r="D122" s="17">
        <f t="array" ref="D122">INDEX(Data_DBD!$F:$F,$A122)</f>
        <v/>
      </c>
      <c r="H122" s="17" t="n">
        <v>127</v>
      </c>
      <c r="I122" s="17" t="n">
        <v>2</v>
      </c>
      <c r="J122" s="17" t="n">
        <v>0</v>
      </c>
      <c r="K122" s="17" t="inlineStr">
        <is>
          <t>Tinggi</t>
        </is>
      </c>
    </row>
    <row r="123" s="1">
      <c r="A123" s="17">
        <f>RANDBETWEEN(2,164)</f>
        <v/>
      </c>
      <c r="B123" s="17">
        <f t="array" ref="B123">INDEX(Data_DBD!$C:$C,$A123)</f>
        <v/>
      </c>
      <c r="C123" s="17">
        <f t="array" ref="C123">INDEX(Data_DBD!$E:$E,$A123)</f>
        <v/>
      </c>
      <c r="D123" s="17">
        <f t="array" ref="D123">INDEX(Data_DBD!$F:$F,$A123)</f>
        <v/>
      </c>
      <c r="H123" s="17" t="n">
        <v>45</v>
      </c>
      <c r="I123" s="17" t="n">
        <v>3</v>
      </c>
      <c r="J123" s="17" t="n">
        <v>1</v>
      </c>
      <c r="K123" s="17" t="inlineStr">
        <is>
          <t>Sedang</t>
        </is>
      </c>
    </row>
    <row r="124" s="1">
      <c r="A124" s="17">
        <f>RANDBETWEEN(2,164)</f>
        <v/>
      </c>
      <c r="B124" s="17">
        <f t="array" ref="B124">INDEX(Data_DBD!$C:$C,$A124)</f>
        <v/>
      </c>
      <c r="C124" s="17">
        <f t="array" ref="C124">INDEX(Data_DBD!$E:$E,$A124)</f>
        <v/>
      </c>
      <c r="D124" s="17">
        <f t="array" ref="D124">INDEX(Data_DBD!$F:$F,$A124)</f>
        <v/>
      </c>
      <c r="H124" s="17" t="n">
        <v>12</v>
      </c>
      <c r="I124" s="17" t="n">
        <v>3</v>
      </c>
      <c r="J124" s="17" t="n">
        <v>0</v>
      </c>
      <c r="K124" s="17" t="inlineStr">
        <is>
          <t>Sedang</t>
        </is>
      </c>
    </row>
    <row r="125" s="1">
      <c r="A125" s="17">
        <f>RANDBETWEEN(2,164)</f>
        <v/>
      </c>
      <c r="B125" s="17">
        <f t="array" ref="B125">INDEX(Data_DBD!$C:$C,$A125)</f>
        <v/>
      </c>
      <c r="C125" s="17">
        <f t="array" ref="C125">INDEX(Data_DBD!$E:$E,$A125)</f>
        <v/>
      </c>
      <c r="D125" s="17">
        <f t="array" ref="D125">INDEX(Data_DBD!$F:$F,$A125)</f>
        <v/>
      </c>
      <c r="H125" s="17" t="n">
        <v>15</v>
      </c>
      <c r="I125" s="17" t="n">
        <v>2</v>
      </c>
      <c r="J125" s="17" t="n">
        <v>0</v>
      </c>
      <c r="K125" s="17" t="inlineStr">
        <is>
          <t>Rendah</t>
        </is>
      </c>
    </row>
    <row r="126" s="1">
      <c r="A126" s="17">
        <f>RANDBETWEEN(2,164)</f>
        <v/>
      </c>
      <c r="B126" s="17">
        <f t="array" ref="B126">INDEX(Data_DBD!$C:$C,$A126)</f>
        <v/>
      </c>
      <c r="C126" s="17">
        <f t="array" ref="C126">INDEX(Data_DBD!$E:$E,$A126)</f>
        <v/>
      </c>
      <c r="D126" s="17">
        <f t="array" ref="D126">INDEX(Data_DBD!$F:$F,$A126)</f>
        <v/>
      </c>
      <c r="H126" s="17" t="n">
        <v>6</v>
      </c>
      <c r="I126" s="17" t="n">
        <v>4</v>
      </c>
      <c r="J126" s="17" t="n">
        <v>0</v>
      </c>
      <c r="K126" s="17" t="inlineStr">
        <is>
          <t>Sedang</t>
        </is>
      </c>
    </row>
    <row r="127" s="1">
      <c r="A127" s="17">
        <f>RANDBETWEEN(2,164)</f>
        <v/>
      </c>
      <c r="B127" s="17">
        <f t="array" ref="B127">INDEX(Data_DBD!$C:$C,$A127)</f>
        <v/>
      </c>
      <c r="C127" s="17">
        <f t="array" ref="C127">INDEX(Data_DBD!$E:$E,$A127)</f>
        <v/>
      </c>
      <c r="D127" s="17">
        <f t="array" ref="D127">INDEX(Data_DBD!$F:$F,$A127)</f>
        <v/>
      </c>
      <c r="H127" s="17" t="n">
        <v>143</v>
      </c>
      <c r="I127" s="17" t="n">
        <v>4</v>
      </c>
      <c r="J127" s="17" t="n">
        <v>1</v>
      </c>
      <c r="K127" s="17" t="inlineStr">
        <is>
          <t>Tinggi</t>
        </is>
      </c>
    </row>
    <row r="128" s="1">
      <c r="A128" s="17">
        <f>RANDBETWEEN(2,164)</f>
        <v/>
      </c>
      <c r="B128" s="17">
        <f t="array" ref="B128">INDEX(Data_DBD!$C:$C,$A128)</f>
        <v/>
      </c>
      <c r="C128" s="17">
        <f t="array" ref="C128">INDEX(Data_DBD!$E:$E,$A128)</f>
        <v/>
      </c>
      <c r="D128" s="17">
        <f t="array" ref="D128">INDEX(Data_DBD!$F:$F,$A128)</f>
        <v/>
      </c>
      <c r="H128" s="17" t="n">
        <v>20</v>
      </c>
      <c r="I128" s="17" t="n">
        <v>5</v>
      </c>
      <c r="J128" s="17" t="n">
        <v>0</v>
      </c>
      <c r="K128" s="17" t="inlineStr">
        <is>
          <t>Rendah</t>
        </is>
      </c>
    </row>
    <row r="129" s="1">
      <c r="A129" s="17">
        <f>RANDBETWEEN(2,164)</f>
        <v/>
      </c>
      <c r="B129" s="17">
        <f t="array" ref="B129">INDEX(Data_DBD!$C:$C,$A129)</f>
        <v/>
      </c>
      <c r="C129" s="17">
        <f t="array" ref="C129">INDEX(Data_DBD!$E:$E,$A129)</f>
        <v/>
      </c>
      <c r="D129" s="17">
        <f t="array" ref="D129">INDEX(Data_DBD!$F:$F,$A129)</f>
        <v/>
      </c>
      <c r="H129" s="17" t="n">
        <v>67</v>
      </c>
      <c r="I129" s="17" t="n">
        <v>3</v>
      </c>
      <c r="J129" s="17" t="n">
        <v>1</v>
      </c>
      <c r="K129" s="17" t="inlineStr">
        <is>
          <t>Sedang</t>
        </is>
      </c>
    </row>
    <row r="130" s="1">
      <c r="A130" s="17">
        <f>RANDBETWEEN(2,164)</f>
        <v/>
      </c>
      <c r="B130" s="17">
        <f t="array" ref="B130">INDEX(Data_DBD!$C:$C,$A130)</f>
        <v/>
      </c>
      <c r="C130" s="17">
        <f t="array" ref="C130">INDEX(Data_DBD!$E:$E,$A130)</f>
        <v/>
      </c>
      <c r="D130" s="17">
        <f t="array" ref="D130">INDEX(Data_DBD!$F:$F,$A130)</f>
        <v/>
      </c>
      <c r="H130" s="17" t="n">
        <v>6</v>
      </c>
      <c r="I130" s="17" t="n">
        <v>4</v>
      </c>
      <c r="J130" s="17" t="n">
        <v>0</v>
      </c>
      <c r="K130" s="17" t="inlineStr">
        <is>
          <t>Sedang</t>
        </is>
      </c>
    </row>
    <row r="131" s="1">
      <c r="A131" s="17">
        <f>RANDBETWEEN(2,164)</f>
        <v/>
      </c>
      <c r="B131" s="17">
        <f t="array" ref="B131">INDEX(Data_DBD!$C:$C,$A131)</f>
        <v/>
      </c>
      <c r="C131" s="17">
        <f t="array" ref="C131">INDEX(Data_DBD!$E:$E,$A131)</f>
        <v/>
      </c>
      <c r="D131" s="17">
        <f t="array" ref="D131">INDEX(Data_DBD!$F:$F,$A131)</f>
        <v/>
      </c>
      <c r="H131" s="17" t="n">
        <v>72</v>
      </c>
      <c r="I131" s="17" t="n">
        <v>5</v>
      </c>
      <c r="J131" s="17" t="n">
        <v>1</v>
      </c>
      <c r="K131" s="17" t="inlineStr">
        <is>
          <t>Sedang</t>
        </is>
      </c>
    </row>
    <row r="132" s="1">
      <c r="A132" s="17">
        <f>RANDBETWEEN(2,164)</f>
        <v/>
      </c>
      <c r="B132" s="17">
        <f t="array" ref="B132">INDEX(Data_DBD!$C:$C,$A132)</f>
        <v/>
      </c>
      <c r="C132" s="17">
        <f t="array" ref="C132">INDEX(Data_DBD!$E:$E,$A132)</f>
        <v/>
      </c>
      <c r="D132" s="17">
        <f t="array" ref="D132">INDEX(Data_DBD!$F:$F,$A132)</f>
        <v/>
      </c>
      <c r="H132" s="17" t="n">
        <v>44</v>
      </c>
      <c r="I132" s="17" t="n">
        <v>5</v>
      </c>
      <c r="J132" s="17" t="n">
        <v>1</v>
      </c>
      <c r="K132" s="17" t="inlineStr">
        <is>
          <t>Sedang</t>
        </is>
      </c>
    </row>
    <row r="133" s="1">
      <c r="A133" s="17">
        <f>RANDBETWEEN(2,164)</f>
        <v/>
      </c>
      <c r="B133" s="17">
        <f t="array" ref="B133">INDEX(Data_DBD!$C:$C,$A133)</f>
        <v/>
      </c>
      <c r="C133" s="17">
        <f t="array" ref="C133">INDEX(Data_DBD!$E:$E,$A133)</f>
        <v/>
      </c>
      <c r="D133" s="17">
        <f t="array" ref="D133">INDEX(Data_DBD!$F:$F,$A133)</f>
        <v/>
      </c>
      <c r="H133" s="17" t="n">
        <v>62</v>
      </c>
      <c r="I133" s="17" t="n">
        <v>4</v>
      </c>
      <c r="J133" s="17" t="n">
        <v>1</v>
      </c>
      <c r="K133" s="17" t="inlineStr">
        <is>
          <t>Sedang</t>
        </is>
      </c>
    </row>
    <row r="134" s="1">
      <c r="A134" s="17">
        <f>RANDBETWEEN(2,164)</f>
        <v/>
      </c>
      <c r="B134" s="17">
        <f t="array" ref="B134">INDEX(Data_DBD!$C:$C,$A134)</f>
        <v/>
      </c>
      <c r="C134" s="17">
        <f t="array" ref="C134">INDEX(Data_DBD!$E:$E,$A134)</f>
        <v/>
      </c>
      <c r="D134" s="17">
        <f t="array" ref="D134">INDEX(Data_DBD!$F:$F,$A134)</f>
        <v/>
      </c>
      <c r="H134" s="17" t="n">
        <v>90</v>
      </c>
      <c r="I134" s="17" t="n">
        <v>3</v>
      </c>
      <c r="J134" s="17" t="n">
        <v>0</v>
      </c>
      <c r="K134" s="17" t="inlineStr">
        <is>
          <t>Tinggi</t>
        </is>
      </c>
    </row>
    <row r="135" s="1">
      <c r="A135" s="17">
        <f>RANDBETWEEN(2,164)</f>
        <v/>
      </c>
      <c r="B135" s="17">
        <f t="array" ref="B135">INDEX(Data_DBD!$C:$C,$A135)</f>
        <v/>
      </c>
      <c r="C135" s="17">
        <f t="array" ref="C135">INDEX(Data_DBD!$E:$E,$A135)</f>
        <v/>
      </c>
      <c r="D135" s="17">
        <f t="array" ref="D135">INDEX(Data_DBD!$F:$F,$A135)</f>
        <v/>
      </c>
      <c r="H135" s="17" t="n">
        <v>55</v>
      </c>
      <c r="I135" s="17" t="n">
        <v>4</v>
      </c>
      <c r="J135" s="17" t="n">
        <v>1</v>
      </c>
      <c r="K135" s="17" t="inlineStr">
        <is>
          <t>Sedang</t>
        </is>
      </c>
    </row>
    <row r="136" s="1">
      <c r="A136" s="17">
        <f>RANDBETWEEN(2,164)</f>
        <v/>
      </c>
      <c r="B136" s="17">
        <f t="array" ref="B136">INDEX(Data_DBD!$C:$C,$A136)</f>
        <v/>
      </c>
      <c r="C136" s="17">
        <f t="array" ref="C136">INDEX(Data_DBD!$E:$E,$A136)</f>
        <v/>
      </c>
      <c r="D136" s="17">
        <f t="array" ref="D136">INDEX(Data_DBD!$F:$F,$A136)</f>
        <v/>
      </c>
      <c r="H136" s="17" t="n">
        <v>118</v>
      </c>
      <c r="I136" s="17" t="n">
        <v>4</v>
      </c>
      <c r="J136" s="17" t="n">
        <v>1</v>
      </c>
      <c r="K136" s="17" t="inlineStr">
        <is>
          <t>Tinggi</t>
        </is>
      </c>
    </row>
    <row r="137" s="1">
      <c r="A137" s="17">
        <f>RANDBETWEEN(2,164)</f>
        <v/>
      </c>
      <c r="B137" s="17">
        <f t="array" ref="B137">INDEX(Data_DBD!$C:$C,$A137)</f>
        <v/>
      </c>
      <c r="C137" s="17">
        <f t="array" ref="C137">INDEX(Data_DBD!$E:$E,$A137)</f>
        <v/>
      </c>
      <c r="D137" s="17">
        <f t="array" ref="D137">INDEX(Data_DBD!$F:$F,$A137)</f>
        <v/>
      </c>
      <c r="H137" s="17" t="n">
        <v>41</v>
      </c>
      <c r="I137" s="17" t="n">
        <v>4</v>
      </c>
      <c r="J137" s="17" t="n">
        <v>0</v>
      </c>
      <c r="K137" s="17" t="inlineStr">
        <is>
          <t>Sedang</t>
        </is>
      </c>
    </row>
    <row r="138" s="1">
      <c r="A138" s="17">
        <f>RANDBETWEEN(2,164)</f>
        <v/>
      </c>
      <c r="B138" s="17">
        <f t="array" ref="B138">INDEX(Data_DBD!$C:$C,$A138)</f>
        <v/>
      </c>
      <c r="C138" s="17">
        <f t="array" ref="C138">INDEX(Data_DBD!$E:$E,$A138)</f>
        <v/>
      </c>
      <c r="D138" s="17">
        <f t="array" ref="D138">INDEX(Data_DBD!$F:$F,$A138)</f>
        <v/>
      </c>
      <c r="H138" s="17" t="n">
        <v>121</v>
      </c>
      <c r="I138" s="17" t="n">
        <v>5</v>
      </c>
      <c r="J138" s="17" t="n">
        <v>1</v>
      </c>
      <c r="K138" s="17" t="inlineStr">
        <is>
          <t>Tinggi</t>
        </is>
      </c>
    </row>
    <row r="139" s="1">
      <c r="A139" s="17">
        <f>RANDBETWEEN(2,164)</f>
        <v/>
      </c>
      <c r="B139" s="17">
        <f t="array" ref="B139">INDEX(Data_DBD!$C:$C,$A139)</f>
        <v/>
      </c>
      <c r="C139" s="17">
        <f t="array" ref="C139">INDEX(Data_DBD!$E:$E,$A139)</f>
        <v/>
      </c>
      <c r="D139" s="17">
        <f t="array" ref="D139">INDEX(Data_DBD!$F:$F,$A139)</f>
        <v/>
      </c>
      <c r="H139" s="17" t="n">
        <v>126</v>
      </c>
      <c r="I139" s="17" t="n">
        <v>3</v>
      </c>
      <c r="J139" s="17" t="n">
        <v>1</v>
      </c>
      <c r="K139" s="17" t="inlineStr">
        <is>
          <t>Tinggi</t>
        </is>
      </c>
    </row>
    <row r="140" s="1">
      <c r="A140" s="17">
        <f>RANDBETWEEN(2,164)</f>
        <v/>
      </c>
      <c r="B140" s="17">
        <f t="array" ref="B140">INDEX(Data_DBD!$C:$C,$A140)</f>
        <v/>
      </c>
      <c r="C140" s="17">
        <f t="array" ref="C140">INDEX(Data_DBD!$E:$E,$A140)</f>
        <v/>
      </c>
      <c r="D140" s="17">
        <f t="array" ref="D140">INDEX(Data_DBD!$F:$F,$A140)</f>
        <v/>
      </c>
      <c r="H140" s="17" t="n">
        <v>40</v>
      </c>
      <c r="I140" s="17" t="n">
        <v>3</v>
      </c>
      <c r="J140" s="17" t="n">
        <v>1</v>
      </c>
      <c r="K140" s="17" t="inlineStr">
        <is>
          <t>Sedang</t>
        </is>
      </c>
    </row>
    <row r="141" s="1">
      <c r="A141" s="17">
        <f>RANDBETWEEN(2,164)</f>
        <v/>
      </c>
      <c r="B141" s="17">
        <f t="array" ref="B141">INDEX(Data_DBD!$C:$C,$A141)</f>
        <v/>
      </c>
      <c r="C141" s="17">
        <f t="array" ref="C141">INDEX(Data_DBD!$E:$E,$A141)</f>
        <v/>
      </c>
      <c r="D141" s="17">
        <f t="array" ref="D141">INDEX(Data_DBD!$F:$F,$A141)</f>
        <v/>
      </c>
      <c r="H141" s="17" t="n">
        <v>129</v>
      </c>
      <c r="I141" s="17" t="n">
        <v>3</v>
      </c>
      <c r="J141" s="17" t="n">
        <v>0</v>
      </c>
      <c r="K141" s="17" t="inlineStr">
        <is>
          <t>Tinggi</t>
        </is>
      </c>
    </row>
    <row r="142" s="1">
      <c r="A142" s="17">
        <f>RANDBETWEEN(2,164)</f>
        <v/>
      </c>
      <c r="B142" s="17">
        <f t="array" ref="B142">INDEX(Data_DBD!$C:$C,$A142)</f>
        <v/>
      </c>
      <c r="C142" s="17">
        <f t="array" ref="C142">INDEX(Data_DBD!$E:$E,$A142)</f>
        <v/>
      </c>
      <c r="D142" s="17">
        <f t="array" ref="D142">INDEX(Data_DBD!$F:$F,$A142)</f>
        <v/>
      </c>
      <c r="H142" s="17" t="n">
        <v>95</v>
      </c>
      <c r="I142" s="17" t="n">
        <v>3</v>
      </c>
      <c r="J142" s="17" t="n">
        <v>1</v>
      </c>
      <c r="K142" s="17" t="inlineStr">
        <is>
          <t>Tinggi</t>
        </is>
      </c>
    </row>
    <row r="143" s="1">
      <c r="A143" s="17">
        <f>RANDBETWEEN(2,164)</f>
        <v/>
      </c>
      <c r="B143" s="17">
        <f t="array" ref="B143">INDEX(Data_DBD!$C:$C,$A143)</f>
        <v/>
      </c>
      <c r="C143" s="17">
        <f t="array" ref="C143">INDEX(Data_DBD!$E:$E,$A143)</f>
        <v/>
      </c>
      <c r="D143" s="17">
        <f t="array" ref="D143">INDEX(Data_DBD!$F:$F,$A143)</f>
        <v/>
      </c>
      <c r="H143" s="17" t="n">
        <v>64</v>
      </c>
      <c r="I143" s="17" t="n">
        <v>1</v>
      </c>
      <c r="J143" s="17" t="n">
        <v>0</v>
      </c>
      <c r="K143" s="17" t="inlineStr">
        <is>
          <t>Sedang</t>
        </is>
      </c>
    </row>
    <row r="144" s="1">
      <c r="A144" s="17">
        <f>RANDBETWEEN(2,164)</f>
        <v/>
      </c>
      <c r="B144" s="17">
        <f t="array" ref="B144">INDEX(Data_DBD!$C:$C,$A144)</f>
        <v/>
      </c>
      <c r="C144" s="17">
        <f t="array" ref="C144">INDEX(Data_DBD!$E:$E,$A144)</f>
        <v/>
      </c>
      <c r="D144" s="17">
        <f t="array" ref="D144">INDEX(Data_DBD!$F:$F,$A144)</f>
        <v/>
      </c>
      <c r="H144" s="17" t="n">
        <v>16</v>
      </c>
      <c r="I144" s="17" t="n">
        <v>5</v>
      </c>
      <c r="J144" s="17" t="n">
        <v>1</v>
      </c>
      <c r="K144" s="17" t="inlineStr">
        <is>
          <t>Rendah</t>
        </is>
      </c>
    </row>
    <row r="145" s="1">
      <c r="A145" s="17">
        <f>RANDBETWEEN(2,164)</f>
        <v/>
      </c>
      <c r="B145" s="17">
        <f t="array" ref="B145">INDEX(Data_DBD!$C:$C,$A145)</f>
        <v/>
      </c>
      <c r="C145" s="17">
        <f t="array" ref="C145">INDEX(Data_DBD!$E:$E,$A145)</f>
        <v/>
      </c>
      <c r="D145" s="17">
        <f t="array" ref="D145">INDEX(Data_DBD!$F:$F,$A145)</f>
        <v/>
      </c>
      <c r="H145" s="17" t="n">
        <v>139</v>
      </c>
      <c r="I145" s="17" t="n">
        <v>7</v>
      </c>
      <c r="J145" s="17" t="n">
        <v>0</v>
      </c>
      <c r="K145" s="17" t="inlineStr">
        <is>
          <t>Tinggi</t>
        </is>
      </c>
    </row>
    <row r="146" s="1">
      <c r="A146" s="17">
        <f>RANDBETWEEN(2,164)</f>
        <v/>
      </c>
      <c r="B146" s="17">
        <f t="array" ref="B146">INDEX(Data_DBD!$C:$C,$A146)</f>
        <v/>
      </c>
      <c r="C146" s="17">
        <f t="array" ref="C146">INDEX(Data_DBD!$E:$E,$A146)</f>
        <v/>
      </c>
      <c r="D146" s="17">
        <f t="array" ref="D146">INDEX(Data_DBD!$F:$F,$A146)</f>
        <v/>
      </c>
      <c r="H146" s="17" t="n">
        <v>128</v>
      </c>
      <c r="I146" s="17" t="n">
        <v>2</v>
      </c>
      <c r="J146" s="17" t="n">
        <v>0</v>
      </c>
      <c r="K146" s="17" t="inlineStr">
        <is>
          <t>Tinggi</t>
        </is>
      </c>
    </row>
    <row r="147" s="1">
      <c r="A147" s="17">
        <f>RANDBETWEEN(2,164)</f>
        <v/>
      </c>
      <c r="B147" s="17">
        <f t="array" ref="B147">INDEX(Data_DBD!$C:$C,$A147)</f>
        <v/>
      </c>
      <c r="C147" s="17">
        <f t="array" ref="C147">INDEX(Data_DBD!$E:$E,$A147)</f>
        <v/>
      </c>
      <c r="D147" s="17">
        <f t="array" ref="D147">INDEX(Data_DBD!$F:$F,$A147)</f>
        <v/>
      </c>
      <c r="H147" s="17" t="n">
        <v>65</v>
      </c>
      <c r="I147" s="17" t="n">
        <v>3</v>
      </c>
      <c r="J147" s="17" t="n">
        <v>0</v>
      </c>
      <c r="K147" s="17" t="inlineStr">
        <is>
          <t>Sedang</t>
        </is>
      </c>
    </row>
    <row r="148" s="1">
      <c r="A148" s="17">
        <f>RANDBETWEEN(2,164)</f>
        <v/>
      </c>
      <c r="B148" s="17">
        <f t="array" ref="B148">INDEX(Data_DBD!$C:$C,$A148)</f>
        <v/>
      </c>
      <c r="C148" s="17">
        <f t="array" ref="C148">INDEX(Data_DBD!$E:$E,$A148)</f>
        <v/>
      </c>
      <c r="D148" s="17">
        <f t="array" ref="D148">INDEX(Data_DBD!$F:$F,$A148)</f>
        <v/>
      </c>
      <c r="H148" s="17" t="n">
        <v>39</v>
      </c>
      <c r="I148" s="17" t="n">
        <v>5</v>
      </c>
      <c r="J148" s="17" t="n">
        <v>1</v>
      </c>
      <c r="K148" s="17" t="inlineStr">
        <is>
          <t>Sedang</t>
        </is>
      </c>
    </row>
    <row r="149" s="1">
      <c r="A149" s="17">
        <f>RANDBETWEEN(2,164)</f>
        <v/>
      </c>
      <c r="B149" s="17">
        <f t="array" ref="B149">INDEX(Data_DBD!$C:$C,$A149)</f>
        <v/>
      </c>
      <c r="C149" s="17">
        <f t="array" ref="C149">INDEX(Data_DBD!$E:$E,$A149)</f>
        <v/>
      </c>
      <c r="D149" s="17">
        <f t="array" ref="D149">INDEX(Data_DBD!$F:$F,$A149)</f>
        <v/>
      </c>
      <c r="H149" s="17" t="n">
        <v>105</v>
      </c>
      <c r="I149" s="17" t="n">
        <v>3</v>
      </c>
      <c r="J149" s="17" t="n">
        <v>1</v>
      </c>
      <c r="K149" s="17" t="inlineStr">
        <is>
          <t>Tinggi</t>
        </is>
      </c>
    </row>
    <row r="150" s="1">
      <c r="A150" s="17">
        <f>RANDBETWEEN(2,164)</f>
        <v/>
      </c>
      <c r="B150" s="17">
        <f t="array" ref="B150">INDEX(Data_DBD!$C:$C,$A150)</f>
        <v/>
      </c>
      <c r="C150" s="17">
        <f t="array" ref="C150">INDEX(Data_DBD!$E:$E,$A150)</f>
        <v/>
      </c>
      <c r="D150" s="17">
        <f t="array" ref="D150">INDEX(Data_DBD!$F:$F,$A150)</f>
        <v/>
      </c>
      <c r="H150" s="17" t="n">
        <v>85</v>
      </c>
      <c r="I150" s="17" t="n">
        <v>9</v>
      </c>
      <c r="J150" s="17" t="n">
        <v>0</v>
      </c>
      <c r="K150" s="17" t="inlineStr">
        <is>
          <t>Sedang</t>
        </is>
      </c>
    </row>
    <row r="151" s="1">
      <c r="A151" s="17">
        <f>RANDBETWEEN(2,164)</f>
        <v/>
      </c>
      <c r="B151" s="17">
        <f t="array" ref="B151">INDEX(Data_DBD!$C:$C,$A151)</f>
        <v/>
      </c>
      <c r="C151" s="17">
        <f t="array" ref="C151">INDEX(Data_DBD!$E:$E,$A151)</f>
        <v/>
      </c>
      <c r="D151" s="17">
        <f t="array" ref="D151">INDEX(Data_DBD!$F:$F,$A151)</f>
        <v/>
      </c>
      <c r="H151" s="17" t="n">
        <v>78</v>
      </c>
      <c r="I151" s="17" t="n">
        <v>3</v>
      </c>
      <c r="J151" s="17" t="n">
        <v>0</v>
      </c>
      <c r="K151" s="17" t="inlineStr">
        <is>
          <t>Sedang</t>
        </is>
      </c>
    </row>
    <row r="152" s="1">
      <c r="A152" s="17">
        <f>RANDBETWEEN(2,164)</f>
        <v/>
      </c>
      <c r="B152" s="17">
        <f t="array" ref="B152">INDEX(Data_DBD!$C:$C,$A152)</f>
        <v/>
      </c>
      <c r="C152" s="17">
        <f t="array" ref="C152">INDEX(Data_DBD!$E:$E,$A152)</f>
        <v/>
      </c>
      <c r="D152" s="17">
        <f t="array" ref="D152">INDEX(Data_DBD!$F:$F,$A152)</f>
        <v/>
      </c>
      <c r="H152" s="17" t="n">
        <v>15</v>
      </c>
      <c r="I152" s="17" t="n">
        <v>2</v>
      </c>
      <c r="J152" s="17" t="n">
        <v>0</v>
      </c>
      <c r="K152" s="17" t="inlineStr">
        <is>
          <t>Rendah</t>
        </is>
      </c>
    </row>
    <row r="153" s="1">
      <c r="A153" s="17">
        <f>RANDBETWEEN(2,164)</f>
        <v/>
      </c>
      <c r="B153" s="17">
        <f t="array" ref="B153">INDEX(Data_DBD!$C:$C,$A153)</f>
        <v/>
      </c>
      <c r="C153" s="17">
        <f t="array" ref="C153">INDEX(Data_DBD!$E:$E,$A153)</f>
        <v/>
      </c>
      <c r="D153" s="17">
        <f t="array" ref="D153">INDEX(Data_DBD!$F:$F,$A153)</f>
        <v/>
      </c>
      <c r="H153" s="17" t="n">
        <v>76</v>
      </c>
      <c r="I153" s="17" t="n">
        <v>2</v>
      </c>
      <c r="J153" s="17" t="n">
        <v>0</v>
      </c>
      <c r="K153" s="17" t="inlineStr">
        <is>
          <t>Sedang</t>
        </is>
      </c>
    </row>
    <row r="154" s="1">
      <c r="A154" s="17">
        <f>RANDBETWEEN(2,164)</f>
        <v/>
      </c>
      <c r="B154" s="17">
        <f t="array" ref="B154">INDEX(Data_DBD!$C:$C,$A154)</f>
        <v/>
      </c>
      <c r="C154" s="17">
        <f t="array" ref="C154">INDEX(Data_DBD!$E:$E,$A154)</f>
        <v/>
      </c>
      <c r="D154" s="17">
        <f t="array" ref="D154">INDEX(Data_DBD!$F:$F,$A154)</f>
        <v/>
      </c>
      <c r="H154" s="17" t="n">
        <v>91</v>
      </c>
      <c r="I154" s="17" t="n">
        <v>1</v>
      </c>
      <c r="J154" s="17" t="n">
        <v>1</v>
      </c>
      <c r="K154" s="17" t="inlineStr">
        <is>
          <t>Tinggi</t>
        </is>
      </c>
    </row>
    <row r="155" s="1">
      <c r="A155" s="17">
        <f>RANDBETWEEN(2,164)</f>
        <v/>
      </c>
      <c r="B155" s="17">
        <f t="array" ref="B155">INDEX(Data_DBD!$C:$C,$A155)</f>
        <v/>
      </c>
      <c r="C155" s="17">
        <f t="array" ref="C155">INDEX(Data_DBD!$E:$E,$A155)</f>
        <v/>
      </c>
      <c r="D155" s="17">
        <f t="array" ref="D155">INDEX(Data_DBD!$F:$F,$A155)</f>
        <v/>
      </c>
      <c r="H155" s="17" t="n">
        <v>150</v>
      </c>
      <c r="I155" s="17" t="n">
        <v>5</v>
      </c>
      <c r="J155" s="17" t="n">
        <v>1</v>
      </c>
      <c r="K155" s="17" t="inlineStr">
        <is>
          <t>Tinggi</t>
        </is>
      </c>
    </row>
    <row r="156" s="1">
      <c r="A156" s="17">
        <f>RANDBETWEEN(2,164)</f>
        <v/>
      </c>
      <c r="B156" s="17">
        <f t="array" ref="B156">INDEX(Data_DBD!$C:$C,$A156)</f>
        <v/>
      </c>
      <c r="C156" s="17">
        <f t="array" ref="C156">INDEX(Data_DBD!$E:$E,$A156)</f>
        <v/>
      </c>
      <c r="D156" s="17">
        <f t="array" ref="D156">INDEX(Data_DBD!$F:$F,$A156)</f>
        <v/>
      </c>
      <c r="H156" s="17" t="n">
        <v>74</v>
      </c>
      <c r="I156" s="17" t="n">
        <v>4</v>
      </c>
      <c r="J156" s="17" t="n">
        <v>0</v>
      </c>
      <c r="K156" s="17" t="inlineStr">
        <is>
          <t>Sedang</t>
        </is>
      </c>
    </row>
    <row r="157" s="1">
      <c r="A157" s="17">
        <f>RANDBETWEEN(2,164)</f>
        <v/>
      </c>
      <c r="B157" s="17">
        <f t="array" ref="B157">INDEX(Data_DBD!$C:$C,$A157)</f>
        <v/>
      </c>
      <c r="C157" s="17">
        <f t="array" ref="C157">INDEX(Data_DBD!$E:$E,$A157)</f>
        <v/>
      </c>
      <c r="D157" s="17">
        <f t="array" ref="D157">INDEX(Data_DBD!$F:$F,$A157)</f>
        <v/>
      </c>
      <c r="H157" s="17" t="n">
        <v>41</v>
      </c>
      <c r="I157" s="17" t="n">
        <v>4</v>
      </c>
      <c r="J157" s="17" t="n">
        <v>0</v>
      </c>
      <c r="K157" s="17" t="inlineStr">
        <is>
          <t>Sedang</t>
        </is>
      </c>
    </row>
    <row r="158" s="1">
      <c r="A158" s="17">
        <f>RANDBETWEEN(2,164)</f>
        <v/>
      </c>
      <c r="B158" s="17">
        <f t="array" ref="B158">INDEX(Data_DBD!$C:$C,$A158)</f>
        <v/>
      </c>
      <c r="C158" s="17">
        <f t="array" ref="C158">INDEX(Data_DBD!$E:$E,$A158)</f>
        <v/>
      </c>
      <c r="D158" s="17">
        <f t="array" ref="D158">INDEX(Data_DBD!$F:$F,$A158)</f>
        <v/>
      </c>
      <c r="H158" s="17" t="n">
        <v>142</v>
      </c>
      <c r="I158" s="17" t="n">
        <v>2</v>
      </c>
      <c r="J158" s="17" t="n">
        <v>1</v>
      </c>
      <c r="K158" s="17" t="inlineStr">
        <is>
          <t>Tinggi</t>
        </is>
      </c>
    </row>
    <row r="159" s="1">
      <c r="A159" s="17">
        <f>RANDBETWEEN(2,164)</f>
        <v/>
      </c>
      <c r="B159" s="17">
        <f t="array" ref="B159">INDEX(Data_DBD!$C:$C,$A159)</f>
        <v/>
      </c>
      <c r="C159" s="17">
        <f t="array" ref="C159">INDEX(Data_DBD!$E:$E,$A159)</f>
        <v/>
      </c>
      <c r="D159" s="17">
        <f t="array" ref="D159">INDEX(Data_DBD!$F:$F,$A159)</f>
        <v/>
      </c>
      <c r="H159" s="17" t="n">
        <v>155</v>
      </c>
      <c r="I159" s="17" t="n">
        <v>5</v>
      </c>
      <c r="J159" s="17" t="n">
        <v>1</v>
      </c>
      <c r="K159" s="17" t="inlineStr">
        <is>
          <t>Tinggi</t>
        </is>
      </c>
    </row>
    <row r="160" s="1">
      <c r="A160" s="17">
        <f>RANDBETWEEN(2,164)</f>
        <v/>
      </c>
      <c r="B160" s="17">
        <f t="array" ref="B160">INDEX(Data_DBD!$C:$C,$A160)</f>
        <v/>
      </c>
      <c r="C160" s="17">
        <f t="array" ref="C160">INDEX(Data_DBD!$E:$E,$A160)</f>
        <v/>
      </c>
      <c r="D160" s="17">
        <f t="array" ref="D160">INDEX(Data_DBD!$F:$F,$A160)</f>
        <v/>
      </c>
      <c r="H160" s="17" t="n">
        <v>98</v>
      </c>
      <c r="I160" s="17" t="n">
        <v>2</v>
      </c>
      <c r="J160" s="17" t="n">
        <v>1</v>
      </c>
      <c r="K160" s="17" t="inlineStr">
        <is>
          <t>Tinggi</t>
        </is>
      </c>
    </row>
    <row r="161" s="1">
      <c r="A161" s="17">
        <f>RANDBETWEEN(2,164)</f>
        <v/>
      </c>
      <c r="B161" s="17">
        <f t="array" ref="B161">INDEX(Data_DBD!$C:$C,$A161)</f>
        <v/>
      </c>
      <c r="C161" s="17">
        <f t="array" ref="C161">INDEX(Data_DBD!$E:$E,$A161)</f>
        <v/>
      </c>
      <c r="D161" s="17">
        <f t="array" ref="D161">INDEX(Data_DBD!$F:$F,$A161)</f>
        <v/>
      </c>
      <c r="H161" s="17" t="n">
        <v>28</v>
      </c>
      <c r="I161" s="17" t="n">
        <v>2</v>
      </c>
      <c r="J161" s="17" t="n">
        <v>1</v>
      </c>
      <c r="K161" s="17" t="inlineStr">
        <is>
          <t>Sedang</t>
        </is>
      </c>
    </row>
    <row r="162" s="1">
      <c r="A162" s="17">
        <f>RANDBETWEEN(2,164)</f>
        <v/>
      </c>
      <c r="B162" s="17">
        <f t="array" ref="B162">INDEX(Data_DBD!$C:$C,$A162)</f>
        <v/>
      </c>
      <c r="C162" s="17">
        <f t="array" ref="C162">INDEX(Data_DBD!$E:$E,$A162)</f>
        <v/>
      </c>
      <c r="D162" s="17">
        <f t="array" ref="D162">INDEX(Data_DBD!$F:$F,$A162)</f>
        <v/>
      </c>
      <c r="H162" s="17" t="n">
        <v>87</v>
      </c>
      <c r="I162" s="17" t="n">
        <v>3</v>
      </c>
      <c r="J162" s="17" t="n">
        <v>0</v>
      </c>
      <c r="K162" s="17" t="inlineStr">
        <is>
          <t>Sedang</t>
        </is>
      </c>
    </row>
    <row r="163" s="1">
      <c r="A163" s="17">
        <f>RANDBETWEEN(2,164)</f>
        <v/>
      </c>
      <c r="B163" s="17">
        <f t="array" ref="B163">INDEX(Data_DBD!$C:$C,$A163)</f>
        <v/>
      </c>
      <c r="C163" s="17">
        <f t="array" ref="C163">INDEX(Data_DBD!$E:$E,$A163)</f>
        <v/>
      </c>
      <c r="D163" s="17">
        <f t="array" ref="D163">INDEX(Data_DBD!$F:$F,$A163)</f>
        <v/>
      </c>
      <c r="H163" s="17" t="n">
        <v>120</v>
      </c>
      <c r="I163" s="17" t="n">
        <v>4</v>
      </c>
      <c r="J163" s="17" t="n">
        <v>1</v>
      </c>
      <c r="K163" s="17" t="inlineStr">
        <is>
          <t>Tinggi</t>
        </is>
      </c>
    </row>
    <row r="164" s="1">
      <c r="A164" s="17">
        <f>RANDBETWEEN(2,164)</f>
        <v/>
      </c>
      <c r="B164" s="17">
        <f t="array" ref="B164">INDEX(Data_DBD!$C:$C,$A164)</f>
        <v/>
      </c>
      <c r="C164" s="17">
        <f t="array" ref="C164">INDEX(Data_DBD!$E:$E,$A164)</f>
        <v/>
      </c>
      <c r="D164" s="17">
        <f t="array" ref="D164">INDEX(Data_DBD!$F:$F,$A164)</f>
        <v/>
      </c>
      <c r="H164" s="17" t="n">
        <v>137</v>
      </c>
      <c r="I164" s="17" t="n">
        <v>1</v>
      </c>
      <c r="J164" s="17" t="n">
        <v>1</v>
      </c>
      <c r="K164" s="17" t="inlineStr">
        <is>
          <t>Tinggi</t>
        </is>
      </c>
    </row>
    <row r="165" s="1">
      <c r="I165">
        <f>AVERAGE(I2:I164)</f>
        <v/>
      </c>
      <c r="J165">
        <f>AVERAGE(J2:J164)</f>
        <v/>
      </c>
    </row>
    <row r="167" s="1">
      <c r="B167" t="n">
        <v>6</v>
      </c>
    </row>
    <row r="168" s="1">
      <c r="I168" s="21" t="inlineStr">
        <is>
          <t>LAMA RAWAT INAP</t>
        </is>
      </c>
      <c r="N168" s="21" t="inlineStr">
        <is>
          <t>JENIS KELAMIN</t>
        </is>
      </c>
    </row>
    <row r="169" s="1">
      <c r="I169" s="17" t="inlineStr">
        <is>
          <t>Lama rawat inap</t>
        </is>
      </c>
      <c r="J169" s="17">
        <f>AVERAGEIF($I$2:$I$164,"&lt;="&amp;$I$165)</f>
        <v/>
      </c>
      <c r="K169" s="17">
        <f>AVERAGEIF($I$2:$I$164,"&gt;"&amp;$I$165)</f>
        <v/>
      </c>
      <c r="N169" s="17" t="inlineStr">
        <is>
          <t>Jenis kelamin</t>
        </is>
      </c>
      <c r="O169" s="17">
        <f>AVERAGEIF($J$2:$J$164,"&lt;="&amp;$J$165)</f>
        <v/>
      </c>
      <c r="P169" s="17">
        <f>AVERAGEIF($J$2:$J$164,"&gt;"&amp;$J$165)</f>
        <v/>
      </c>
    </row>
    <row r="170" s="1">
      <c r="I170" s="17">
        <f t="array" ref="I170:I332">IF($I$2:$I$164&lt;$J$169,"kiri",IF($I$2:$I$164&lt;$K$169,"tengah","kanan"))</f>
        <v/>
      </c>
      <c r="J170" s="17" t="inlineStr">
        <is>
          <t>Kanan &gt; 4.68</t>
        </is>
      </c>
      <c r="K170" s="17" t="n"/>
      <c r="N170" s="17">
        <f t="array" ref="N170:N332">IF($J$2:$J$164&lt;$O$169,"kiri",IF($J$2:$J$164&lt;$P$169,"tengah","kanan"))</f>
        <v/>
      </c>
      <c r="O170" s="17" t="inlineStr">
        <is>
          <t>Kanan &gt; 1</t>
        </is>
      </c>
      <c r="P170" s="17" t="n"/>
    </row>
    <row r="171" s="1">
      <c r="I171" s="17" t="inlineStr">
        <is>
          <t>tengah</t>
        </is>
      </c>
      <c r="J171" s="17">
        <f>COUNTIFS($I$170:$I$332,"Kanan",$K$2:$K$164,"Tinggi")</f>
        <v/>
      </c>
      <c r="K171" s="17">
        <f>J171/40</f>
        <v/>
      </c>
      <c r="N171" s="17" t="inlineStr">
        <is>
          <t>kanan</t>
        </is>
      </c>
      <c r="O171" s="17">
        <f>COUNTIFS($N$170:$N$332,"Kanan",$K$2:$K$164,"Tinggi")</f>
        <v/>
      </c>
      <c r="P171" s="17">
        <f>O171/92</f>
        <v/>
      </c>
    </row>
    <row r="172" s="1">
      <c r="I172" s="17" t="inlineStr">
        <is>
          <t>kanan</t>
        </is>
      </c>
      <c r="J172" s="17">
        <f>COUNTIFS($I$170:$I$332,"Kanan",$K$2:$K$164,"Sedang")</f>
        <v/>
      </c>
      <c r="K172" s="17">
        <f>J172/40</f>
        <v/>
      </c>
      <c r="N172" s="17" t="inlineStr">
        <is>
          <t>tengah</t>
        </is>
      </c>
      <c r="O172" s="17">
        <f>COUNTIFS($N$170:$N$332,"Kanan",$K$2:$K$164,"Sedang")</f>
        <v/>
      </c>
      <c r="P172" s="17">
        <f>O172/92</f>
        <v/>
      </c>
    </row>
    <row r="173" s="1">
      <c r="I173" s="17" t="inlineStr">
        <is>
          <t>tengah</t>
        </is>
      </c>
      <c r="J173" s="17">
        <f>COUNTIFS($I$170:$I$332,"Kanan",$K$2:$K$164,"Rendah")</f>
        <v/>
      </c>
      <c r="K173" s="17">
        <f>J173/40</f>
        <v/>
      </c>
      <c r="N173" s="17" t="inlineStr">
        <is>
          <t>kanan</t>
        </is>
      </c>
      <c r="O173" s="17">
        <f>COUNTIFS($N$170:$N$332,"Kanan",$K$2:$K$164,"Rendah")</f>
        <v/>
      </c>
      <c r="P173" s="17">
        <f>O173/92</f>
        <v/>
      </c>
    </row>
    <row r="174" s="1">
      <c r="I174" s="17" t="inlineStr">
        <is>
          <t>tengah</t>
        </is>
      </c>
      <c r="J174" s="17" t="inlineStr">
        <is>
          <t>Entropy</t>
        </is>
      </c>
      <c r="K174" s="17">
        <f>-(IFERROR(K171*LOG(K171,2),0)+IFERROR(K172*LOG(K172,2),0)+IFERROR(K173*LOG(K173,2),0))</f>
        <v/>
      </c>
      <c r="N174" s="17" t="inlineStr">
        <is>
          <t>tengah</t>
        </is>
      </c>
      <c r="O174" s="17" t="inlineStr">
        <is>
          <t>Entropy</t>
        </is>
      </c>
      <c r="P174" s="17">
        <f>-(IFERROR(P171*LOG(P171,2),0)+IFERROR(P172*LOG(P172,2),0)+IFERROR(P173*LOG(P173,2),0))</f>
        <v/>
      </c>
    </row>
    <row r="175" s="1">
      <c r="I175" s="17" t="inlineStr">
        <is>
          <t>tengah</t>
        </is>
      </c>
      <c r="J175" s="17" t="n"/>
      <c r="K175" s="17">
        <f>SUM(J171:J173)/163</f>
        <v/>
      </c>
      <c r="N175" s="17" t="inlineStr">
        <is>
          <t>kanan</t>
        </is>
      </c>
      <c r="O175" s="17" t="n"/>
      <c r="P175" s="17">
        <f>SUM(O171:O173)/163</f>
        <v/>
      </c>
    </row>
    <row r="176" s="1">
      <c r="I176" s="17" t="inlineStr">
        <is>
          <t>kiri</t>
        </is>
      </c>
      <c r="J176" s="17" t="n"/>
      <c r="K176" s="23">
        <f>K174*K175</f>
        <v/>
      </c>
      <c r="N176" s="17" t="inlineStr">
        <is>
          <t>kanan</t>
        </is>
      </c>
      <c r="O176" s="17" t="n"/>
      <c r="P176" s="23">
        <f>P174*P175</f>
        <v/>
      </c>
    </row>
    <row r="177" s="1">
      <c r="I177" s="17" t="inlineStr">
        <is>
          <t>tengah</t>
        </is>
      </c>
      <c r="J177" s="17" t="n"/>
      <c r="K177" s="17" t="n"/>
      <c r="N177" s="17" t="inlineStr">
        <is>
          <t>kanan</t>
        </is>
      </c>
      <c r="O177" s="17" t="n"/>
      <c r="P177" s="17" t="n"/>
    </row>
    <row r="178" s="1">
      <c r="I178" s="17" t="inlineStr">
        <is>
          <t>tengah</t>
        </is>
      </c>
      <c r="J178" s="17" t="n"/>
      <c r="K178" s="17" t="n"/>
      <c r="N178" s="17" t="inlineStr">
        <is>
          <t>kanan</t>
        </is>
      </c>
      <c r="O178" s="17" t="n"/>
      <c r="P178" s="17" t="n"/>
    </row>
    <row r="179" s="1">
      <c r="I179" s="17" t="inlineStr">
        <is>
          <t>tengah</t>
        </is>
      </c>
      <c r="J179" s="17" t="inlineStr">
        <is>
          <t>Kiri&lt;2.44</t>
        </is>
      </c>
      <c r="K179" s="17" t="n"/>
      <c r="N179" s="17" t="inlineStr">
        <is>
          <t>tengah</t>
        </is>
      </c>
      <c r="O179" s="17" t="inlineStr">
        <is>
          <t>Kiri&lt;0</t>
        </is>
      </c>
      <c r="P179" s="17" t="n"/>
    </row>
    <row r="180" s="1">
      <c r="I180" s="17" t="inlineStr">
        <is>
          <t>kanan</t>
        </is>
      </c>
      <c r="J180" s="17">
        <f>COUNTIFS($I$170:$I$332,"Kiri",$K$2:$K$164,"Tinggi")</f>
        <v/>
      </c>
      <c r="K180" s="17">
        <f>J180/36</f>
        <v/>
      </c>
      <c r="N180" s="17" t="inlineStr">
        <is>
          <t>tengah</t>
        </is>
      </c>
      <c r="O180" s="17">
        <f>COUNTIFS($N$170:$N$332,"Kiri",$K$2:$K$164,"Tinggi")</f>
        <v/>
      </c>
      <c r="P180" s="17">
        <f>O180/57</f>
        <v/>
      </c>
    </row>
    <row r="181" s="1">
      <c r="I181" s="17" t="inlineStr">
        <is>
          <t>kanan</t>
        </is>
      </c>
      <c r="J181" s="17">
        <f>COUNTIFS($I$170:$I$332,"Kiri",$K$2:$K$164,"Sedang")</f>
        <v/>
      </c>
      <c r="K181" s="17">
        <f>J181/36</f>
        <v/>
      </c>
      <c r="N181" s="17" t="inlineStr">
        <is>
          <t>tengah</t>
        </is>
      </c>
      <c r="O181" s="17">
        <f>COUNTIFS($N$170:$N$332,"Kiri",$K$2:$K$164,"Sedang")</f>
        <v/>
      </c>
      <c r="P181" s="17">
        <f>O181/57</f>
        <v/>
      </c>
    </row>
    <row r="182" s="1">
      <c r="I182" s="17" t="inlineStr">
        <is>
          <t>kiri</t>
        </is>
      </c>
      <c r="J182" s="17">
        <f>COUNTIFS($I$170:$I$332,"Kiri",$K$2:$K$164,"Rendah")</f>
        <v/>
      </c>
      <c r="K182" s="17">
        <f>J182/36</f>
        <v/>
      </c>
      <c r="N182" s="17" t="inlineStr">
        <is>
          <t>kanan</t>
        </is>
      </c>
      <c r="O182" s="17">
        <f>COUNTIFS($N$170:$N$332,"Kiri",$K$2:$K$164,"Rendah")</f>
        <v/>
      </c>
      <c r="P182" s="17">
        <f>O182/57</f>
        <v/>
      </c>
    </row>
    <row r="183" s="1">
      <c r="I183" s="17" t="inlineStr">
        <is>
          <t>kanan</t>
        </is>
      </c>
      <c r="J183" s="17" t="inlineStr">
        <is>
          <t>Entropy</t>
        </is>
      </c>
      <c r="K183" s="17">
        <f>-(IFERROR(K180*LOG(K180,2),0)+IFERROR(K181*LOG(K181,2),0)+IFERROR(K182*LOG(K182,2),0))</f>
        <v/>
      </c>
      <c r="N183" s="17" t="inlineStr">
        <is>
          <t>tengah</t>
        </is>
      </c>
      <c r="O183" s="17" t="inlineStr">
        <is>
          <t>Entropy</t>
        </is>
      </c>
      <c r="P183" s="17">
        <f>-(IFERROR(P180*LOG(P180,2),0)+IFERROR(P181*LOG(P181,2),0)+IFERROR(P182*LOG(P182,2),0))</f>
        <v/>
      </c>
    </row>
    <row r="184" s="1">
      <c r="I184" s="17" t="inlineStr">
        <is>
          <t>kanan</t>
        </is>
      </c>
      <c r="J184" s="17" t="n"/>
      <c r="K184" s="17">
        <f>SUM(J180:J182)/163</f>
        <v/>
      </c>
      <c r="N184" s="17" t="inlineStr">
        <is>
          <t>kanan</t>
        </is>
      </c>
      <c r="O184" s="17" t="n"/>
      <c r="P184" s="17">
        <f>SUM(O180:O182)/163</f>
        <v/>
      </c>
    </row>
    <row r="185" s="1">
      <c r="I185" s="17" t="inlineStr">
        <is>
          <t>tengah</t>
        </is>
      </c>
      <c r="J185" s="17" t="n"/>
      <c r="K185" s="23">
        <f>K183*K184</f>
        <v/>
      </c>
      <c r="N185" s="17" t="inlineStr">
        <is>
          <t>kanan</t>
        </is>
      </c>
      <c r="O185" s="17" t="n"/>
      <c r="P185" s="23">
        <f>P183*P184</f>
        <v/>
      </c>
    </row>
    <row r="186" s="1">
      <c r="I186" s="17" t="inlineStr">
        <is>
          <t>tengah</t>
        </is>
      </c>
      <c r="J186" s="17" t="n"/>
      <c r="K186" s="17" t="n"/>
      <c r="N186" s="17" t="inlineStr">
        <is>
          <t>kanan</t>
        </is>
      </c>
      <c r="O186" s="17" t="n"/>
      <c r="P186" s="17" t="n"/>
    </row>
    <row r="187" s="1">
      <c r="I187" s="17" t="inlineStr">
        <is>
          <t>tengah</t>
        </is>
      </c>
      <c r="J187" s="17" t="n"/>
      <c r="K187" s="17" t="n"/>
      <c r="N187" s="17" t="inlineStr">
        <is>
          <t>tengah</t>
        </is>
      </c>
      <c r="O187" s="17" t="n"/>
      <c r="P187" s="17" t="n"/>
    </row>
    <row r="188" s="1">
      <c r="I188" s="17" t="inlineStr">
        <is>
          <t>kanan</t>
        </is>
      </c>
      <c r="J188" s="17" t="inlineStr">
        <is>
          <t>Tengah</t>
        </is>
      </c>
      <c r="K188" s="17" t="n"/>
      <c r="N188" s="17" t="inlineStr">
        <is>
          <t>kanan</t>
        </is>
      </c>
      <c r="O188" s="17" t="inlineStr">
        <is>
          <t>Tengah</t>
        </is>
      </c>
      <c r="P188" s="17" t="n"/>
    </row>
    <row r="189" s="1">
      <c r="I189" s="17" t="inlineStr">
        <is>
          <t>kanan</t>
        </is>
      </c>
      <c r="J189" s="17">
        <f>COUNTIFS($I$170:$I$332,"Tengah",$K$2:$K$164,"Tinggi")</f>
        <v/>
      </c>
      <c r="K189" s="17">
        <f>J189/87</f>
        <v/>
      </c>
      <c r="N189" s="17" t="inlineStr">
        <is>
          <t>kanan</t>
        </is>
      </c>
      <c r="O189" s="17">
        <f>COUNTIFS($N$170:$N$332,"Tengah",$K$2:$K$164,"Tinggi")</f>
        <v/>
      </c>
      <c r="P189" s="17">
        <f>O189/71</f>
        <v/>
      </c>
    </row>
    <row r="190" s="1">
      <c r="I190" s="17" t="inlineStr">
        <is>
          <t>kiri</t>
        </is>
      </c>
      <c r="J190" s="17">
        <f>COUNTIFS($I$170:$I$332,"Tengah",$K$2:$K$164,"Sedang")</f>
        <v/>
      </c>
      <c r="K190" s="17">
        <f>J190/87</f>
        <v/>
      </c>
      <c r="N190" s="17" t="inlineStr">
        <is>
          <t>tengah</t>
        </is>
      </c>
      <c r="O190" s="17">
        <f>COUNTIFS($N$170:$N$332,"Tengah",$K$2:$K$164,"Sedang")</f>
        <v/>
      </c>
      <c r="P190" s="17">
        <f>O190/71</f>
        <v/>
      </c>
    </row>
    <row r="191" s="1">
      <c r="I191" s="17" t="inlineStr">
        <is>
          <t>tengah</t>
        </is>
      </c>
      <c r="J191" s="17">
        <f>COUNTIFS($I$170:$I$332,"Tengah",$K$2:$K$164,"Rendah")</f>
        <v/>
      </c>
      <c r="K191" s="17">
        <f>J191/87</f>
        <v/>
      </c>
      <c r="N191" s="17" t="inlineStr">
        <is>
          <t>kanan</t>
        </is>
      </c>
      <c r="O191" s="17">
        <f>COUNTIFS($N$170:$N$332,"Tengah",$K$2:$K$164,"Rendah")</f>
        <v/>
      </c>
      <c r="P191" s="17">
        <f>O191/71</f>
        <v/>
      </c>
    </row>
    <row r="192" s="1">
      <c r="I192" s="17" t="inlineStr">
        <is>
          <t>kiri</t>
        </is>
      </c>
      <c r="J192" s="17" t="inlineStr">
        <is>
          <t>Entropy</t>
        </is>
      </c>
      <c r="K192" s="17">
        <f>-(IFERROR(K189*LOG(K189,2),0)+IFERROR(K190*LOG(K190,2),0)+IFERROR(K191*LOG(K191,2),0))</f>
        <v/>
      </c>
      <c r="N192" s="17" t="inlineStr">
        <is>
          <t>kanan</t>
        </is>
      </c>
      <c r="O192" s="17" t="inlineStr">
        <is>
          <t>Entropy</t>
        </is>
      </c>
      <c r="P192" s="17">
        <f>-(IFERROR(P189*LOG(P189,2),0)+IFERROR(P190*LOG(P190,2),0)+IFERROR(P191*LOG(P191,2),0))</f>
        <v/>
      </c>
    </row>
    <row r="193" s="1">
      <c r="I193" s="17" t="inlineStr">
        <is>
          <t>tengah</t>
        </is>
      </c>
      <c r="J193" s="17" t="n"/>
      <c r="K193" s="17">
        <f>SUM(J189:J191)/163</f>
        <v/>
      </c>
      <c r="N193" s="17" t="inlineStr">
        <is>
          <t>tengah</t>
        </is>
      </c>
      <c r="O193" s="17" t="n"/>
      <c r="P193" s="17">
        <f>SUM(O189:O191)/163</f>
        <v/>
      </c>
    </row>
    <row r="194" s="1">
      <c r="I194" s="17" t="inlineStr">
        <is>
          <t>kiri</t>
        </is>
      </c>
      <c r="J194" s="17" t="n"/>
      <c r="K194" s="23">
        <f>K192*K193</f>
        <v/>
      </c>
      <c r="N194" s="17" t="inlineStr">
        <is>
          <t>kanan</t>
        </is>
      </c>
      <c r="O194" s="17" t="n"/>
      <c r="P194" s="23">
        <f>P192*P193</f>
        <v/>
      </c>
    </row>
    <row r="195" s="1">
      <c r="I195" s="17" t="inlineStr">
        <is>
          <t>tengah</t>
        </is>
      </c>
      <c r="J195" s="17" t="n"/>
      <c r="K195" s="17" t="n"/>
      <c r="N195" s="17" t="inlineStr">
        <is>
          <t>tengah</t>
        </is>
      </c>
      <c r="O195" s="17" t="n"/>
      <c r="P195" s="17" t="n"/>
    </row>
    <row r="196" s="1">
      <c r="I196" s="17" t="inlineStr">
        <is>
          <t>tengah</t>
        </is>
      </c>
      <c r="J196" s="17" t="inlineStr">
        <is>
          <t>IG</t>
        </is>
      </c>
      <c r="K196" s="17" t="n"/>
      <c r="N196" s="17" t="inlineStr">
        <is>
          <t>tengah</t>
        </is>
      </c>
      <c r="O196" s="17" t="inlineStr">
        <is>
          <t>IG</t>
        </is>
      </c>
      <c r="P196" s="17" t="n"/>
    </row>
    <row r="197" s="1">
      <c r="I197" s="17" t="inlineStr">
        <is>
          <t>tengah</t>
        </is>
      </c>
      <c r="J197" s="24">
        <f>P5-(K176+K185+K194)</f>
        <v/>
      </c>
      <c r="K197" s="17" t="n"/>
      <c r="N197" s="17" t="inlineStr">
        <is>
          <t>kanan</t>
        </is>
      </c>
      <c r="O197" s="24">
        <f>P5-(P176+P185+P194)</f>
        <v/>
      </c>
      <c r="P197" s="17" t="n"/>
    </row>
    <row r="198" s="1">
      <c r="I198" s="17" t="inlineStr">
        <is>
          <t>tengah</t>
        </is>
      </c>
      <c r="J198" s="17" t="n"/>
      <c r="K198" s="17" t="n"/>
      <c r="N198" s="17" t="inlineStr">
        <is>
          <t>kanan</t>
        </is>
      </c>
      <c r="O198" s="17" t="n"/>
      <c r="P198" s="17" t="n"/>
    </row>
    <row r="199" s="1">
      <c r="I199" s="17" t="inlineStr">
        <is>
          <t>tengah</t>
        </is>
      </c>
      <c r="J199" s="17" t="n"/>
      <c r="K199" s="17" t="n"/>
      <c r="N199" s="17" t="inlineStr">
        <is>
          <t>kanan</t>
        </is>
      </c>
      <c r="O199" s="17" t="n"/>
      <c r="P199" s="17" t="n"/>
    </row>
    <row r="200" s="1">
      <c r="I200" s="17" t="inlineStr">
        <is>
          <t>tengah</t>
        </is>
      </c>
      <c r="J200" s="17" t="n"/>
      <c r="K200" s="17" t="n"/>
      <c r="N200" s="17" t="inlineStr">
        <is>
          <t>tengah</t>
        </is>
      </c>
      <c r="O200" s="17" t="n"/>
      <c r="P200" s="17" t="n"/>
    </row>
    <row r="201" s="1">
      <c r="I201" s="17" t="inlineStr">
        <is>
          <t>kiri</t>
        </is>
      </c>
      <c r="J201" s="17" t="n"/>
      <c r="K201" s="17" t="n"/>
      <c r="N201" s="17" t="inlineStr">
        <is>
          <t>kanan</t>
        </is>
      </c>
      <c r="O201" s="17" t="n"/>
      <c r="P201" s="17" t="n"/>
    </row>
    <row r="202" s="1">
      <c r="I202" s="17" t="inlineStr">
        <is>
          <t>kanan</t>
        </is>
      </c>
      <c r="J202" s="17" t="n"/>
      <c r="K202" s="17" t="n"/>
      <c r="N202" s="17" t="inlineStr">
        <is>
          <t>tengah</t>
        </is>
      </c>
      <c r="O202" s="17" t="n"/>
      <c r="P202" s="17" t="n"/>
    </row>
    <row r="203" s="1">
      <c r="I203" s="17" t="inlineStr">
        <is>
          <t>kiri</t>
        </is>
      </c>
      <c r="J203" s="17" t="n"/>
      <c r="K203" s="17" t="n"/>
      <c r="N203" s="17" t="inlineStr">
        <is>
          <t>kanan</t>
        </is>
      </c>
      <c r="O203" s="17" t="n"/>
      <c r="P203" s="17" t="n"/>
    </row>
    <row r="204" s="1">
      <c r="I204" s="17" t="inlineStr">
        <is>
          <t>kiri</t>
        </is>
      </c>
      <c r="J204" s="17" t="n"/>
      <c r="K204" s="17" t="n"/>
      <c r="N204" s="17" t="inlineStr">
        <is>
          <t>tengah</t>
        </is>
      </c>
      <c r="O204" s="17" t="n"/>
      <c r="P204" s="17" t="n"/>
    </row>
    <row r="205" s="1">
      <c r="I205" s="17" t="inlineStr">
        <is>
          <t>tengah</t>
        </is>
      </c>
      <c r="J205" s="17" t="n"/>
      <c r="K205" s="17" t="n"/>
      <c r="N205" s="17" t="inlineStr">
        <is>
          <t>kanan</t>
        </is>
      </c>
      <c r="O205" s="17" t="n"/>
      <c r="P205" s="17" t="n"/>
    </row>
    <row r="206" s="1">
      <c r="I206" s="17" t="inlineStr">
        <is>
          <t>tengah</t>
        </is>
      </c>
      <c r="J206" s="17" t="n"/>
      <c r="K206" s="17" t="n"/>
      <c r="N206" s="17" t="inlineStr">
        <is>
          <t>kanan</t>
        </is>
      </c>
      <c r="O206" s="17" t="n"/>
      <c r="P206" s="17" t="n"/>
    </row>
    <row r="207" s="1">
      <c r="I207" s="17" t="inlineStr">
        <is>
          <t>tengah</t>
        </is>
      </c>
      <c r="J207" s="17" t="n"/>
      <c r="K207" s="17" t="n"/>
      <c r="N207" s="17" t="inlineStr">
        <is>
          <t>tengah</t>
        </is>
      </c>
      <c r="O207" s="17" t="n"/>
      <c r="P207" s="17" t="n"/>
    </row>
    <row r="208" s="1">
      <c r="I208" s="17" t="inlineStr">
        <is>
          <t>kanan</t>
        </is>
      </c>
      <c r="J208" s="17" t="n"/>
      <c r="K208" s="17" t="n"/>
      <c r="N208" s="17" t="inlineStr">
        <is>
          <t>tengah</t>
        </is>
      </c>
      <c r="O208" s="17" t="n"/>
      <c r="P208" s="17" t="n"/>
    </row>
    <row r="209" s="1">
      <c r="I209" s="17" t="inlineStr">
        <is>
          <t>kanan</t>
        </is>
      </c>
      <c r="J209" s="17" t="n"/>
      <c r="K209" s="17" t="n"/>
      <c r="N209" s="17" t="inlineStr">
        <is>
          <t>kanan</t>
        </is>
      </c>
      <c r="O209" s="17" t="n"/>
      <c r="P209" s="17" t="n"/>
    </row>
    <row r="210" s="1">
      <c r="I210" s="17" t="inlineStr">
        <is>
          <t>tengah</t>
        </is>
      </c>
      <c r="J210" s="17" t="n"/>
      <c r="K210" s="17" t="n"/>
      <c r="N210" s="17" t="inlineStr">
        <is>
          <t>kanan</t>
        </is>
      </c>
      <c r="O210" s="17" t="n"/>
      <c r="P210" s="17" t="n"/>
    </row>
    <row r="211" s="1">
      <c r="I211" s="17" t="inlineStr">
        <is>
          <t>tengah</t>
        </is>
      </c>
      <c r="J211" s="17" t="n"/>
      <c r="K211" s="17" t="n"/>
      <c r="N211" s="17" t="inlineStr">
        <is>
          <t>kanan</t>
        </is>
      </c>
      <c r="O211" s="17" t="n"/>
      <c r="P211" s="17" t="n"/>
    </row>
    <row r="212" s="1">
      <c r="I212" s="17" t="inlineStr">
        <is>
          <t>kiri</t>
        </is>
      </c>
      <c r="J212" s="17" t="n"/>
      <c r="K212" s="17" t="n"/>
      <c r="N212" s="17" t="inlineStr">
        <is>
          <t>kanan</t>
        </is>
      </c>
      <c r="O212" s="17" t="n"/>
      <c r="P212" s="17" t="n"/>
    </row>
    <row r="213" s="1">
      <c r="I213" s="17" t="inlineStr">
        <is>
          <t>tengah</t>
        </is>
      </c>
      <c r="J213" s="17" t="n"/>
      <c r="K213" s="17" t="n"/>
      <c r="N213" s="17" t="inlineStr">
        <is>
          <t>tengah</t>
        </is>
      </c>
      <c r="O213" s="17" t="n"/>
      <c r="P213" s="17" t="n"/>
    </row>
    <row r="214" s="1">
      <c r="I214" s="17" t="inlineStr">
        <is>
          <t>kanan</t>
        </is>
      </c>
      <c r="J214" s="17" t="n"/>
      <c r="K214" s="17" t="n"/>
      <c r="N214" s="17" t="inlineStr">
        <is>
          <t>tengah</t>
        </is>
      </c>
      <c r="O214" s="17" t="n"/>
      <c r="P214" s="17" t="n"/>
    </row>
    <row r="215" s="1">
      <c r="I215" s="17" t="inlineStr">
        <is>
          <t>tengah</t>
        </is>
      </c>
      <c r="J215" s="17" t="n"/>
      <c r="K215" s="17" t="n"/>
      <c r="N215" s="17" t="inlineStr">
        <is>
          <t>kanan</t>
        </is>
      </c>
      <c r="O215" s="17" t="n"/>
      <c r="P215" s="17" t="n"/>
    </row>
    <row r="216" s="1">
      <c r="I216" s="17" t="inlineStr">
        <is>
          <t>kanan</t>
        </is>
      </c>
      <c r="J216" s="17" t="n"/>
      <c r="K216" s="17" t="n"/>
      <c r="N216" s="17" t="inlineStr">
        <is>
          <t>kanan</t>
        </is>
      </c>
      <c r="O216" s="17" t="n"/>
      <c r="P216" s="17" t="n"/>
    </row>
    <row r="217" s="1">
      <c r="I217" s="17" t="inlineStr">
        <is>
          <t>kiri</t>
        </is>
      </c>
      <c r="J217" s="17" t="n"/>
      <c r="K217" s="17" t="n"/>
      <c r="N217" s="17" t="inlineStr">
        <is>
          <t>tengah</t>
        </is>
      </c>
      <c r="O217" s="17" t="n"/>
      <c r="P217" s="17" t="n"/>
    </row>
    <row r="218" s="1">
      <c r="I218" s="17" t="inlineStr">
        <is>
          <t>kiri</t>
        </is>
      </c>
      <c r="J218" s="17" t="n"/>
      <c r="K218" s="17" t="n"/>
      <c r="N218" s="17" t="inlineStr">
        <is>
          <t>kanan</t>
        </is>
      </c>
      <c r="O218" s="17" t="n"/>
      <c r="P218" s="17" t="n"/>
    </row>
    <row r="219" s="1">
      <c r="I219" s="17" t="inlineStr">
        <is>
          <t>kanan</t>
        </is>
      </c>
      <c r="J219" s="17" t="n"/>
      <c r="K219" s="17" t="n"/>
      <c r="N219" s="17" t="inlineStr">
        <is>
          <t>kanan</t>
        </is>
      </c>
      <c r="O219" s="17" t="n"/>
      <c r="P219" s="17" t="n"/>
    </row>
    <row r="220" s="1">
      <c r="I220" s="17" t="inlineStr">
        <is>
          <t>kanan</t>
        </is>
      </c>
      <c r="J220" s="17" t="n"/>
      <c r="K220" s="17" t="n"/>
      <c r="N220" s="17" t="inlineStr">
        <is>
          <t>kanan</t>
        </is>
      </c>
      <c r="O220" s="17" t="n"/>
      <c r="P220" s="17" t="n"/>
    </row>
    <row r="221" s="1">
      <c r="I221" s="17" t="inlineStr">
        <is>
          <t>tengah</t>
        </is>
      </c>
      <c r="J221" s="17" t="n"/>
      <c r="K221" s="17" t="n"/>
      <c r="N221" s="17" t="inlineStr">
        <is>
          <t>tengah</t>
        </is>
      </c>
      <c r="O221" s="17" t="n"/>
      <c r="P221" s="17" t="n"/>
    </row>
    <row r="222" s="1">
      <c r="I222" s="17" t="inlineStr">
        <is>
          <t>tengah</t>
        </is>
      </c>
      <c r="J222" s="17" t="n"/>
      <c r="K222" s="17" t="n"/>
      <c r="N222" s="17" t="inlineStr">
        <is>
          <t>tengah</t>
        </is>
      </c>
      <c r="O222" s="17" t="n"/>
      <c r="P222" s="17" t="n"/>
    </row>
    <row r="223" s="1">
      <c r="I223" s="17" t="inlineStr">
        <is>
          <t>tengah</t>
        </is>
      </c>
      <c r="J223" s="17" t="n"/>
      <c r="K223" s="17" t="n"/>
      <c r="N223" s="17" t="inlineStr">
        <is>
          <t>kanan</t>
        </is>
      </c>
      <c r="O223" s="17" t="n"/>
      <c r="P223" s="17" t="n"/>
    </row>
    <row r="224" s="1">
      <c r="I224" s="17" t="inlineStr">
        <is>
          <t>kanan</t>
        </is>
      </c>
      <c r="J224" s="17" t="n"/>
      <c r="K224" s="17" t="n"/>
      <c r="N224" s="17" t="inlineStr">
        <is>
          <t>kanan</t>
        </is>
      </c>
      <c r="O224" s="17" t="n"/>
      <c r="P224" s="17" t="n"/>
    </row>
    <row r="225" s="1">
      <c r="I225" s="17" t="inlineStr">
        <is>
          <t>tengah</t>
        </is>
      </c>
      <c r="J225" s="17" t="n"/>
      <c r="K225" s="17" t="n"/>
      <c r="N225" s="17" t="inlineStr">
        <is>
          <t>tengah</t>
        </is>
      </c>
      <c r="O225" s="17" t="n"/>
      <c r="P225" s="17" t="n"/>
    </row>
    <row r="226" s="1">
      <c r="I226" s="17" t="inlineStr">
        <is>
          <t>kanan</t>
        </is>
      </c>
      <c r="J226" s="17" t="n"/>
      <c r="K226" s="17" t="n"/>
      <c r="N226" s="17" t="inlineStr">
        <is>
          <t>tengah</t>
        </is>
      </c>
      <c r="O226" s="17" t="n"/>
      <c r="P226" s="17" t="n"/>
    </row>
    <row r="227" s="1">
      <c r="I227" s="17" t="inlineStr">
        <is>
          <t>tengah</t>
        </is>
      </c>
      <c r="J227" s="17" t="n"/>
      <c r="K227" s="17" t="n"/>
      <c r="N227" s="17" t="inlineStr">
        <is>
          <t>tengah</t>
        </is>
      </c>
      <c r="O227" s="17" t="n"/>
      <c r="P227" s="17" t="n"/>
    </row>
    <row r="228" s="1">
      <c r="I228" s="17" t="inlineStr">
        <is>
          <t>kanan</t>
        </is>
      </c>
      <c r="J228" s="17" t="n"/>
      <c r="K228" s="17" t="n"/>
      <c r="N228" s="17" t="inlineStr">
        <is>
          <t>tengah</t>
        </is>
      </c>
      <c r="O228" s="17" t="n"/>
      <c r="P228" s="17" t="n"/>
    </row>
    <row r="229" s="1">
      <c r="I229" s="17" t="inlineStr">
        <is>
          <t>tengah</t>
        </is>
      </c>
      <c r="J229" s="17" t="n"/>
      <c r="K229" s="17" t="n"/>
      <c r="N229" s="17" t="inlineStr">
        <is>
          <t>kanan</t>
        </is>
      </c>
      <c r="O229" s="17" t="n"/>
      <c r="P229" s="17" t="n"/>
    </row>
    <row r="230" s="1">
      <c r="I230" s="17" t="inlineStr">
        <is>
          <t>kanan</t>
        </is>
      </c>
      <c r="J230" s="17" t="n"/>
      <c r="K230" s="17" t="n"/>
      <c r="N230" s="17" t="inlineStr">
        <is>
          <t>tengah</t>
        </is>
      </c>
      <c r="O230" s="17" t="n"/>
      <c r="P230" s="17" t="n"/>
    </row>
    <row r="231" s="1">
      <c r="I231" s="17" t="inlineStr">
        <is>
          <t>kanan</t>
        </is>
      </c>
      <c r="J231" s="17" t="n"/>
      <c r="K231" s="17" t="n"/>
      <c r="N231" s="17" t="inlineStr">
        <is>
          <t>kanan</t>
        </is>
      </c>
      <c r="O231" s="17" t="n"/>
      <c r="P231" s="17" t="n"/>
    </row>
    <row r="232" s="1">
      <c r="I232" s="17" t="inlineStr">
        <is>
          <t>tengah</t>
        </is>
      </c>
      <c r="J232" s="17" t="n"/>
      <c r="K232" s="17" t="n"/>
      <c r="N232" s="17" t="inlineStr">
        <is>
          <t>tengah</t>
        </is>
      </c>
      <c r="O232" s="17" t="n"/>
      <c r="P232" s="17" t="n"/>
    </row>
    <row r="233" s="1">
      <c r="I233" s="17" t="inlineStr">
        <is>
          <t>kanan</t>
        </is>
      </c>
      <c r="J233" s="17" t="n"/>
      <c r="K233" s="17" t="n"/>
      <c r="N233" s="17" t="inlineStr">
        <is>
          <t>tengah</t>
        </is>
      </c>
      <c r="O233" s="17" t="n"/>
      <c r="P233" s="17" t="n"/>
    </row>
    <row r="234" s="1">
      <c r="I234" s="17" t="inlineStr">
        <is>
          <t>kiri</t>
        </is>
      </c>
      <c r="J234" s="17" t="n"/>
      <c r="K234" s="17" t="n"/>
      <c r="N234" s="17" t="inlineStr">
        <is>
          <t>kanan</t>
        </is>
      </c>
      <c r="O234" s="17" t="n"/>
      <c r="P234" s="17" t="n"/>
    </row>
    <row r="235" s="1">
      <c r="I235" s="17" t="inlineStr">
        <is>
          <t>tengah</t>
        </is>
      </c>
      <c r="J235" s="17" t="n"/>
      <c r="K235" s="17" t="n"/>
      <c r="N235" s="17" t="inlineStr">
        <is>
          <t>tengah</t>
        </is>
      </c>
      <c r="O235" s="17" t="n"/>
      <c r="P235" s="17" t="n"/>
    </row>
    <row r="236" s="1">
      <c r="I236" s="17" t="inlineStr">
        <is>
          <t>tengah</t>
        </is>
      </c>
      <c r="J236" s="17" t="n"/>
      <c r="K236" s="17" t="n"/>
      <c r="N236" s="17" t="inlineStr">
        <is>
          <t>kanan</t>
        </is>
      </c>
      <c r="O236" s="17" t="n"/>
      <c r="P236" s="17" t="n"/>
    </row>
    <row r="237" s="1">
      <c r="I237" s="17" t="inlineStr">
        <is>
          <t>tengah</t>
        </is>
      </c>
      <c r="J237" s="17" t="n"/>
      <c r="K237" s="17" t="n"/>
      <c r="N237" s="17" t="inlineStr">
        <is>
          <t>kanan</t>
        </is>
      </c>
      <c r="O237" s="17" t="n"/>
      <c r="P237" s="17" t="n"/>
    </row>
    <row r="238" s="1">
      <c r="I238" s="17" t="inlineStr">
        <is>
          <t>kanan</t>
        </is>
      </c>
      <c r="J238" s="17" t="n"/>
      <c r="K238" s="17" t="n"/>
      <c r="N238" s="17" t="inlineStr">
        <is>
          <t>kanan</t>
        </is>
      </c>
      <c r="O238" s="17" t="n"/>
      <c r="P238" s="17" t="n"/>
    </row>
    <row r="239" s="1">
      <c r="I239" s="17" t="inlineStr">
        <is>
          <t>tengah</t>
        </is>
      </c>
      <c r="J239" s="17" t="n"/>
      <c r="K239" s="17" t="n"/>
      <c r="N239" s="17" t="inlineStr">
        <is>
          <t>tengah</t>
        </is>
      </c>
      <c r="O239" s="17" t="n"/>
      <c r="P239" s="17" t="n"/>
    </row>
    <row r="240" s="1">
      <c r="I240" s="17" t="inlineStr">
        <is>
          <t>kanan</t>
        </is>
      </c>
      <c r="J240" s="17" t="n"/>
      <c r="K240" s="17" t="n"/>
      <c r="N240" s="17" t="inlineStr">
        <is>
          <t>tengah</t>
        </is>
      </c>
      <c r="O240" s="17" t="n"/>
      <c r="P240" s="17" t="n"/>
    </row>
    <row r="241" s="1">
      <c r="I241" s="17" t="inlineStr">
        <is>
          <t>tengah</t>
        </is>
      </c>
      <c r="J241" s="17" t="n"/>
      <c r="K241" s="17" t="n"/>
      <c r="N241" s="17" t="inlineStr">
        <is>
          <t>kanan</t>
        </is>
      </c>
      <c r="O241" s="17" t="n"/>
      <c r="P241" s="17" t="n"/>
    </row>
    <row r="242" s="1">
      <c r="I242" s="17" t="inlineStr">
        <is>
          <t>tengah</t>
        </is>
      </c>
      <c r="J242" s="17" t="n"/>
      <c r="K242" s="17" t="n"/>
      <c r="N242" s="17" t="inlineStr">
        <is>
          <t>tengah</t>
        </is>
      </c>
      <c r="O242" s="17" t="n"/>
      <c r="P242" s="17" t="n"/>
    </row>
    <row r="243" s="1">
      <c r="I243" s="17" t="inlineStr">
        <is>
          <t>tengah</t>
        </is>
      </c>
      <c r="J243" s="17" t="n"/>
      <c r="K243" s="17" t="n"/>
      <c r="N243" s="17" t="inlineStr">
        <is>
          <t>kanan</t>
        </is>
      </c>
      <c r="O243" s="17" t="n"/>
      <c r="P243" s="17" t="n"/>
    </row>
    <row r="244" s="1">
      <c r="I244" s="17" t="inlineStr">
        <is>
          <t>kanan</t>
        </is>
      </c>
      <c r="J244" s="17" t="n"/>
      <c r="K244" s="17" t="n"/>
      <c r="N244" s="17" t="inlineStr">
        <is>
          <t>tengah</t>
        </is>
      </c>
      <c r="O244" s="17" t="n"/>
      <c r="P244" s="17" t="n"/>
    </row>
    <row r="245" s="1">
      <c r="I245" s="17" t="inlineStr">
        <is>
          <t>tengah</t>
        </is>
      </c>
      <c r="J245" s="17" t="n"/>
      <c r="K245" s="17" t="n"/>
      <c r="N245" s="17" t="inlineStr">
        <is>
          <t>kanan</t>
        </is>
      </c>
      <c r="O245" s="17" t="n"/>
      <c r="P245" s="17" t="n"/>
    </row>
    <row r="246" s="1">
      <c r="I246" s="17" t="inlineStr">
        <is>
          <t>tengah</t>
        </is>
      </c>
      <c r="J246" s="17" t="n"/>
      <c r="K246" s="17" t="n"/>
      <c r="N246" s="17" t="inlineStr">
        <is>
          <t>tengah</t>
        </is>
      </c>
      <c r="O246" s="17" t="n"/>
      <c r="P246" s="17" t="n"/>
    </row>
    <row r="247" s="1">
      <c r="I247" s="17" t="inlineStr">
        <is>
          <t>tengah</t>
        </is>
      </c>
      <c r="J247" s="17" t="n"/>
      <c r="K247" s="17" t="n"/>
      <c r="N247" s="17" t="inlineStr">
        <is>
          <t>tengah</t>
        </is>
      </c>
      <c r="O247" s="17" t="n"/>
      <c r="P247" s="17" t="n"/>
    </row>
    <row r="248" s="1">
      <c r="I248" s="17" t="inlineStr">
        <is>
          <t>tengah</t>
        </is>
      </c>
      <c r="J248" s="17" t="n"/>
      <c r="K248" s="17" t="n"/>
      <c r="N248" s="17" t="inlineStr">
        <is>
          <t>kanan</t>
        </is>
      </c>
      <c r="O248" s="17" t="n"/>
      <c r="P248" s="17" t="n"/>
    </row>
    <row r="249" s="1">
      <c r="I249" s="17" t="inlineStr">
        <is>
          <t>kanan</t>
        </is>
      </c>
      <c r="J249" s="17" t="n"/>
      <c r="K249" s="17" t="n"/>
      <c r="N249" s="17" t="inlineStr">
        <is>
          <t>kanan</t>
        </is>
      </c>
      <c r="O249" s="17" t="n"/>
      <c r="P249" s="17" t="n"/>
    </row>
    <row r="250" s="1">
      <c r="I250" s="17" t="inlineStr">
        <is>
          <t>tengah</t>
        </is>
      </c>
      <c r="J250" s="17" t="n"/>
      <c r="K250" s="17" t="n"/>
      <c r="N250" s="17" t="inlineStr">
        <is>
          <t>tengah</t>
        </is>
      </c>
      <c r="O250" s="17" t="n"/>
      <c r="P250" s="17" t="n"/>
    </row>
    <row r="251" s="1">
      <c r="I251" s="17" t="inlineStr">
        <is>
          <t>tengah</t>
        </is>
      </c>
      <c r="J251" s="17" t="n"/>
      <c r="K251" s="17" t="n"/>
      <c r="N251" s="17" t="inlineStr">
        <is>
          <t>kanan</t>
        </is>
      </c>
      <c r="O251" s="17" t="n"/>
      <c r="P251" s="17" t="n"/>
    </row>
    <row r="252" s="1">
      <c r="I252" s="17" t="inlineStr">
        <is>
          <t>tengah</t>
        </is>
      </c>
      <c r="J252" s="17" t="n"/>
      <c r="K252" s="17" t="n"/>
      <c r="N252" s="17" t="inlineStr">
        <is>
          <t>tengah</t>
        </is>
      </c>
      <c r="O252" s="17" t="n"/>
      <c r="P252" s="17" t="n"/>
    </row>
    <row r="253" s="1">
      <c r="I253" s="17" t="inlineStr">
        <is>
          <t>kiri</t>
        </is>
      </c>
      <c r="J253" s="17" t="n"/>
      <c r="K253" s="17" t="n"/>
      <c r="N253" s="17" t="inlineStr">
        <is>
          <t>kanan</t>
        </is>
      </c>
      <c r="O253" s="17" t="n"/>
      <c r="P253" s="17" t="n"/>
    </row>
    <row r="254" s="1">
      <c r="I254" s="17" t="inlineStr">
        <is>
          <t>tengah</t>
        </is>
      </c>
      <c r="J254" s="17" t="n"/>
      <c r="K254" s="17" t="n"/>
      <c r="N254" s="17" t="inlineStr">
        <is>
          <t>tengah</t>
        </is>
      </c>
      <c r="O254" s="17" t="n"/>
      <c r="P254" s="17" t="n"/>
    </row>
    <row r="255" s="1">
      <c r="I255" s="17" t="inlineStr">
        <is>
          <t>kanan</t>
        </is>
      </c>
      <c r="J255" s="17" t="n"/>
      <c r="K255" s="17" t="n"/>
      <c r="N255" s="17" t="inlineStr">
        <is>
          <t>tengah</t>
        </is>
      </c>
      <c r="O255" s="17" t="n"/>
      <c r="P255" s="17" t="n"/>
    </row>
    <row r="256" s="1">
      <c r="I256" s="17" t="inlineStr">
        <is>
          <t>tengah</t>
        </is>
      </c>
      <c r="J256" s="17" t="n"/>
      <c r="K256" s="17" t="n"/>
      <c r="N256" s="17" t="inlineStr">
        <is>
          <t>kanan</t>
        </is>
      </c>
      <c r="O256" s="17" t="n"/>
      <c r="P256" s="17" t="n"/>
    </row>
    <row r="257" s="1">
      <c r="I257" s="17" t="inlineStr">
        <is>
          <t>tengah</t>
        </is>
      </c>
      <c r="J257" s="17" t="n"/>
      <c r="K257" s="17" t="n"/>
      <c r="N257" s="17" t="inlineStr">
        <is>
          <t>kanan</t>
        </is>
      </c>
      <c r="O257" s="17" t="n"/>
      <c r="P257" s="17" t="n"/>
    </row>
    <row r="258" s="1">
      <c r="I258" s="17" t="inlineStr">
        <is>
          <t>kiri</t>
        </is>
      </c>
      <c r="J258" s="17" t="n"/>
      <c r="K258" s="17" t="n"/>
      <c r="N258" s="17" t="inlineStr">
        <is>
          <t>kanan</t>
        </is>
      </c>
      <c r="O258" s="17" t="n"/>
      <c r="P258" s="17" t="n"/>
    </row>
    <row r="259" s="1">
      <c r="I259" s="17" t="inlineStr">
        <is>
          <t>kiri</t>
        </is>
      </c>
      <c r="J259" s="17" t="n"/>
      <c r="K259" s="17" t="n"/>
      <c r="N259" s="17" t="inlineStr">
        <is>
          <t>tengah</t>
        </is>
      </c>
      <c r="O259" s="17" t="n"/>
      <c r="P259" s="17" t="n"/>
    </row>
    <row r="260" s="1">
      <c r="I260" s="17" t="inlineStr">
        <is>
          <t>kanan</t>
        </is>
      </c>
      <c r="J260" s="17" t="n"/>
      <c r="K260" s="17" t="n"/>
      <c r="N260" s="17" t="inlineStr">
        <is>
          <t>tengah</t>
        </is>
      </c>
      <c r="O260" s="17" t="n"/>
      <c r="P260" s="17" t="n"/>
    </row>
    <row r="261" s="1">
      <c r="I261" s="17" t="inlineStr">
        <is>
          <t>tengah</t>
        </is>
      </c>
      <c r="J261" s="17" t="n"/>
      <c r="K261" s="17" t="n"/>
      <c r="N261" s="17" t="inlineStr">
        <is>
          <t>kanan</t>
        </is>
      </c>
      <c r="O261" s="17" t="n"/>
      <c r="P261" s="17" t="n"/>
    </row>
    <row r="262" s="1">
      <c r="I262" s="17" t="inlineStr">
        <is>
          <t>kiri</t>
        </is>
      </c>
      <c r="J262" s="17" t="n"/>
      <c r="K262" s="17" t="n"/>
      <c r="N262" s="17" t="inlineStr">
        <is>
          <t>tengah</t>
        </is>
      </c>
      <c r="O262" s="17" t="n"/>
      <c r="P262" s="17" t="n"/>
    </row>
    <row r="263" s="1">
      <c r="I263" s="17" t="inlineStr">
        <is>
          <t>tengah</t>
        </is>
      </c>
      <c r="J263" s="17" t="n"/>
      <c r="K263" s="17" t="n"/>
      <c r="N263" s="17" t="inlineStr">
        <is>
          <t>kanan</t>
        </is>
      </c>
      <c r="O263" s="17" t="n"/>
      <c r="P263" s="17" t="n"/>
    </row>
    <row r="264" s="1">
      <c r="I264" s="17" t="inlineStr">
        <is>
          <t>kiri</t>
        </is>
      </c>
      <c r="J264" s="17" t="n"/>
      <c r="K264" s="17" t="n"/>
      <c r="N264" s="17" t="inlineStr">
        <is>
          <t>kanan</t>
        </is>
      </c>
      <c r="O264" s="17" t="n"/>
      <c r="P264" s="17" t="n"/>
    </row>
    <row r="265" s="1">
      <c r="I265" s="17" t="inlineStr">
        <is>
          <t>kanan</t>
        </is>
      </c>
      <c r="J265" s="17" t="n"/>
      <c r="K265" s="17" t="n"/>
      <c r="N265" s="17" t="inlineStr">
        <is>
          <t>kanan</t>
        </is>
      </c>
      <c r="O265" s="17" t="n"/>
      <c r="P265" s="17" t="n"/>
    </row>
    <row r="266" s="1">
      <c r="I266" s="17" t="inlineStr">
        <is>
          <t>tengah</t>
        </is>
      </c>
      <c r="J266" s="17" t="n"/>
      <c r="K266" s="17" t="n"/>
      <c r="N266" s="17" t="inlineStr">
        <is>
          <t>kanan</t>
        </is>
      </c>
      <c r="O266" s="17" t="n"/>
      <c r="P266" s="17" t="n"/>
    </row>
    <row r="267" s="1">
      <c r="I267" s="17" t="inlineStr">
        <is>
          <t>kanan</t>
        </is>
      </c>
      <c r="J267" s="17" t="n"/>
      <c r="K267" s="17" t="n"/>
      <c r="N267" s="17" t="inlineStr">
        <is>
          <t>tengah</t>
        </is>
      </c>
      <c r="O267" s="17" t="n"/>
      <c r="P267" s="17" t="n"/>
    </row>
    <row r="268" s="1">
      <c r="I268" s="17" t="inlineStr">
        <is>
          <t>kiri</t>
        </is>
      </c>
      <c r="J268" s="17" t="n"/>
      <c r="K268" s="17" t="n"/>
      <c r="N268" s="17" t="inlineStr">
        <is>
          <t>tengah</t>
        </is>
      </c>
      <c r="O268" s="17" t="n"/>
      <c r="P268" s="17" t="n"/>
    </row>
    <row r="269" s="1">
      <c r="I269" s="17" t="inlineStr">
        <is>
          <t>tengah</t>
        </is>
      </c>
      <c r="J269" s="17" t="n"/>
      <c r="K269" s="17" t="n"/>
      <c r="N269" s="17" t="inlineStr">
        <is>
          <t>tengah</t>
        </is>
      </c>
      <c r="O269" s="17" t="n"/>
      <c r="P269" s="17" t="n"/>
    </row>
    <row r="270" s="1">
      <c r="I270" s="17" t="inlineStr">
        <is>
          <t>kiri</t>
        </is>
      </c>
      <c r="J270" s="17" t="n"/>
      <c r="K270" s="17" t="n"/>
      <c r="N270" s="17" t="inlineStr">
        <is>
          <t>kanan</t>
        </is>
      </c>
      <c r="O270" s="17" t="n"/>
      <c r="P270" s="17" t="n"/>
    </row>
    <row r="271" s="1">
      <c r="I271" s="17" t="inlineStr">
        <is>
          <t>kiri</t>
        </is>
      </c>
      <c r="J271" s="17" t="n"/>
      <c r="K271" s="17" t="n"/>
      <c r="N271" s="17" t="inlineStr">
        <is>
          <t>kanan</t>
        </is>
      </c>
      <c r="O271" s="17" t="n"/>
      <c r="P271" s="17" t="n"/>
    </row>
    <row r="272" s="1">
      <c r="I272" s="17" t="inlineStr">
        <is>
          <t>tengah</t>
        </is>
      </c>
      <c r="J272" s="17" t="n"/>
      <c r="K272" s="17" t="n"/>
      <c r="N272" s="17" t="inlineStr">
        <is>
          <t>kanan</t>
        </is>
      </c>
      <c r="O272" s="17" t="n"/>
      <c r="P272" s="17" t="n"/>
    </row>
    <row r="273" s="1">
      <c r="I273" s="17" t="inlineStr">
        <is>
          <t>tengah</t>
        </is>
      </c>
      <c r="J273" s="17" t="n"/>
      <c r="K273" s="17" t="n"/>
      <c r="N273" s="17" t="inlineStr">
        <is>
          <t>kanan</t>
        </is>
      </c>
      <c r="O273" s="17" t="n"/>
      <c r="P273" s="17" t="n"/>
    </row>
    <row r="274" s="1">
      <c r="I274" s="17" t="inlineStr">
        <is>
          <t>kiri</t>
        </is>
      </c>
      <c r="J274" s="17" t="n"/>
      <c r="K274" s="17" t="n"/>
      <c r="N274" s="17" t="inlineStr">
        <is>
          <t>kanan</t>
        </is>
      </c>
      <c r="O274" s="17" t="n"/>
      <c r="P274" s="17" t="n"/>
    </row>
    <row r="275" s="1">
      <c r="I275" s="17" t="inlineStr">
        <is>
          <t>tengah</t>
        </is>
      </c>
      <c r="J275" s="17" t="n"/>
      <c r="K275" s="17" t="n"/>
      <c r="N275" s="17" t="inlineStr">
        <is>
          <t>kanan</t>
        </is>
      </c>
      <c r="O275" s="17" t="n"/>
      <c r="P275" s="17" t="n"/>
    </row>
    <row r="276" s="1">
      <c r="I276" s="17" t="inlineStr">
        <is>
          <t>tengah</t>
        </is>
      </c>
      <c r="J276" s="17" t="n"/>
      <c r="K276" s="17" t="n"/>
      <c r="N276" s="17" t="inlineStr">
        <is>
          <t>kanan</t>
        </is>
      </c>
      <c r="O276" s="17" t="n"/>
      <c r="P276" s="17" t="n"/>
    </row>
    <row r="277" s="1">
      <c r="I277" s="17" t="inlineStr">
        <is>
          <t>kanan</t>
        </is>
      </c>
      <c r="J277" s="17" t="n"/>
      <c r="K277" s="17" t="n"/>
      <c r="N277" s="17" t="inlineStr">
        <is>
          <t>kanan</t>
        </is>
      </c>
      <c r="O277" s="17" t="n"/>
      <c r="P277" s="17" t="n"/>
    </row>
    <row r="278" s="1">
      <c r="I278" s="17" t="inlineStr">
        <is>
          <t>tengah</t>
        </is>
      </c>
      <c r="J278" s="17" t="n"/>
      <c r="K278" s="17" t="n"/>
      <c r="N278" s="17" t="inlineStr">
        <is>
          <t>kanan</t>
        </is>
      </c>
      <c r="O278" s="17" t="n"/>
      <c r="P278" s="17" t="n"/>
    </row>
    <row r="279" s="1">
      <c r="I279" s="17" t="inlineStr">
        <is>
          <t>kiri</t>
        </is>
      </c>
      <c r="J279" s="17" t="n"/>
      <c r="K279" s="17" t="n"/>
      <c r="N279" s="17" t="inlineStr">
        <is>
          <t>kanan</t>
        </is>
      </c>
      <c r="O279" s="17" t="n"/>
      <c r="P279" s="17" t="n"/>
    </row>
    <row r="280" s="1">
      <c r="I280" s="17" t="inlineStr">
        <is>
          <t>tengah</t>
        </is>
      </c>
      <c r="J280" s="17" t="n"/>
      <c r="K280" s="17" t="n"/>
      <c r="N280" s="17" t="inlineStr">
        <is>
          <t>tengah</t>
        </is>
      </c>
      <c r="O280" s="17" t="n"/>
      <c r="P280" s="17" t="n"/>
    </row>
    <row r="281" s="1">
      <c r="I281" s="17" t="inlineStr">
        <is>
          <t>tengah</t>
        </is>
      </c>
      <c r="J281" s="17" t="n"/>
      <c r="K281" s="17" t="n"/>
      <c r="N281" s="17" t="inlineStr">
        <is>
          <t>tengah</t>
        </is>
      </c>
      <c r="O281" s="17" t="n"/>
      <c r="P281" s="17" t="n"/>
    </row>
    <row r="282" s="1">
      <c r="I282" s="17" t="inlineStr">
        <is>
          <t>kiri</t>
        </is>
      </c>
      <c r="J282" s="17" t="n"/>
      <c r="K282" s="17" t="n"/>
      <c r="N282" s="17" t="inlineStr">
        <is>
          <t>tengah</t>
        </is>
      </c>
      <c r="O282" s="17" t="n"/>
      <c r="P282" s="17" t="n"/>
    </row>
    <row r="283" s="1">
      <c r="I283" s="17" t="inlineStr">
        <is>
          <t>tengah</t>
        </is>
      </c>
      <c r="J283" s="17" t="n"/>
      <c r="K283" s="17" t="n"/>
      <c r="N283" s="17" t="inlineStr">
        <is>
          <t>tengah</t>
        </is>
      </c>
      <c r="O283" s="17" t="n"/>
      <c r="P283" s="17" t="n"/>
    </row>
    <row r="284" s="1">
      <c r="I284" s="17" t="inlineStr">
        <is>
          <t>tengah</t>
        </is>
      </c>
      <c r="J284" s="17" t="n"/>
      <c r="K284" s="17" t="n"/>
      <c r="N284" s="17" t="inlineStr">
        <is>
          <t>kanan</t>
        </is>
      </c>
      <c r="O284" s="17" t="n"/>
      <c r="P284" s="17" t="n"/>
    </row>
    <row r="285" s="1">
      <c r="I285" s="17" t="inlineStr">
        <is>
          <t>kiri</t>
        </is>
      </c>
      <c r="J285" s="17" t="n"/>
      <c r="K285" s="17" t="n"/>
      <c r="N285" s="17" t="inlineStr">
        <is>
          <t>kanan</t>
        </is>
      </c>
      <c r="O285" s="17" t="n"/>
      <c r="P285" s="17" t="n"/>
    </row>
    <row r="286" s="1">
      <c r="I286" s="17" t="inlineStr">
        <is>
          <t>tengah</t>
        </is>
      </c>
      <c r="J286" s="17" t="n"/>
      <c r="K286" s="17" t="n"/>
      <c r="N286" s="17" t="inlineStr">
        <is>
          <t>tengah</t>
        </is>
      </c>
      <c r="O286" s="17" t="n"/>
      <c r="P286" s="17" t="n"/>
    </row>
    <row r="287" s="1">
      <c r="I287" s="17" t="inlineStr">
        <is>
          <t>tengah</t>
        </is>
      </c>
      <c r="J287" s="17" t="n"/>
      <c r="K287" s="17" t="n"/>
      <c r="N287" s="17" t="inlineStr">
        <is>
          <t>kanan</t>
        </is>
      </c>
      <c r="O287" s="17" t="n"/>
      <c r="P287" s="17" t="n"/>
    </row>
    <row r="288" s="1">
      <c r="I288" s="17" t="inlineStr">
        <is>
          <t>tengah</t>
        </is>
      </c>
      <c r="J288" s="17" t="n"/>
      <c r="K288" s="17" t="n"/>
      <c r="N288" s="17" t="inlineStr">
        <is>
          <t>kanan</t>
        </is>
      </c>
      <c r="O288" s="17" t="n"/>
      <c r="P288" s="17" t="n"/>
    </row>
    <row r="289" s="1">
      <c r="I289" s="17" t="inlineStr">
        <is>
          <t>kanan</t>
        </is>
      </c>
      <c r="J289" s="17" t="n"/>
      <c r="K289" s="17" t="n"/>
      <c r="N289" s="17" t="inlineStr">
        <is>
          <t>tengah</t>
        </is>
      </c>
      <c r="O289" s="17" t="n"/>
      <c r="P289" s="17" t="n"/>
    </row>
    <row r="290" s="1">
      <c r="I290" s="17" t="inlineStr">
        <is>
          <t>kiri</t>
        </is>
      </c>
      <c r="J290" s="17" t="n"/>
      <c r="K290" s="17" t="n"/>
      <c r="N290" s="17" t="inlineStr">
        <is>
          <t>tengah</t>
        </is>
      </c>
      <c r="O290" s="17" t="n"/>
      <c r="P290" s="17" t="n"/>
    </row>
    <row r="291" s="1">
      <c r="I291" s="17" t="inlineStr">
        <is>
          <t>tengah</t>
        </is>
      </c>
      <c r="J291" s="17" t="n"/>
      <c r="K291" s="17" t="n"/>
      <c r="N291" s="17" t="inlineStr">
        <is>
          <t>kanan</t>
        </is>
      </c>
      <c r="O291" s="17" t="n"/>
      <c r="P291" s="17" t="n"/>
    </row>
    <row r="292" s="1">
      <c r="I292" s="17" t="inlineStr">
        <is>
          <t>tengah</t>
        </is>
      </c>
      <c r="J292" s="17" t="n"/>
      <c r="K292" s="17" t="n"/>
      <c r="N292" s="17" t="inlineStr">
        <is>
          <t>tengah</t>
        </is>
      </c>
      <c r="O292" s="17" t="n"/>
      <c r="P292" s="17" t="n"/>
    </row>
    <row r="293" s="1">
      <c r="I293" s="17" t="inlineStr">
        <is>
          <t>kiri</t>
        </is>
      </c>
      <c r="J293" s="17" t="n"/>
      <c r="K293" s="17" t="n"/>
      <c r="N293" s="17" t="inlineStr">
        <is>
          <t>tengah</t>
        </is>
      </c>
      <c r="O293" s="17" t="n"/>
      <c r="P293" s="17" t="n"/>
    </row>
    <row r="294" s="1">
      <c r="I294" s="17" t="inlineStr">
        <is>
          <t>tengah</t>
        </is>
      </c>
      <c r="J294" s="17" t="n"/>
      <c r="K294" s="17" t="n"/>
      <c r="N294" s="17" t="inlineStr">
        <is>
          <t>tengah</t>
        </is>
      </c>
      <c r="O294" s="17" t="n"/>
      <c r="P294" s="17" t="n"/>
    </row>
    <row r="295" s="1">
      <c r="I295" s="17" t="inlineStr">
        <is>
          <t>tengah</t>
        </is>
      </c>
      <c r="J295" s="17" t="n"/>
      <c r="K295" s="17" t="n"/>
      <c r="N295" s="17" t="inlineStr">
        <is>
          <t>kanan</t>
        </is>
      </c>
      <c r="O295" s="17" t="n"/>
      <c r="P295" s="17" t="n"/>
    </row>
    <row r="296" s="1">
      <c r="I296" s="17" t="inlineStr">
        <is>
          <t>kanan</t>
        </is>
      </c>
      <c r="J296" s="17" t="n"/>
      <c r="K296" s="17" t="n"/>
      <c r="N296" s="17" t="inlineStr">
        <is>
          <t>tengah</t>
        </is>
      </c>
      <c r="O296" s="17" t="n"/>
      <c r="P296" s="17" t="n"/>
    </row>
    <row r="297" s="1">
      <c r="I297" s="17" t="inlineStr">
        <is>
          <t>tengah</t>
        </is>
      </c>
      <c r="J297" s="17" t="n"/>
      <c r="K297" s="17" t="n"/>
      <c r="N297" s="17" t="inlineStr">
        <is>
          <t>kanan</t>
        </is>
      </c>
      <c r="O297" s="17" t="n"/>
      <c r="P297" s="17" t="n"/>
    </row>
    <row r="298" s="1">
      <c r="I298" s="17" t="inlineStr">
        <is>
          <t>tengah</t>
        </is>
      </c>
      <c r="J298" s="17" t="n"/>
      <c r="K298" s="17" t="n"/>
      <c r="N298" s="17" t="inlineStr">
        <is>
          <t>tengah</t>
        </is>
      </c>
      <c r="O298" s="17" t="n"/>
      <c r="P298" s="17" t="n"/>
    </row>
    <row r="299" s="1">
      <c r="I299" s="17" t="inlineStr">
        <is>
          <t>kanan</t>
        </is>
      </c>
      <c r="J299" s="17" t="n"/>
      <c r="K299" s="17" t="n"/>
      <c r="N299" s="17" t="inlineStr">
        <is>
          <t>kanan</t>
        </is>
      </c>
      <c r="O299" s="17" t="n"/>
      <c r="P299" s="17" t="n"/>
    </row>
    <row r="300" s="1">
      <c r="I300" s="17" t="inlineStr">
        <is>
          <t>kanan</t>
        </is>
      </c>
      <c r="J300" s="17" t="n"/>
      <c r="K300" s="17" t="n"/>
      <c r="N300" s="17" t="inlineStr">
        <is>
          <t>kanan</t>
        </is>
      </c>
      <c r="O300" s="17" t="n"/>
      <c r="P300" s="17" t="n"/>
    </row>
    <row r="301" s="1">
      <c r="I301" s="17" t="inlineStr">
        <is>
          <t>tengah</t>
        </is>
      </c>
      <c r="J301" s="17" t="n"/>
      <c r="K301" s="17" t="n"/>
      <c r="N301" s="17" t="inlineStr">
        <is>
          <t>kanan</t>
        </is>
      </c>
      <c r="O301" s="17" t="n"/>
      <c r="P301" s="17" t="n"/>
    </row>
    <row r="302" s="1">
      <c r="I302" s="17" t="inlineStr">
        <is>
          <t>tengah</t>
        </is>
      </c>
      <c r="J302" s="17" t="n"/>
      <c r="K302" s="17" t="n"/>
      <c r="N302" s="17" t="inlineStr">
        <is>
          <t>tengah</t>
        </is>
      </c>
      <c r="O302" s="17" t="n"/>
      <c r="P302" s="17" t="n"/>
    </row>
    <row r="303" s="1">
      <c r="I303" s="17" t="inlineStr">
        <is>
          <t>tengah</t>
        </is>
      </c>
      <c r="J303" s="17" t="n"/>
      <c r="K303" s="17" t="n"/>
      <c r="N303" s="17" t="inlineStr">
        <is>
          <t>kanan</t>
        </is>
      </c>
      <c r="O303" s="17" t="n"/>
      <c r="P303" s="17" t="n"/>
    </row>
    <row r="304" s="1">
      <c r="I304" s="17" t="inlineStr">
        <is>
          <t>tengah</t>
        </is>
      </c>
      <c r="J304" s="17" t="n"/>
      <c r="K304" s="17" t="n"/>
      <c r="N304" s="17" t="inlineStr">
        <is>
          <t>kanan</t>
        </is>
      </c>
      <c r="O304" s="17" t="n"/>
      <c r="P304" s="17" t="n"/>
    </row>
    <row r="305" s="1">
      <c r="I305" s="17" t="inlineStr">
        <is>
          <t>tengah</t>
        </is>
      </c>
      <c r="J305" s="17" t="n"/>
      <c r="K305" s="17" t="n"/>
      <c r="N305" s="17" t="inlineStr">
        <is>
          <t>tengah</t>
        </is>
      </c>
      <c r="O305" s="17" t="n"/>
      <c r="P305" s="17" t="n"/>
    </row>
    <row r="306" s="1">
      <c r="I306" s="17" t="inlineStr">
        <is>
          <t>kanan</t>
        </is>
      </c>
      <c r="J306" s="17" t="n"/>
      <c r="K306" s="17" t="n"/>
      <c r="N306" s="17" t="inlineStr">
        <is>
          <t>kanan</t>
        </is>
      </c>
      <c r="O306" s="17" t="n"/>
      <c r="P306" s="17" t="n"/>
    </row>
    <row r="307" s="1">
      <c r="I307" s="17" t="inlineStr">
        <is>
          <t>tengah</t>
        </is>
      </c>
      <c r="J307" s="17" t="n"/>
      <c r="K307" s="17" t="n"/>
      <c r="N307" s="17" t="inlineStr">
        <is>
          <t>kanan</t>
        </is>
      </c>
      <c r="O307" s="17" t="n"/>
      <c r="P307" s="17" t="n"/>
    </row>
    <row r="308" s="1">
      <c r="I308" s="17" t="inlineStr">
        <is>
          <t>tengah</t>
        </is>
      </c>
      <c r="J308" s="17" t="n"/>
      <c r="K308" s="17" t="n"/>
      <c r="N308" s="17" t="inlineStr">
        <is>
          <t>kanan</t>
        </is>
      </c>
      <c r="O308" s="17" t="n"/>
      <c r="P308" s="17" t="n"/>
    </row>
    <row r="309" s="1">
      <c r="I309" s="17" t="inlineStr">
        <is>
          <t>tengah</t>
        </is>
      </c>
      <c r="J309" s="17" t="n"/>
      <c r="K309" s="17" t="n"/>
      <c r="N309" s="17" t="inlineStr">
        <is>
          <t>tengah</t>
        </is>
      </c>
      <c r="O309" s="17" t="n"/>
      <c r="P309" s="17" t="n"/>
    </row>
    <row r="310" s="1">
      <c r="I310" s="17" t="inlineStr">
        <is>
          <t>tengah</t>
        </is>
      </c>
      <c r="J310" s="17" t="n"/>
      <c r="K310" s="17" t="n"/>
      <c r="N310" s="17" t="inlineStr">
        <is>
          <t>kanan</t>
        </is>
      </c>
      <c r="O310" s="17" t="n"/>
      <c r="P310" s="17" t="n"/>
    </row>
    <row r="311" s="1">
      <c r="I311" s="17" t="inlineStr">
        <is>
          <t>kiri</t>
        </is>
      </c>
      <c r="J311" s="17" t="n"/>
      <c r="K311" s="17" t="n"/>
      <c r="N311" s="17" t="inlineStr">
        <is>
          <t>tengah</t>
        </is>
      </c>
      <c r="O311" s="17" t="n"/>
      <c r="P311" s="17" t="n"/>
    </row>
    <row r="312" s="1">
      <c r="I312" s="17" t="inlineStr">
        <is>
          <t>kanan</t>
        </is>
      </c>
      <c r="J312" s="17" t="n"/>
      <c r="K312" s="17" t="n"/>
      <c r="N312" s="17" t="inlineStr">
        <is>
          <t>kanan</t>
        </is>
      </c>
      <c r="O312" s="17" t="n"/>
      <c r="P312" s="17" t="n"/>
    </row>
    <row r="313" s="1">
      <c r="I313" s="17" t="inlineStr">
        <is>
          <t>kanan</t>
        </is>
      </c>
      <c r="J313" s="17" t="n"/>
      <c r="K313" s="17" t="n"/>
      <c r="N313" s="17" t="inlineStr">
        <is>
          <t>tengah</t>
        </is>
      </c>
      <c r="O313" s="17" t="n"/>
      <c r="P313" s="17" t="n"/>
    </row>
    <row r="314" s="1">
      <c r="I314" s="17" t="inlineStr">
        <is>
          <t>kiri</t>
        </is>
      </c>
      <c r="J314" s="17" t="n"/>
      <c r="K314" s="17" t="n"/>
      <c r="N314" s="17" t="inlineStr">
        <is>
          <t>tengah</t>
        </is>
      </c>
      <c r="O314" s="17" t="n"/>
      <c r="P314" s="17" t="n"/>
    </row>
    <row r="315" s="1">
      <c r="I315" s="17" t="inlineStr">
        <is>
          <t>tengah</t>
        </is>
      </c>
      <c r="J315" s="17" t="n"/>
      <c r="K315" s="17" t="n"/>
      <c r="N315" s="17" t="inlineStr">
        <is>
          <t>tengah</t>
        </is>
      </c>
      <c r="O315" s="17" t="n"/>
      <c r="P315" s="17" t="n"/>
    </row>
    <row r="316" s="1">
      <c r="I316" s="17" t="inlineStr">
        <is>
          <t>kanan</t>
        </is>
      </c>
      <c r="J316" s="17" t="n"/>
      <c r="K316" s="17" t="n"/>
      <c r="N316" s="17" t="inlineStr">
        <is>
          <t>kanan</t>
        </is>
      </c>
      <c r="O316" s="17" t="n"/>
      <c r="P316" s="17" t="n"/>
    </row>
    <row r="317" s="1">
      <c r="I317" s="17" t="inlineStr">
        <is>
          <t>tengah</t>
        </is>
      </c>
      <c r="J317" s="17" t="n"/>
      <c r="K317" s="17" t="n"/>
      <c r="N317" s="17" t="inlineStr">
        <is>
          <t>kanan</t>
        </is>
      </c>
      <c r="O317" s="17" t="n"/>
      <c r="P317" s="17" t="n"/>
    </row>
    <row r="318" s="1">
      <c r="I318" s="17" t="inlineStr">
        <is>
          <t>kanan</t>
        </is>
      </c>
      <c r="J318" s="17" t="n"/>
      <c r="K318" s="17" t="n"/>
      <c r="N318" s="17" t="inlineStr">
        <is>
          <t>tengah</t>
        </is>
      </c>
      <c r="O318" s="17" t="n"/>
      <c r="P318" s="17" t="n"/>
    </row>
    <row r="319" s="1">
      <c r="I319" s="17" t="inlineStr">
        <is>
          <t>tengah</t>
        </is>
      </c>
      <c r="J319" s="17" t="n"/>
      <c r="K319" s="17" t="n"/>
      <c r="N319" s="17" t="inlineStr">
        <is>
          <t>tengah</t>
        </is>
      </c>
      <c r="O319" s="17" t="n"/>
      <c r="P319" s="17" t="n"/>
    </row>
    <row r="320" s="1">
      <c r="I320" s="17" t="inlineStr">
        <is>
          <t>kiri</t>
        </is>
      </c>
      <c r="J320" s="17" t="n"/>
      <c r="K320" s="17" t="n"/>
      <c r="N320" s="17" t="inlineStr">
        <is>
          <t>tengah</t>
        </is>
      </c>
      <c r="O320" s="17" t="n"/>
      <c r="P320" s="17" t="n"/>
    </row>
    <row r="321" s="1">
      <c r="I321" s="17" t="inlineStr">
        <is>
          <t>kiri</t>
        </is>
      </c>
      <c r="J321" s="17" t="n"/>
      <c r="K321" s="17" t="n"/>
      <c r="N321" s="17" t="inlineStr">
        <is>
          <t>tengah</t>
        </is>
      </c>
      <c r="O321" s="17" t="n"/>
      <c r="P321" s="17" t="n"/>
    </row>
    <row r="322" s="1">
      <c r="I322" s="17" t="inlineStr">
        <is>
          <t>kiri</t>
        </is>
      </c>
      <c r="J322" s="17" t="n"/>
      <c r="K322" s="17" t="n"/>
      <c r="N322" s="17" t="inlineStr">
        <is>
          <t>kanan</t>
        </is>
      </c>
      <c r="O322" s="17" t="n"/>
      <c r="P322" s="17" t="n"/>
    </row>
    <row r="323" s="1">
      <c r="I323" s="17" t="inlineStr">
        <is>
          <t>kanan</t>
        </is>
      </c>
      <c r="J323" s="17" t="n"/>
      <c r="K323" s="17" t="n"/>
      <c r="N323" s="17" t="inlineStr">
        <is>
          <t>kanan</t>
        </is>
      </c>
      <c r="O323" s="17" t="n"/>
      <c r="P323" s="17" t="n"/>
    </row>
    <row r="324" s="1">
      <c r="I324" s="17" t="inlineStr">
        <is>
          <t>tengah</t>
        </is>
      </c>
      <c r="J324" s="17" t="n"/>
      <c r="K324" s="17" t="n"/>
      <c r="N324" s="17" t="inlineStr">
        <is>
          <t>tengah</t>
        </is>
      </c>
      <c r="O324" s="17" t="n"/>
      <c r="P324" s="17" t="n"/>
    </row>
    <row r="325" s="1">
      <c r="I325" s="17" t="inlineStr">
        <is>
          <t>tengah</t>
        </is>
      </c>
      <c r="J325" s="17" t="n"/>
      <c r="K325" s="17" t="n"/>
      <c r="N325" s="17" t="inlineStr">
        <is>
          <t>tengah</t>
        </is>
      </c>
      <c r="O325" s="17" t="n"/>
      <c r="P325" s="17" t="n"/>
    </row>
    <row r="326" s="1">
      <c r="I326" s="17" t="inlineStr">
        <is>
          <t>kiri</t>
        </is>
      </c>
      <c r="J326" s="17" t="n"/>
      <c r="K326" s="17" t="n"/>
      <c r="N326" s="17" t="inlineStr">
        <is>
          <t>kanan</t>
        </is>
      </c>
      <c r="O326" s="17" t="n"/>
      <c r="P326" s="17" t="n"/>
    </row>
    <row r="327" s="1">
      <c r="I327" s="17" t="inlineStr">
        <is>
          <t>kanan</t>
        </is>
      </c>
      <c r="J327" s="17" t="n"/>
      <c r="K327" s="17" t="n"/>
      <c r="N327" s="17" t="inlineStr">
        <is>
          <t>kanan</t>
        </is>
      </c>
      <c r="O327" s="17" t="n"/>
      <c r="P327" s="17" t="n"/>
    </row>
    <row r="328" s="1">
      <c r="I328" s="17" t="inlineStr">
        <is>
          <t>kiri</t>
        </is>
      </c>
      <c r="J328" s="17" t="n"/>
      <c r="K328" s="17" t="n"/>
      <c r="N328" s="17" t="inlineStr">
        <is>
          <t>kanan</t>
        </is>
      </c>
      <c r="O328" s="17" t="n"/>
      <c r="P328" s="17" t="n"/>
    </row>
    <row r="329" s="1">
      <c r="I329" s="17" t="inlineStr">
        <is>
          <t>kiri</t>
        </is>
      </c>
      <c r="J329" s="17" t="n"/>
      <c r="K329" s="17" t="n"/>
      <c r="N329" s="17" t="inlineStr">
        <is>
          <t>kanan</t>
        </is>
      </c>
      <c r="O329" s="17" t="n"/>
      <c r="P329" s="17" t="n"/>
    </row>
    <row r="330" s="1">
      <c r="I330" s="17" t="inlineStr">
        <is>
          <t>tengah</t>
        </is>
      </c>
      <c r="J330" s="17" t="n"/>
      <c r="K330" s="17" t="n"/>
      <c r="N330" s="17" t="inlineStr">
        <is>
          <t>tengah</t>
        </is>
      </c>
      <c r="O330" s="17" t="n"/>
      <c r="P330" s="17" t="n"/>
    </row>
    <row r="331" s="1">
      <c r="I331" s="17" t="inlineStr">
        <is>
          <t>tengah</t>
        </is>
      </c>
      <c r="J331" s="17" t="n"/>
      <c r="K331" s="17" t="n"/>
      <c r="N331" s="17" t="inlineStr">
        <is>
          <t>kanan</t>
        </is>
      </c>
      <c r="O331" s="17" t="n"/>
      <c r="P331" s="17" t="n"/>
    </row>
    <row r="332" s="1">
      <c r="I332" s="17" t="inlineStr">
        <is>
          <t>kiri</t>
        </is>
      </c>
      <c r="J332" s="17" t="n"/>
      <c r="K332" s="17" t="n"/>
      <c r="N332" s="17" t="inlineStr">
        <is>
          <t>kanan</t>
        </is>
      </c>
      <c r="O332" s="17" t="n"/>
      <c r="P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2"/>
  <sheetViews>
    <sheetView topLeftCell="F1" zoomScale="93" zoomScaleNormal="93" workbookViewId="0">
      <selection activeCell="I198" sqref="I198"/>
    </sheetView>
  </sheetViews>
  <sheetFormatPr baseColWidth="8" defaultColWidth="8.6" defaultRowHeight="15"/>
  <cols>
    <col width="15.8592592592593" customWidth="1" style="1" min="2" max="2"/>
    <col width="13.2888888888889" customWidth="1" style="1" min="3" max="3"/>
    <col width="13.8592592592593" customWidth="1" style="1" min="4" max="4"/>
    <col width="14.2888888888889" customWidth="1" style="1" min="8" max="8"/>
    <col width="13.2888888888889" customWidth="1" style="1" min="9" max="9"/>
    <col width="13.8592592592593" customWidth="1" style="1" min="10" max="10"/>
    <col width="11.2814814814815" customWidth="1" style="1" min="15" max="15"/>
    <col width="11.7185185185185" customWidth="1" style="1" min="17" max="17"/>
  </cols>
  <sheetData>
    <row r="1" s="1">
      <c r="A1" s="16" t="inlineStr">
        <is>
          <t>No</t>
        </is>
      </c>
      <c r="B1" s="16" t="inlineStr">
        <is>
          <t>Jenis Kelamin</t>
        </is>
      </c>
      <c r="C1" s="16" t="inlineStr">
        <is>
          <t>Tingkat Resiko</t>
        </is>
      </c>
      <c r="H1" s="39" t="inlineStr">
        <is>
          <t>No</t>
        </is>
      </c>
      <c r="I1" s="39" t="inlineStr">
        <is>
          <t>Jenis Kelamin</t>
        </is>
      </c>
      <c r="J1" s="39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INDEX(Data_DBD!$E:$E,$A2)</f>
        <v/>
      </c>
      <c r="C2" s="17">
        <f t="array" ref="C2">INDEX(Data_DBD!$F:$F,$A2)</f>
        <v/>
      </c>
      <c r="H2" s="39" t="n">
        <v>150</v>
      </c>
      <c r="I2" s="39" t="n">
        <v>1</v>
      </c>
      <c r="J2" s="39" t="inlineStr">
        <is>
          <t>Tinggi</t>
        </is>
      </c>
      <c r="O2" s="19" t="inlineStr">
        <is>
          <t>Tinggi</t>
        </is>
      </c>
      <c r="P2" s="19">
        <f>COUNTIF(J2:J164,"Tinggi")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INDEX(Data_DBD!$E:$E,$A3)</f>
        <v/>
      </c>
      <c r="C3" s="17">
        <f t="array" ref="C3">INDEX(Data_DBD!$F:$F,$A3)</f>
        <v/>
      </c>
      <c r="H3" s="39" t="n">
        <v>88</v>
      </c>
      <c r="I3" s="39" t="n">
        <v>1</v>
      </c>
      <c r="J3" s="39" t="inlineStr">
        <is>
          <t>Sedang</t>
        </is>
      </c>
      <c r="O3" s="19" t="inlineStr">
        <is>
          <t>Sedang</t>
        </is>
      </c>
      <c r="P3" s="19">
        <f>COUNTIF(J2:J164,"Sedang")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INDEX(Data_DBD!$E:$E,$A4)</f>
        <v/>
      </c>
      <c r="C4" s="17">
        <f t="array" ref="C4">INDEX(Data_DBD!$F:$F,$A4)</f>
        <v/>
      </c>
      <c r="H4" s="39" t="n">
        <v>120</v>
      </c>
      <c r="I4" s="39" t="n">
        <v>1</v>
      </c>
      <c r="J4" s="39" t="inlineStr">
        <is>
          <t>Tinggi</t>
        </is>
      </c>
      <c r="O4" s="19" t="inlineStr">
        <is>
          <t>Rendah</t>
        </is>
      </c>
      <c r="P4" s="19">
        <f>COUNTIF(J2:J164,"Rendah")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INDEX(Data_DBD!$E:$E,$A5)</f>
        <v/>
      </c>
      <c r="C5" s="17">
        <f t="array" ref="C5">INDEX(Data_DBD!$F:$F,$A5)</f>
        <v/>
      </c>
      <c r="H5" s="39" t="n">
        <v>62</v>
      </c>
      <c r="I5" s="39" t="n">
        <v>1</v>
      </c>
      <c r="J5" s="39" t="inlineStr">
        <is>
          <t>Sedang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INDEX(Data_DBD!$E:$E,$A6)</f>
        <v/>
      </c>
      <c r="C6" s="17">
        <f t="array" ref="C6">INDEX(Data_DBD!$F:$F,$A6)</f>
        <v/>
      </c>
      <c r="H6" s="39" t="n">
        <v>153</v>
      </c>
      <c r="I6" s="39" t="n">
        <v>1</v>
      </c>
      <c r="J6" s="39" t="inlineStr">
        <is>
          <t>Tinggi</t>
        </is>
      </c>
    </row>
    <row r="7" s="1">
      <c r="A7" s="17">
        <f>RANDBETWEEN(2,164)</f>
        <v/>
      </c>
      <c r="B7" s="17">
        <f t="array" ref="B7">INDEX(Data_DBD!$E:$E,$A7)</f>
        <v/>
      </c>
      <c r="C7" s="17">
        <f t="array" ref="C7">INDEX(Data_DBD!$F:$F,$A7)</f>
        <v/>
      </c>
      <c r="H7" s="39" t="n">
        <v>6</v>
      </c>
      <c r="I7" s="39" t="n">
        <v>0</v>
      </c>
      <c r="J7" s="39" t="inlineStr">
        <is>
          <t>Sedang</t>
        </is>
      </c>
    </row>
    <row r="8" s="1">
      <c r="A8" s="17">
        <f>RANDBETWEEN(2,164)</f>
        <v/>
      </c>
      <c r="B8" s="17">
        <f t="array" ref="B8">INDEX(Data_DBD!$E:$E,$A8)</f>
        <v/>
      </c>
      <c r="C8" s="17">
        <f t="array" ref="C8">INDEX(Data_DBD!$F:$F,$A8)</f>
        <v/>
      </c>
      <c r="H8" s="39" t="n">
        <v>95</v>
      </c>
      <c r="I8" s="39" t="n">
        <v>1</v>
      </c>
      <c r="J8" s="39" t="inlineStr">
        <is>
          <t>Tinggi</t>
        </is>
      </c>
    </row>
    <row r="9" s="1">
      <c r="A9" s="17">
        <f>RANDBETWEEN(2,164)</f>
        <v/>
      </c>
      <c r="B9" s="17">
        <f t="array" ref="B9">INDEX(Data_DBD!$E:$E,$A9)</f>
        <v/>
      </c>
      <c r="C9" s="17">
        <f t="array" ref="C9">INDEX(Data_DBD!$F:$F,$A9)</f>
        <v/>
      </c>
      <c r="H9" s="39" t="n">
        <v>69</v>
      </c>
      <c r="I9" s="39" t="n">
        <v>1</v>
      </c>
      <c r="J9" s="39" t="inlineStr">
        <is>
          <t>Sedang</t>
        </is>
      </c>
    </row>
    <row r="10" s="1">
      <c r="A10" s="17">
        <f>RANDBETWEEN(2,164)</f>
        <v/>
      </c>
      <c r="B10" s="17">
        <f t="array" ref="B10">INDEX(Data_DBD!$E:$E,$A10)</f>
        <v/>
      </c>
      <c r="C10" s="17">
        <f t="array" ref="C10">INDEX(Data_DBD!$F:$F,$A10)</f>
        <v/>
      </c>
      <c r="H10" s="39" t="n">
        <v>138</v>
      </c>
      <c r="I10" s="39" t="n">
        <v>1</v>
      </c>
      <c r="J10" s="39" t="inlineStr">
        <is>
          <t>Tinggi</t>
        </is>
      </c>
    </row>
    <row r="11" s="1">
      <c r="A11" s="17">
        <f>RANDBETWEEN(2,164)</f>
        <v/>
      </c>
      <c r="B11" s="17">
        <f t="array" ref="B11">INDEX(Data_DBD!$E:$E,$A11)</f>
        <v/>
      </c>
      <c r="C11" s="17">
        <f t="array" ref="C11">INDEX(Data_DBD!$F:$F,$A11)</f>
        <v/>
      </c>
      <c r="H11" s="39" t="n">
        <v>81</v>
      </c>
      <c r="I11" s="39" t="n">
        <v>1</v>
      </c>
      <c r="J11" s="39" t="inlineStr">
        <is>
          <t>Sedang</t>
        </is>
      </c>
    </row>
    <row r="12" s="1">
      <c r="A12" s="17">
        <f>RANDBETWEEN(2,164)</f>
        <v/>
      </c>
      <c r="B12" s="17">
        <f t="array" ref="B12">INDEX(Data_DBD!$E:$E,$A12)</f>
        <v/>
      </c>
      <c r="C12" s="17">
        <f t="array" ref="C12">INDEX(Data_DBD!$F:$F,$A12)</f>
        <v/>
      </c>
      <c r="H12" s="39" t="n">
        <v>88</v>
      </c>
      <c r="I12" s="39" t="n">
        <v>1</v>
      </c>
      <c r="J12" s="39" t="inlineStr">
        <is>
          <t>Sedang</t>
        </is>
      </c>
    </row>
    <row r="13" s="1">
      <c r="A13" s="17">
        <f>RANDBETWEEN(2,164)</f>
        <v/>
      </c>
      <c r="B13" s="17">
        <f t="array" ref="B13">INDEX(Data_DBD!$E:$E,$A13)</f>
        <v/>
      </c>
      <c r="C13" s="17">
        <f t="array" ref="C13">INDEX(Data_DBD!$F:$F,$A13)</f>
        <v/>
      </c>
      <c r="H13" s="39" t="n">
        <v>56</v>
      </c>
      <c r="I13" s="39" t="n">
        <v>0</v>
      </c>
      <c r="J13" s="39" t="inlineStr">
        <is>
          <t>Sedang</t>
        </is>
      </c>
    </row>
    <row r="14" s="1">
      <c r="A14" s="17">
        <f>RANDBETWEEN(2,164)</f>
        <v/>
      </c>
      <c r="B14" s="17">
        <f t="array" ref="B14">INDEX(Data_DBD!$E:$E,$A14)</f>
        <v/>
      </c>
      <c r="C14" s="17">
        <f t="array" ref="C14">INDEX(Data_DBD!$F:$F,$A14)</f>
        <v/>
      </c>
      <c r="H14" s="39" t="n">
        <v>58</v>
      </c>
      <c r="I14" s="39" t="n">
        <v>0</v>
      </c>
      <c r="J14" s="39" t="inlineStr">
        <is>
          <t>Sedang</t>
        </is>
      </c>
    </row>
    <row r="15" s="1">
      <c r="A15" s="17">
        <f>RANDBETWEEN(2,164)</f>
        <v/>
      </c>
      <c r="B15" s="17">
        <f t="array" ref="B15">INDEX(Data_DBD!$E:$E,$A15)</f>
        <v/>
      </c>
      <c r="C15" s="17">
        <f t="array" ref="C15">INDEX(Data_DBD!$F:$F,$A15)</f>
        <v/>
      </c>
      <c r="H15" s="39" t="n">
        <v>138</v>
      </c>
      <c r="I15" s="39" t="n">
        <v>1</v>
      </c>
      <c r="J15" s="39" t="inlineStr">
        <is>
          <t>Tinggi</t>
        </is>
      </c>
    </row>
    <row r="16" s="1">
      <c r="A16" s="17">
        <f>RANDBETWEEN(2,164)</f>
        <v/>
      </c>
      <c r="B16" s="17">
        <f t="array" ref="B16">INDEX(Data_DBD!$E:$E,$A16)</f>
        <v/>
      </c>
      <c r="C16" s="17">
        <f t="array" ref="C16">INDEX(Data_DBD!$F:$F,$A16)</f>
        <v/>
      </c>
      <c r="H16" s="39" t="n">
        <v>25</v>
      </c>
      <c r="I16" s="39" t="n">
        <v>0</v>
      </c>
      <c r="J16" s="39" t="inlineStr">
        <is>
          <t>Sedang</t>
        </is>
      </c>
    </row>
    <row r="17" s="1">
      <c r="A17" s="17">
        <f>RANDBETWEEN(2,164)</f>
        <v/>
      </c>
      <c r="B17" s="17">
        <f t="array" ref="B17">INDEX(Data_DBD!$E:$E,$A17)</f>
        <v/>
      </c>
      <c r="C17" s="17">
        <f t="array" ref="C17">INDEX(Data_DBD!$F:$F,$A17)</f>
        <v/>
      </c>
      <c r="H17" s="39" t="n">
        <v>9</v>
      </c>
      <c r="I17" s="39" t="n">
        <v>1</v>
      </c>
      <c r="J17" s="39" t="inlineStr">
        <is>
          <t>Sedang</t>
        </is>
      </c>
    </row>
    <row r="18" s="1">
      <c r="A18" s="17">
        <f>RANDBETWEEN(2,164)</f>
        <v/>
      </c>
      <c r="B18" s="17">
        <f t="array" ref="B18">INDEX(Data_DBD!$E:$E,$A18)</f>
        <v/>
      </c>
      <c r="C18" s="17">
        <f t="array" ref="C18">INDEX(Data_DBD!$F:$F,$A18)</f>
        <v/>
      </c>
      <c r="H18" s="39" t="n">
        <v>158</v>
      </c>
      <c r="I18" s="39" t="n">
        <v>0</v>
      </c>
      <c r="J18" s="39" t="inlineStr">
        <is>
          <t>Tinggi</t>
        </is>
      </c>
    </row>
    <row r="19" s="1">
      <c r="A19" s="17">
        <f>RANDBETWEEN(2,164)</f>
        <v/>
      </c>
      <c r="B19" s="17">
        <f t="array" ref="B19">INDEX(Data_DBD!$E:$E,$A19)</f>
        <v/>
      </c>
      <c r="C19" s="17">
        <f t="array" ref="C19">INDEX(Data_DBD!$F:$F,$A19)</f>
        <v/>
      </c>
      <c r="H19" s="39" t="n">
        <v>161</v>
      </c>
      <c r="I19" s="39" t="n">
        <v>1</v>
      </c>
      <c r="J19" s="39" t="inlineStr">
        <is>
          <t>Tinggi</t>
        </is>
      </c>
    </row>
    <row r="20" s="1">
      <c r="A20" s="17">
        <f>RANDBETWEEN(2,164)</f>
        <v/>
      </c>
      <c r="B20" s="17">
        <f t="array" ref="B20">INDEX(Data_DBD!$E:$E,$A20)</f>
        <v/>
      </c>
      <c r="C20" s="17">
        <f t="array" ref="C20">INDEX(Data_DBD!$F:$F,$A20)</f>
        <v/>
      </c>
      <c r="H20" s="39" t="n">
        <v>79</v>
      </c>
      <c r="I20" s="39" t="n">
        <v>0</v>
      </c>
      <c r="J20" s="39" t="inlineStr">
        <is>
          <t>Sedang</t>
        </is>
      </c>
    </row>
    <row r="21" s="1">
      <c r="A21" s="17">
        <f>RANDBETWEEN(2,164)</f>
        <v/>
      </c>
      <c r="B21" s="17">
        <f t="array" ref="B21">INDEX(Data_DBD!$E:$E,$A21)</f>
        <v/>
      </c>
      <c r="C21" s="17">
        <f t="array" ref="C21">INDEX(Data_DBD!$F:$F,$A21)</f>
        <v/>
      </c>
      <c r="H21" s="39" t="n">
        <v>59</v>
      </c>
      <c r="I21" s="39" t="n">
        <v>0</v>
      </c>
      <c r="J21" s="39" t="inlineStr">
        <is>
          <t>Sedang</t>
        </is>
      </c>
    </row>
    <row r="22" s="1">
      <c r="A22" s="17">
        <f>RANDBETWEEN(2,164)</f>
        <v/>
      </c>
      <c r="B22" s="17">
        <f t="array" ref="B22">INDEX(Data_DBD!$E:$E,$A22)</f>
        <v/>
      </c>
      <c r="C22" s="17">
        <f t="array" ref="C22">INDEX(Data_DBD!$F:$F,$A22)</f>
        <v/>
      </c>
      <c r="H22" s="39" t="n">
        <v>92</v>
      </c>
      <c r="I22" s="39" t="n">
        <v>0</v>
      </c>
      <c r="J22" s="39" t="inlineStr">
        <is>
          <t>Tinggi</t>
        </is>
      </c>
    </row>
    <row r="23" s="1">
      <c r="A23" s="17">
        <f>RANDBETWEEN(2,164)</f>
        <v/>
      </c>
      <c r="B23" s="17">
        <f t="array" ref="B23">INDEX(Data_DBD!$E:$E,$A23)</f>
        <v/>
      </c>
      <c r="C23" s="17">
        <f t="array" ref="C23">INDEX(Data_DBD!$F:$F,$A23)</f>
        <v/>
      </c>
      <c r="H23" s="39" t="n">
        <v>4</v>
      </c>
      <c r="I23" s="39" t="n">
        <v>0</v>
      </c>
      <c r="J23" s="39" t="inlineStr">
        <is>
          <t>Sedang</t>
        </is>
      </c>
    </row>
    <row r="24" s="1">
      <c r="A24" s="17">
        <f>RANDBETWEEN(2,164)</f>
        <v/>
      </c>
      <c r="B24" s="17">
        <f t="array" ref="B24">INDEX(Data_DBD!$E:$E,$A24)</f>
        <v/>
      </c>
      <c r="C24" s="17">
        <f t="array" ref="C24">INDEX(Data_DBD!$F:$F,$A24)</f>
        <v/>
      </c>
      <c r="H24" s="39" t="n">
        <v>120</v>
      </c>
      <c r="I24" s="39" t="n">
        <v>1</v>
      </c>
      <c r="J24" s="39" t="inlineStr">
        <is>
          <t>Tinggi</t>
        </is>
      </c>
    </row>
    <row r="25" s="1">
      <c r="A25" s="17">
        <f>RANDBETWEEN(2,164)</f>
        <v/>
      </c>
      <c r="B25" s="17">
        <f t="array" ref="B25">INDEX(Data_DBD!$E:$E,$A25)</f>
        <v/>
      </c>
      <c r="C25" s="17">
        <f t="array" ref="C25">INDEX(Data_DBD!$F:$F,$A25)</f>
        <v/>
      </c>
      <c r="H25" s="39" t="n">
        <v>10</v>
      </c>
      <c r="I25" s="39" t="n">
        <v>0</v>
      </c>
      <c r="J25" s="39" t="inlineStr">
        <is>
          <t>Sedang</t>
        </is>
      </c>
    </row>
    <row r="26" s="1">
      <c r="A26" s="17">
        <f>RANDBETWEEN(2,164)</f>
        <v/>
      </c>
      <c r="B26" s="17">
        <f t="array" ref="B26">INDEX(Data_DBD!$E:$E,$A26)</f>
        <v/>
      </c>
      <c r="C26" s="17">
        <f t="array" ref="C26">INDEX(Data_DBD!$F:$F,$A26)</f>
        <v/>
      </c>
      <c r="H26" s="39" t="n">
        <v>125</v>
      </c>
      <c r="I26" s="39" t="n">
        <v>0</v>
      </c>
      <c r="J26" s="39" t="inlineStr">
        <is>
          <t>Tinggi</t>
        </is>
      </c>
    </row>
    <row r="27" s="1">
      <c r="A27" s="17">
        <f>RANDBETWEEN(2,164)</f>
        <v/>
      </c>
      <c r="B27" s="17">
        <f t="array" ref="B27">INDEX(Data_DBD!$E:$E,$A27)</f>
        <v/>
      </c>
      <c r="C27" s="17">
        <f t="array" ref="C27">INDEX(Data_DBD!$F:$F,$A27)</f>
        <v/>
      </c>
      <c r="H27" s="39" t="n">
        <v>128</v>
      </c>
      <c r="I27" s="39" t="n">
        <v>0</v>
      </c>
      <c r="J27" s="39" t="inlineStr">
        <is>
          <t>Tinggi</t>
        </is>
      </c>
    </row>
    <row r="28" s="1">
      <c r="A28" s="17">
        <f>RANDBETWEEN(2,164)</f>
        <v/>
      </c>
      <c r="B28" s="17">
        <f t="array" ref="B28">INDEX(Data_DBD!$E:$E,$A28)</f>
        <v/>
      </c>
      <c r="C28" s="17">
        <f t="array" ref="C28">INDEX(Data_DBD!$F:$F,$A28)</f>
        <v/>
      </c>
      <c r="H28" s="39" t="n">
        <v>106</v>
      </c>
      <c r="I28" s="39" t="n">
        <v>1</v>
      </c>
      <c r="J28" s="39" t="inlineStr">
        <is>
          <t>Tinggi</t>
        </is>
      </c>
    </row>
    <row r="29" s="1">
      <c r="A29" s="17">
        <f>RANDBETWEEN(2,164)</f>
        <v/>
      </c>
      <c r="B29" s="17">
        <f t="array" ref="B29">INDEX(Data_DBD!$E:$E,$A29)</f>
        <v/>
      </c>
      <c r="C29" s="17">
        <f t="array" ref="C29">INDEX(Data_DBD!$F:$F,$A29)</f>
        <v/>
      </c>
      <c r="H29" s="39" t="n">
        <v>7</v>
      </c>
      <c r="I29" s="39" t="n">
        <v>1</v>
      </c>
      <c r="J29" s="39" t="inlineStr">
        <is>
          <t>Sedang</t>
        </is>
      </c>
    </row>
    <row r="30" s="1">
      <c r="A30" s="17">
        <f>RANDBETWEEN(2,164)</f>
        <v/>
      </c>
      <c r="B30" s="17">
        <f t="array" ref="B30">INDEX(Data_DBD!$E:$E,$A30)</f>
        <v/>
      </c>
      <c r="C30" s="17">
        <f t="array" ref="C30">INDEX(Data_DBD!$F:$F,$A30)</f>
        <v/>
      </c>
      <c r="H30" s="39" t="n">
        <v>7</v>
      </c>
      <c r="I30" s="39" t="n">
        <v>1</v>
      </c>
      <c r="J30" s="39" t="inlineStr">
        <is>
          <t>Sedang</t>
        </is>
      </c>
    </row>
    <row r="31" s="1">
      <c r="A31" s="17">
        <f>RANDBETWEEN(2,164)</f>
        <v/>
      </c>
      <c r="B31" s="17">
        <f t="array" ref="B31">INDEX(Data_DBD!$E:$E,$A31)</f>
        <v/>
      </c>
      <c r="C31" s="17">
        <f t="array" ref="C31">INDEX(Data_DBD!$F:$F,$A31)</f>
        <v/>
      </c>
      <c r="H31" s="39" t="n">
        <v>142</v>
      </c>
      <c r="I31" s="39" t="n">
        <v>1</v>
      </c>
      <c r="J31" s="39" t="inlineStr">
        <is>
          <t>Tinggi</t>
        </is>
      </c>
    </row>
    <row r="32" s="1">
      <c r="A32" s="17">
        <f>RANDBETWEEN(2,164)</f>
        <v/>
      </c>
      <c r="B32" s="17">
        <f t="array" ref="B32">INDEX(Data_DBD!$E:$E,$A32)</f>
        <v/>
      </c>
      <c r="C32" s="17">
        <f t="array" ref="C32">INDEX(Data_DBD!$F:$F,$A32)</f>
        <v/>
      </c>
      <c r="H32" s="39" t="n">
        <v>112</v>
      </c>
      <c r="I32" s="39" t="n">
        <v>1</v>
      </c>
      <c r="J32" s="39" t="inlineStr">
        <is>
          <t>Tinggi</t>
        </is>
      </c>
    </row>
    <row r="33" s="1">
      <c r="A33" s="17">
        <f>RANDBETWEEN(2,164)</f>
        <v/>
      </c>
      <c r="B33" s="17">
        <f t="array" ref="B33">INDEX(Data_DBD!$E:$E,$A33)</f>
        <v/>
      </c>
      <c r="C33" s="17">
        <f t="array" ref="C33">INDEX(Data_DBD!$F:$F,$A33)</f>
        <v/>
      </c>
      <c r="H33" s="39" t="n">
        <v>48</v>
      </c>
      <c r="I33" s="39" t="n">
        <v>1</v>
      </c>
      <c r="J33" s="39" t="inlineStr">
        <is>
          <t>Sedang</t>
        </is>
      </c>
    </row>
    <row r="34" s="1">
      <c r="A34" s="17">
        <f>RANDBETWEEN(2,164)</f>
        <v/>
      </c>
      <c r="B34" s="17">
        <f t="array" ref="B34">INDEX(Data_DBD!$E:$E,$A34)</f>
        <v/>
      </c>
      <c r="C34" s="17">
        <f t="array" ref="C34">INDEX(Data_DBD!$F:$F,$A34)</f>
        <v/>
      </c>
      <c r="H34" s="39" t="n">
        <v>43</v>
      </c>
      <c r="I34" s="39" t="n">
        <v>0</v>
      </c>
      <c r="J34" s="39" t="inlineStr">
        <is>
          <t>Sedang</t>
        </is>
      </c>
    </row>
    <row r="35" s="1">
      <c r="A35" s="17">
        <f>RANDBETWEEN(2,164)</f>
        <v/>
      </c>
      <c r="B35" s="17">
        <f t="array" ref="B35">INDEX(Data_DBD!$E:$E,$A35)</f>
        <v/>
      </c>
      <c r="C35" s="17">
        <f t="array" ref="C35">INDEX(Data_DBD!$F:$F,$A35)</f>
        <v/>
      </c>
      <c r="H35" s="39" t="n">
        <v>127</v>
      </c>
      <c r="I35" s="39" t="n">
        <v>0</v>
      </c>
      <c r="J35" s="39" t="inlineStr">
        <is>
          <t>Tinggi</t>
        </is>
      </c>
    </row>
    <row r="36" s="1">
      <c r="A36" s="17">
        <f>RANDBETWEEN(2,164)</f>
        <v/>
      </c>
      <c r="B36" s="17">
        <f t="array" ref="B36">INDEX(Data_DBD!$E:$E,$A36)</f>
        <v/>
      </c>
      <c r="C36" s="17">
        <f t="array" ref="C36">INDEX(Data_DBD!$F:$F,$A36)</f>
        <v/>
      </c>
      <c r="H36" s="39" t="n">
        <v>53</v>
      </c>
      <c r="I36" s="39" t="n">
        <v>1</v>
      </c>
      <c r="J36" s="39" t="inlineStr">
        <is>
          <t>Sedang</t>
        </is>
      </c>
    </row>
    <row r="37" s="1">
      <c r="A37" s="17">
        <f>RANDBETWEEN(2,164)</f>
        <v/>
      </c>
      <c r="B37" s="17">
        <f t="array" ref="B37">INDEX(Data_DBD!$E:$E,$A37)</f>
        <v/>
      </c>
      <c r="C37" s="17">
        <f t="array" ref="C37">INDEX(Data_DBD!$F:$F,$A37)</f>
        <v/>
      </c>
      <c r="H37" s="39" t="n">
        <v>97</v>
      </c>
      <c r="I37" s="39" t="n">
        <v>1</v>
      </c>
      <c r="J37" s="39" t="inlineStr">
        <is>
          <t>Tinggi</t>
        </is>
      </c>
    </row>
    <row r="38" s="1">
      <c r="A38" s="17">
        <f>RANDBETWEEN(2,164)</f>
        <v/>
      </c>
      <c r="B38" s="17">
        <f t="array" ref="B38">INDEX(Data_DBD!$E:$E,$A38)</f>
        <v/>
      </c>
      <c r="C38" s="17">
        <f t="array" ref="C38">INDEX(Data_DBD!$F:$F,$A38)</f>
        <v/>
      </c>
      <c r="H38" s="39" t="n">
        <v>65</v>
      </c>
      <c r="I38" s="39" t="n">
        <v>0</v>
      </c>
      <c r="J38" s="39" t="inlineStr">
        <is>
          <t>Sedang</t>
        </is>
      </c>
    </row>
    <row r="39" s="1">
      <c r="A39" s="17">
        <f>RANDBETWEEN(2,164)</f>
        <v/>
      </c>
      <c r="B39" s="17">
        <f t="array" ref="B39">INDEX(Data_DBD!$E:$E,$A39)</f>
        <v/>
      </c>
      <c r="C39" s="17">
        <f t="array" ref="C39">INDEX(Data_DBD!$F:$F,$A39)</f>
        <v/>
      </c>
      <c r="H39" s="39" t="n">
        <v>149</v>
      </c>
      <c r="I39" s="39" t="n">
        <v>0</v>
      </c>
      <c r="J39" s="39" t="inlineStr">
        <is>
          <t>Tinggi</t>
        </is>
      </c>
    </row>
    <row r="40" s="1">
      <c r="A40" s="17">
        <f>RANDBETWEEN(2,164)</f>
        <v/>
      </c>
      <c r="B40" s="17">
        <f t="array" ref="B40">INDEX(Data_DBD!$E:$E,$A40)</f>
        <v/>
      </c>
      <c r="C40" s="17">
        <f t="array" ref="C40">INDEX(Data_DBD!$F:$F,$A40)</f>
        <v/>
      </c>
      <c r="H40" s="39" t="n">
        <v>54</v>
      </c>
      <c r="I40" s="39" t="n">
        <v>0</v>
      </c>
      <c r="J40" s="39" t="inlineStr">
        <is>
          <t>Sedang</t>
        </is>
      </c>
    </row>
    <row r="41" s="1">
      <c r="A41" s="17">
        <f>RANDBETWEEN(2,164)</f>
        <v/>
      </c>
      <c r="B41" s="17">
        <f t="array" ref="B41">INDEX(Data_DBD!$E:$E,$A41)</f>
        <v/>
      </c>
      <c r="C41" s="17">
        <f t="array" ref="C41">INDEX(Data_DBD!$F:$F,$A41)</f>
        <v/>
      </c>
      <c r="H41" s="39" t="n">
        <v>11</v>
      </c>
      <c r="I41" s="39" t="n">
        <v>1</v>
      </c>
      <c r="J41" s="39" t="inlineStr">
        <is>
          <t>Sedang</t>
        </is>
      </c>
    </row>
    <row r="42" s="1">
      <c r="A42" s="17">
        <f>RANDBETWEEN(2,164)</f>
        <v/>
      </c>
      <c r="B42" s="17">
        <f t="array" ref="B42">INDEX(Data_DBD!$E:$E,$A42)</f>
        <v/>
      </c>
      <c r="C42" s="17">
        <f t="array" ref="C42">INDEX(Data_DBD!$F:$F,$A42)</f>
        <v/>
      </c>
      <c r="H42" s="39" t="n">
        <v>124</v>
      </c>
      <c r="I42" s="39" t="n">
        <v>1</v>
      </c>
      <c r="J42" s="39" t="inlineStr">
        <is>
          <t>Tinggi</t>
        </is>
      </c>
    </row>
    <row r="43" s="1">
      <c r="A43" s="17">
        <f>RANDBETWEEN(2,164)</f>
        <v/>
      </c>
      <c r="B43" s="17">
        <f t="array" ref="B43">INDEX(Data_DBD!$E:$E,$A43)</f>
        <v/>
      </c>
      <c r="C43" s="17">
        <f t="array" ref="C43">INDEX(Data_DBD!$F:$F,$A43)</f>
        <v/>
      </c>
      <c r="H43" s="39" t="n">
        <v>51</v>
      </c>
      <c r="I43" s="39" t="n">
        <v>0</v>
      </c>
      <c r="J43" s="39" t="inlineStr">
        <is>
          <t>Sedang</t>
        </is>
      </c>
    </row>
    <row r="44" s="1">
      <c r="A44" s="17">
        <f>RANDBETWEEN(2,164)</f>
        <v/>
      </c>
      <c r="B44" s="17">
        <f t="array" ref="B44">INDEX(Data_DBD!$E:$E,$A44)</f>
        <v/>
      </c>
      <c r="C44" s="17">
        <f t="array" ref="C44">INDEX(Data_DBD!$F:$F,$A44)</f>
        <v/>
      </c>
      <c r="H44" s="39" t="n">
        <v>119</v>
      </c>
      <c r="I44" s="39" t="n">
        <v>0</v>
      </c>
      <c r="J44" s="39" t="inlineStr">
        <is>
          <t>Tinggi</t>
        </is>
      </c>
    </row>
    <row r="45" s="1">
      <c r="A45" s="17">
        <f>RANDBETWEEN(2,164)</f>
        <v/>
      </c>
      <c r="B45" s="17">
        <f t="array" ref="B45">INDEX(Data_DBD!$E:$E,$A45)</f>
        <v/>
      </c>
      <c r="C45" s="17">
        <f t="array" ref="C45">INDEX(Data_DBD!$F:$F,$A45)</f>
        <v/>
      </c>
      <c r="H45" s="39" t="n">
        <v>151</v>
      </c>
      <c r="I45" s="39" t="n">
        <v>0</v>
      </c>
      <c r="J45" s="39" t="inlineStr">
        <is>
          <t>Tinggi</t>
        </is>
      </c>
    </row>
    <row r="46" s="1">
      <c r="A46" s="17">
        <f>RANDBETWEEN(2,164)</f>
        <v/>
      </c>
      <c r="B46" s="17">
        <f t="array" ref="B46">INDEX(Data_DBD!$E:$E,$A46)</f>
        <v/>
      </c>
      <c r="C46" s="17">
        <f t="array" ref="C46">INDEX(Data_DBD!$F:$F,$A46)</f>
        <v/>
      </c>
      <c r="H46" s="39" t="n">
        <v>46</v>
      </c>
      <c r="I46" s="39" t="n">
        <v>0</v>
      </c>
      <c r="J46" s="39" t="inlineStr">
        <is>
          <t>Sedang</t>
        </is>
      </c>
    </row>
    <row r="47" s="1">
      <c r="A47" s="17">
        <f>RANDBETWEEN(2,164)</f>
        <v/>
      </c>
      <c r="B47" s="17">
        <f t="array" ref="B47">INDEX(Data_DBD!$E:$E,$A47)</f>
        <v/>
      </c>
      <c r="C47" s="17">
        <f t="array" ref="C47">INDEX(Data_DBD!$F:$F,$A47)</f>
        <v/>
      </c>
      <c r="H47" s="39" t="n">
        <v>156</v>
      </c>
      <c r="I47" s="39" t="n">
        <v>0</v>
      </c>
      <c r="J47" s="39" t="inlineStr">
        <is>
          <t>Tinggi</t>
        </is>
      </c>
    </row>
    <row r="48" s="1">
      <c r="A48" s="17">
        <f>RANDBETWEEN(2,164)</f>
        <v/>
      </c>
      <c r="B48" s="17">
        <f t="array" ref="B48">INDEX(Data_DBD!$E:$E,$A48)</f>
        <v/>
      </c>
      <c r="C48" s="17">
        <f t="array" ref="C48">INDEX(Data_DBD!$F:$F,$A48)</f>
        <v/>
      </c>
      <c r="H48" s="39" t="n">
        <v>116</v>
      </c>
      <c r="I48" s="39" t="n">
        <v>1</v>
      </c>
      <c r="J48" s="39" t="inlineStr">
        <is>
          <t>Tinggi</t>
        </is>
      </c>
    </row>
    <row r="49" s="1">
      <c r="A49" s="17">
        <f>RANDBETWEEN(2,164)</f>
        <v/>
      </c>
      <c r="B49" s="17">
        <f t="array" ref="B49">INDEX(Data_DBD!$E:$E,$A49)</f>
        <v/>
      </c>
      <c r="C49" s="17">
        <f t="array" ref="C49">INDEX(Data_DBD!$F:$F,$A49)</f>
        <v/>
      </c>
      <c r="H49" s="39" t="n">
        <v>117</v>
      </c>
      <c r="I49" s="39" t="n">
        <v>1</v>
      </c>
      <c r="J49" s="39" t="inlineStr">
        <is>
          <t>Tinggi</t>
        </is>
      </c>
    </row>
    <row r="50" s="1">
      <c r="A50" s="17">
        <f>RANDBETWEEN(2,164)</f>
        <v/>
      </c>
      <c r="B50" s="17">
        <f t="array" ref="B50">INDEX(Data_DBD!$E:$E,$A50)</f>
        <v/>
      </c>
      <c r="C50" s="17">
        <f t="array" ref="C50">INDEX(Data_DBD!$F:$F,$A50)</f>
        <v/>
      </c>
      <c r="H50" s="39" t="n">
        <v>50</v>
      </c>
      <c r="I50" s="39" t="n">
        <v>0</v>
      </c>
      <c r="J50" s="39" t="inlineStr">
        <is>
          <t>Sedang</t>
        </is>
      </c>
    </row>
    <row r="51" s="1">
      <c r="A51" s="17">
        <f>RANDBETWEEN(2,164)</f>
        <v/>
      </c>
      <c r="B51" s="17">
        <f t="array" ref="B51">INDEX(Data_DBD!$E:$E,$A51)</f>
        <v/>
      </c>
      <c r="C51" s="17">
        <f t="array" ref="C51">INDEX(Data_DBD!$F:$F,$A51)</f>
        <v/>
      </c>
      <c r="H51" s="39" t="n">
        <v>46</v>
      </c>
      <c r="I51" s="39" t="n">
        <v>0</v>
      </c>
      <c r="J51" s="39" t="inlineStr">
        <is>
          <t>Sedang</t>
        </is>
      </c>
    </row>
    <row r="52" s="1">
      <c r="A52" s="17">
        <f>RANDBETWEEN(2,164)</f>
        <v/>
      </c>
      <c r="B52" s="17">
        <f t="array" ref="B52">INDEX(Data_DBD!$E:$E,$A52)</f>
        <v/>
      </c>
      <c r="C52" s="17">
        <f t="array" ref="C52">INDEX(Data_DBD!$F:$F,$A52)</f>
        <v/>
      </c>
      <c r="H52" s="39" t="n">
        <v>17</v>
      </c>
      <c r="I52" s="39" t="n">
        <v>0</v>
      </c>
      <c r="J52" s="39" t="inlineStr">
        <is>
          <t>Rendah</t>
        </is>
      </c>
    </row>
    <row r="53" s="1">
      <c r="A53" s="17">
        <f>RANDBETWEEN(2,164)</f>
        <v/>
      </c>
      <c r="B53" s="17">
        <f t="array" ref="B53">INDEX(Data_DBD!$E:$E,$A53)</f>
        <v/>
      </c>
      <c r="C53" s="17">
        <f t="array" ref="C53">INDEX(Data_DBD!$F:$F,$A53)</f>
        <v/>
      </c>
      <c r="H53" s="39" t="n">
        <v>159</v>
      </c>
      <c r="I53" s="39" t="n">
        <v>0</v>
      </c>
      <c r="J53" s="39" t="inlineStr">
        <is>
          <t>Tinggi</t>
        </is>
      </c>
    </row>
    <row r="54" s="1">
      <c r="A54" s="17">
        <f>RANDBETWEEN(2,164)</f>
        <v/>
      </c>
      <c r="B54" s="17">
        <f t="array" ref="B54">INDEX(Data_DBD!$E:$E,$A54)</f>
        <v/>
      </c>
      <c r="C54" s="17">
        <f t="array" ref="C54">INDEX(Data_DBD!$F:$F,$A54)</f>
        <v/>
      </c>
      <c r="H54" s="39" t="n">
        <v>148</v>
      </c>
      <c r="I54" s="39" t="n">
        <v>1</v>
      </c>
      <c r="J54" s="39" t="inlineStr">
        <is>
          <t>Tinggi</t>
        </is>
      </c>
    </row>
    <row r="55" s="1">
      <c r="A55" s="17">
        <f>RANDBETWEEN(2,164)</f>
        <v/>
      </c>
      <c r="B55" s="17">
        <f t="array" ref="B55">INDEX(Data_DBD!$E:$E,$A55)</f>
        <v/>
      </c>
      <c r="C55" s="17">
        <f t="array" ref="C55">INDEX(Data_DBD!$F:$F,$A55)</f>
        <v/>
      </c>
      <c r="H55" s="39" t="n">
        <v>14</v>
      </c>
      <c r="I55" s="39" t="n">
        <v>1</v>
      </c>
      <c r="J55" s="39" t="inlineStr">
        <is>
          <t>Rendah</t>
        </is>
      </c>
    </row>
    <row r="56" s="1">
      <c r="A56" s="17">
        <f>RANDBETWEEN(2,164)</f>
        <v/>
      </c>
      <c r="B56" s="17">
        <f t="array" ref="B56">INDEX(Data_DBD!$E:$E,$A56)</f>
        <v/>
      </c>
      <c r="C56" s="17">
        <f t="array" ref="C56">INDEX(Data_DBD!$F:$F,$A56)</f>
        <v/>
      </c>
      <c r="H56" s="39" t="n">
        <v>102</v>
      </c>
      <c r="I56" s="39" t="n">
        <v>0</v>
      </c>
      <c r="J56" s="39" t="inlineStr">
        <is>
          <t>Tinggi</t>
        </is>
      </c>
    </row>
    <row r="57" s="1">
      <c r="A57" s="17">
        <f>RANDBETWEEN(2,164)</f>
        <v/>
      </c>
      <c r="B57" s="17">
        <f t="array" ref="B57">INDEX(Data_DBD!$E:$E,$A57)</f>
        <v/>
      </c>
      <c r="C57" s="17">
        <f t="array" ref="C57">INDEX(Data_DBD!$F:$F,$A57)</f>
        <v/>
      </c>
      <c r="H57" s="39" t="n">
        <v>7</v>
      </c>
      <c r="I57" s="39" t="n">
        <v>1</v>
      </c>
      <c r="J57" s="39" t="inlineStr">
        <is>
          <t>Sedang</t>
        </is>
      </c>
    </row>
    <row r="58" s="1">
      <c r="A58" s="17">
        <f>RANDBETWEEN(2,164)</f>
        <v/>
      </c>
      <c r="B58" s="17">
        <f t="array" ref="B58">INDEX(Data_DBD!$E:$E,$A58)</f>
        <v/>
      </c>
      <c r="C58" s="17">
        <f t="array" ref="C58">INDEX(Data_DBD!$F:$F,$A58)</f>
        <v/>
      </c>
      <c r="H58" s="39" t="n">
        <v>100</v>
      </c>
      <c r="I58" s="39" t="n">
        <v>0</v>
      </c>
      <c r="J58" s="39" t="inlineStr">
        <is>
          <t>Tinggi</t>
        </is>
      </c>
    </row>
    <row r="59" s="1">
      <c r="A59" s="17">
        <f>RANDBETWEEN(2,164)</f>
        <v/>
      </c>
      <c r="B59" s="17">
        <f t="array" ref="B59">INDEX(Data_DBD!$E:$E,$A59)</f>
        <v/>
      </c>
      <c r="C59" s="17">
        <f t="array" ref="C59">INDEX(Data_DBD!$F:$F,$A59)</f>
        <v/>
      </c>
      <c r="H59" s="39" t="n">
        <v>164</v>
      </c>
      <c r="I59" s="39" t="n">
        <v>0</v>
      </c>
      <c r="J59" s="39" t="inlineStr">
        <is>
          <t>Rendah</t>
        </is>
      </c>
    </row>
    <row r="60" s="1">
      <c r="A60" s="17">
        <f>RANDBETWEEN(2,164)</f>
        <v/>
      </c>
      <c r="B60" s="17">
        <f t="array" ref="B60">INDEX(Data_DBD!$E:$E,$A60)</f>
        <v/>
      </c>
      <c r="C60" s="17">
        <f t="array" ref="C60">INDEX(Data_DBD!$F:$F,$A60)</f>
        <v/>
      </c>
      <c r="H60" s="39" t="n">
        <v>53</v>
      </c>
      <c r="I60" s="39" t="n">
        <v>1</v>
      </c>
      <c r="J60" s="39" t="inlineStr">
        <is>
          <t>Sedang</t>
        </is>
      </c>
    </row>
    <row r="61" s="1">
      <c r="A61" s="17">
        <f>RANDBETWEEN(2,164)</f>
        <v/>
      </c>
      <c r="B61" s="17">
        <f t="array" ref="B61">INDEX(Data_DBD!$E:$E,$A61)</f>
        <v/>
      </c>
      <c r="C61" s="17">
        <f t="array" ref="C61">INDEX(Data_DBD!$F:$F,$A61)</f>
        <v/>
      </c>
      <c r="H61" s="39" t="n">
        <v>140</v>
      </c>
      <c r="I61" s="39" t="n">
        <v>1</v>
      </c>
      <c r="J61" s="39" t="inlineStr">
        <is>
          <t>Tinggi</t>
        </is>
      </c>
    </row>
    <row r="62" s="1">
      <c r="A62" s="17">
        <f>RANDBETWEEN(2,164)</f>
        <v/>
      </c>
      <c r="B62" s="17">
        <f t="array" ref="B62">INDEX(Data_DBD!$E:$E,$A62)</f>
        <v/>
      </c>
      <c r="C62" s="17">
        <f t="array" ref="C62">INDEX(Data_DBD!$F:$F,$A62)</f>
        <v/>
      </c>
      <c r="H62" s="39" t="n">
        <v>132</v>
      </c>
      <c r="I62" s="39" t="n">
        <v>1</v>
      </c>
      <c r="J62" s="39" t="inlineStr">
        <is>
          <t>Tinggi</t>
        </is>
      </c>
    </row>
    <row r="63" s="1">
      <c r="A63" s="17">
        <f>RANDBETWEEN(2,164)</f>
        <v/>
      </c>
      <c r="B63" s="17">
        <f t="array" ref="B63">INDEX(Data_DBD!$E:$E,$A63)</f>
        <v/>
      </c>
      <c r="C63" s="17">
        <f t="array" ref="C63">INDEX(Data_DBD!$F:$F,$A63)</f>
        <v/>
      </c>
      <c r="H63" s="39" t="n">
        <v>19</v>
      </c>
      <c r="I63" s="39" t="n">
        <v>0</v>
      </c>
      <c r="J63" s="39" t="inlineStr">
        <is>
          <t>Rendah</t>
        </is>
      </c>
    </row>
    <row r="64" s="1">
      <c r="A64" s="17">
        <f>RANDBETWEEN(2,164)</f>
        <v/>
      </c>
      <c r="B64" s="17">
        <f t="array" ref="B64">INDEX(Data_DBD!$E:$E,$A64)</f>
        <v/>
      </c>
      <c r="C64" s="17">
        <f t="array" ref="C64">INDEX(Data_DBD!$F:$F,$A64)</f>
        <v/>
      </c>
      <c r="H64" s="39" t="n">
        <v>68</v>
      </c>
      <c r="I64" s="39" t="n">
        <v>0</v>
      </c>
      <c r="J64" s="39" t="inlineStr">
        <is>
          <t>Sedang</t>
        </is>
      </c>
    </row>
    <row r="65" s="1">
      <c r="A65" s="17">
        <f>RANDBETWEEN(2,164)</f>
        <v/>
      </c>
      <c r="B65" s="17">
        <f t="array" ref="B65">INDEX(Data_DBD!$E:$E,$A65)</f>
        <v/>
      </c>
      <c r="C65" s="17">
        <f t="array" ref="C65">INDEX(Data_DBD!$F:$F,$A65)</f>
        <v/>
      </c>
      <c r="H65" s="39" t="n">
        <v>113</v>
      </c>
      <c r="I65" s="39" t="n">
        <v>1</v>
      </c>
      <c r="J65" s="39" t="inlineStr">
        <is>
          <t>Tinggi</t>
        </is>
      </c>
    </row>
    <row r="66" s="1">
      <c r="A66" s="17">
        <f>RANDBETWEEN(2,164)</f>
        <v/>
      </c>
      <c r="B66" s="17">
        <f t="array" ref="B66">INDEX(Data_DBD!$E:$E,$A66)</f>
        <v/>
      </c>
      <c r="C66" s="17">
        <f t="array" ref="C66">INDEX(Data_DBD!$F:$F,$A66)</f>
        <v/>
      </c>
      <c r="H66" s="39" t="n">
        <v>144</v>
      </c>
      <c r="I66" s="39" t="n">
        <v>1</v>
      </c>
      <c r="J66" s="39" t="inlineStr">
        <is>
          <t>Tinggi</t>
        </is>
      </c>
    </row>
    <row r="67" s="1">
      <c r="A67" s="17">
        <f>RANDBETWEEN(2,164)</f>
        <v/>
      </c>
      <c r="B67" s="17">
        <f t="array" ref="B67">INDEX(Data_DBD!$E:$E,$A67)</f>
        <v/>
      </c>
      <c r="C67" s="17">
        <f t="array" ref="C67">INDEX(Data_DBD!$F:$F,$A67)</f>
        <v/>
      </c>
      <c r="H67" s="39" t="n">
        <v>136</v>
      </c>
      <c r="I67" s="39" t="n">
        <v>0</v>
      </c>
      <c r="J67" s="39" t="inlineStr">
        <is>
          <t>Tinggi</t>
        </is>
      </c>
    </row>
    <row r="68" s="1">
      <c r="A68" s="17">
        <f>RANDBETWEEN(2,164)</f>
        <v/>
      </c>
      <c r="B68" s="17">
        <f t="array" ref="B68">INDEX(Data_DBD!$E:$E,$A68)</f>
        <v/>
      </c>
      <c r="C68" s="17">
        <f t="array" ref="C68">INDEX(Data_DBD!$F:$F,$A68)</f>
        <v/>
      </c>
      <c r="H68" s="39" t="n">
        <v>28</v>
      </c>
      <c r="I68" s="39" t="n">
        <v>1</v>
      </c>
      <c r="J68" s="39" t="inlineStr">
        <is>
          <t>Sedang</t>
        </is>
      </c>
    </row>
    <row r="69" s="1">
      <c r="A69" s="17">
        <f>RANDBETWEEN(2,164)</f>
        <v/>
      </c>
      <c r="B69" s="17">
        <f t="array" ref="B69">INDEX(Data_DBD!$E:$E,$A69)</f>
        <v/>
      </c>
      <c r="C69" s="17">
        <f t="array" ref="C69">INDEX(Data_DBD!$F:$F,$A69)</f>
        <v/>
      </c>
      <c r="H69" s="39" t="n">
        <v>52</v>
      </c>
      <c r="I69" s="39" t="n">
        <v>1</v>
      </c>
      <c r="J69" s="39" t="inlineStr">
        <is>
          <t>Sedang</t>
        </is>
      </c>
    </row>
    <row r="70" s="1">
      <c r="A70" s="17">
        <f>RANDBETWEEN(2,164)</f>
        <v/>
      </c>
      <c r="B70" s="17">
        <f t="array" ref="B70">INDEX(Data_DBD!$E:$E,$A70)</f>
        <v/>
      </c>
      <c r="C70" s="17">
        <f t="array" ref="C70">INDEX(Data_DBD!$F:$F,$A70)</f>
        <v/>
      </c>
      <c r="H70" s="39" t="n">
        <v>42</v>
      </c>
      <c r="I70" s="39" t="n">
        <v>1</v>
      </c>
      <c r="J70" s="39" t="inlineStr">
        <is>
          <t>Sedang</t>
        </is>
      </c>
    </row>
    <row r="71" s="1">
      <c r="A71" s="17">
        <f>RANDBETWEEN(2,164)</f>
        <v/>
      </c>
      <c r="B71" s="17">
        <f t="array" ref="B71">INDEX(Data_DBD!$E:$E,$A71)</f>
        <v/>
      </c>
      <c r="C71" s="17">
        <f t="array" ref="C71">INDEX(Data_DBD!$F:$F,$A71)</f>
        <v/>
      </c>
      <c r="H71" s="39" t="n">
        <v>104</v>
      </c>
      <c r="I71" s="39" t="n">
        <v>1</v>
      </c>
      <c r="J71" s="39" t="inlineStr">
        <is>
          <t>Tinggi</t>
        </is>
      </c>
    </row>
    <row r="72" s="1">
      <c r="A72" s="17">
        <f>RANDBETWEEN(2,164)</f>
        <v/>
      </c>
      <c r="B72" s="17">
        <f t="array" ref="B72">INDEX(Data_DBD!$E:$E,$A72)</f>
        <v/>
      </c>
      <c r="C72" s="17">
        <f t="array" ref="C72">INDEX(Data_DBD!$F:$F,$A72)</f>
        <v/>
      </c>
      <c r="H72" s="39" t="n">
        <v>34</v>
      </c>
      <c r="I72" s="39" t="n">
        <v>0</v>
      </c>
      <c r="J72" s="39" t="inlineStr">
        <is>
          <t>Sedang</t>
        </is>
      </c>
    </row>
    <row r="73" s="1">
      <c r="A73" s="17">
        <f>RANDBETWEEN(2,164)</f>
        <v/>
      </c>
      <c r="B73" s="17">
        <f t="array" ref="B73">INDEX(Data_DBD!$E:$E,$A73)</f>
        <v/>
      </c>
      <c r="C73" s="17">
        <f t="array" ref="C73">INDEX(Data_DBD!$F:$F,$A73)</f>
        <v/>
      </c>
      <c r="H73" s="39" t="n">
        <v>38</v>
      </c>
      <c r="I73" s="39" t="n">
        <v>1</v>
      </c>
      <c r="J73" s="39" t="inlineStr">
        <is>
          <t>Rendah</t>
        </is>
      </c>
    </row>
    <row r="74" s="1">
      <c r="A74" s="17">
        <f>RANDBETWEEN(2,164)</f>
        <v/>
      </c>
      <c r="B74" s="17">
        <f t="array" ref="B74">INDEX(Data_DBD!$E:$E,$A74)</f>
        <v/>
      </c>
      <c r="C74" s="17">
        <f t="array" ref="C74">INDEX(Data_DBD!$F:$F,$A74)</f>
        <v/>
      </c>
      <c r="H74" s="39" t="n">
        <v>90</v>
      </c>
      <c r="I74" s="39" t="n">
        <v>0</v>
      </c>
      <c r="J74" s="39" t="inlineStr">
        <is>
          <t>Tinggi</t>
        </is>
      </c>
    </row>
    <row r="75" s="1">
      <c r="A75" s="17">
        <f>RANDBETWEEN(2,164)</f>
        <v/>
      </c>
      <c r="B75" s="17">
        <f t="array" ref="B75">INDEX(Data_DBD!$E:$E,$A75)</f>
        <v/>
      </c>
      <c r="C75" s="17">
        <f t="array" ref="C75">INDEX(Data_DBD!$F:$F,$A75)</f>
        <v/>
      </c>
      <c r="H75" s="39" t="n">
        <v>109</v>
      </c>
      <c r="I75" s="39" t="n">
        <v>1</v>
      </c>
      <c r="J75" s="39" t="inlineStr">
        <is>
          <t>Tinggi</t>
        </is>
      </c>
    </row>
    <row r="76" s="1">
      <c r="A76" s="17">
        <f>RANDBETWEEN(2,164)</f>
        <v/>
      </c>
      <c r="B76" s="17">
        <f t="array" ref="B76">INDEX(Data_DBD!$E:$E,$A76)</f>
        <v/>
      </c>
      <c r="C76" s="17">
        <f t="array" ref="C76">INDEX(Data_DBD!$F:$F,$A76)</f>
        <v/>
      </c>
      <c r="H76" s="39" t="n">
        <v>122</v>
      </c>
      <c r="I76" s="39" t="n">
        <v>1</v>
      </c>
      <c r="J76" s="39" t="inlineStr">
        <is>
          <t>Tinggi</t>
        </is>
      </c>
    </row>
    <row r="77" s="1">
      <c r="A77" s="17">
        <f>RANDBETWEEN(2,164)</f>
        <v/>
      </c>
      <c r="B77" s="17">
        <f t="array" ref="B77">INDEX(Data_DBD!$E:$E,$A77)</f>
        <v/>
      </c>
      <c r="C77" s="17">
        <f t="array" ref="C77">INDEX(Data_DBD!$F:$F,$A77)</f>
        <v/>
      </c>
      <c r="H77" s="39" t="n">
        <v>147</v>
      </c>
      <c r="I77" s="39" t="n">
        <v>1</v>
      </c>
      <c r="J77" s="39" t="inlineStr">
        <is>
          <t>Tinggi</t>
        </is>
      </c>
    </row>
    <row r="78" s="1">
      <c r="A78" s="17">
        <f>RANDBETWEEN(2,164)</f>
        <v/>
      </c>
      <c r="B78" s="17">
        <f t="array" ref="B78">INDEX(Data_DBD!$E:$E,$A78)</f>
        <v/>
      </c>
      <c r="C78" s="17">
        <f t="array" ref="C78">INDEX(Data_DBD!$F:$F,$A78)</f>
        <v/>
      </c>
      <c r="H78" s="39" t="n">
        <v>33</v>
      </c>
      <c r="I78" s="39" t="n">
        <v>1</v>
      </c>
      <c r="J78" s="39" t="inlineStr">
        <is>
          <t>Sedang</t>
        </is>
      </c>
    </row>
    <row r="79" s="1">
      <c r="A79" s="17">
        <f>RANDBETWEEN(2,164)</f>
        <v/>
      </c>
      <c r="B79" s="17">
        <f t="array" ref="B79">INDEX(Data_DBD!$E:$E,$A79)</f>
        <v/>
      </c>
      <c r="C79" s="17">
        <f t="array" ref="C79">INDEX(Data_DBD!$F:$F,$A79)</f>
        <v/>
      </c>
      <c r="H79" s="39" t="n">
        <v>42</v>
      </c>
      <c r="I79" s="39" t="n">
        <v>1</v>
      </c>
      <c r="J79" s="39" t="inlineStr">
        <is>
          <t>Sedang</t>
        </is>
      </c>
    </row>
    <row r="80" s="1">
      <c r="A80" s="17">
        <f>RANDBETWEEN(2,164)</f>
        <v/>
      </c>
      <c r="B80" s="17">
        <f t="array" ref="B80">INDEX(Data_DBD!$E:$E,$A80)</f>
        <v/>
      </c>
      <c r="C80" s="17">
        <f t="array" ref="C80">INDEX(Data_DBD!$F:$F,$A80)</f>
        <v/>
      </c>
      <c r="H80" s="39" t="n">
        <v>74</v>
      </c>
      <c r="I80" s="39" t="n">
        <v>0</v>
      </c>
      <c r="J80" s="39" t="inlineStr">
        <is>
          <t>Sedang</t>
        </is>
      </c>
    </row>
    <row r="81" s="1">
      <c r="A81" s="17">
        <f>RANDBETWEEN(2,164)</f>
        <v/>
      </c>
      <c r="B81" s="17">
        <f t="array" ref="B81">INDEX(Data_DBD!$E:$E,$A81)</f>
        <v/>
      </c>
      <c r="C81" s="17">
        <f t="array" ref="C81">INDEX(Data_DBD!$F:$F,$A81)</f>
        <v/>
      </c>
      <c r="H81" s="39" t="n">
        <v>60</v>
      </c>
      <c r="I81" s="39" t="n">
        <v>0</v>
      </c>
      <c r="J81" s="39" t="inlineStr">
        <is>
          <t>Sedang</t>
        </is>
      </c>
    </row>
    <row r="82" s="1">
      <c r="A82" s="17">
        <f>RANDBETWEEN(2,164)</f>
        <v/>
      </c>
      <c r="B82" s="17">
        <f t="array" ref="B82">INDEX(Data_DBD!$E:$E,$A82)</f>
        <v/>
      </c>
      <c r="C82" s="17">
        <f t="array" ref="C82">INDEX(Data_DBD!$F:$F,$A82)</f>
        <v/>
      </c>
      <c r="H82" s="39" t="n">
        <v>67</v>
      </c>
      <c r="I82" s="39" t="n">
        <v>1</v>
      </c>
      <c r="J82" s="39" t="inlineStr">
        <is>
          <t>Sedang</t>
        </is>
      </c>
    </row>
    <row r="83" s="1">
      <c r="A83" s="17">
        <f>RANDBETWEEN(2,164)</f>
        <v/>
      </c>
      <c r="B83" s="17">
        <f t="array" ref="B83">INDEX(Data_DBD!$E:$E,$A83)</f>
        <v/>
      </c>
      <c r="C83" s="17">
        <f t="array" ref="C83">INDEX(Data_DBD!$F:$F,$A83)</f>
        <v/>
      </c>
      <c r="H83" s="39" t="n">
        <v>92</v>
      </c>
      <c r="I83" s="39" t="n">
        <v>0</v>
      </c>
      <c r="J83" s="39" t="inlineStr">
        <is>
          <t>Tinggi</t>
        </is>
      </c>
    </row>
    <row r="84" s="1">
      <c r="A84" s="17">
        <f>RANDBETWEEN(2,164)</f>
        <v/>
      </c>
      <c r="B84" s="17">
        <f t="array" ref="B84">INDEX(Data_DBD!$E:$E,$A84)</f>
        <v/>
      </c>
      <c r="C84" s="17">
        <f t="array" ref="C84">INDEX(Data_DBD!$F:$F,$A84)</f>
        <v/>
      </c>
      <c r="H84" s="39" t="n">
        <v>90</v>
      </c>
      <c r="I84" s="39" t="n">
        <v>0</v>
      </c>
      <c r="J84" s="39" t="inlineStr">
        <is>
          <t>Tinggi</t>
        </is>
      </c>
    </row>
    <row r="85" s="1">
      <c r="A85" s="17">
        <f>RANDBETWEEN(2,164)</f>
        <v/>
      </c>
      <c r="B85" s="17">
        <f t="array" ref="B85">INDEX(Data_DBD!$E:$E,$A85)</f>
        <v/>
      </c>
      <c r="C85" s="17">
        <f t="array" ref="C85">INDEX(Data_DBD!$F:$F,$A85)</f>
        <v/>
      </c>
      <c r="H85" s="39" t="n">
        <v>71</v>
      </c>
      <c r="I85" s="39" t="n">
        <v>0</v>
      </c>
      <c r="J85" s="39" t="inlineStr">
        <is>
          <t>Sedang</t>
        </is>
      </c>
    </row>
    <row r="86" s="1">
      <c r="A86" s="17">
        <f>RANDBETWEEN(2,164)</f>
        <v/>
      </c>
      <c r="B86" s="17">
        <f t="array" ref="B86">INDEX(Data_DBD!$E:$E,$A86)</f>
        <v/>
      </c>
      <c r="C86" s="17">
        <f t="array" ref="C86">INDEX(Data_DBD!$F:$F,$A86)</f>
        <v/>
      </c>
      <c r="H86" s="39" t="n">
        <v>158</v>
      </c>
      <c r="I86" s="39" t="n">
        <v>0</v>
      </c>
      <c r="J86" s="39" t="inlineStr">
        <is>
          <t>Tinggi</t>
        </is>
      </c>
    </row>
    <row r="87" s="1">
      <c r="A87" s="17">
        <f>RANDBETWEEN(2,164)</f>
        <v/>
      </c>
      <c r="B87" s="17">
        <f t="array" ref="B87">INDEX(Data_DBD!$E:$E,$A87)</f>
        <v/>
      </c>
      <c r="C87" s="17">
        <f t="array" ref="C87">INDEX(Data_DBD!$F:$F,$A87)</f>
        <v/>
      </c>
      <c r="H87" s="39" t="n">
        <v>76</v>
      </c>
      <c r="I87" s="39" t="n">
        <v>0</v>
      </c>
      <c r="J87" s="39" t="inlineStr">
        <is>
          <t>Sedang</t>
        </is>
      </c>
    </row>
    <row r="88" s="1">
      <c r="A88" s="17">
        <f>RANDBETWEEN(2,164)</f>
        <v/>
      </c>
      <c r="B88" s="17">
        <f t="array" ref="B88">INDEX(Data_DBD!$E:$E,$A88)</f>
        <v/>
      </c>
      <c r="C88" s="17">
        <f t="array" ref="C88">INDEX(Data_DBD!$F:$F,$A88)</f>
        <v/>
      </c>
      <c r="H88" s="39" t="n">
        <v>130</v>
      </c>
      <c r="I88" s="39" t="n">
        <v>0</v>
      </c>
      <c r="J88" s="39" t="inlineStr">
        <is>
          <t>Tinggi</t>
        </is>
      </c>
    </row>
    <row r="89" s="1">
      <c r="A89" s="17">
        <f>RANDBETWEEN(2,164)</f>
        <v/>
      </c>
      <c r="B89" s="17">
        <f t="array" ref="B89">INDEX(Data_DBD!$E:$E,$A89)</f>
        <v/>
      </c>
      <c r="C89" s="17">
        <f t="array" ref="C89">INDEX(Data_DBD!$F:$F,$A89)</f>
        <v/>
      </c>
      <c r="H89" s="39" t="n">
        <v>137</v>
      </c>
      <c r="I89" s="39" t="n">
        <v>1</v>
      </c>
      <c r="J89" s="39" t="inlineStr">
        <is>
          <t>Tinggi</t>
        </is>
      </c>
    </row>
    <row r="90" s="1">
      <c r="A90" s="17">
        <f>RANDBETWEEN(2,164)</f>
        <v/>
      </c>
      <c r="B90" s="17">
        <f t="array" ref="B90">INDEX(Data_DBD!$E:$E,$A90)</f>
        <v/>
      </c>
      <c r="C90" s="17">
        <f t="array" ref="C90">INDEX(Data_DBD!$F:$F,$A90)</f>
        <v/>
      </c>
      <c r="H90" s="39" t="n">
        <v>131</v>
      </c>
      <c r="I90" s="39" t="n">
        <v>0</v>
      </c>
      <c r="J90" s="39" t="inlineStr">
        <is>
          <t>Tinggi</t>
        </is>
      </c>
    </row>
    <row r="91" s="1">
      <c r="A91" s="17">
        <f>RANDBETWEEN(2,164)</f>
        <v/>
      </c>
      <c r="B91" s="17">
        <f t="array" ref="B91">INDEX(Data_DBD!$E:$E,$A91)</f>
        <v/>
      </c>
      <c r="C91" s="17">
        <f t="array" ref="C91">INDEX(Data_DBD!$F:$F,$A91)</f>
        <v/>
      </c>
      <c r="H91" s="39" t="n">
        <v>161</v>
      </c>
      <c r="I91" s="39" t="n">
        <v>1</v>
      </c>
      <c r="J91" s="39" t="inlineStr">
        <is>
          <t>Tinggi</t>
        </is>
      </c>
    </row>
    <row r="92" s="1">
      <c r="A92" s="17">
        <f>RANDBETWEEN(2,164)</f>
        <v/>
      </c>
      <c r="B92" s="17">
        <f t="array" ref="B92">INDEX(Data_DBD!$E:$E,$A92)</f>
        <v/>
      </c>
      <c r="C92" s="17">
        <f t="array" ref="C92">INDEX(Data_DBD!$F:$F,$A92)</f>
        <v/>
      </c>
      <c r="H92" s="39" t="n">
        <v>125</v>
      </c>
      <c r="I92" s="39" t="n">
        <v>0</v>
      </c>
      <c r="J92" s="39" t="inlineStr">
        <is>
          <t>Tinggi</t>
        </is>
      </c>
    </row>
    <row r="93" s="1">
      <c r="A93" s="17">
        <f>RANDBETWEEN(2,164)</f>
        <v/>
      </c>
      <c r="B93" s="17">
        <f t="array" ref="B93">INDEX(Data_DBD!$E:$E,$A93)</f>
        <v/>
      </c>
      <c r="C93" s="17">
        <f t="array" ref="C93">INDEX(Data_DBD!$F:$F,$A93)</f>
        <v/>
      </c>
      <c r="H93" s="39" t="n">
        <v>100</v>
      </c>
      <c r="I93" s="39" t="n">
        <v>0</v>
      </c>
      <c r="J93" s="39" t="inlineStr">
        <is>
          <t>Tinggi</t>
        </is>
      </c>
    </row>
    <row r="94" s="1">
      <c r="A94" s="17">
        <f>RANDBETWEEN(2,164)</f>
        <v/>
      </c>
      <c r="B94" s="17">
        <f t="array" ref="B94">INDEX(Data_DBD!$E:$E,$A94)</f>
        <v/>
      </c>
      <c r="C94" s="17">
        <f t="array" ref="C94">INDEX(Data_DBD!$F:$F,$A94)</f>
        <v/>
      </c>
      <c r="H94" s="39" t="n">
        <v>94</v>
      </c>
      <c r="I94" s="39" t="n">
        <v>0</v>
      </c>
      <c r="J94" s="39" t="inlineStr">
        <is>
          <t>Tinggi</t>
        </is>
      </c>
    </row>
    <row r="95" s="1">
      <c r="A95" s="17">
        <f>RANDBETWEEN(2,164)</f>
        <v/>
      </c>
      <c r="B95" s="17">
        <f t="array" ref="B95">INDEX(Data_DBD!$E:$E,$A95)</f>
        <v/>
      </c>
      <c r="C95" s="17">
        <f t="array" ref="C95">INDEX(Data_DBD!$F:$F,$A95)</f>
        <v/>
      </c>
      <c r="H95" s="39" t="n">
        <v>68</v>
      </c>
      <c r="I95" s="39" t="n">
        <v>0</v>
      </c>
      <c r="J95" s="39" t="inlineStr">
        <is>
          <t>Sedang</t>
        </is>
      </c>
    </row>
    <row r="96" s="1">
      <c r="A96" s="17">
        <f>RANDBETWEEN(2,164)</f>
        <v/>
      </c>
      <c r="B96" s="17">
        <f t="array" ref="B96">INDEX(Data_DBD!$E:$E,$A96)</f>
        <v/>
      </c>
      <c r="C96" s="17">
        <f t="array" ref="C96">INDEX(Data_DBD!$F:$F,$A96)</f>
        <v/>
      </c>
      <c r="H96" s="39" t="n">
        <v>20</v>
      </c>
      <c r="I96" s="39" t="n">
        <v>0</v>
      </c>
      <c r="J96" s="39" t="inlineStr">
        <is>
          <t>Rendah</t>
        </is>
      </c>
    </row>
    <row r="97" s="1">
      <c r="A97" s="17">
        <f>RANDBETWEEN(2,164)</f>
        <v/>
      </c>
      <c r="B97" s="17">
        <f t="array" ref="B97">INDEX(Data_DBD!$E:$E,$A97)</f>
        <v/>
      </c>
      <c r="C97" s="17">
        <f t="array" ref="C97">INDEX(Data_DBD!$F:$F,$A97)</f>
        <v/>
      </c>
      <c r="H97" s="39" t="n">
        <v>6</v>
      </c>
      <c r="I97" s="39" t="n">
        <v>0</v>
      </c>
      <c r="J97" s="39" t="inlineStr">
        <is>
          <t>Sedang</t>
        </is>
      </c>
    </row>
    <row r="98" s="1">
      <c r="A98" s="17">
        <f>RANDBETWEEN(2,164)</f>
        <v/>
      </c>
      <c r="B98" s="17">
        <f t="array" ref="B98">INDEX(Data_DBD!$E:$E,$A98)</f>
        <v/>
      </c>
      <c r="C98" s="17">
        <f t="array" ref="C98">INDEX(Data_DBD!$F:$F,$A98)</f>
        <v/>
      </c>
      <c r="H98" s="39" t="n">
        <v>39</v>
      </c>
      <c r="I98" s="39" t="n">
        <v>1</v>
      </c>
      <c r="J98" s="39" t="inlineStr">
        <is>
          <t>Sedang</t>
        </is>
      </c>
    </row>
    <row r="99" s="1">
      <c r="A99" s="17">
        <f>RANDBETWEEN(2,164)</f>
        <v/>
      </c>
      <c r="B99" s="17">
        <f t="array" ref="B99">INDEX(Data_DBD!$E:$E,$A99)</f>
        <v/>
      </c>
      <c r="C99" s="17">
        <f t="array" ref="C99">INDEX(Data_DBD!$F:$F,$A99)</f>
        <v/>
      </c>
      <c r="H99" s="39" t="n">
        <v>42</v>
      </c>
      <c r="I99" s="39" t="n">
        <v>1</v>
      </c>
      <c r="J99" s="39" t="inlineStr">
        <is>
          <t>Sedang</t>
        </is>
      </c>
    </row>
    <row r="100" s="1">
      <c r="A100" s="17">
        <f>RANDBETWEEN(2,164)</f>
        <v/>
      </c>
      <c r="B100" s="17">
        <f t="array" ref="B100">INDEX(Data_DBD!$E:$E,$A100)</f>
        <v/>
      </c>
      <c r="C100" s="17">
        <f t="array" ref="C100">INDEX(Data_DBD!$F:$F,$A100)</f>
        <v/>
      </c>
      <c r="H100" s="39" t="n">
        <v>74</v>
      </c>
      <c r="I100" s="39" t="n">
        <v>0</v>
      </c>
      <c r="J100" s="39" t="inlineStr">
        <is>
          <t>Sedang</t>
        </is>
      </c>
    </row>
    <row r="101" s="1">
      <c r="A101" s="17">
        <f>RANDBETWEEN(2,164)</f>
        <v/>
      </c>
      <c r="B101" s="17">
        <f t="array" ref="B101">INDEX(Data_DBD!$E:$E,$A101)</f>
        <v/>
      </c>
      <c r="C101" s="17">
        <f t="array" ref="C101">INDEX(Data_DBD!$F:$F,$A101)</f>
        <v/>
      </c>
      <c r="H101" s="39" t="n">
        <v>120</v>
      </c>
      <c r="I101" s="39" t="n">
        <v>1</v>
      </c>
      <c r="J101" s="39" t="inlineStr">
        <is>
          <t>Tinggi</t>
        </is>
      </c>
    </row>
    <row r="102" s="1">
      <c r="A102" s="17">
        <f>RANDBETWEEN(2,164)</f>
        <v/>
      </c>
      <c r="B102" s="17">
        <f t="array" ref="B102">INDEX(Data_DBD!$E:$E,$A102)</f>
        <v/>
      </c>
      <c r="C102" s="17">
        <f t="array" ref="C102">INDEX(Data_DBD!$F:$F,$A102)</f>
        <v/>
      </c>
      <c r="H102" s="39" t="n">
        <v>66</v>
      </c>
      <c r="I102" s="39" t="n">
        <v>1</v>
      </c>
      <c r="J102" s="39" t="inlineStr">
        <is>
          <t>Sedang</t>
        </is>
      </c>
    </row>
    <row r="103" s="1">
      <c r="A103" s="17">
        <f>RANDBETWEEN(2,164)</f>
        <v/>
      </c>
      <c r="B103" s="17">
        <f t="array" ref="B103">INDEX(Data_DBD!$E:$E,$A103)</f>
        <v/>
      </c>
      <c r="C103" s="17">
        <f t="array" ref="C103">INDEX(Data_DBD!$F:$F,$A103)</f>
        <v/>
      </c>
      <c r="H103" s="39" t="n">
        <v>150</v>
      </c>
      <c r="I103" s="39" t="n">
        <v>1</v>
      </c>
      <c r="J103" s="39" t="inlineStr">
        <is>
          <t>Tinggi</t>
        </is>
      </c>
    </row>
    <row r="104" s="1">
      <c r="A104" s="17">
        <f>RANDBETWEEN(2,164)</f>
        <v/>
      </c>
      <c r="B104" s="17">
        <f t="array" ref="B104">INDEX(Data_DBD!$E:$E,$A104)</f>
        <v/>
      </c>
      <c r="C104" s="17">
        <f t="array" ref="C104">INDEX(Data_DBD!$F:$F,$A104)</f>
        <v/>
      </c>
      <c r="H104" s="39" t="n">
        <v>159</v>
      </c>
      <c r="I104" s="39" t="n">
        <v>0</v>
      </c>
      <c r="J104" s="39" t="inlineStr">
        <is>
          <t>Tinggi</t>
        </is>
      </c>
    </row>
    <row r="105" s="1">
      <c r="A105" s="17">
        <f>RANDBETWEEN(2,164)</f>
        <v/>
      </c>
      <c r="B105" s="17">
        <f t="array" ref="B105">INDEX(Data_DBD!$E:$E,$A105)</f>
        <v/>
      </c>
      <c r="C105" s="17">
        <f t="array" ref="C105">INDEX(Data_DBD!$F:$F,$A105)</f>
        <v/>
      </c>
      <c r="H105" s="39" t="n">
        <v>25</v>
      </c>
      <c r="I105" s="39" t="n">
        <v>0</v>
      </c>
      <c r="J105" s="39" t="inlineStr">
        <is>
          <t>Sedang</t>
        </is>
      </c>
    </row>
    <row r="106" s="1">
      <c r="A106" s="17">
        <f>RANDBETWEEN(2,164)</f>
        <v/>
      </c>
      <c r="B106" s="17">
        <f t="array" ref="B106">INDEX(Data_DBD!$E:$E,$A106)</f>
        <v/>
      </c>
      <c r="C106" s="17">
        <f t="array" ref="C106">INDEX(Data_DBD!$F:$F,$A106)</f>
        <v/>
      </c>
      <c r="H106" s="39" t="n">
        <v>53</v>
      </c>
      <c r="I106" s="39" t="n">
        <v>1</v>
      </c>
      <c r="J106" s="39" t="inlineStr">
        <is>
          <t>Sedang</t>
        </is>
      </c>
    </row>
    <row r="107" s="1">
      <c r="A107" s="17">
        <f>RANDBETWEEN(2,164)</f>
        <v/>
      </c>
      <c r="B107" s="17">
        <f t="array" ref="B107">INDEX(Data_DBD!$E:$E,$A107)</f>
        <v/>
      </c>
      <c r="C107" s="17">
        <f t="array" ref="C107">INDEX(Data_DBD!$F:$F,$A107)</f>
        <v/>
      </c>
      <c r="H107" s="39" t="n">
        <v>92</v>
      </c>
      <c r="I107" s="39" t="n">
        <v>0</v>
      </c>
      <c r="J107" s="39" t="inlineStr">
        <is>
          <t>Tinggi</t>
        </is>
      </c>
    </row>
    <row r="108" s="1">
      <c r="A108" s="17">
        <f>RANDBETWEEN(2,164)</f>
        <v/>
      </c>
      <c r="B108" s="17">
        <f t="array" ref="B108">INDEX(Data_DBD!$E:$E,$A108)</f>
        <v/>
      </c>
      <c r="C108" s="17">
        <f t="array" ref="C108">INDEX(Data_DBD!$F:$F,$A108)</f>
        <v/>
      </c>
      <c r="H108" s="39" t="n">
        <v>42</v>
      </c>
      <c r="I108" s="39" t="n">
        <v>1</v>
      </c>
      <c r="J108" s="39" t="inlineStr">
        <is>
          <t>Sedang</t>
        </is>
      </c>
    </row>
    <row r="109" s="1">
      <c r="A109" s="17">
        <f>RANDBETWEEN(2,164)</f>
        <v/>
      </c>
      <c r="B109" s="17">
        <f t="array" ref="B109">INDEX(Data_DBD!$E:$E,$A109)</f>
        <v/>
      </c>
      <c r="C109" s="17">
        <f t="array" ref="C109">INDEX(Data_DBD!$F:$F,$A109)</f>
        <v/>
      </c>
      <c r="H109" s="39" t="n">
        <v>48</v>
      </c>
      <c r="I109" s="39" t="n">
        <v>1</v>
      </c>
      <c r="J109" s="39" t="inlineStr">
        <is>
          <t>Sedang</t>
        </is>
      </c>
    </row>
    <row r="110" s="1">
      <c r="A110" s="17">
        <f>RANDBETWEEN(2,164)</f>
        <v/>
      </c>
      <c r="B110" s="17">
        <f t="array" ref="B110">INDEX(Data_DBD!$E:$E,$A110)</f>
        <v/>
      </c>
      <c r="C110" s="17">
        <f t="array" ref="C110">INDEX(Data_DBD!$F:$F,$A110)</f>
        <v/>
      </c>
      <c r="H110" s="39" t="n">
        <v>148</v>
      </c>
      <c r="I110" s="39" t="n">
        <v>1</v>
      </c>
      <c r="J110" s="39" t="inlineStr">
        <is>
          <t>Tinggi</t>
        </is>
      </c>
    </row>
    <row r="111" s="1">
      <c r="A111" s="17">
        <f>RANDBETWEEN(2,164)</f>
        <v/>
      </c>
      <c r="B111" s="17">
        <f t="array" ref="B111">INDEX(Data_DBD!$E:$E,$A111)</f>
        <v/>
      </c>
      <c r="C111" s="17">
        <f t="array" ref="C111">INDEX(Data_DBD!$F:$F,$A111)</f>
        <v/>
      </c>
      <c r="H111" s="39" t="n">
        <v>103</v>
      </c>
      <c r="I111" s="39" t="n">
        <v>0</v>
      </c>
      <c r="J111" s="39" t="inlineStr">
        <is>
          <t>Tinggi</t>
        </is>
      </c>
    </row>
    <row r="112" s="1">
      <c r="A112" s="17">
        <f>RANDBETWEEN(2,164)</f>
        <v/>
      </c>
      <c r="B112" s="17">
        <f t="array" ref="B112">INDEX(Data_DBD!$E:$E,$A112)</f>
        <v/>
      </c>
      <c r="C112" s="17">
        <f t="array" ref="C112">INDEX(Data_DBD!$F:$F,$A112)</f>
        <v/>
      </c>
      <c r="H112" s="39" t="n">
        <v>58</v>
      </c>
      <c r="I112" s="39" t="n">
        <v>0</v>
      </c>
      <c r="J112" s="39" t="inlineStr">
        <is>
          <t>Sedang</t>
        </is>
      </c>
    </row>
    <row r="113" s="1">
      <c r="A113" s="17">
        <f>RANDBETWEEN(2,164)</f>
        <v/>
      </c>
      <c r="B113" s="17">
        <f t="array" ref="B113">INDEX(Data_DBD!$E:$E,$A113)</f>
        <v/>
      </c>
      <c r="C113" s="17">
        <f t="array" ref="C113">INDEX(Data_DBD!$F:$F,$A113)</f>
        <v/>
      </c>
      <c r="H113" s="39" t="n">
        <v>100</v>
      </c>
      <c r="I113" s="39" t="n">
        <v>0</v>
      </c>
      <c r="J113" s="39" t="inlineStr">
        <is>
          <t>Tinggi</t>
        </is>
      </c>
    </row>
    <row r="114" s="1">
      <c r="A114" s="17">
        <f>RANDBETWEEN(2,164)</f>
        <v/>
      </c>
      <c r="B114" s="17">
        <f t="array" ref="B114">INDEX(Data_DBD!$E:$E,$A114)</f>
        <v/>
      </c>
      <c r="C114" s="17">
        <f t="array" ref="C114">INDEX(Data_DBD!$F:$F,$A114)</f>
        <v/>
      </c>
      <c r="H114" s="39" t="n">
        <v>143</v>
      </c>
      <c r="I114" s="39" t="n">
        <v>1</v>
      </c>
      <c r="J114" s="39" t="inlineStr">
        <is>
          <t>Tinggi</t>
        </is>
      </c>
    </row>
    <row r="115" s="1">
      <c r="A115" s="17">
        <f>RANDBETWEEN(2,164)</f>
        <v/>
      </c>
      <c r="B115" s="17">
        <f t="array" ref="B115">INDEX(Data_DBD!$E:$E,$A115)</f>
        <v/>
      </c>
      <c r="C115" s="17">
        <f t="array" ref="C115">INDEX(Data_DBD!$F:$F,$A115)</f>
        <v/>
      </c>
      <c r="H115" s="39" t="n">
        <v>48</v>
      </c>
      <c r="I115" s="39" t="n">
        <v>1</v>
      </c>
      <c r="J115" s="39" t="inlineStr">
        <is>
          <t>Sedang</t>
        </is>
      </c>
    </row>
    <row r="116" s="1">
      <c r="A116" s="17">
        <f>RANDBETWEEN(2,164)</f>
        <v/>
      </c>
      <c r="B116" s="17">
        <f t="array" ref="B116">INDEX(Data_DBD!$E:$E,$A116)</f>
        <v/>
      </c>
      <c r="C116" s="17">
        <f t="array" ref="C116">INDEX(Data_DBD!$F:$F,$A116)</f>
        <v/>
      </c>
      <c r="H116" s="39" t="n">
        <v>76</v>
      </c>
      <c r="I116" s="39" t="n">
        <v>0</v>
      </c>
      <c r="J116" s="39" t="inlineStr">
        <is>
          <t>Sedang</t>
        </is>
      </c>
    </row>
    <row r="117" s="1">
      <c r="A117" s="17">
        <f>RANDBETWEEN(2,164)</f>
        <v/>
      </c>
      <c r="B117" s="17">
        <f t="array" ref="B117">INDEX(Data_DBD!$E:$E,$A117)</f>
        <v/>
      </c>
      <c r="C117" s="17">
        <f t="array" ref="C117">INDEX(Data_DBD!$F:$F,$A117)</f>
        <v/>
      </c>
      <c r="H117" s="39" t="n">
        <v>155</v>
      </c>
      <c r="I117" s="39" t="n">
        <v>1</v>
      </c>
      <c r="J117" s="39" t="inlineStr">
        <is>
          <t>Tinggi</t>
        </is>
      </c>
    </row>
    <row r="118" s="1">
      <c r="A118" s="17">
        <f>RANDBETWEEN(2,164)</f>
        <v/>
      </c>
      <c r="B118" s="17">
        <f t="array" ref="B118">INDEX(Data_DBD!$E:$E,$A118)</f>
        <v/>
      </c>
      <c r="C118" s="17">
        <f t="array" ref="C118">INDEX(Data_DBD!$F:$F,$A118)</f>
        <v/>
      </c>
      <c r="H118" s="39" t="n">
        <v>130</v>
      </c>
      <c r="I118" s="39" t="n">
        <v>0</v>
      </c>
      <c r="J118" s="39" t="inlineStr">
        <is>
          <t>Tinggi</t>
        </is>
      </c>
    </row>
    <row r="119" s="1">
      <c r="A119" s="17">
        <f>RANDBETWEEN(2,164)</f>
        <v/>
      </c>
      <c r="B119" s="17">
        <f t="array" ref="B119">INDEX(Data_DBD!$E:$E,$A119)</f>
        <v/>
      </c>
      <c r="C119" s="17">
        <f t="array" ref="C119">INDEX(Data_DBD!$F:$F,$A119)</f>
        <v/>
      </c>
      <c r="H119" s="39" t="n">
        <v>75</v>
      </c>
      <c r="I119" s="39" t="n">
        <v>1</v>
      </c>
      <c r="J119" s="39" t="inlineStr">
        <is>
          <t>Sedang</t>
        </is>
      </c>
    </row>
    <row r="120" s="1">
      <c r="A120" s="17">
        <f>RANDBETWEEN(2,164)</f>
        <v/>
      </c>
      <c r="B120" s="17">
        <f t="array" ref="B120">INDEX(Data_DBD!$E:$E,$A120)</f>
        <v/>
      </c>
      <c r="C120" s="17">
        <f t="array" ref="C120">INDEX(Data_DBD!$F:$F,$A120)</f>
        <v/>
      </c>
      <c r="H120" s="39" t="n">
        <v>121</v>
      </c>
      <c r="I120" s="39" t="n">
        <v>1</v>
      </c>
      <c r="J120" s="39" t="inlineStr">
        <is>
          <t>Tinggi</t>
        </is>
      </c>
    </row>
    <row r="121" s="1">
      <c r="A121" s="17">
        <f>RANDBETWEEN(2,164)</f>
        <v/>
      </c>
      <c r="B121" s="17">
        <f t="array" ref="B121">INDEX(Data_DBD!$E:$E,$A121)</f>
        <v/>
      </c>
      <c r="C121" s="17">
        <f t="array" ref="C121">INDEX(Data_DBD!$F:$F,$A121)</f>
        <v/>
      </c>
      <c r="H121" s="39" t="n">
        <v>125</v>
      </c>
      <c r="I121" s="39" t="n">
        <v>0</v>
      </c>
      <c r="J121" s="39" t="inlineStr">
        <is>
          <t>Tinggi</t>
        </is>
      </c>
    </row>
    <row r="122" s="1">
      <c r="A122" s="17">
        <f>RANDBETWEEN(2,164)</f>
        <v/>
      </c>
      <c r="B122" s="17">
        <f t="array" ref="B122">INDEX(Data_DBD!$E:$E,$A122)</f>
        <v/>
      </c>
      <c r="C122" s="17">
        <f t="array" ref="C122">INDEX(Data_DBD!$F:$F,$A122)</f>
        <v/>
      </c>
      <c r="H122" s="39" t="n">
        <v>36</v>
      </c>
      <c r="I122" s="39" t="n">
        <v>1</v>
      </c>
      <c r="J122" s="39" t="inlineStr">
        <is>
          <t>Rendah</t>
        </is>
      </c>
    </row>
    <row r="123" s="1">
      <c r="A123" s="17">
        <f>RANDBETWEEN(2,164)</f>
        <v/>
      </c>
      <c r="B123" s="17">
        <f t="array" ref="B123">INDEX(Data_DBD!$E:$E,$A123)</f>
        <v/>
      </c>
      <c r="C123" s="17">
        <f t="array" ref="C123">INDEX(Data_DBD!$F:$F,$A123)</f>
        <v/>
      </c>
      <c r="H123" s="39" t="n">
        <v>55</v>
      </c>
      <c r="I123" s="39" t="n">
        <v>1</v>
      </c>
      <c r="J123" s="39" t="inlineStr">
        <is>
          <t>Sedang</t>
        </is>
      </c>
    </row>
    <row r="124" s="1">
      <c r="A124" s="17">
        <f>RANDBETWEEN(2,164)</f>
        <v/>
      </c>
      <c r="B124" s="17">
        <f t="array" ref="B124">INDEX(Data_DBD!$E:$E,$A124)</f>
        <v/>
      </c>
      <c r="C124" s="17">
        <f t="array" ref="C124">INDEX(Data_DBD!$F:$F,$A124)</f>
        <v/>
      </c>
      <c r="H124" s="39" t="n">
        <v>45</v>
      </c>
      <c r="I124" s="39" t="n">
        <v>1</v>
      </c>
      <c r="J124" s="39" t="inlineStr">
        <is>
          <t>Sedang</t>
        </is>
      </c>
    </row>
    <row r="125" s="1">
      <c r="A125" s="17">
        <f>RANDBETWEEN(2,164)</f>
        <v/>
      </c>
      <c r="B125" s="17">
        <f t="array" ref="B125">INDEX(Data_DBD!$E:$E,$A125)</f>
        <v/>
      </c>
      <c r="C125" s="17">
        <f t="array" ref="C125">INDEX(Data_DBD!$F:$F,$A125)</f>
        <v/>
      </c>
      <c r="H125" s="39" t="n">
        <v>154</v>
      </c>
      <c r="I125" s="39" t="n">
        <v>1</v>
      </c>
      <c r="J125" s="39" t="inlineStr">
        <is>
          <t>Tinggi</t>
        </is>
      </c>
    </row>
    <row r="126" s="1">
      <c r="A126" s="17">
        <f>RANDBETWEEN(2,164)</f>
        <v/>
      </c>
      <c r="B126" s="17">
        <f t="array" ref="B126">INDEX(Data_DBD!$E:$E,$A126)</f>
        <v/>
      </c>
      <c r="C126" s="17">
        <f t="array" ref="C126">INDEX(Data_DBD!$F:$F,$A126)</f>
        <v/>
      </c>
      <c r="H126" s="39" t="n">
        <v>163</v>
      </c>
      <c r="I126" s="39" t="n">
        <v>1</v>
      </c>
      <c r="J126" s="39" t="inlineStr">
        <is>
          <t>Rendah</t>
        </is>
      </c>
    </row>
    <row r="127" s="1">
      <c r="A127" s="17">
        <f>RANDBETWEEN(2,164)</f>
        <v/>
      </c>
      <c r="B127" s="17">
        <f t="array" ref="B127">INDEX(Data_DBD!$E:$E,$A127)</f>
        <v/>
      </c>
      <c r="C127" s="17">
        <f t="array" ref="C127">INDEX(Data_DBD!$F:$F,$A127)</f>
        <v/>
      </c>
      <c r="H127" s="39" t="n">
        <v>104</v>
      </c>
      <c r="I127" s="39" t="n">
        <v>1</v>
      </c>
      <c r="J127" s="39" t="inlineStr">
        <is>
          <t>Tinggi</t>
        </is>
      </c>
    </row>
    <row r="128" s="1">
      <c r="A128" s="17">
        <f>RANDBETWEEN(2,164)</f>
        <v/>
      </c>
      <c r="B128" s="17">
        <f t="array" ref="B128">INDEX(Data_DBD!$E:$E,$A128)</f>
        <v/>
      </c>
      <c r="C128" s="17">
        <f t="array" ref="C128">INDEX(Data_DBD!$F:$F,$A128)</f>
        <v/>
      </c>
      <c r="H128" s="39" t="n">
        <v>98</v>
      </c>
      <c r="I128" s="39" t="n">
        <v>1</v>
      </c>
      <c r="J128" s="39" t="inlineStr">
        <is>
          <t>Tinggi</t>
        </is>
      </c>
    </row>
    <row r="129" s="1">
      <c r="A129" s="17">
        <f>RANDBETWEEN(2,164)</f>
        <v/>
      </c>
      <c r="B129" s="17">
        <f t="array" ref="B129">INDEX(Data_DBD!$E:$E,$A129)</f>
        <v/>
      </c>
      <c r="C129" s="17">
        <f t="array" ref="C129">INDEX(Data_DBD!$F:$F,$A129)</f>
        <v/>
      </c>
      <c r="H129" s="39" t="n">
        <v>153</v>
      </c>
      <c r="I129" s="39" t="n">
        <v>1</v>
      </c>
      <c r="J129" s="39" t="inlineStr">
        <is>
          <t>Tinggi</t>
        </is>
      </c>
    </row>
    <row r="130" s="1">
      <c r="A130" s="17">
        <f>RANDBETWEEN(2,164)</f>
        <v/>
      </c>
      <c r="B130" s="17">
        <f t="array" ref="B130">INDEX(Data_DBD!$E:$E,$A130)</f>
        <v/>
      </c>
      <c r="C130" s="17">
        <f t="array" ref="C130">INDEX(Data_DBD!$F:$F,$A130)</f>
        <v/>
      </c>
      <c r="H130" s="39" t="n">
        <v>156</v>
      </c>
      <c r="I130" s="39" t="n">
        <v>0</v>
      </c>
      <c r="J130" s="39" t="inlineStr">
        <is>
          <t>Tinggi</t>
        </is>
      </c>
    </row>
    <row r="131" s="1">
      <c r="A131" s="17">
        <f>RANDBETWEEN(2,164)</f>
        <v/>
      </c>
      <c r="B131" s="17">
        <f t="array" ref="B131">INDEX(Data_DBD!$E:$E,$A131)</f>
        <v/>
      </c>
      <c r="C131" s="17">
        <f t="array" ref="C131">INDEX(Data_DBD!$F:$F,$A131)</f>
        <v/>
      </c>
      <c r="H131" s="39" t="n">
        <v>129</v>
      </c>
      <c r="I131" s="39" t="n">
        <v>0</v>
      </c>
      <c r="J131" s="39" t="inlineStr">
        <is>
          <t>Tinggi</t>
        </is>
      </c>
    </row>
    <row r="132" s="1">
      <c r="A132" s="17">
        <f>RANDBETWEEN(2,164)</f>
        <v/>
      </c>
      <c r="B132" s="17">
        <f t="array" ref="B132">INDEX(Data_DBD!$E:$E,$A132)</f>
        <v/>
      </c>
      <c r="C132" s="17">
        <f t="array" ref="C132">INDEX(Data_DBD!$F:$F,$A132)</f>
        <v/>
      </c>
      <c r="H132" s="39" t="n">
        <v>115</v>
      </c>
      <c r="I132" s="39" t="n">
        <v>1</v>
      </c>
      <c r="J132" s="39" t="inlineStr">
        <is>
          <t>Tinggi</t>
        </is>
      </c>
    </row>
    <row r="133" s="1">
      <c r="A133" s="17">
        <f>RANDBETWEEN(2,164)</f>
        <v/>
      </c>
      <c r="B133" s="17">
        <f t="array" ref="B133">INDEX(Data_DBD!$E:$E,$A133)</f>
        <v/>
      </c>
      <c r="C133" s="17">
        <f t="array" ref="C133">INDEX(Data_DBD!$F:$F,$A133)</f>
        <v/>
      </c>
      <c r="H133" s="39" t="n">
        <v>105</v>
      </c>
      <c r="I133" s="39" t="n">
        <v>1</v>
      </c>
      <c r="J133" s="39" t="inlineStr">
        <is>
          <t>Tinggi</t>
        </is>
      </c>
    </row>
    <row r="134" s="1">
      <c r="A134" s="17">
        <f>RANDBETWEEN(2,164)</f>
        <v/>
      </c>
      <c r="B134" s="17">
        <f t="array" ref="B134">INDEX(Data_DBD!$E:$E,$A134)</f>
        <v/>
      </c>
      <c r="C134" s="17">
        <f t="array" ref="C134">INDEX(Data_DBD!$F:$F,$A134)</f>
        <v/>
      </c>
      <c r="H134" s="39" t="n">
        <v>96</v>
      </c>
      <c r="I134" s="39" t="n">
        <v>0</v>
      </c>
      <c r="J134" s="39" t="inlineStr">
        <is>
          <t>Tinggi</t>
        </is>
      </c>
    </row>
    <row r="135" s="1">
      <c r="A135" s="17">
        <f>RANDBETWEEN(2,164)</f>
        <v/>
      </c>
      <c r="B135" s="17">
        <f t="array" ref="B135">INDEX(Data_DBD!$E:$E,$A135)</f>
        <v/>
      </c>
      <c r="C135" s="17">
        <f t="array" ref="C135">INDEX(Data_DBD!$F:$F,$A135)</f>
        <v/>
      </c>
      <c r="H135" s="39" t="n">
        <v>6</v>
      </c>
      <c r="I135" s="39" t="n">
        <v>0</v>
      </c>
      <c r="J135" s="39" t="inlineStr">
        <is>
          <t>Sedang</t>
        </is>
      </c>
    </row>
    <row r="136" s="1">
      <c r="A136" s="17">
        <f>RANDBETWEEN(2,164)</f>
        <v/>
      </c>
      <c r="B136" s="17">
        <f t="array" ref="B136">INDEX(Data_DBD!$E:$E,$A136)</f>
        <v/>
      </c>
      <c r="C136" s="17">
        <f t="array" ref="C136">INDEX(Data_DBD!$F:$F,$A136)</f>
        <v/>
      </c>
      <c r="H136" s="39" t="n">
        <v>135</v>
      </c>
      <c r="I136" s="39" t="n">
        <v>0</v>
      </c>
      <c r="J136" s="39" t="inlineStr">
        <is>
          <t>Tinggi</t>
        </is>
      </c>
    </row>
    <row r="137" s="1">
      <c r="A137" s="17">
        <f>RANDBETWEEN(2,164)</f>
        <v/>
      </c>
      <c r="B137" s="17">
        <f t="array" ref="B137">INDEX(Data_DBD!$E:$E,$A137)</f>
        <v/>
      </c>
      <c r="C137" s="17">
        <f t="array" ref="C137">INDEX(Data_DBD!$F:$F,$A137)</f>
        <v/>
      </c>
      <c r="H137" s="39" t="n">
        <v>105</v>
      </c>
      <c r="I137" s="39" t="n">
        <v>1</v>
      </c>
      <c r="J137" s="39" t="inlineStr">
        <is>
          <t>Tinggi</t>
        </is>
      </c>
    </row>
    <row r="138" s="1">
      <c r="A138" s="17">
        <f>RANDBETWEEN(2,164)</f>
        <v/>
      </c>
      <c r="B138" s="17">
        <f t="array" ref="B138">INDEX(Data_DBD!$E:$E,$A138)</f>
        <v/>
      </c>
      <c r="C138" s="17">
        <f t="array" ref="C138">INDEX(Data_DBD!$F:$F,$A138)</f>
        <v/>
      </c>
      <c r="H138" s="39" t="n">
        <v>67</v>
      </c>
      <c r="I138" s="39" t="n">
        <v>1</v>
      </c>
      <c r="J138" s="39" t="inlineStr">
        <is>
          <t>Sedang</t>
        </is>
      </c>
    </row>
    <row r="139" s="1">
      <c r="A139" s="17">
        <f>RANDBETWEEN(2,164)</f>
        <v/>
      </c>
      <c r="B139" s="17">
        <f t="array" ref="B139">INDEX(Data_DBD!$E:$E,$A139)</f>
        <v/>
      </c>
      <c r="C139" s="17">
        <f t="array" ref="C139">INDEX(Data_DBD!$F:$F,$A139)</f>
        <v/>
      </c>
      <c r="H139" s="39" t="n">
        <v>135</v>
      </c>
      <c r="I139" s="39" t="n">
        <v>0</v>
      </c>
      <c r="J139" s="39" t="inlineStr">
        <is>
          <t>Tinggi</t>
        </is>
      </c>
    </row>
    <row r="140" s="1">
      <c r="A140" s="17">
        <f>RANDBETWEEN(2,164)</f>
        <v/>
      </c>
      <c r="B140" s="17">
        <f t="array" ref="B140">INDEX(Data_DBD!$E:$E,$A140)</f>
        <v/>
      </c>
      <c r="C140" s="17">
        <f t="array" ref="C140">INDEX(Data_DBD!$F:$F,$A140)</f>
        <v/>
      </c>
      <c r="H140" s="39" t="n">
        <v>93</v>
      </c>
      <c r="I140" s="39" t="n">
        <v>0</v>
      </c>
      <c r="J140" s="39" t="inlineStr">
        <is>
          <t>Tinggi</t>
        </is>
      </c>
    </row>
    <row r="141" s="1">
      <c r="A141" s="17">
        <f>RANDBETWEEN(2,164)</f>
        <v/>
      </c>
      <c r="B141" s="17">
        <f t="array" ref="B141">INDEX(Data_DBD!$E:$E,$A141)</f>
        <v/>
      </c>
      <c r="C141" s="17">
        <f t="array" ref="C141">INDEX(Data_DBD!$F:$F,$A141)</f>
        <v/>
      </c>
      <c r="H141" s="39" t="n">
        <v>101</v>
      </c>
      <c r="I141" s="39" t="n">
        <v>0</v>
      </c>
      <c r="J141" s="39" t="inlineStr">
        <is>
          <t>Tinggi</t>
        </is>
      </c>
    </row>
    <row r="142" s="1">
      <c r="A142" s="17">
        <f>RANDBETWEEN(2,164)</f>
        <v/>
      </c>
      <c r="B142" s="17">
        <f t="array" ref="B142">INDEX(Data_DBD!$E:$E,$A142)</f>
        <v/>
      </c>
      <c r="C142" s="17">
        <f t="array" ref="C142">INDEX(Data_DBD!$F:$F,$A142)</f>
        <v/>
      </c>
      <c r="H142" s="39" t="n">
        <v>158</v>
      </c>
      <c r="I142" s="39" t="n">
        <v>0</v>
      </c>
      <c r="J142" s="39" t="inlineStr">
        <is>
          <t>Tinggi</t>
        </is>
      </c>
    </row>
    <row r="143" s="1">
      <c r="A143" s="17">
        <f>RANDBETWEEN(2,164)</f>
        <v/>
      </c>
      <c r="B143" s="17">
        <f t="array" ref="B143">INDEX(Data_DBD!$E:$E,$A143)</f>
        <v/>
      </c>
      <c r="C143" s="17">
        <f t="array" ref="C143">INDEX(Data_DBD!$F:$F,$A143)</f>
        <v/>
      </c>
      <c r="H143" s="39" t="n">
        <v>78</v>
      </c>
      <c r="I143" s="39" t="n">
        <v>0</v>
      </c>
      <c r="J143" s="39" t="inlineStr">
        <is>
          <t>Sedang</t>
        </is>
      </c>
    </row>
    <row r="144" s="1">
      <c r="A144" s="17">
        <f>RANDBETWEEN(2,164)</f>
        <v/>
      </c>
      <c r="B144" s="17">
        <f t="array" ref="B144">INDEX(Data_DBD!$E:$E,$A144)</f>
        <v/>
      </c>
      <c r="C144" s="17">
        <f t="array" ref="C144">INDEX(Data_DBD!$F:$F,$A144)</f>
        <v/>
      </c>
      <c r="H144" s="39" t="n">
        <v>18</v>
      </c>
      <c r="I144" s="39" t="n">
        <v>1</v>
      </c>
      <c r="J144" s="39" t="inlineStr">
        <is>
          <t>Rendah</t>
        </is>
      </c>
    </row>
    <row r="145" s="1">
      <c r="A145" s="17">
        <f>RANDBETWEEN(2,164)</f>
        <v/>
      </c>
      <c r="B145" s="17">
        <f t="array" ref="B145">INDEX(Data_DBD!$E:$E,$A145)</f>
        <v/>
      </c>
      <c r="C145" s="17">
        <f t="array" ref="C145">INDEX(Data_DBD!$F:$F,$A145)</f>
        <v/>
      </c>
      <c r="H145" s="39" t="n">
        <v>24</v>
      </c>
      <c r="I145" s="39" t="n">
        <v>0</v>
      </c>
      <c r="J145" s="39" t="inlineStr">
        <is>
          <t>Sedang</t>
        </is>
      </c>
    </row>
    <row r="146" s="1">
      <c r="A146" s="17">
        <f>RANDBETWEEN(2,164)</f>
        <v/>
      </c>
      <c r="B146" s="17">
        <f t="array" ref="B146">INDEX(Data_DBD!$E:$E,$A146)</f>
        <v/>
      </c>
      <c r="C146" s="17">
        <f t="array" ref="C146">INDEX(Data_DBD!$F:$F,$A146)</f>
        <v/>
      </c>
      <c r="H146" s="39" t="n">
        <v>92</v>
      </c>
      <c r="I146" s="39" t="n">
        <v>0</v>
      </c>
      <c r="J146" s="39" t="inlineStr">
        <is>
          <t>Tinggi</t>
        </is>
      </c>
    </row>
    <row r="147" s="1">
      <c r="A147" s="17">
        <f>RANDBETWEEN(2,164)</f>
        <v/>
      </c>
      <c r="B147" s="17">
        <f t="array" ref="B147">INDEX(Data_DBD!$E:$E,$A147)</f>
        <v/>
      </c>
      <c r="C147" s="17">
        <f t="array" ref="C147">INDEX(Data_DBD!$F:$F,$A147)</f>
        <v/>
      </c>
      <c r="H147" s="39" t="n">
        <v>125</v>
      </c>
      <c r="I147" s="39" t="n">
        <v>0</v>
      </c>
      <c r="J147" s="39" t="inlineStr">
        <is>
          <t>Tinggi</t>
        </is>
      </c>
    </row>
    <row r="148" s="1">
      <c r="A148" s="17">
        <f>RANDBETWEEN(2,164)</f>
        <v/>
      </c>
      <c r="B148" s="17">
        <f t="array" ref="B148">INDEX(Data_DBD!$E:$E,$A148)</f>
        <v/>
      </c>
      <c r="C148" s="17">
        <f t="array" ref="C148">INDEX(Data_DBD!$F:$F,$A148)</f>
        <v/>
      </c>
      <c r="H148" s="39" t="n">
        <v>51</v>
      </c>
      <c r="I148" s="39" t="n">
        <v>0</v>
      </c>
      <c r="J148" s="39" t="inlineStr">
        <is>
          <t>Sedang</t>
        </is>
      </c>
    </row>
    <row r="149" s="1">
      <c r="A149" s="17">
        <f>RANDBETWEEN(2,164)</f>
        <v/>
      </c>
      <c r="B149" s="17">
        <f t="array" ref="B149">INDEX(Data_DBD!$E:$E,$A149)</f>
        <v/>
      </c>
      <c r="C149" s="17">
        <f t="array" ref="C149">INDEX(Data_DBD!$F:$F,$A149)</f>
        <v/>
      </c>
      <c r="H149" s="39" t="n">
        <v>65</v>
      </c>
      <c r="I149" s="39" t="n">
        <v>0</v>
      </c>
      <c r="J149" s="39" t="inlineStr">
        <is>
          <t>Sedang</t>
        </is>
      </c>
    </row>
    <row r="150" s="1">
      <c r="A150" s="17">
        <f>RANDBETWEEN(2,164)</f>
        <v/>
      </c>
      <c r="B150" s="17">
        <f t="array" ref="B150">INDEX(Data_DBD!$E:$E,$A150)</f>
        <v/>
      </c>
      <c r="C150" s="17">
        <f t="array" ref="C150">INDEX(Data_DBD!$F:$F,$A150)</f>
        <v/>
      </c>
      <c r="H150" s="39" t="n">
        <v>58</v>
      </c>
      <c r="I150" s="39" t="n">
        <v>0</v>
      </c>
      <c r="J150" s="39" t="inlineStr">
        <is>
          <t>Sedang</t>
        </is>
      </c>
    </row>
    <row r="151" s="1">
      <c r="A151" s="17">
        <f>RANDBETWEEN(2,164)</f>
        <v/>
      </c>
      <c r="B151" s="17">
        <f t="array" ref="B151">INDEX(Data_DBD!$E:$E,$A151)</f>
        <v/>
      </c>
      <c r="C151" s="17">
        <f t="array" ref="C151">INDEX(Data_DBD!$F:$F,$A151)</f>
        <v/>
      </c>
      <c r="H151" s="39" t="n">
        <v>79</v>
      </c>
      <c r="I151" s="39" t="n">
        <v>0</v>
      </c>
      <c r="J151" s="39" t="inlineStr">
        <is>
          <t>Sedang</t>
        </is>
      </c>
    </row>
    <row r="152" s="1">
      <c r="A152" s="17">
        <f>RANDBETWEEN(2,164)</f>
        <v/>
      </c>
      <c r="B152" s="17">
        <f t="array" ref="B152">INDEX(Data_DBD!$E:$E,$A152)</f>
        <v/>
      </c>
      <c r="C152" s="17">
        <f t="array" ref="C152">INDEX(Data_DBD!$F:$F,$A152)</f>
        <v/>
      </c>
      <c r="H152" s="39" t="n">
        <v>135</v>
      </c>
      <c r="I152" s="39" t="n">
        <v>0</v>
      </c>
      <c r="J152" s="39" t="inlineStr">
        <is>
          <t>Tinggi</t>
        </is>
      </c>
    </row>
    <row r="153" s="1">
      <c r="A153" s="17">
        <f>RANDBETWEEN(2,164)</f>
        <v/>
      </c>
      <c r="B153" s="17">
        <f t="array" ref="B153">INDEX(Data_DBD!$E:$E,$A153)</f>
        <v/>
      </c>
      <c r="C153" s="17">
        <f t="array" ref="C153">INDEX(Data_DBD!$F:$F,$A153)</f>
        <v/>
      </c>
      <c r="H153" s="39" t="n">
        <v>141</v>
      </c>
      <c r="I153" s="39" t="n">
        <v>0</v>
      </c>
      <c r="J153" s="39" t="inlineStr">
        <is>
          <t>Tinggi</t>
        </is>
      </c>
    </row>
    <row r="154" s="1">
      <c r="A154" s="17">
        <f>RANDBETWEEN(2,164)</f>
        <v/>
      </c>
      <c r="B154" s="17">
        <f t="array" ref="B154">INDEX(Data_DBD!$E:$E,$A154)</f>
        <v/>
      </c>
      <c r="C154" s="17">
        <f t="array" ref="C154">INDEX(Data_DBD!$F:$F,$A154)</f>
        <v/>
      </c>
      <c r="H154" s="39" t="n">
        <v>137</v>
      </c>
      <c r="I154" s="39" t="n">
        <v>1</v>
      </c>
      <c r="J154" s="39" t="inlineStr">
        <is>
          <t>Tinggi</t>
        </is>
      </c>
    </row>
    <row r="155" s="1">
      <c r="A155" s="17">
        <f>RANDBETWEEN(2,164)</f>
        <v/>
      </c>
      <c r="B155" s="17">
        <f t="array" ref="B155">INDEX(Data_DBD!$E:$E,$A155)</f>
        <v/>
      </c>
      <c r="C155" s="17">
        <f t="array" ref="C155">INDEX(Data_DBD!$F:$F,$A155)</f>
        <v/>
      </c>
      <c r="H155" s="39" t="n">
        <v>36</v>
      </c>
      <c r="I155" s="39" t="n">
        <v>1</v>
      </c>
      <c r="J155" s="39" t="inlineStr">
        <is>
          <t>Rendah</t>
        </is>
      </c>
    </row>
    <row r="156" s="1">
      <c r="A156" s="17">
        <f>RANDBETWEEN(2,164)</f>
        <v/>
      </c>
      <c r="B156" s="17">
        <f t="array" ref="B156">INDEX(Data_DBD!$E:$E,$A156)</f>
        <v/>
      </c>
      <c r="C156" s="17">
        <f t="array" ref="C156">INDEX(Data_DBD!$F:$F,$A156)</f>
        <v/>
      </c>
      <c r="H156" s="39" t="n">
        <v>31</v>
      </c>
      <c r="I156" s="39" t="n">
        <v>1</v>
      </c>
      <c r="J156" s="39" t="inlineStr">
        <is>
          <t>Sedang</t>
        </is>
      </c>
    </row>
    <row r="157" s="1">
      <c r="A157" s="17">
        <f>RANDBETWEEN(2,164)</f>
        <v/>
      </c>
      <c r="B157" s="17">
        <f t="array" ref="B157">INDEX(Data_DBD!$E:$E,$A157)</f>
        <v/>
      </c>
      <c r="C157" s="17">
        <f t="array" ref="C157">INDEX(Data_DBD!$F:$F,$A157)</f>
        <v/>
      </c>
      <c r="H157" s="39" t="n">
        <v>10</v>
      </c>
      <c r="I157" s="39" t="n">
        <v>0</v>
      </c>
      <c r="J157" s="39" t="inlineStr">
        <is>
          <t>Sedang</t>
        </is>
      </c>
    </row>
    <row r="158" s="1">
      <c r="A158" s="17">
        <f>RANDBETWEEN(2,164)</f>
        <v/>
      </c>
      <c r="B158" s="17">
        <f t="array" ref="B158">INDEX(Data_DBD!$E:$E,$A158)</f>
        <v/>
      </c>
      <c r="C158" s="17">
        <f t="array" ref="C158">INDEX(Data_DBD!$F:$F,$A158)</f>
        <v/>
      </c>
      <c r="H158" s="39" t="n">
        <v>98</v>
      </c>
      <c r="I158" s="39" t="n">
        <v>1</v>
      </c>
      <c r="J158" s="39" t="inlineStr">
        <is>
          <t>Tinggi</t>
        </is>
      </c>
    </row>
    <row r="159" s="1">
      <c r="A159" s="17">
        <f>RANDBETWEEN(2,164)</f>
        <v/>
      </c>
      <c r="B159" s="17">
        <f t="array" ref="B159">INDEX(Data_DBD!$E:$E,$A159)</f>
        <v/>
      </c>
      <c r="C159" s="17">
        <f t="array" ref="C159">INDEX(Data_DBD!$F:$F,$A159)</f>
        <v/>
      </c>
      <c r="H159" s="39" t="n">
        <v>129</v>
      </c>
      <c r="I159" s="39" t="n">
        <v>0</v>
      </c>
      <c r="J159" s="39" t="inlineStr">
        <is>
          <t>Tinggi</t>
        </is>
      </c>
    </row>
    <row r="160" s="1">
      <c r="A160" s="17">
        <f>RANDBETWEEN(2,164)</f>
        <v/>
      </c>
      <c r="B160" s="17">
        <f t="array" ref="B160">INDEX(Data_DBD!$E:$E,$A160)</f>
        <v/>
      </c>
      <c r="C160" s="17">
        <f t="array" ref="C160">INDEX(Data_DBD!$F:$F,$A160)</f>
        <v/>
      </c>
      <c r="H160" s="39" t="n">
        <v>127</v>
      </c>
      <c r="I160" s="39" t="n">
        <v>0</v>
      </c>
      <c r="J160" s="39" t="inlineStr">
        <is>
          <t>Tinggi</t>
        </is>
      </c>
    </row>
    <row r="161" s="1">
      <c r="A161" s="17">
        <f>RANDBETWEEN(2,164)</f>
        <v/>
      </c>
      <c r="B161" s="17">
        <f t="array" ref="B161">INDEX(Data_DBD!$E:$E,$A161)</f>
        <v/>
      </c>
      <c r="C161" s="17">
        <f t="array" ref="C161">INDEX(Data_DBD!$F:$F,$A161)</f>
        <v/>
      </c>
      <c r="H161" s="39" t="n">
        <v>80</v>
      </c>
      <c r="I161" s="39" t="n">
        <v>1</v>
      </c>
      <c r="J161" s="39" t="inlineStr">
        <is>
          <t>Sedang</t>
        </is>
      </c>
    </row>
    <row r="162" s="1">
      <c r="A162" s="17">
        <f>RANDBETWEEN(2,164)</f>
        <v/>
      </c>
      <c r="B162" s="17">
        <f t="array" ref="B162">INDEX(Data_DBD!$E:$E,$A162)</f>
        <v/>
      </c>
      <c r="C162" s="17">
        <f t="array" ref="C162">INDEX(Data_DBD!$F:$F,$A162)</f>
        <v/>
      </c>
      <c r="H162" s="39" t="n">
        <v>164</v>
      </c>
      <c r="I162" s="39" t="n">
        <v>0</v>
      </c>
      <c r="J162" s="39" t="inlineStr">
        <is>
          <t>Rendah</t>
        </is>
      </c>
    </row>
    <row r="163" s="1">
      <c r="A163" s="17">
        <f>RANDBETWEEN(2,164)</f>
        <v/>
      </c>
      <c r="B163" s="17">
        <f t="array" ref="B163">INDEX(Data_DBD!$E:$E,$A163)</f>
        <v/>
      </c>
      <c r="C163" s="17">
        <f t="array" ref="C163">INDEX(Data_DBD!$F:$F,$A163)</f>
        <v/>
      </c>
      <c r="H163" s="39" t="n">
        <v>61</v>
      </c>
      <c r="I163" s="39" t="n">
        <v>1</v>
      </c>
      <c r="J163" s="39" t="inlineStr">
        <is>
          <t>Sedang</t>
        </is>
      </c>
    </row>
    <row r="164" s="1">
      <c r="A164" s="17">
        <f>RANDBETWEEN(2,164)</f>
        <v/>
      </c>
      <c r="B164" s="17">
        <f t="array" ref="B164">INDEX(Data_DBD!$E:$E,$A164)</f>
        <v/>
      </c>
      <c r="C164" s="17">
        <f t="array" ref="C164">INDEX(Data_DBD!$F:$F,$A164)</f>
        <v/>
      </c>
      <c r="H164" s="39" t="n">
        <v>56</v>
      </c>
      <c r="I164" s="39" t="n">
        <v>0</v>
      </c>
      <c r="J164" s="39" t="inlineStr">
        <is>
          <t>Sedang</t>
        </is>
      </c>
    </row>
    <row r="165" s="1">
      <c r="I165">
        <f>AVERAGE(I2:I164)</f>
        <v/>
      </c>
    </row>
    <row r="166" s="1">
      <c r="B166" t="n">
        <v>10</v>
      </c>
    </row>
    <row r="168" s="1">
      <c r="H168" s="21" t="inlineStr">
        <is>
          <t>JENIS KELAMIN</t>
        </is>
      </c>
    </row>
    <row r="169" s="1">
      <c r="H169" s="17" t="inlineStr">
        <is>
          <t>Jenis kelamin</t>
        </is>
      </c>
      <c r="I169" s="17">
        <f>AVERAGEIF($I$2:$I$164,"&lt;="&amp;$I$165)</f>
        <v/>
      </c>
      <c r="J169" s="17">
        <f>AVERAGEIF($I$2:$I$164,"&gt;"&amp;$I$165)</f>
        <v/>
      </c>
    </row>
    <row r="170" s="1">
      <c r="H170" s="17">
        <f t="array" ref="H170:H332">IF($I$2:$I$164&lt;$I$169,"kiri",IF($I$2:$I$164&lt;$J$169,"tengah","kanan"))</f>
        <v/>
      </c>
      <c r="I170" s="17" t="inlineStr">
        <is>
          <t>Kanan &gt; 1</t>
        </is>
      </c>
      <c r="J170" s="17" t="n"/>
    </row>
    <row r="171" s="1">
      <c r="H171" s="17" t="inlineStr">
        <is>
          <t>kanan</t>
        </is>
      </c>
      <c r="I171" s="17">
        <f>COUNTIFS($H$170:$H$332,"Kanan",$J$2:$J$164,"Tinggi")</f>
        <v/>
      </c>
      <c r="J171" s="17">
        <f>I171/80</f>
        <v/>
      </c>
    </row>
    <row r="172" s="1">
      <c r="H172" s="17" t="inlineStr">
        <is>
          <t>kanan</t>
        </is>
      </c>
      <c r="I172" s="17">
        <f>COUNTIFS($H$170:$H$332,"Kanan",$J$2:$J$164,"Sedang")</f>
        <v/>
      </c>
      <c r="J172" s="17">
        <f>I172/80</f>
        <v/>
      </c>
    </row>
    <row r="173" s="1">
      <c r="H173" s="17" t="inlineStr">
        <is>
          <t>kanan</t>
        </is>
      </c>
      <c r="I173" s="17">
        <f>COUNTIFS($H$170:$H$332,"Kanan",$J$2:$J$164,"Rendah")</f>
        <v/>
      </c>
      <c r="J173" s="17">
        <f>I173/80</f>
        <v/>
      </c>
    </row>
    <row r="174" s="1">
      <c r="H174" s="17" t="inlineStr">
        <is>
          <t>kanan</t>
        </is>
      </c>
      <c r="I174" s="17" t="inlineStr">
        <is>
          <t>Entropy</t>
        </is>
      </c>
      <c r="J174" s="17">
        <f>-(IFERROR(J171*LOG(J171,2),0)+IFERROR(J172*LOG(J172,2),0)+IFERROR(J173*LOG(J173,2),0))</f>
        <v/>
      </c>
    </row>
    <row r="175" s="1">
      <c r="H175" s="17" t="inlineStr">
        <is>
          <t>tengah</t>
        </is>
      </c>
      <c r="I175" s="17" t="n"/>
      <c r="J175" s="17">
        <f>SUM(I171:I173)/163</f>
        <v/>
      </c>
    </row>
    <row r="176" s="1">
      <c r="H176" s="17" t="inlineStr">
        <is>
          <t>kanan</t>
        </is>
      </c>
      <c r="I176" s="17" t="n"/>
      <c r="J176" s="23">
        <f>J174*J175</f>
        <v/>
      </c>
    </row>
    <row r="177" s="1">
      <c r="H177" s="17" t="inlineStr">
        <is>
          <t>kanan</t>
        </is>
      </c>
      <c r="I177" s="17" t="n"/>
      <c r="J177" s="17" t="n"/>
    </row>
    <row r="178" s="1">
      <c r="H178" s="17" t="inlineStr">
        <is>
          <t>kanan</t>
        </is>
      </c>
      <c r="I178" s="17" t="n"/>
      <c r="J178" s="17" t="n"/>
    </row>
    <row r="179" s="1">
      <c r="H179" s="17" t="inlineStr">
        <is>
          <t>kanan</t>
        </is>
      </c>
      <c r="I179" s="17" t="inlineStr">
        <is>
          <t>Kiri&lt;0</t>
        </is>
      </c>
      <c r="J179" s="17" t="n"/>
    </row>
    <row r="180" s="1">
      <c r="H180" s="17" t="inlineStr">
        <is>
          <t>kanan</t>
        </is>
      </c>
      <c r="I180" s="17">
        <f>COUNTIFS($H$170:$H$332,"Kiri",$J$2:$J$164,"Tinggi")</f>
        <v/>
      </c>
      <c r="J180" s="17">
        <f>I180/57</f>
        <v/>
      </c>
    </row>
    <row r="181" s="1">
      <c r="H181" s="17" t="inlineStr">
        <is>
          <t>tengah</t>
        </is>
      </c>
      <c r="I181" s="17">
        <f>COUNTIFS($H$170:$H$332,"Kiri",$J$2:$J$164,"Sedang")</f>
        <v/>
      </c>
      <c r="J181" s="17">
        <f>I181/57</f>
        <v/>
      </c>
    </row>
    <row r="182" s="1">
      <c r="H182" s="17" t="inlineStr">
        <is>
          <t>tengah</t>
        </is>
      </c>
      <c r="I182" s="17">
        <f>COUNTIFS($H$170:$H$332,"Kiri",$J$2:$J$164,"Rendah")</f>
        <v/>
      </c>
      <c r="J182" s="17">
        <f>I182/57</f>
        <v/>
      </c>
    </row>
    <row r="183" s="1">
      <c r="H183" s="17" t="inlineStr">
        <is>
          <t>kanan</t>
        </is>
      </c>
      <c r="I183" s="17" t="inlineStr">
        <is>
          <t>Entropy</t>
        </is>
      </c>
      <c r="J183" s="17">
        <f>-(IFERROR(J180*LOG(J180,2),0)+IFERROR(J181*LOG(J181,2),0)+IFERROR(J182*LOG(J182,2),0))</f>
        <v/>
      </c>
    </row>
    <row r="184" s="1">
      <c r="H184" s="17" t="inlineStr">
        <is>
          <t>tengah</t>
        </is>
      </c>
      <c r="I184" s="17" t="n"/>
      <c r="J184" s="17">
        <f>SUM(I180:I182)/163</f>
        <v/>
      </c>
    </row>
    <row r="185" s="1">
      <c r="H185" s="17" t="inlineStr">
        <is>
          <t>kanan</t>
        </is>
      </c>
      <c r="I185" s="17" t="n"/>
      <c r="J185" s="23">
        <f>J183*J184</f>
        <v/>
      </c>
    </row>
    <row r="186" s="1">
      <c r="H186" s="17" t="inlineStr">
        <is>
          <t>tengah</t>
        </is>
      </c>
      <c r="I186" s="17" t="n"/>
      <c r="J186" s="17" t="n"/>
    </row>
    <row r="187" s="1">
      <c r="H187" s="17" t="inlineStr">
        <is>
          <t>kanan</t>
        </is>
      </c>
      <c r="I187" s="17" t="n"/>
      <c r="J187" s="17" t="n"/>
    </row>
    <row r="188" s="1">
      <c r="H188" s="17" t="inlineStr">
        <is>
          <t>tengah</t>
        </is>
      </c>
      <c r="I188" s="17" t="inlineStr">
        <is>
          <t>Tengah</t>
        </is>
      </c>
      <c r="J188" s="17" t="n"/>
    </row>
    <row r="189" s="1">
      <c r="H189" s="17" t="inlineStr">
        <is>
          <t>tengah</t>
        </is>
      </c>
      <c r="I189" s="17">
        <f>COUNTIFS($H$170:$H$332,"Tengah",$J$2:$J$164,"Tinggi")</f>
        <v/>
      </c>
      <c r="J189" s="17">
        <f>I189/86</f>
        <v/>
      </c>
    </row>
    <row r="190" s="1">
      <c r="H190" s="17" t="inlineStr">
        <is>
          <t>tengah</t>
        </is>
      </c>
      <c r="I190" s="17">
        <f>COUNTIFS($H$170:$H$332,"Tengah",$J$2:$J$164,"Sedang")</f>
        <v/>
      </c>
      <c r="J190" s="17">
        <f>I190/86</f>
        <v/>
      </c>
    </row>
    <row r="191" s="1">
      <c r="H191" s="17" t="inlineStr">
        <is>
          <t>tengah</t>
        </is>
      </c>
      <c r="I191" s="17">
        <f>COUNTIFS($H$170:$H$332,"Tengah",$J$2:$J$164,"Rendah")</f>
        <v/>
      </c>
      <c r="J191" s="17">
        <f>I191/86</f>
        <v/>
      </c>
    </row>
    <row r="192" s="1">
      <c r="H192" s="17" t="inlineStr">
        <is>
          <t>kanan</t>
        </is>
      </c>
      <c r="I192" s="17" t="inlineStr">
        <is>
          <t>Entropy</t>
        </is>
      </c>
      <c r="J192" s="17">
        <f>-(IFERROR(J189*LOG(J189,2),0)+IFERROR(J190*LOG(J190,2),0)+IFERROR(J191*LOG(J191,2),0))</f>
        <v/>
      </c>
    </row>
    <row r="193" s="1">
      <c r="H193" s="17" t="inlineStr">
        <is>
          <t>tengah</t>
        </is>
      </c>
      <c r="I193" s="17" t="n"/>
      <c r="J193" s="17">
        <f>SUM(I189:I191)/163</f>
        <v/>
      </c>
    </row>
    <row r="194" s="1">
      <c r="H194" s="17" t="inlineStr">
        <is>
          <t>tengah</t>
        </is>
      </c>
      <c r="I194" s="17" t="n"/>
      <c r="J194" s="23">
        <f>J192*J193</f>
        <v/>
      </c>
    </row>
    <row r="195" s="1">
      <c r="H195" s="17" t="inlineStr">
        <is>
          <t>tengah</t>
        </is>
      </c>
      <c r="I195" s="17" t="n"/>
      <c r="J195" s="17" t="n"/>
    </row>
    <row r="196" s="1">
      <c r="H196" s="17" t="inlineStr">
        <is>
          <t>kanan</t>
        </is>
      </c>
      <c r="I196" s="17" t="inlineStr">
        <is>
          <t>IG</t>
        </is>
      </c>
      <c r="J196" s="17" t="n"/>
    </row>
    <row r="197" s="1">
      <c r="H197" s="17" t="inlineStr">
        <is>
          <t>kanan</t>
        </is>
      </c>
      <c r="I197" s="24">
        <f>P5-(J176+J185+J194)</f>
        <v/>
      </c>
      <c r="J197" s="17" t="n"/>
    </row>
    <row r="198" s="1">
      <c r="H198" s="17" t="inlineStr">
        <is>
          <t>kanan</t>
        </is>
      </c>
      <c r="I198" s="17" t="n"/>
      <c r="J198" s="17" t="n"/>
    </row>
    <row r="199" s="1">
      <c r="H199" s="17" t="inlineStr">
        <is>
          <t>kanan</t>
        </is>
      </c>
      <c r="I199" s="17" t="n"/>
      <c r="J199" s="17" t="n"/>
    </row>
    <row r="200" s="1">
      <c r="H200" s="17" t="inlineStr">
        <is>
          <t>kanan</t>
        </is>
      </c>
      <c r="I200" s="17" t="n"/>
      <c r="J200" s="17" t="n"/>
    </row>
    <row r="201" s="1">
      <c r="H201" s="17" t="inlineStr">
        <is>
          <t>kanan</t>
        </is>
      </c>
      <c r="I201" s="17" t="n"/>
      <c r="J201" s="17" t="n"/>
    </row>
    <row r="202" s="1">
      <c r="H202" s="17" t="inlineStr">
        <is>
          <t>tengah</t>
        </is>
      </c>
      <c r="I202" s="17" t="n"/>
      <c r="J202" s="17" t="n"/>
    </row>
    <row r="203" s="1">
      <c r="H203" s="17" t="inlineStr">
        <is>
          <t>tengah</t>
        </is>
      </c>
      <c r="I203" s="17" t="n"/>
      <c r="J203" s="17" t="n"/>
    </row>
    <row r="204" s="1">
      <c r="H204" s="17" t="inlineStr">
        <is>
          <t>kanan</t>
        </is>
      </c>
      <c r="I204" s="17" t="n"/>
      <c r="J204" s="17" t="n"/>
    </row>
    <row r="205" s="1">
      <c r="H205" s="17" t="inlineStr">
        <is>
          <t>kanan</t>
        </is>
      </c>
      <c r="I205" s="17" t="n"/>
      <c r="J205" s="17" t="n"/>
    </row>
    <row r="206" s="1">
      <c r="H206" s="17" t="inlineStr">
        <is>
          <t>tengah</t>
        </is>
      </c>
      <c r="I206" s="17" t="n"/>
      <c r="J206" s="17" t="n"/>
    </row>
    <row r="207" s="1">
      <c r="H207" s="17" t="inlineStr">
        <is>
          <t>tengah</t>
        </is>
      </c>
      <c r="I207" s="17" t="n"/>
      <c r="J207" s="17" t="n"/>
    </row>
    <row r="208" s="1">
      <c r="H208" s="17" t="inlineStr">
        <is>
          <t>tengah</t>
        </is>
      </c>
      <c r="I208" s="17" t="n"/>
      <c r="J208" s="17" t="n"/>
    </row>
    <row r="209" s="1">
      <c r="H209" s="17" t="inlineStr">
        <is>
          <t>kanan</t>
        </is>
      </c>
      <c r="I209" s="17" t="n"/>
      <c r="J209" s="17" t="n"/>
    </row>
    <row r="210" s="1">
      <c r="H210" s="17" t="inlineStr">
        <is>
          <t>kanan</t>
        </is>
      </c>
      <c r="I210" s="17" t="n"/>
      <c r="J210" s="17" t="n"/>
    </row>
    <row r="211" s="1">
      <c r="H211" s="17" t="inlineStr">
        <is>
          <t>tengah</t>
        </is>
      </c>
      <c r="I211" s="17" t="n"/>
      <c r="J211" s="17" t="n"/>
    </row>
    <row r="212" s="1">
      <c r="H212" s="17" t="inlineStr">
        <is>
          <t>tengah</t>
        </is>
      </c>
      <c r="I212" s="17" t="n"/>
      <c r="J212" s="17" t="n"/>
    </row>
    <row r="213" s="1">
      <c r="H213" s="17" t="inlineStr">
        <is>
          <t>tengah</t>
        </is>
      </c>
      <c r="I213" s="17" t="n"/>
      <c r="J213" s="17" t="n"/>
    </row>
    <row r="214" s="1">
      <c r="H214" s="17" t="inlineStr">
        <is>
          <t>tengah</t>
        </is>
      </c>
      <c r="I214" s="17" t="n"/>
      <c r="J214" s="17" t="n"/>
    </row>
    <row r="215" s="1">
      <c r="H215" s="17" t="inlineStr">
        <is>
          <t>tengah</t>
        </is>
      </c>
      <c r="I215" s="17" t="n"/>
      <c r="J215" s="17" t="n"/>
    </row>
    <row r="216" s="1">
      <c r="H216" s="17" t="inlineStr">
        <is>
          <t>kanan</t>
        </is>
      </c>
      <c r="I216" s="17" t="n"/>
      <c r="J216" s="17" t="n"/>
    </row>
    <row r="217" s="1">
      <c r="H217" s="17" t="inlineStr">
        <is>
          <t>kanan</t>
        </is>
      </c>
      <c r="I217" s="17" t="n"/>
      <c r="J217" s="17" t="n"/>
    </row>
    <row r="218" s="1">
      <c r="H218" s="17" t="inlineStr">
        <is>
          <t>tengah</t>
        </is>
      </c>
      <c r="I218" s="17" t="n"/>
      <c r="J218" s="17" t="n"/>
    </row>
    <row r="219" s="1">
      <c r="H219" s="17" t="inlineStr">
        <is>
          <t>tengah</t>
        </is>
      </c>
      <c r="I219" s="17" t="n"/>
      <c r="J219" s="17" t="n"/>
    </row>
    <row r="220" s="1">
      <c r="H220" s="17" t="inlineStr">
        <is>
          <t>tengah</t>
        </is>
      </c>
      <c r="I220" s="17" t="n"/>
      <c r="J220" s="17" t="n"/>
    </row>
    <row r="221" s="1">
      <c r="H221" s="17" t="inlineStr">
        <is>
          <t>tengah</t>
        </is>
      </c>
      <c r="I221" s="17" t="n"/>
      <c r="J221" s="17" t="n"/>
    </row>
    <row r="222" s="1">
      <c r="H222" s="17" t="inlineStr">
        <is>
          <t>kanan</t>
        </is>
      </c>
      <c r="I222" s="17" t="n"/>
      <c r="J222" s="17" t="n"/>
    </row>
    <row r="223" s="1">
      <c r="H223" s="17" t="inlineStr">
        <is>
          <t>kanan</t>
        </is>
      </c>
      <c r="I223" s="17" t="n"/>
      <c r="J223" s="17" t="n"/>
    </row>
    <row r="224" s="1">
      <c r="H224" s="17" t="inlineStr">
        <is>
          <t>tengah</t>
        </is>
      </c>
      <c r="I224" s="17" t="n"/>
      <c r="J224" s="17" t="n"/>
    </row>
    <row r="225" s="1">
      <c r="H225" s="17" t="inlineStr">
        <is>
          <t>kanan</t>
        </is>
      </c>
      <c r="I225" s="17" t="n"/>
      <c r="J225" s="17" t="n"/>
    </row>
    <row r="226" s="1">
      <c r="H226" s="17" t="inlineStr">
        <is>
          <t>tengah</t>
        </is>
      </c>
      <c r="I226" s="17" t="n"/>
      <c r="J226" s="17" t="n"/>
    </row>
    <row r="227" s="1">
      <c r="H227" s="17" t="inlineStr">
        <is>
          <t>tengah</t>
        </is>
      </c>
      <c r="I227" s="17" t="n"/>
      <c r="J227" s="17" t="n"/>
    </row>
    <row r="228" s="1">
      <c r="H228" s="17" t="inlineStr">
        <is>
          <t>kanan</t>
        </is>
      </c>
      <c r="I228" s="17" t="n"/>
      <c r="J228" s="17" t="n"/>
    </row>
    <row r="229" s="1">
      <c r="H229" s="17" t="inlineStr">
        <is>
          <t>kanan</t>
        </is>
      </c>
      <c r="I229" s="17" t="n"/>
      <c r="J229" s="17" t="n"/>
    </row>
    <row r="230" s="1">
      <c r="H230" s="17" t="inlineStr">
        <is>
          <t>kanan</t>
        </is>
      </c>
      <c r="I230" s="17" t="n"/>
      <c r="J230" s="17" t="n"/>
    </row>
    <row r="231" s="1">
      <c r="H231" s="17" t="inlineStr">
        <is>
          <t>tengah</t>
        </is>
      </c>
      <c r="I231" s="17" t="n"/>
      <c r="J231" s="17" t="n"/>
    </row>
    <row r="232" s="1">
      <c r="H232" s="17" t="inlineStr">
        <is>
          <t>tengah</t>
        </is>
      </c>
      <c r="I232" s="17" t="n"/>
      <c r="J232" s="17" t="n"/>
    </row>
    <row r="233" s="1">
      <c r="H233" s="17" t="inlineStr">
        <is>
          <t>kanan</t>
        </is>
      </c>
      <c r="I233" s="17" t="n"/>
      <c r="J233" s="17" t="n"/>
    </row>
    <row r="234" s="1">
      <c r="H234" s="17" t="inlineStr">
        <is>
          <t>kanan</t>
        </is>
      </c>
      <c r="I234" s="17" t="n"/>
      <c r="J234" s="17" t="n"/>
    </row>
    <row r="235" s="1">
      <c r="H235" s="17" t="inlineStr">
        <is>
          <t>tengah</t>
        </is>
      </c>
      <c r="I235" s="17" t="n"/>
      <c r="J235" s="17" t="n"/>
    </row>
    <row r="236" s="1">
      <c r="H236" s="17" t="inlineStr">
        <is>
          <t>kanan</t>
        </is>
      </c>
      <c r="I236" s="17" t="n"/>
      <c r="J236" s="17" t="n"/>
    </row>
    <row r="237" s="1">
      <c r="H237" s="17" t="inlineStr">
        <is>
          <t>kanan</t>
        </is>
      </c>
      <c r="I237" s="17" t="n"/>
      <c r="J237" s="17" t="n"/>
    </row>
    <row r="238" s="1">
      <c r="H238" s="17" t="inlineStr">
        <is>
          <t>kanan</t>
        </is>
      </c>
      <c r="I238" s="17" t="n"/>
      <c r="J238" s="17" t="n"/>
    </row>
    <row r="239" s="1">
      <c r="H239" s="17" t="inlineStr">
        <is>
          <t>kanan</t>
        </is>
      </c>
      <c r="I239" s="17" t="n"/>
      <c r="J239" s="17" t="n"/>
    </row>
    <row r="240" s="1">
      <c r="H240" s="17" t="inlineStr">
        <is>
          <t>tengah</t>
        </is>
      </c>
      <c r="I240" s="17" t="n"/>
      <c r="J240" s="17" t="n"/>
    </row>
    <row r="241" s="1">
      <c r="H241" s="17" t="inlineStr">
        <is>
          <t>kanan</t>
        </is>
      </c>
      <c r="I241" s="17" t="n"/>
      <c r="J241" s="17" t="n"/>
    </row>
    <row r="242" s="1">
      <c r="H242" s="17" t="inlineStr">
        <is>
          <t>tengah</t>
        </is>
      </c>
      <c r="I242" s="17" t="n"/>
      <c r="J242" s="17" t="n"/>
    </row>
    <row r="243" s="1">
      <c r="H243" s="17" t="inlineStr">
        <is>
          <t>kanan</t>
        </is>
      </c>
      <c r="I243" s="17" t="n"/>
      <c r="J243" s="17" t="n"/>
    </row>
    <row r="244" s="1">
      <c r="H244" s="17" t="inlineStr">
        <is>
          <t>kanan</t>
        </is>
      </c>
      <c r="I244" s="17" t="n"/>
      <c r="J244" s="17" t="n"/>
    </row>
    <row r="245" s="1">
      <c r="H245" s="17" t="inlineStr">
        <is>
          <t>kanan</t>
        </is>
      </c>
      <c r="I245" s="17" t="n"/>
      <c r="J245" s="17" t="n"/>
    </row>
    <row r="246" s="1">
      <c r="H246" s="17" t="inlineStr">
        <is>
          <t>kanan</t>
        </is>
      </c>
      <c r="I246" s="17" t="n"/>
      <c r="J246" s="17" t="n"/>
    </row>
    <row r="247" s="1">
      <c r="H247" s="17" t="inlineStr">
        <is>
          <t>kanan</t>
        </is>
      </c>
      <c r="I247" s="17" t="n"/>
      <c r="J247" s="17" t="n"/>
    </row>
    <row r="248" s="1">
      <c r="H248" s="17" t="inlineStr">
        <is>
          <t>tengah</t>
        </is>
      </c>
      <c r="I248" s="17" t="n"/>
      <c r="J248" s="17" t="n"/>
    </row>
    <row r="249" s="1">
      <c r="H249" s="17" t="inlineStr">
        <is>
          <t>tengah</t>
        </is>
      </c>
      <c r="I249" s="17" t="n"/>
      <c r="J249" s="17" t="n"/>
    </row>
    <row r="250" s="1">
      <c r="H250" s="17" t="inlineStr">
        <is>
          <t>kanan</t>
        </is>
      </c>
      <c r="I250" s="17" t="n"/>
      <c r="J250" s="17" t="n"/>
    </row>
    <row r="251" s="1">
      <c r="H251" s="17" t="inlineStr">
        <is>
          <t>tengah</t>
        </is>
      </c>
      <c r="I251" s="17" t="n"/>
      <c r="J251" s="17" t="n"/>
    </row>
    <row r="252" s="1">
      <c r="H252" s="17" t="inlineStr">
        <is>
          <t>tengah</t>
        </is>
      </c>
      <c r="I252" s="17" t="n"/>
      <c r="J252" s="17" t="n"/>
    </row>
    <row r="253" s="1">
      <c r="H253" s="17" t="inlineStr">
        <is>
          <t>tengah</t>
        </is>
      </c>
      <c r="I253" s="17" t="n"/>
      <c r="J253" s="17" t="n"/>
    </row>
    <row r="254" s="1">
      <c r="H254" s="17" t="inlineStr">
        <is>
          <t>tengah</t>
        </is>
      </c>
      <c r="I254" s="17" t="n"/>
      <c r="J254" s="17" t="n"/>
    </row>
    <row r="255" s="1">
      <c r="H255" s="17" t="inlineStr">
        <is>
          <t>tengah</t>
        </is>
      </c>
      <c r="I255" s="17" t="n"/>
      <c r="J255" s="17" t="n"/>
    </row>
    <row r="256" s="1">
      <c r="H256" s="17" t="inlineStr">
        <is>
          <t>tengah</t>
        </is>
      </c>
      <c r="I256" s="17" t="n"/>
      <c r="J256" s="17" t="n"/>
    </row>
    <row r="257" s="1">
      <c r="H257" s="17" t="inlineStr">
        <is>
          <t>kanan</t>
        </is>
      </c>
      <c r="I257" s="17" t="n"/>
      <c r="J257" s="17" t="n"/>
    </row>
    <row r="258" s="1">
      <c r="H258" s="17" t="inlineStr">
        <is>
          <t>tengah</t>
        </is>
      </c>
      <c r="I258" s="17" t="n"/>
      <c r="J258" s="17" t="n"/>
    </row>
    <row r="259" s="1">
      <c r="H259" s="17" t="inlineStr">
        <is>
          <t>kanan</t>
        </is>
      </c>
      <c r="I259" s="17" t="n"/>
      <c r="J259" s="17" t="n"/>
    </row>
    <row r="260" s="1">
      <c r="H260" s="17" t="inlineStr">
        <is>
          <t>tengah</t>
        </is>
      </c>
      <c r="I260" s="17" t="n"/>
      <c r="J260" s="17" t="n"/>
    </row>
    <row r="261" s="1">
      <c r="H261" s="17" t="inlineStr">
        <is>
          <t>tengah</t>
        </is>
      </c>
      <c r="I261" s="17" t="n"/>
      <c r="J261" s="17" t="n"/>
    </row>
    <row r="262" s="1">
      <c r="H262" s="17" t="inlineStr">
        <is>
          <t>tengah</t>
        </is>
      </c>
      <c r="I262" s="17" t="n"/>
      <c r="J262" s="17" t="n"/>
    </row>
    <row r="263" s="1">
      <c r="H263" s="17" t="inlineStr">
        <is>
          <t>tengah</t>
        </is>
      </c>
      <c r="I263" s="17" t="n"/>
      <c r="J263" s="17" t="n"/>
    </row>
    <row r="264" s="1">
      <c r="H264" s="17" t="inlineStr">
        <is>
          <t>tengah</t>
        </is>
      </c>
      <c r="I264" s="17" t="n"/>
      <c r="J264" s="17" t="n"/>
    </row>
    <row r="265" s="1">
      <c r="H265" s="17" t="inlineStr">
        <is>
          <t>tengah</t>
        </is>
      </c>
      <c r="I265" s="17" t="n"/>
      <c r="J265" s="17" t="n"/>
    </row>
    <row r="266" s="1">
      <c r="H266" s="17" t="inlineStr">
        <is>
          <t>kanan</t>
        </is>
      </c>
      <c r="I266" s="17" t="n"/>
      <c r="J266" s="17" t="n"/>
    </row>
    <row r="267" s="1">
      <c r="H267" s="17" t="inlineStr">
        <is>
          <t>kanan</t>
        </is>
      </c>
      <c r="I267" s="17" t="n"/>
      <c r="J267" s="17" t="n"/>
    </row>
    <row r="268" s="1">
      <c r="H268" s="17" t="inlineStr">
        <is>
          <t>tengah</t>
        </is>
      </c>
      <c r="I268" s="17" t="n"/>
      <c r="J268" s="17" t="n"/>
    </row>
    <row r="269" s="1">
      <c r="H269" s="17" t="inlineStr">
        <is>
          <t>kanan</t>
        </is>
      </c>
      <c r="I269" s="17" t="n"/>
      <c r="J269" s="17" t="n"/>
    </row>
    <row r="270" s="1">
      <c r="H270" s="17" t="inlineStr">
        <is>
          <t>kanan</t>
        </is>
      </c>
      <c r="I270" s="17" t="n"/>
      <c r="J270" s="17" t="n"/>
    </row>
    <row r="271" s="1">
      <c r="H271" s="17" t="inlineStr">
        <is>
          <t>kanan</t>
        </is>
      </c>
      <c r="I271" s="17" t="n"/>
      <c r="J271" s="17" t="n"/>
    </row>
    <row r="272" s="1">
      <c r="H272" s="17" t="inlineStr">
        <is>
          <t>tengah</t>
        </is>
      </c>
      <c r="I272" s="17" t="n"/>
      <c r="J272" s="17" t="n"/>
    </row>
    <row r="273" s="1">
      <c r="H273" s="17" t="inlineStr">
        <is>
          <t>tengah</t>
        </is>
      </c>
      <c r="I273" s="17" t="n"/>
      <c r="J273" s="17" t="n"/>
    </row>
    <row r="274" s="1">
      <c r="H274" s="17" t="inlineStr">
        <is>
          <t>kanan</t>
        </is>
      </c>
      <c r="I274" s="17" t="n"/>
      <c r="J274" s="17" t="n"/>
    </row>
    <row r="275" s="1">
      <c r="H275" s="17" t="inlineStr">
        <is>
          <t>tengah</t>
        </is>
      </c>
      <c r="I275" s="17" t="n"/>
      <c r="J275" s="17" t="n"/>
    </row>
    <row r="276" s="1">
      <c r="H276" s="17" t="inlineStr">
        <is>
          <t>kanan</t>
        </is>
      </c>
      <c r="I276" s="17" t="n"/>
      <c r="J276" s="17" t="n"/>
    </row>
    <row r="277" s="1">
      <c r="H277" s="17" t="inlineStr">
        <is>
          <t>kanan</t>
        </is>
      </c>
      <c r="I277" s="17" t="n"/>
      <c r="J277" s="17" t="n"/>
    </row>
    <row r="278" s="1">
      <c r="H278" s="17" t="inlineStr">
        <is>
          <t>kanan</t>
        </is>
      </c>
      <c r="I278" s="17" t="n"/>
      <c r="J278" s="17" t="n"/>
    </row>
    <row r="279" s="1">
      <c r="H279" s="17" t="inlineStr">
        <is>
          <t>tengah</t>
        </is>
      </c>
      <c r="I279" s="17" t="n"/>
      <c r="J279" s="17" t="n"/>
    </row>
    <row r="280" s="1">
      <c r="H280" s="17" t="inlineStr">
        <is>
          <t>tengah</t>
        </is>
      </c>
      <c r="I280" s="17" t="n"/>
      <c r="J280" s="17" t="n"/>
    </row>
    <row r="281" s="1">
      <c r="H281" s="17" t="inlineStr">
        <is>
          <t>tengah</t>
        </is>
      </c>
      <c r="I281" s="17" t="n"/>
      <c r="J281" s="17" t="n"/>
    </row>
    <row r="282" s="1">
      <c r="H282" s="17" t="inlineStr">
        <is>
          <t>kanan</t>
        </is>
      </c>
      <c r="I282" s="17" t="n"/>
      <c r="J282" s="17" t="n"/>
    </row>
    <row r="283" s="1">
      <c r="H283" s="17" t="inlineStr">
        <is>
          <t>kanan</t>
        </is>
      </c>
      <c r="I283" s="17" t="n"/>
      <c r="J283" s="17" t="n"/>
    </row>
    <row r="284" s="1">
      <c r="H284" s="17" t="inlineStr">
        <is>
          <t>tengah</t>
        </is>
      </c>
      <c r="I284" s="17" t="n"/>
      <c r="J284" s="17" t="n"/>
    </row>
    <row r="285" s="1">
      <c r="H285" s="17" t="inlineStr">
        <is>
          <t>kanan</t>
        </is>
      </c>
      <c r="I285" s="17" t="n"/>
      <c r="J285" s="17" t="n"/>
    </row>
    <row r="286" s="1">
      <c r="H286" s="17" t="inlineStr">
        <is>
          <t>tengah</t>
        </is>
      </c>
      <c r="I286" s="17" t="n"/>
      <c r="J286" s="17" t="n"/>
    </row>
    <row r="287" s="1">
      <c r="H287" s="17" t="inlineStr">
        <is>
          <t>kanan</t>
        </is>
      </c>
      <c r="I287" s="17" t="n"/>
      <c r="J287" s="17" t="n"/>
    </row>
    <row r="288" s="1">
      <c r="H288" s="17" t="inlineStr">
        <is>
          <t>kanan</t>
        </is>
      </c>
      <c r="I288" s="17" t="n"/>
      <c r="J288" s="17" t="n"/>
    </row>
    <row r="289" s="1">
      <c r="H289" s="17" t="inlineStr">
        <is>
          <t>tengah</t>
        </is>
      </c>
      <c r="I289" s="17" t="n"/>
      <c r="J289" s="17" t="n"/>
    </row>
    <row r="290" s="1">
      <c r="H290" s="17" t="inlineStr">
        <is>
          <t>kanan</t>
        </is>
      </c>
      <c r="I290" s="17" t="n"/>
      <c r="J290" s="17" t="n"/>
    </row>
    <row r="291" s="1">
      <c r="H291" s="17" t="inlineStr">
        <is>
          <t>kanan</t>
        </is>
      </c>
      <c r="I291" s="17" t="n"/>
      <c r="J291" s="17" t="n"/>
    </row>
    <row r="292" s="1">
      <c r="H292" s="17" t="inlineStr">
        <is>
          <t>kanan</t>
        </is>
      </c>
      <c r="I292" s="17" t="n"/>
      <c r="J292" s="17" t="n"/>
    </row>
    <row r="293" s="1">
      <c r="H293" s="17" t="inlineStr">
        <is>
          <t>kanan</t>
        </is>
      </c>
      <c r="I293" s="17" t="n"/>
      <c r="J293" s="17" t="n"/>
    </row>
    <row r="294" s="1">
      <c r="H294" s="17" t="inlineStr">
        <is>
          <t>kanan</t>
        </is>
      </c>
      <c r="I294" s="17" t="n"/>
      <c r="J294" s="17" t="n"/>
    </row>
    <row r="295" s="1">
      <c r="H295" s="17" t="inlineStr">
        <is>
          <t>kanan</t>
        </is>
      </c>
      <c r="I295" s="17" t="n"/>
      <c r="J295" s="17" t="n"/>
    </row>
    <row r="296" s="1">
      <c r="H296" s="17" t="inlineStr">
        <is>
          <t>kanan</t>
        </is>
      </c>
      <c r="I296" s="17" t="n"/>
      <c r="J296" s="17" t="n"/>
    </row>
    <row r="297" s="1">
      <c r="H297" s="17" t="inlineStr">
        <is>
          <t>kanan</t>
        </is>
      </c>
      <c r="I297" s="17" t="n"/>
      <c r="J297" s="17" t="n"/>
    </row>
    <row r="298" s="1">
      <c r="H298" s="17" t="inlineStr">
        <is>
          <t>tengah</t>
        </is>
      </c>
      <c r="I298" s="17" t="n"/>
      <c r="J298" s="17" t="n"/>
    </row>
    <row r="299" s="1">
      <c r="H299" s="17" t="inlineStr">
        <is>
          <t>tengah</t>
        </is>
      </c>
      <c r="I299" s="17" t="n"/>
      <c r="J299" s="17" t="n"/>
    </row>
    <row r="300" s="1">
      <c r="H300" s="17" t="inlineStr">
        <is>
          <t>kanan</t>
        </is>
      </c>
      <c r="I300" s="17" t="n"/>
      <c r="J300" s="17" t="n"/>
    </row>
    <row r="301" s="1">
      <c r="H301" s="17" t="inlineStr">
        <is>
          <t>kanan</t>
        </is>
      </c>
      <c r="I301" s="17" t="n"/>
      <c r="J301" s="17" t="n"/>
    </row>
    <row r="302" s="1">
      <c r="H302" s="17" t="inlineStr">
        <is>
          <t>tengah</t>
        </is>
      </c>
      <c r="I302" s="17" t="n"/>
      <c r="J302" s="17" t="n"/>
    </row>
    <row r="303" s="1">
      <c r="H303" s="17" t="inlineStr">
        <is>
          <t>tengah</t>
        </is>
      </c>
      <c r="I303" s="17" t="n"/>
      <c r="J303" s="17" t="n"/>
    </row>
    <row r="304" s="1">
      <c r="H304" s="17" t="inlineStr">
        <is>
          <t>tengah</t>
        </is>
      </c>
      <c r="I304" s="17" t="n"/>
      <c r="J304" s="17" t="n"/>
    </row>
    <row r="305" s="1">
      <c r="H305" s="17" t="inlineStr">
        <is>
          <t>kanan</t>
        </is>
      </c>
      <c r="I305" s="17" t="n"/>
      <c r="J305" s="17" t="n"/>
    </row>
    <row r="306" s="1">
      <c r="H306" s="17" t="inlineStr">
        <is>
          <t>kanan</t>
        </is>
      </c>
      <c r="I306" s="17" t="n"/>
      <c r="J306" s="17" t="n"/>
    </row>
    <row r="307" s="1">
      <c r="H307" s="17" t="inlineStr">
        <is>
          <t>tengah</t>
        </is>
      </c>
      <c r="I307" s="17" t="n"/>
      <c r="J307" s="17" t="n"/>
    </row>
    <row r="308" s="1">
      <c r="H308" s="17" t="inlineStr">
        <is>
          <t>tengah</t>
        </is>
      </c>
      <c r="I308" s="17" t="n"/>
      <c r="J308" s="17" t="n"/>
    </row>
    <row r="309" s="1">
      <c r="H309" s="17" t="inlineStr">
        <is>
          <t>tengah</t>
        </is>
      </c>
      <c r="I309" s="17" t="n"/>
      <c r="J309" s="17" t="n"/>
    </row>
    <row r="310" s="1">
      <c r="H310" s="17" t="inlineStr">
        <is>
          <t>tengah</t>
        </is>
      </c>
      <c r="I310" s="17" t="n"/>
      <c r="J310" s="17" t="n"/>
    </row>
    <row r="311" s="1">
      <c r="H311" s="17" t="inlineStr">
        <is>
          <t>tengah</t>
        </is>
      </c>
      <c r="I311" s="17" t="n"/>
      <c r="J311" s="17" t="n"/>
    </row>
    <row r="312" s="1">
      <c r="H312" s="17" t="inlineStr">
        <is>
          <t>kanan</t>
        </is>
      </c>
      <c r="I312" s="17" t="n"/>
      <c r="J312" s="17" t="n"/>
    </row>
    <row r="313" s="1">
      <c r="H313" s="17" t="inlineStr">
        <is>
          <t>tengah</t>
        </is>
      </c>
      <c r="I313" s="17" t="n"/>
      <c r="J313" s="17" t="n"/>
    </row>
    <row r="314" s="1">
      <c r="H314" s="17" t="inlineStr">
        <is>
          <t>tengah</t>
        </is>
      </c>
      <c r="I314" s="17" t="n"/>
      <c r="J314" s="17" t="n"/>
    </row>
    <row r="315" s="1">
      <c r="H315" s="17" t="inlineStr">
        <is>
          <t>tengah</t>
        </is>
      </c>
      <c r="I315" s="17" t="n"/>
      <c r="J315" s="17" t="n"/>
    </row>
    <row r="316" s="1">
      <c r="H316" s="17" t="inlineStr">
        <is>
          <t>tengah</t>
        </is>
      </c>
      <c r="I316" s="17" t="n"/>
      <c r="J316" s="17" t="n"/>
    </row>
    <row r="317" s="1">
      <c r="H317" s="17" t="inlineStr">
        <is>
          <t>tengah</t>
        </is>
      </c>
      <c r="I317" s="17" t="n"/>
      <c r="J317" s="17" t="n"/>
    </row>
    <row r="318" s="1">
      <c r="H318" s="17" t="inlineStr">
        <is>
          <t>tengah</t>
        </is>
      </c>
      <c r="I318" s="17" t="n"/>
      <c r="J318" s="17" t="n"/>
    </row>
    <row r="319" s="1">
      <c r="H319" s="17" t="inlineStr">
        <is>
          <t>tengah</t>
        </is>
      </c>
      <c r="I319" s="17" t="n"/>
      <c r="J319" s="17" t="n"/>
    </row>
    <row r="320" s="1">
      <c r="H320" s="17" t="inlineStr">
        <is>
          <t>tengah</t>
        </is>
      </c>
      <c r="I320" s="17" t="n"/>
      <c r="J320" s="17" t="n"/>
    </row>
    <row r="321" s="1">
      <c r="H321" s="17" t="inlineStr">
        <is>
          <t>tengah</t>
        </is>
      </c>
      <c r="I321" s="17" t="n"/>
      <c r="J321" s="17" t="n"/>
    </row>
    <row r="322" s="1">
      <c r="H322" s="17" t="inlineStr">
        <is>
          <t>kanan</t>
        </is>
      </c>
      <c r="I322" s="17" t="n"/>
      <c r="J322" s="17" t="n"/>
    </row>
    <row r="323" s="1">
      <c r="H323" s="17" t="inlineStr">
        <is>
          <t>kanan</t>
        </is>
      </c>
      <c r="I323" s="17" t="n"/>
      <c r="J323" s="17" t="n"/>
    </row>
    <row r="324" s="1">
      <c r="H324" s="17" t="inlineStr">
        <is>
          <t>kanan</t>
        </is>
      </c>
      <c r="I324" s="17" t="n"/>
      <c r="J324" s="17" t="n"/>
    </row>
    <row r="325" s="1">
      <c r="H325" s="17" t="inlineStr">
        <is>
          <t>tengah</t>
        </is>
      </c>
      <c r="I325" s="17" t="n"/>
      <c r="J325" s="17" t="n"/>
    </row>
    <row r="326" s="1">
      <c r="H326" s="17" t="inlineStr">
        <is>
          <t>kanan</t>
        </is>
      </c>
      <c r="I326" s="17" t="n"/>
      <c r="J326" s="17" t="n"/>
    </row>
    <row r="327" s="1">
      <c r="H327" s="17" t="inlineStr">
        <is>
          <t>tengah</t>
        </is>
      </c>
      <c r="I327" s="17" t="n"/>
      <c r="J327" s="17" t="n"/>
    </row>
    <row r="328" s="1">
      <c r="H328" s="17" t="inlineStr">
        <is>
          <t>tengah</t>
        </is>
      </c>
      <c r="I328" s="17" t="n"/>
      <c r="J328" s="17" t="n"/>
    </row>
    <row r="329" s="1">
      <c r="H329" s="17" t="inlineStr">
        <is>
          <t>kanan</t>
        </is>
      </c>
      <c r="I329" s="17" t="n"/>
      <c r="J329" s="17" t="n"/>
    </row>
    <row r="330" s="1">
      <c r="H330" s="17" t="inlineStr">
        <is>
          <t>tengah</t>
        </is>
      </c>
      <c r="I330" s="17" t="n"/>
      <c r="J330" s="17" t="n"/>
    </row>
    <row r="331" s="1">
      <c r="H331" s="17" t="inlineStr">
        <is>
          <t>kanan</t>
        </is>
      </c>
      <c r="I331" s="17" t="n"/>
      <c r="J331" s="17" t="n"/>
    </row>
    <row r="332" s="1">
      <c r="H332" s="17" t="inlineStr">
        <is>
          <t>tengah</t>
        </is>
      </c>
      <c r="I332" s="17" t="n"/>
      <c r="J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2"/>
  <sheetViews>
    <sheetView topLeftCell="A160" workbookViewId="0">
      <selection activeCell="U22" sqref="U22"/>
    </sheetView>
  </sheetViews>
  <sheetFormatPr baseColWidth="8" defaultColWidth="8.6" defaultRowHeight="15"/>
  <cols>
    <col width="15.8592592592593" customWidth="1" style="1" min="3" max="3"/>
    <col width="13.8592592592593" customWidth="1" style="1" min="6" max="6"/>
    <col width="12.4444444444444" customWidth="1" style="1" min="7" max="7"/>
    <col width="15.8592592592593" customWidth="1" style="1" min="10" max="10"/>
    <col width="22" customWidth="1" style="1" min="11" max="11"/>
    <col width="13.2888888888889" customWidth="1" style="1" min="12" max="12"/>
    <col width="13.8592592592593" customWidth="1" style="1" min="13" max="13"/>
    <col width="24.8592592592593" customWidth="1" style="1" min="15" max="15"/>
    <col width="12" customWidth="1" style="1" min="16" max="16"/>
    <col width="12.7185185185185" customWidth="1" style="1" min="17" max="17"/>
    <col width="14.2888888888889" customWidth="1" style="1" min="20" max="20"/>
    <col width="12" customWidth="1" style="1" min="21" max="22"/>
  </cols>
  <sheetData>
    <row r="1" s="1">
      <c r="A1" s="16" t="inlineStr">
        <is>
          <t>No</t>
        </is>
      </c>
      <c r="B1" s="16" t="inlineStr">
        <is>
          <t>Usia</t>
        </is>
      </c>
      <c r="C1" s="16" t="inlineStr">
        <is>
          <t>Lama Rawat Inap</t>
        </is>
      </c>
      <c r="D1" s="16" t="inlineStr">
        <is>
          <t>Jumlah Kasus Per Bulan</t>
        </is>
      </c>
      <c r="E1" s="16" t="inlineStr">
        <is>
          <t>Jenis Kelamin</t>
        </is>
      </c>
      <c r="F1" s="16" t="inlineStr">
        <is>
          <t>Tingkat Resiko</t>
        </is>
      </c>
      <c r="H1" s="17" t="inlineStr">
        <is>
          <t>No</t>
        </is>
      </c>
      <c r="I1" s="17" t="inlineStr">
        <is>
          <t>Usia</t>
        </is>
      </c>
      <c r="J1" s="17" t="inlineStr">
        <is>
          <t>Lama Rawat Inap</t>
        </is>
      </c>
      <c r="K1" s="17" t="inlineStr">
        <is>
          <t>Jumlah Kasus Per Bulan</t>
        </is>
      </c>
      <c r="L1" s="17" t="inlineStr">
        <is>
          <t>Jenis Kelamin</t>
        </is>
      </c>
      <c r="M1" s="17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INDEX(Data_DBD!$B:$B,$A2)</f>
        <v/>
      </c>
      <c r="C2" s="17">
        <f t="array" ref="C2">INDEX(Data_DBD!$C:$C,$A2)</f>
        <v/>
      </c>
      <c r="D2" s="17">
        <f t="array" ref="D2">INDEX(Data_DBD!$D:$D,$A2)</f>
        <v/>
      </c>
      <c r="E2" s="17">
        <f t="array" ref="E2">INDEX(Data_DBD!$E:$E,$A2)</f>
        <v/>
      </c>
      <c r="F2" s="17">
        <f t="array" ref="F2">INDEX(Data_DBD!$F:$F,$A2)</f>
        <v/>
      </c>
      <c r="H2" s="17" t="n">
        <v>14</v>
      </c>
      <c r="I2" s="17" t="n">
        <v>49</v>
      </c>
      <c r="J2" s="17" t="n">
        <v>4</v>
      </c>
      <c r="K2" s="17" t="n">
        <v>7</v>
      </c>
      <c r="L2" s="17" t="n">
        <v>1</v>
      </c>
      <c r="M2" s="17" t="inlineStr">
        <is>
          <t>Rendah</t>
        </is>
      </c>
      <c r="O2" s="19" t="inlineStr">
        <is>
          <t>Tinggi</t>
        </is>
      </c>
      <c r="P2" s="19">
        <f>COUNTIF(M2:M164,"Tinggi")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INDEX(Data_DBD!$B:$B,$A3)</f>
        <v/>
      </c>
      <c r="C3" s="17">
        <f t="array" ref="C3">INDEX(Data_DBD!$C:$C,$A3)</f>
        <v/>
      </c>
      <c r="D3" s="17">
        <f t="array" ref="D3">INDEX(Data_DBD!$D:$D,$A3)</f>
        <v/>
      </c>
      <c r="E3" s="17">
        <f t="array" ref="E3">INDEX(Data_DBD!$E:$E,$A3)</f>
        <v/>
      </c>
      <c r="F3" s="17">
        <f t="array" ref="F3">INDEX(Data_DBD!$F:$F,$A3)</f>
        <v/>
      </c>
      <c r="H3" s="17" t="n">
        <v>127</v>
      </c>
      <c r="I3" s="17" t="n">
        <v>21</v>
      </c>
      <c r="J3" s="17" t="n">
        <v>2</v>
      </c>
      <c r="K3" s="17" t="n">
        <v>33</v>
      </c>
      <c r="L3" s="17" t="n">
        <v>0</v>
      </c>
      <c r="M3" s="17" t="inlineStr">
        <is>
          <t>Tinggi</t>
        </is>
      </c>
      <c r="O3" s="19" t="inlineStr">
        <is>
          <t>Sedang</t>
        </is>
      </c>
      <c r="P3" s="19">
        <f>COUNTIF(M2:M164,"Sedang")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INDEX(Data_DBD!$B:$B,$A4)</f>
        <v/>
      </c>
      <c r="C4" s="17">
        <f t="array" ref="C4">INDEX(Data_DBD!$C:$C,$A4)</f>
        <v/>
      </c>
      <c r="D4" s="17">
        <f t="array" ref="D4">INDEX(Data_DBD!$D:$D,$A4)</f>
        <v/>
      </c>
      <c r="E4" s="17">
        <f t="array" ref="E4">INDEX(Data_DBD!$E:$E,$A4)</f>
        <v/>
      </c>
      <c r="F4" s="17">
        <f t="array" ref="F4">INDEX(Data_DBD!$F:$F,$A4)</f>
        <v/>
      </c>
      <c r="H4" s="17" t="n">
        <v>62</v>
      </c>
      <c r="I4" s="17" t="n">
        <v>43</v>
      </c>
      <c r="J4" s="17" t="n">
        <v>4</v>
      </c>
      <c r="K4" s="17" t="n">
        <v>15</v>
      </c>
      <c r="L4" s="17" t="n">
        <v>1</v>
      </c>
      <c r="M4" s="17" t="inlineStr">
        <is>
          <t>Sedang</t>
        </is>
      </c>
      <c r="O4" s="19" t="inlineStr">
        <is>
          <t>Rendah</t>
        </is>
      </c>
      <c r="P4" s="19">
        <f>COUNTIF(M2:M164,"Rendah")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INDEX(Data_DBD!$B:$B,$A5)</f>
        <v/>
      </c>
      <c r="C5" s="17">
        <f t="array" ref="C5">INDEX(Data_DBD!$C:$C,$A5)</f>
        <v/>
      </c>
      <c r="D5" s="17">
        <f t="array" ref="D5">INDEX(Data_DBD!$D:$D,$A5)</f>
        <v/>
      </c>
      <c r="E5" s="17">
        <f t="array" ref="E5">INDEX(Data_DBD!$E:$E,$A5)</f>
        <v/>
      </c>
      <c r="F5" s="17">
        <f t="array" ref="F5">INDEX(Data_DBD!$F:$F,$A5)</f>
        <v/>
      </c>
      <c r="H5" s="17" t="n">
        <v>137</v>
      </c>
      <c r="I5" s="17" t="n">
        <v>3</v>
      </c>
      <c r="J5" s="17" t="n">
        <v>1</v>
      </c>
      <c r="K5" s="17" t="n">
        <v>33</v>
      </c>
      <c r="L5" s="17" t="n">
        <v>1</v>
      </c>
      <c r="M5" s="17" t="inlineStr">
        <is>
          <t>Tinggi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INDEX(Data_DBD!$B:$B,$A6)</f>
        <v/>
      </c>
      <c r="C6" s="17">
        <f t="array" ref="C6">INDEX(Data_DBD!$C:$C,$A6)</f>
        <v/>
      </c>
      <c r="D6" s="17">
        <f t="array" ref="D6">INDEX(Data_DBD!$D:$D,$A6)</f>
        <v/>
      </c>
      <c r="E6" s="17">
        <f t="array" ref="E6">INDEX(Data_DBD!$E:$E,$A6)</f>
        <v/>
      </c>
      <c r="F6" s="17">
        <f t="array" ref="F6">INDEX(Data_DBD!$F:$F,$A6)</f>
        <v/>
      </c>
      <c r="H6" s="17" t="n">
        <v>25</v>
      </c>
      <c r="I6" s="17" t="n">
        <v>81</v>
      </c>
      <c r="J6" s="17" t="n">
        <v>5</v>
      </c>
      <c r="K6" s="17" t="n">
        <v>14</v>
      </c>
      <c r="L6" s="17" t="n">
        <v>0</v>
      </c>
      <c r="M6" s="17" t="inlineStr">
        <is>
          <t>Sedang</t>
        </is>
      </c>
    </row>
    <row r="7" s="1">
      <c r="A7" s="17">
        <f>RANDBETWEEN(2,164)</f>
        <v/>
      </c>
      <c r="B7" s="17">
        <f t="array" ref="B7">INDEX(Data_DBD!$B:$B,$A7)</f>
        <v/>
      </c>
      <c r="C7" s="17">
        <f t="array" ref="C7">INDEX(Data_DBD!$C:$C,$A7)</f>
        <v/>
      </c>
      <c r="D7" s="17">
        <f t="array" ref="D7">INDEX(Data_DBD!$D:$D,$A7)</f>
        <v/>
      </c>
      <c r="E7" s="17">
        <f t="array" ref="E7">INDEX(Data_DBD!$E:$E,$A7)</f>
        <v/>
      </c>
      <c r="F7" s="17">
        <f t="array" ref="F7">INDEX(Data_DBD!$F:$F,$A7)</f>
        <v/>
      </c>
      <c r="H7" s="17" t="n">
        <v>151</v>
      </c>
      <c r="I7" s="17" t="n">
        <v>24</v>
      </c>
      <c r="J7" s="17" t="n">
        <v>3</v>
      </c>
      <c r="K7" s="17" t="n">
        <v>21</v>
      </c>
      <c r="L7" s="17" t="n">
        <v>0</v>
      </c>
      <c r="M7" s="17" t="inlineStr">
        <is>
          <t>Tinggi</t>
        </is>
      </c>
    </row>
    <row r="8" s="1">
      <c r="A8" s="17">
        <f>RANDBETWEEN(2,164)</f>
        <v/>
      </c>
      <c r="B8" s="17">
        <f t="array" ref="B8">INDEX(Data_DBD!$B:$B,$A8)</f>
        <v/>
      </c>
      <c r="C8" s="17">
        <f t="array" ref="C8">INDEX(Data_DBD!$C:$C,$A8)</f>
        <v/>
      </c>
      <c r="D8" s="17">
        <f t="array" ref="D8">INDEX(Data_DBD!$D:$D,$A8)</f>
        <v/>
      </c>
      <c r="E8" s="17">
        <f t="array" ref="E8">INDEX(Data_DBD!$E:$E,$A8)</f>
        <v/>
      </c>
      <c r="F8" s="17">
        <f t="array" ref="F8">INDEX(Data_DBD!$F:$F,$A8)</f>
        <v/>
      </c>
      <c r="H8" s="17" t="n">
        <v>138</v>
      </c>
      <c r="I8" s="17" t="n">
        <v>13</v>
      </c>
      <c r="J8" s="17" t="n">
        <v>3</v>
      </c>
      <c r="K8" s="17" t="n">
        <v>33</v>
      </c>
      <c r="L8" s="17" t="n">
        <v>1</v>
      </c>
      <c r="M8" s="17" t="inlineStr">
        <is>
          <t>Tinggi</t>
        </is>
      </c>
    </row>
    <row r="9" s="1">
      <c r="A9" s="17">
        <f>RANDBETWEEN(2,164)</f>
        <v/>
      </c>
      <c r="B9" s="17">
        <f t="array" ref="B9">INDEX(Data_DBD!$B:$B,$A9)</f>
        <v/>
      </c>
      <c r="C9" s="17">
        <f t="array" ref="C9">INDEX(Data_DBD!$C:$C,$A9)</f>
        <v/>
      </c>
      <c r="D9" s="17">
        <f t="array" ref="D9">INDEX(Data_DBD!$D:$D,$A9)</f>
        <v/>
      </c>
      <c r="E9" s="17">
        <f t="array" ref="E9">INDEX(Data_DBD!$E:$E,$A9)</f>
        <v/>
      </c>
      <c r="F9" s="17">
        <f t="array" ref="F9">INDEX(Data_DBD!$F:$F,$A9)</f>
        <v/>
      </c>
      <c r="H9" s="17" t="n">
        <v>69</v>
      </c>
      <c r="I9" s="17" t="n">
        <v>24</v>
      </c>
      <c r="J9" s="17" t="n">
        <v>4</v>
      </c>
      <c r="K9" s="17" t="n">
        <v>10</v>
      </c>
      <c r="L9" s="17" t="n">
        <v>1</v>
      </c>
      <c r="M9" s="17" t="inlineStr">
        <is>
          <t>Sedang</t>
        </is>
      </c>
    </row>
    <row r="10" s="1">
      <c r="A10" s="17">
        <f>RANDBETWEEN(2,164)</f>
        <v/>
      </c>
      <c r="B10" s="17">
        <f t="array" ref="B10">INDEX(Data_DBD!$B:$B,$A10)</f>
        <v/>
      </c>
      <c r="C10" s="17">
        <f t="array" ref="C10">INDEX(Data_DBD!$C:$C,$A10)</f>
        <v/>
      </c>
      <c r="D10" s="17">
        <f t="array" ref="D10">INDEX(Data_DBD!$D:$D,$A10)</f>
        <v/>
      </c>
      <c r="E10" s="17">
        <f t="array" ref="E10">INDEX(Data_DBD!$E:$E,$A10)</f>
        <v/>
      </c>
      <c r="F10" s="17">
        <f t="array" ref="F10">INDEX(Data_DBD!$F:$F,$A10)</f>
        <v/>
      </c>
      <c r="H10" s="17" t="n">
        <v>23</v>
      </c>
      <c r="I10" s="17" t="n">
        <v>28</v>
      </c>
      <c r="J10" s="17" t="n">
        <v>4</v>
      </c>
      <c r="K10" s="17" t="n">
        <v>14</v>
      </c>
      <c r="L10" s="17" t="n">
        <v>1</v>
      </c>
      <c r="M10" s="17" t="inlineStr">
        <is>
          <t>Sedang</t>
        </is>
      </c>
    </row>
    <row r="11" s="1">
      <c r="A11" s="17">
        <f>RANDBETWEEN(2,164)</f>
        <v/>
      </c>
      <c r="B11" s="17">
        <f t="array" ref="B11">INDEX(Data_DBD!$B:$B,$A11)</f>
        <v/>
      </c>
      <c r="C11" s="17">
        <f t="array" ref="C11">INDEX(Data_DBD!$C:$C,$A11)</f>
        <v/>
      </c>
      <c r="D11" s="17">
        <f t="array" ref="D11">INDEX(Data_DBD!$D:$D,$A11)</f>
        <v/>
      </c>
      <c r="E11" s="17">
        <f t="array" ref="E11">INDEX(Data_DBD!$E:$E,$A11)</f>
        <v/>
      </c>
      <c r="F11" s="17">
        <f t="array" ref="F11">INDEX(Data_DBD!$F:$F,$A11)</f>
        <v/>
      </c>
      <c r="H11" s="17" t="n">
        <v>87</v>
      </c>
      <c r="I11" s="17" t="n">
        <v>21</v>
      </c>
      <c r="J11" s="17" t="n">
        <v>3</v>
      </c>
      <c r="K11" s="17" t="n">
        <v>13</v>
      </c>
      <c r="L11" s="17" t="n">
        <v>0</v>
      </c>
      <c r="M11" s="17" t="inlineStr">
        <is>
          <t>Sedang</t>
        </is>
      </c>
    </row>
    <row r="12" s="1">
      <c r="A12" s="17">
        <f>RANDBETWEEN(2,164)</f>
        <v/>
      </c>
      <c r="B12" s="17">
        <f t="array" ref="B12">INDEX(Data_DBD!$B:$B,$A12)</f>
        <v/>
      </c>
      <c r="C12" s="17">
        <f t="array" ref="C12">INDEX(Data_DBD!$C:$C,$A12)</f>
        <v/>
      </c>
      <c r="D12" s="17">
        <f t="array" ref="D12">INDEX(Data_DBD!$D:$D,$A12)</f>
        <v/>
      </c>
      <c r="E12" s="17">
        <f t="array" ref="E12">INDEX(Data_DBD!$E:$E,$A12)</f>
        <v/>
      </c>
      <c r="F12" s="17">
        <f t="array" ref="F12">INDEX(Data_DBD!$F:$F,$A12)</f>
        <v/>
      </c>
      <c r="H12" s="17" t="n">
        <v>34</v>
      </c>
      <c r="I12" s="17" t="n">
        <v>55</v>
      </c>
      <c r="J12" s="17" t="n">
        <v>3</v>
      </c>
      <c r="K12" s="17" t="n">
        <v>14</v>
      </c>
      <c r="L12" s="17" t="n">
        <v>0</v>
      </c>
      <c r="M12" s="17" t="inlineStr">
        <is>
          <t>Sedang</t>
        </is>
      </c>
    </row>
    <row r="13" s="1">
      <c r="A13" s="17">
        <f>RANDBETWEEN(2,164)</f>
        <v/>
      </c>
      <c r="B13" s="17">
        <f t="array" ref="B13">INDEX(Data_DBD!$B:$B,$A13)</f>
        <v/>
      </c>
      <c r="C13" s="17">
        <f t="array" ref="C13">INDEX(Data_DBD!$C:$C,$A13)</f>
        <v/>
      </c>
      <c r="D13" s="17">
        <f t="array" ref="D13">INDEX(Data_DBD!$D:$D,$A13)</f>
        <v/>
      </c>
      <c r="E13" s="17">
        <f t="array" ref="E13">INDEX(Data_DBD!$E:$E,$A13)</f>
        <v/>
      </c>
      <c r="F13" s="17">
        <f t="array" ref="F13">INDEX(Data_DBD!$F:$F,$A13)</f>
        <v/>
      </c>
      <c r="H13" s="17" t="n">
        <v>29</v>
      </c>
      <c r="I13" s="17" t="n">
        <v>19</v>
      </c>
      <c r="J13" s="17" t="n">
        <v>2</v>
      </c>
      <c r="K13" s="17" t="n">
        <v>14</v>
      </c>
      <c r="L13" s="17" t="n">
        <v>1</v>
      </c>
      <c r="M13" s="17" t="inlineStr">
        <is>
          <t>Sedang</t>
        </is>
      </c>
    </row>
    <row r="14" s="1">
      <c r="A14" s="17">
        <f>RANDBETWEEN(2,164)</f>
        <v/>
      </c>
      <c r="B14" s="17">
        <f t="array" ref="B14">INDEX(Data_DBD!$B:$B,$A14)</f>
        <v/>
      </c>
      <c r="C14" s="17">
        <f t="array" ref="C14">INDEX(Data_DBD!$C:$C,$A14)</f>
        <v/>
      </c>
      <c r="D14" s="17">
        <f t="array" ref="D14">INDEX(Data_DBD!$D:$D,$A14)</f>
        <v/>
      </c>
      <c r="E14" s="17">
        <f t="array" ref="E14">INDEX(Data_DBD!$E:$E,$A14)</f>
        <v/>
      </c>
      <c r="F14" s="17">
        <f t="array" ref="F14">INDEX(Data_DBD!$F:$F,$A14)</f>
        <v/>
      </c>
      <c r="H14" s="17" t="n">
        <v>154</v>
      </c>
      <c r="I14" s="17" t="n">
        <v>18</v>
      </c>
      <c r="J14" s="17" t="n">
        <v>5</v>
      </c>
      <c r="K14" s="17" t="n">
        <v>21</v>
      </c>
      <c r="L14" s="17" t="n">
        <v>1</v>
      </c>
      <c r="M14" s="17" t="inlineStr">
        <is>
          <t>Tinggi</t>
        </is>
      </c>
    </row>
    <row r="15" s="1">
      <c r="A15" s="17">
        <f>RANDBETWEEN(2,164)</f>
        <v/>
      </c>
      <c r="B15" s="17">
        <f t="array" ref="B15">INDEX(Data_DBD!$B:$B,$A15)</f>
        <v/>
      </c>
      <c r="C15" s="17">
        <f t="array" ref="C15">INDEX(Data_DBD!$C:$C,$A15)</f>
        <v/>
      </c>
      <c r="D15" s="17">
        <f t="array" ref="D15">INDEX(Data_DBD!$D:$D,$A15)</f>
        <v/>
      </c>
      <c r="E15" s="17">
        <f t="array" ref="E15">INDEX(Data_DBD!$E:$E,$A15)</f>
        <v/>
      </c>
      <c r="F15" s="17">
        <f t="array" ref="F15">INDEX(Data_DBD!$F:$F,$A15)</f>
        <v/>
      </c>
      <c r="H15" s="17" t="n">
        <v>136</v>
      </c>
      <c r="I15" s="17" t="n">
        <v>6</v>
      </c>
      <c r="J15" s="17" t="n">
        <v>2</v>
      </c>
      <c r="K15" s="17" t="n">
        <v>33</v>
      </c>
      <c r="L15" s="17" t="n">
        <v>0</v>
      </c>
      <c r="M15" s="17" t="inlineStr">
        <is>
          <t>Tinggi</t>
        </is>
      </c>
    </row>
    <row r="16" s="1">
      <c r="A16" s="17">
        <f>RANDBETWEEN(2,164)</f>
        <v/>
      </c>
      <c r="B16" s="17">
        <f t="array" ref="B16">INDEX(Data_DBD!$B:$B,$A16)</f>
        <v/>
      </c>
      <c r="C16" s="17">
        <f t="array" ref="C16">INDEX(Data_DBD!$C:$C,$A16)</f>
        <v/>
      </c>
      <c r="D16" s="17">
        <f t="array" ref="D16">INDEX(Data_DBD!$D:$D,$A16)</f>
        <v/>
      </c>
      <c r="E16" s="17">
        <f t="array" ref="E16">INDEX(Data_DBD!$E:$E,$A16)</f>
        <v/>
      </c>
      <c r="F16" s="17">
        <f t="array" ref="F16">INDEX(Data_DBD!$F:$F,$A16)</f>
        <v/>
      </c>
      <c r="H16" s="17" t="n">
        <v>111</v>
      </c>
      <c r="I16" s="17" t="n">
        <v>25</v>
      </c>
      <c r="J16" s="17" t="n">
        <v>4</v>
      </c>
      <c r="K16" s="17" t="n">
        <v>33</v>
      </c>
      <c r="L16" s="17" t="n">
        <v>0</v>
      </c>
      <c r="M16" s="17" t="inlineStr">
        <is>
          <t>Tinggi</t>
        </is>
      </c>
    </row>
    <row r="17" s="1">
      <c r="A17" s="17">
        <f>RANDBETWEEN(2,164)</f>
        <v/>
      </c>
      <c r="B17" s="17">
        <f t="array" ref="B17">INDEX(Data_DBD!$B:$B,$A17)</f>
        <v/>
      </c>
      <c r="C17" s="17">
        <f t="array" ref="C17">INDEX(Data_DBD!$C:$C,$A17)</f>
        <v/>
      </c>
      <c r="D17" s="17">
        <f t="array" ref="D17">INDEX(Data_DBD!$D:$D,$A17)</f>
        <v/>
      </c>
      <c r="E17" s="17">
        <f t="array" ref="E17">INDEX(Data_DBD!$E:$E,$A17)</f>
        <v/>
      </c>
      <c r="F17" s="17">
        <f t="array" ref="F17">INDEX(Data_DBD!$F:$F,$A17)</f>
        <v/>
      </c>
      <c r="H17" s="17" t="n">
        <v>163</v>
      </c>
      <c r="I17" s="17" t="n">
        <v>34</v>
      </c>
      <c r="J17" s="17" t="n">
        <v>4</v>
      </c>
      <c r="K17" s="17" t="n">
        <v>3</v>
      </c>
      <c r="L17" s="17" t="n">
        <v>1</v>
      </c>
      <c r="M17" s="17" t="inlineStr">
        <is>
          <t>Rendah</t>
        </is>
      </c>
    </row>
    <row r="18" s="1">
      <c r="A18" s="17">
        <f>RANDBETWEEN(2,164)</f>
        <v/>
      </c>
      <c r="B18" s="17">
        <f t="array" ref="B18">INDEX(Data_DBD!$B:$B,$A18)</f>
        <v/>
      </c>
      <c r="C18" s="17">
        <f t="array" ref="C18">INDEX(Data_DBD!$C:$C,$A18)</f>
        <v/>
      </c>
      <c r="D18" s="17">
        <f t="array" ref="D18">INDEX(Data_DBD!$D:$D,$A18)</f>
        <v/>
      </c>
      <c r="E18" s="17">
        <f t="array" ref="E18">INDEX(Data_DBD!$E:$E,$A18)</f>
        <v/>
      </c>
      <c r="F18" s="17">
        <f t="array" ref="F18">INDEX(Data_DBD!$F:$F,$A18)</f>
        <v/>
      </c>
      <c r="H18" s="17" t="n">
        <v>17</v>
      </c>
      <c r="I18" s="17" t="n">
        <v>2</v>
      </c>
      <c r="J18" s="17" t="n">
        <v>3</v>
      </c>
      <c r="K18" s="17" t="n">
        <v>7</v>
      </c>
      <c r="L18" s="17" t="n">
        <v>0</v>
      </c>
      <c r="M18" s="17" t="inlineStr">
        <is>
          <t>Rendah</t>
        </is>
      </c>
    </row>
    <row r="19" s="1">
      <c r="A19" s="17">
        <f>RANDBETWEEN(2,164)</f>
        <v/>
      </c>
      <c r="B19" s="17">
        <f t="array" ref="B19">INDEX(Data_DBD!$B:$B,$A19)</f>
        <v/>
      </c>
      <c r="C19" s="17">
        <f t="array" ref="C19">INDEX(Data_DBD!$C:$C,$A19)</f>
        <v/>
      </c>
      <c r="D19" s="17">
        <f t="array" ref="D19">INDEX(Data_DBD!$D:$D,$A19)</f>
        <v/>
      </c>
      <c r="E19" s="17">
        <f t="array" ref="E19">INDEX(Data_DBD!$E:$E,$A19)</f>
        <v/>
      </c>
      <c r="F19" s="17">
        <f t="array" ref="F19">INDEX(Data_DBD!$F:$F,$A19)</f>
        <v/>
      </c>
      <c r="H19" s="17" t="n">
        <v>138</v>
      </c>
      <c r="I19" s="17" t="n">
        <v>13</v>
      </c>
      <c r="J19" s="17" t="n">
        <v>3</v>
      </c>
      <c r="K19" s="17" t="n">
        <v>33</v>
      </c>
      <c r="L19" s="17" t="n">
        <v>1</v>
      </c>
      <c r="M19" s="17" t="inlineStr">
        <is>
          <t>Tinggi</t>
        </is>
      </c>
    </row>
    <row r="20" s="1">
      <c r="A20" s="17">
        <f>RANDBETWEEN(2,164)</f>
        <v/>
      </c>
      <c r="B20" s="17">
        <f t="array" ref="B20">INDEX(Data_DBD!$B:$B,$A20)</f>
        <v/>
      </c>
      <c r="C20" s="17">
        <f t="array" ref="C20">INDEX(Data_DBD!$C:$C,$A20)</f>
        <v/>
      </c>
      <c r="D20" s="17">
        <f t="array" ref="D20">INDEX(Data_DBD!$D:$D,$A20)</f>
        <v/>
      </c>
      <c r="E20" s="17">
        <f t="array" ref="E20">INDEX(Data_DBD!$E:$E,$A20)</f>
        <v/>
      </c>
      <c r="F20" s="17">
        <f t="array" ref="F20">INDEX(Data_DBD!$F:$F,$A20)</f>
        <v/>
      </c>
      <c r="H20" s="17" t="n">
        <v>143</v>
      </c>
      <c r="I20" s="17" t="n">
        <v>20</v>
      </c>
      <c r="J20" s="17" t="n">
        <v>4</v>
      </c>
      <c r="K20" s="17" t="n">
        <v>21</v>
      </c>
      <c r="L20" s="17" t="n">
        <v>1</v>
      </c>
      <c r="M20" s="17" t="inlineStr">
        <is>
          <t>Tinggi</t>
        </is>
      </c>
    </row>
    <row r="21" s="1">
      <c r="A21" s="17">
        <f>RANDBETWEEN(2,164)</f>
        <v/>
      </c>
      <c r="B21" s="17">
        <f t="array" ref="B21">INDEX(Data_DBD!$B:$B,$A21)</f>
        <v/>
      </c>
      <c r="C21" s="17">
        <f t="array" ref="C21">INDEX(Data_DBD!$C:$C,$A21)</f>
        <v/>
      </c>
      <c r="D21" s="17">
        <f t="array" ref="D21">INDEX(Data_DBD!$D:$D,$A21)</f>
        <v/>
      </c>
      <c r="E21" s="17">
        <f t="array" ref="E21">INDEX(Data_DBD!$E:$E,$A21)</f>
        <v/>
      </c>
      <c r="F21" s="17">
        <f t="array" ref="F21">INDEX(Data_DBD!$F:$F,$A21)</f>
        <v/>
      </c>
      <c r="H21" s="17" t="n">
        <v>15</v>
      </c>
      <c r="I21" s="17" t="n">
        <v>21</v>
      </c>
      <c r="J21" s="17" t="n">
        <v>2</v>
      </c>
      <c r="K21" s="17" t="n">
        <v>7</v>
      </c>
      <c r="L21" s="17" t="n">
        <v>0</v>
      </c>
      <c r="M21" s="17" t="inlineStr">
        <is>
          <t>Rendah</t>
        </is>
      </c>
    </row>
    <row r="22" s="1">
      <c r="A22" s="17">
        <f>RANDBETWEEN(2,164)</f>
        <v/>
      </c>
      <c r="B22" s="17">
        <f t="array" ref="B22">INDEX(Data_DBD!$B:$B,$A22)</f>
        <v/>
      </c>
      <c r="C22" s="17">
        <f t="array" ref="C22">INDEX(Data_DBD!$C:$C,$A22)</f>
        <v/>
      </c>
      <c r="D22" s="17">
        <f t="array" ref="D22">INDEX(Data_DBD!$D:$D,$A22)</f>
        <v/>
      </c>
      <c r="E22" s="17">
        <f t="array" ref="E22">INDEX(Data_DBD!$E:$E,$A22)</f>
        <v/>
      </c>
      <c r="F22" s="17">
        <f t="array" ref="F22">INDEX(Data_DBD!$F:$F,$A22)</f>
        <v/>
      </c>
      <c r="H22" s="17" t="n">
        <v>101</v>
      </c>
      <c r="I22" s="17" t="n">
        <v>42</v>
      </c>
      <c r="J22" s="17" t="n">
        <v>5</v>
      </c>
      <c r="K22" s="17" t="n">
        <v>18</v>
      </c>
      <c r="L22" s="17" t="n">
        <v>0</v>
      </c>
      <c r="M22" s="17" t="inlineStr">
        <is>
          <t>Tinggi</t>
        </is>
      </c>
    </row>
    <row r="23" s="1">
      <c r="A23" s="17">
        <f>RANDBETWEEN(2,164)</f>
        <v/>
      </c>
      <c r="B23" s="17">
        <f t="array" ref="B23">INDEX(Data_DBD!$B:$B,$A23)</f>
        <v/>
      </c>
      <c r="C23" s="17">
        <f t="array" ref="C23">INDEX(Data_DBD!$C:$C,$A23)</f>
        <v/>
      </c>
      <c r="D23" s="17">
        <f t="array" ref="D23">INDEX(Data_DBD!$D:$D,$A23)</f>
        <v/>
      </c>
      <c r="E23" s="17">
        <f t="array" ref="E23">INDEX(Data_DBD!$E:$E,$A23)</f>
        <v/>
      </c>
      <c r="F23" s="17">
        <f t="array" ref="F23">INDEX(Data_DBD!$F:$F,$A23)</f>
        <v/>
      </c>
      <c r="H23" s="17" t="n">
        <v>13</v>
      </c>
      <c r="I23" s="17" t="n">
        <v>47</v>
      </c>
      <c r="J23" s="17" t="n">
        <v>2</v>
      </c>
      <c r="K23" s="17" t="n">
        <v>12</v>
      </c>
      <c r="L23" s="17" t="n">
        <v>0</v>
      </c>
      <c r="M23" s="17" t="inlineStr">
        <is>
          <t>Sedang</t>
        </is>
      </c>
    </row>
    <row r="24" s="1">
      <c r="A24" s="17">
        <f>RANDBETWEEN(2,164)</f>
        <v/>
      </c>
      <c r="B24" s="17">
        <f t="array" ref="B24">INDEX(Data_DBD!$B:$B,$A24)</f>
        <v/>
      </c>
      <c r="C24" s="17">
        <f t="array" ref="C24">INDEX(Data_DBD!$C:$C,$A24)</f>
        <v/>
      </c>
      <c r="D24" s="17">
        <f t="array" ref="D24">INDEX(Data_DBD!$D:$D,$A24)</f>
        <v/>
      </c>
      <c r="E24" s="17">
        <f t="array" ref="E24">INDEX(Data_DBD!$E:$E,$A24)</f>
        <v/>
      </c>
      <c r="F24" s="17">
        <f t="array" ref="F24">INDEX(Data_DBD!$F:$F,$A24)</f>
        <v/>
      </c>
      <c r="H24" s="17" t="n">
        <v>99</v>
      </c>
      <c r="I24" s="17" t="n">
        <v>4</v>
      </c>
      <c r="J24" s="17" t="n">
        <v>2</v>
      </c>
      <c r="K24" s="17" t="n">
        <v>18</v>
      </c>
      <c r="L24" s="17" t="n">
        <v>1</v>
      </c>
      <c r="M24" s="17" t="inlineStr">
        <is>
          <t>Tinggi</t>
        </is>
      </c>
    </row>
    <row r="25" s="1">
      <c r="A25" s="17">
        <f>RANDBETWEEN(2,164)</f>
        <v/>
      </c>
      <c r="B25" s="17">
        <f t="array" ref="B25">INDEX(Data_DBD!$B:$B,$A25)</f>
        <v/>
      </c>
      <c r="C25" s="17">
        <f t="array" ref="C25">INDEX(Data_DBD!$C:$C,$A25)</f>
        <v/>
      </c>
      <c r="D25" s="17">
        <f t="array" ref="D25">INDEX(Data_DBD!$D:$D,$A25)</f>
        <v/>
      </c>
      <c r="E25" s="17">
        <f t="array" ref="E25">INDEX(Data_DBD!$E:$E,$A25)</f>
        <v/>
      </c>
      <c r="F25" s="17">
        <f t="array" ref="F25">INDEX(Data_DBD!$F:$F,$A25)</f>
        <v/>
      </c>
      <c r="H25" s="17" t="n">
        <v>56</v>
      </c>
      <c r="I25" s="17" t="n">
        <v>4</v>
      </c>
      <c r="J25" s="17" t="n">
        <v>3</v>
      </c>
      <c r="K25" s="17" t="n">
        <v>15</v>
      </c>
      <c r="L25" s="17" t="n">
        <v>0</v>
      </c>
      <c r="M25" s="17" t="inlineStr">
        <is>
          <t>Sedang</t>
        </is>
      </c>
    </row>
    <row r="26" s="1">
      <c r="A26" s="17">
        <f>RANDBETWEEN(2,164)</f>
        <v/>
      </c>
      <c r="B26" s="17">
        <f t="array" ref="B26">INDEX(Data_DBD!$B:$B,$A26)</f>
        <v/>
      </c>
      <c r="C26" s="17">
        <f t="array" ref="C26">INDEX(Data_DBD!$C:$C,$A26)</f>
        <v/>
      </c>
      <c r="D26" s="17">
        <f t="array" ref="D26">INDEX(Data_DBD!$D:$D,$A26)</f>
        <v/>
      </c>
      <c r="E26" s="17">
        <f t="array" ref="E26">INDEX(Data_DBD!$E:$E,$A26)</f>
        <v/>
      </c>
      <c r="F26" s="17">
        <f t="array" ref="F26">INDEX(Data_DBD!$F:$F,$A26)</f>
        <v/>
      </c>
      <c r="H26" s="17" t="n">
        <v>151</v>
      </c>
      <c r="I26" s="17" t="n">
        <v>24</v>
      </c>
      <c r="J26" s="17" t="n">
        <v>3</v>
      </c>
      <c r="K26" s="17" t="n">
        <v>21</v>
      </c>
      <c r="L26" s="17" t="n">
        <v>0</v>
      </c>
      <c r="M26" s="17" t="inlineStr">
        <is>
          <t>Tinggi</t>
        </is>
      </c>
    </row>
    <row r="27" s="1">
      <c r="A27" s="17">
        <f>RANDBETWEEN(2,164)</f>
        <v/>
      </c>
      <c r="B27" s="17">
        <f t="array" ref="B27">INDEX(Data_DBD!$B:$B,$A27)</f>
        <v/>
      </c>
      <c r="C27" s="17">
        <f t="array" ref="C27">INDEX(Data_DBD!$C:$C,$A27)</f>
        <v/>
      </c>
      <c r="D27" s="17">
        <f t="array" ref="D27">INDEX(Data_DBD!$D:$D,$A27)</f>
        <v/>
      </c>
      <c r="E27" s="17">
        <f t="array" ref="E27">INDEX(Data_DBD!$E:$E,$A27)</f>
        <v/>
      </c>
      <c r="F27" s="17">
        <f t="array" ref="F27">INDEX(Data_DBD!$F:$F,$A27)</f>
        <v/>
      </c>
      <c r="H27" s="17" t="n">
        <v>35</v>
      </c>
      <c r="I27" s="17" t="n">
        <v>40</v>
      </c>
      <c r="J27" s="17" t="n">
        <v>3</v>
      </c>
      <c r="K27" s="17" t="n">
        <v>4</v>
      </c>
      <c r="L27" s="17" t="n">
        <v>1</v>
      </c>
      <c r="M27" s="17" t="inlineStr">
        <is>
          <t>Rendah</t>
        </is>
      </c>
    </row>
    <row r="28" s="1">
      <c r="A28" s="17">
        <f>RANDBETWEEN(2,164)</f>
        <v/>
      </c>
      <c r="B28" s="17">
        <f t="array" ref="B28">INDEX(Data_DBD!$B:$B,$A28)</f>
        <v/>
      </c>
      <c r="C28" s="17">
        <f t="array" ref="C28">INDEX(Data_DBD!$C:$C,$A28)</f>
        <v/>
      </c>
      <c r="D28" s="17">
        <f t="array" ref="D28">INDEX(Data_DBD!$D:$D,$A28)</f>
        <v/>
      </c>
      <c r="E28" s="17">
        <f t="array" ref="E28">INDEX(Data_DBD!$E:$E,$A28)</f>
        <v/>
      </c>
      <c r="F28" s="17">
        <f t="array" ref="F28">INDEX(Data_DBD!$F:$F,$A28)</f>
        <v/>
      </c>
      <c r="H28" s="17" t="n">
        <v>100</v>
      </c>
      <c r="I28" s="17" t="n">
        <v>19</v>
      </c>
      <c r="J28" s="17" t="n">
        <v>6</v>
      </c>
      <c r="K28" s="17" t="n">
        <v>18</v>
      </c>
      <c r="L28" s="17" t="n">
        <v>0</v>
      </c>
      <c r="M28" s="17" t="inlineStr">
        <is>
          <t>Tinggi</t>
        </is>
      </c>
    </row>
    <row r="29" s="1">
      <c r="A29" s="17">
        <f>RANDBETWEEN(2,164)</f>
        <v/>
      </c>
      <c r="B29" s="17">
        <f t="array" ref="B29">INDEX(Data_DBD!$B:$B,$A29)</f>
        <v/>
      </c>
      <c r="C29" s="17">
        <f t="array" ref="C29">INDEX(Data_DBD!$C:$C,$A29)</f>
        <v/>
      </c>
      <c r="D29" s="17">
        <f t="array" ref="D29">INDEX(Data_DBD!$D:$D,$A29)</f>
        <v/>
      </c>
      <c r="E29" s="17">
        <f t="array" ref="E29">INDEX(Data_DBD!$E:$E,$A29)</f>
        <v/>
      </c>
      <c r="F29" s="17">
        <f t="array" ref="F29">INDEX(Data_DBD!$F:$F,$A29)</f>
        <v/>
      </c>
      <c r="H29" s="17" t="n">
        <v>23</v>
      </c>
      <c r="I29" s="17" t="n">
        <v>28</v>
      </c>
      <c r="J29" s="17" t="n">
        <v>4</v>
      </c>
      <c r="K29" s="17" t="n">
        <v>14</v>
      </c>
      <c r="L29" s="17" t="n">
        <v>1</v>
      </c>
      <c r="M29" s="17" t="inlineStr">
        <is>
          <t>Sedang</t>
        </is>
      </c>
    </row>
    <row r="30" s="1">
      <c r="A30" s="17">
        <f>RANDBETWEEN(2,164)</f>
        <v/>
      </c>
      <c r="B30" s="17">
        <f t="array" ref="B30">INDEX(Data_DBD!$B:$B,$A30)</f>
        <v/>
      </c>
      <c r="C30" s="17">
        <f t="array" ref="C30">INDEX(Data_DBD!$C:$C,$A30)</f>
        <v/>
      </c>
      <c r="D30" s="17">
        <f t="array" ref="D30">INDEX(Data_DBD!$D:$D,$A30)</f>
        <v/>
      </c>
      <c r="E30" s="17">
        <f t="array" ref="E30">INDEX(Data_DBD!$E:$E,$A30)</f>
        <v/>
      </c>
      <c r="F30" s="17">
        <f t="array" ref="F30">INDEX(Data_DBD!$F:$F,$A30)</f>
        <v/>
      </c>
      <c r="H30" s="17" t="n">
        <v>59</v>
      </c>
      <c r="I30" s="17" t="n">
        <v>28</v>
      </c>
      <c r="J30" s="17" t="n">
        <v>4</v>
      </c>
      <c r="K30" s="17" t="n">
        <v>15</v>
      </c>
      <c r="L30" s="17" t="n">
        <v>0</v>
      </c>
      <c r="M30" s="17" t="inlineStr">
        <is>
          <t>Sedang</t>
        </is>
      </c>
    </row>
    <row r="31" s="1">
      <c r="A31" s="17">
        <f>RANDBETWEEN(2,164)</f>
        <v/>
      </c>
      <c r="B31" s="17">
        <f t="array" ref="B31">INDEX(Data_DBD!$B:$B,$A31)</f>
        <v/>
      </c>
      <c r="C31" s="17">
        <f t="array" ref="C31">INDEX(Data_DBD!$C:$C,$A31)</f>
        <v/>
      </c>
      <c r="D31" s="17">
        <f t="array" ref="D31">INDEX(Data_DBD!$D:$D,$A31)</f>
        <v/>
      </c>
      <c r="E31" s="17">
        <f t="array" ref="E31">INDEX(Data_DBD!$E:$E,$A31)</f>
        <v/>
      </c>
      <c r="F31" s="17">
        <f t="array" ref="F31">INDEX(Data_DBD!$F:$F,$A31)</f>
        <v/>
      </c>
      <c r="H31" s="17" t="n">
        <v>63</v>
      </c>
      <c r="I31" s="17" t="n">
        <v>25</v>
      </c>
      <c r="J31" s="17" t="n">
        <v>3</v>
      </c>
      <c r="K31" s="17" t="n">
        <v>15</v>
      </c>
      <c r="L31" s="17" t="n">
        <v>0</v>
      </c>
      <c r="M31" s="17" t="inlineStr">
        <is>
          <t>Sedang</t>
        </is>
      </c>
    </row>
    <row r="32" s="1">
      <c r="A32" s="17">
        <f>RANDBETWEEN(2,164)</f>
        <v/>
      </c>
      <c r="B32" s="17">
        <f t="array" ref="B32">INDEX(Data_DBD!$B:$B,$A32)</f>
        <v/>
      </c>
      <c r="C32" s="17">
        <f t="array" ref="C32">INDEX(Data_DBD!$C:$C,$A32)</f>
        <v/>
      </c>
      <c r="D32" s="17">
        <f t="array" ref="D32">INDEX(Data_DBD!$D:$D,$A32)</f>
        <v/>
      </c>
      <c r="E32" s="17">
        <f t="array" ref="E32">INDEX(Data_DBD!$E:$E,$A32)</f>
        <v/>
      </c>
      <c r="F32" s="17">
        <f t="array" ref="F32">INDEX(Data_DBD!$F:$F,$A32)</f>
        <v/>
      </c>
      <c r="H32" s="17" t="n">
        <v>113</v>
      </c>
      <c r="I32" s="17" t="n">
        <v>69</v>
      </c>
      <c r="J32" s="17" t="n">
        <v>1</v>
      </c>
      <c r="K32" s="17" t="n">
        <v>33</v>
      </c>
      <c r="L32" s="17" t="n">
        <v>1</v>
      </c>
      <c r="M32" s="17" t="inlineStr">
        <is>
          <t>Tinggi</t>
        </is>
      </c>
    </row>
    <row r="33" s="1">
      <c r="A33" s="17">
        <f>RANDBETWEEN(2,164)</f>
        <v/>
      </c>
      <c r="B33" s="17">
        <f t="array" ref="B33">INDEX(Data_DBD!$B:$B,$A33)</f>
        <v/>
      </c>
      <c r="C33" s="17">
        <f t="array" ref="C33">INDEX(Data_DBD!$C:$C,$A33)</f>
        <v/>
      </c>
      <c r="D33" s="17">
        <f t="array" ref="D33">INDEX(Data_DBD!$D:$D,$A33)</f>
        <v/>
      </c>
      <c r="E33" s="17">
        <f t="array" ref="E33">INDEX(Data_DBD!$E:$E,$A33)</f>
        <v/>
      </c>
      <c r="F33" s="17">
        <f t="array" ref="F33">INDEX(Data_DBD!$F:$F,$A33)</f>
        <v/>
      </c>
      <c r="H33" s="17" t="n">
        <v>106</v>
      </c>
      <c r="I33" s="17" t="n">
        <v>23</v>
      </c>
      <c r="J33" s="17" t="n">
        <v>3</v>
      </c>
      <c r="K33" s="17" t="n">
        <v>18</v>
      </c>
      <c r="L33" s="17" t="n">
        <v>1</v>
      </c>
      <c r="M33" s="17" t="inlineStr">
        <is>
          <t>Tinggi</t>
        </is>
      </c>
    </row>
    <row r="34" s="1">
      <c r="A34" s="17">
        <f>RANDBETWEEN(2,164)</f>
        <v/>
      </c>
      <c r="B34" s="17">
        <f t="array" ref="B34">INDEX(Data_DBD!$B:$B,$A34)</f>
        <v/>
      </c>
      <c r="C34" s="17">
        <f t="array" ref="C34">INDEX(Data_DBD!$C:$C,$A34)</f>
        <v/>
      </c>
      <c r="D34" s="17">
        <f t="array" ref="D34">INDEX(Data_DBD!$D:$D,$A34)</f>
        <v/>
      </c>
      <c r="E34" s="17">
        <f t="array" ref="E34">INDEX(Data_DBD!$E:$E,$A34)</f>
        <v/>
      </c>
      <c r="F34" s="17">
        <f t="array" ref="F34">INDEX(Data_DBD!$F:$F,$A34)</f>
        <v/>
      </c>
      <c r="H34" s="17" t="n">
        <v>77</v>
      </c>
      <c r="I34" s="17" t="n">
        <v>16</v>
      </c>
      <c r="J34" s="17" t="n">
        <v>4</v>
      </c>
      <c r="K34" s="17" t="n">
        <v>13</v>
      </c>
      <c r="L34" s="17" t="n">
        <v>1</v>
      </c>
      <c r="M34" s="17" t="inlineStr">
        <is>
          <t>Sedang</t>
        </is>
      </c>
    </row>
    <row r="35" s="1">
      <c r="A35" s="17">
        <f>RANDBETWEEN(2,164)</f>
        <v/>
      </c>
      <c r="B35" s="17">
        <f t="array" ref="B35">INDEX(Data_DBD!$B:$B,$A35)</f>
        <v/>
      </c>
      <c r="C35" s="17">
        <f t="array" ref="C35">INDEX(Data_DBD!$C:$C,$A35)</f>
        <v/>
      </c>
      <c r="D35" s="17">
        <f t="array" ref="D35">INDEX(Data_DBD!$D:$D,$A35)</f>
        <v/>
      </c>
      <c r="E35" s="17">
        <f t="array" ref="E35">INDEX(Data_DBD!$E:$E,$A35)</f>
        <v/>
      </c>
      <c r="F35" s="17">
        <f t="array" ref="F35">INDEX(Data_DBD!$F:$F,$A35)</f>
        <v/>
      </c>
      <c r="H35" s="17" t="n">
        <v>135</v>
      </c>
      <c r="I35" s="17" t="n">
        <v>10</v>
      </c>
      <c r="J35" s="17" t="n">
        <v>2</v>
      </c>
      <c r="K35" s="17" t="n">
        <v>33</v>
      </c>
      <c r="L35" s="17" t="n">
        <v>0</v>
      </c>
      <c r="M35" s="17" t="inlineStr">
        <is>
          <t>Tinggi</t>
        </is>
      </c>
    </row>
    <row r="36" s="1">
      <c r="A36" s="17">
        <f>RANDBETWEEN(2,164)</f>
        <v/>
      </c>
      <c r="B36" s="17">
        <f t="array" ref="B36">INDEX(Data_DBD!$B:$B,$A36)</f>
        <v/>
      </c>
      <c r="C36" s="17">
        <f t="array" ref="C36">INDEX(Data_DBD!$C:$C,$A36)</f>
        <v/>
      </c>
      <c r="D36" s="17">
        <f t="array" ref="D36">INDEX(Data_DBD!$D:$D,$A36)</f>
        <v/>
      </c>
      <c r="E36" s="17">
        <f t="array" ref="E36">INDEX(Data_DBD!$E:$E,$A36)</f>
        <v/>
      </c>
      <c r="F36" s="17">
        <f t="array" ref="F36">INDEX(Data_DBD!$F:$F,$A36)</f>
        <v/>
      </c>
      <c r="H36" s="17" t="n">
        <v>29</v>
      </c>
      <c r="I36" s="17" t="n">
        <v>19</v>
      </c>
      <c r="J36" s="17" t="n">
        <v>2</v>
      </c>
      <c r="K36" s="17" t="n">
        <v>14</v>
      </c>
      <c r="L36" s="17" t="n">
        <v>1</v>
      </c>
      <c r="M36" s="17" t="inlineStr">
        <is>
          <t>Sedang</t>
        </is>
      </c>
    </row>
    <row r="37" s="1">
      <c r="A37" s="17">
        <f>RANDBETWEEN(2,164)</f>
        <v/>
      </c>
      <c r="B37" s="17">
        <f t="array" ref="B37">INDEX(Data_DBD!$B:$B,$A37)</f>
        <v/>
      </c>
      <c r="C37" s="17">
        <f t="array" ref="C37">INDEX(Data_DBD!$C:$C,$A37)</f>
        <v/>
      </c>
      <c r="D37" s="17">
        <f t="array" ref="D37">INDEX(Data_DBD!$D:$D,$A37)</f>
        <v/>
      </c>
      <c r="E37" s="17">
        <f t="array" ref="E37">INDEX(Data_DBD!$E:$E,$A37)</f>
        <v/>
      </c>
      <c r="F37" s="17">
        <f t="array" ref="F37">INDEX(Data_DBD!$F:$F,$A37)</f>
        <v/>
      </c>
      <c r="H37" s="17" t="n">
        <v>46</v>
      </c>
      <c r="I37" s="17" t="n">
        <v>62</v>
      </c>
      <c r="J37" s="17" t="n">
        <v>2</v>
      </c>
      <c r="K37" s="17" t="n">
        <v>13</v>
      </c>
      <c r="L37" s="17" t="n">
        <v>0</v>
      </c>
      <c r="M37" s="17" t="inlineStr">
        <is>
          <t>Sedang</t>
        </is>
      </c>
    </row>
    <row r="38" s="1">
      <c r="A38" s="17">
        <f>RANDBETWEEN(2,164)</f>
        <v/>
      </c>
      <c r="B38" s="17">
        <f t="array" ref="B38">INDEX(Data_DBD!$B:$B,$A38)</f>
        <v/>
      </c>
      <c r="C38" s="17">
        <f t="array" ref="C38">INDEX(Data_DBD!$C:$C,$A38)</f>
        <v/>
      </c>
      <c r="D38" s="17">
        <f t="array" ref="D38">INDEX(Data_DBD!$D:$D,$A38)</f>
        <v/>
      </c>
      <c r="E38" s="17">
        <f t="array" ref="E38">INDEX(Data_DBD!$E:$E,$A38)</f>
        <v/>
      </c>
      <c r="F38" s="17">
        <f t="array" ref="F38">INDEX(Data_DBD!$F:$F,$A38)</f>
        <v/>
      </c>
      <c r="H38" s="17" t="n">
        <v>46</v>
      </c>
      <c r="I38" s="17" t="n">
        <v>62</v>
      </c>
      <c r="J38" s="17" t="n">
        <v>2</v>
      </c>
      <c r="K38" s="17" t="n">
        <v>13</v>
      </c>
      <c r="L38" s="17" t="n">
        <v>0</v>
      </c>
      <c r="M38" s="17" t="inlineStr">
        <is>
          <t>Sedang</t>
        </is>
      </c>
    </row>
    <row r="39" s="1">
      <c r="A39" s="17">
        <f>RANDBETWEEN(2,164)</f>
        <v/>
      </c>
      <c r="B39" s="17">
        <f t="array" ref="B39">INDEX(Data_DBD!$B:$B,$A39)</f>
        <v/>
      </c>
      <c r="C39" s="17">
        <f t="array" ref="C39">INDEX(Data_DBD!$C:$C,$A39)</f>
        <v/>
      </c>
      <c r="D39" s="17">
        <f t="array" ref="D39">INDEX(Data_DBD!$D:$D,$A39)</f>
        <v/>
      </c>
      <c r="E39" s="17">
        <f t="array" ref="E39">INDEX(Data_DBD!$E:$E,$A39)</f>
        <v/>
      </c>
      <c r="F39" s="17">
        <f t="array" ref="F39">INDEX(Data_DBD!$F:$F,$A39)</f>
        <v/>
      </c>
      <c r="H39" s="17" t="n">
        <v>21</v>
      </c>
      <c r="I39" s="17" t="n">
        <v>10</v>
      </c>
      <c r="J39" s="17" t="n">
        <v>5</v>
      </c>
      <c r="K39" s="17" t="n">
        <v>14</v>
      </c>
      <c r="L39" s="17" t="n">
        <v>1</v>
      </c>
      <c r="M39" s="17" t="inlineStr">
        <is>
          <t>Sedang</t>
        </is>
      </c>
    </row>
    <row r="40" s="1">
      <c r="A40" s="17">
        <f>RANDBETWEEN(2,164)</f>
        <v/>
      </c>
      <c r="B40" s="17">
        <f t="array" ref="B40">INDEX(Data_DBD!$B:$B,$A40)</f>
        <v/>
      </c>
      <c r="C40" s="17">
        <f t="array" ref="C40">INDEX(Data_DBD!$C:$C,$A40)</f>
        <v/>
      </c>
      <c r="D40" s="17">
        <f t="array" ref="D40">INDEX(Data_DBD!$D:$D,$A40)</f>
        <v/>
      </c>
      <c r="E40" s="17">
        <f t="array" ref="E40">INDEX(Data_DBD!$E:$E,$A40)</f>
        <v/>
      </c>
      <c r="F40" s="17">
        <f t="array" ref="F40">INDEX(Data_DBD!$F:$F,$A40)</f>
        <v/>
      </c>
      <c r="H40" s="17" t="n">
        <v>127</v>
      </c>
      <c r="I40" s="17" t="n">
        <v>21</v>
      </c>
      <c r="J40" s="17" t="n">
        <v>2</v>
      </c>
      <c r="K40" s="17" t="n">
        <v>33</v>
      </c>
      <c r="L40" s="17" t="n">
        <v>0</v>
      </c>
      <c r="M40" s="17" t="inlineStr">
        <is>
          <t>Tinggi</t>
        </is>
      </c>
    </row>
    <row r="41" s="1">
      <c r="A41" s="17">
        <f>RANDBETWEEN(2,164)</f>
        <v/>
      </c>
      <c r="B41" s="17">
        <f t="array" ref="B41">INDEX(Data_DBD!$B:$B,$A41)</f>
        <v/>
      </c>
      <c r="C41" s="17">
        <f t="array" ref="C41">INDEX(Data_DBD!$C:$C,$A41)</f>
        <v/>
      </c>
      <c r="D41" s="17">
        <f t="array" ref="D41">INDEX(Data_DBD!$D:$D,$A41)</f>
        <v/>
      </c>
      <c r="E41" s="17">
        <f t="array" ref="E41">INDEX(Data_DBD!$E:$E,$A41)</f>
        <v/>
      </c>
      <c r="F41" s="17">
        <f t="array" ref="F41">INDEX(Data_DBD!$F:$F,$A41)</f>
        <v/>
      </c>
      <c r="H41" s="17" t="n">
        <v>156</v>
      </c>
      <c r="I41" s="17" t="n">
        <v>5</v>
      </c>
      <c r="J41" s="17" t="n">
        <v>2</v>
      </c>
      <c r="K41" s="17" t="n">
        <v>21</v>
      </c>
      <c r="L41" s="17" t="n">
        <v>0</v>
      </c>
      <c r="M41" s="17" t="inlineStr">
        <is>
          <t>Tinggi</t>
        </is>
      </c>
    </row>
    <row r="42" s="1">
      <c r="A42" s="17">
        <f>RANDBETWEEN(2,164)</f>
        <v/>
      </c>
      <c r="B42" s="17">
        <f t="array" ref="B42">INDEX(Data_DBD!$B:$B,$A42)</f>
        <v/>
      </c>
      <c r="C42" s="17">
        <f t="array" ref="C42">INDEX(Data_DBD!$C:$C,$A42)</f>
        <v/>
      </c>
      <c r="D42" s="17">
        <f t="array" ref="D42">INDEX(Data_DBD!$D:$D,$A42)</f>
        <v/>
      </c>
      <c r="E42" s="17">
        <f t="array" ref="E42">INDEX(Data_DBD!$E:$E,$A42)</f>
        <v/>
      </c>
      <c r="F42" s="17">
        <f t="array" ref="F42">INDEX(Data_DBD!$F:$F,$A42)</f>
        <v/>
      </c>
      <c r="H42" s="17" t="n">
        <v>10</v>
      </c>
      <c r="I42" s="17" t="n">
        <v>18</v>
      </c>
      <c r="J42" s="17" t="n">
        <v>5</v>
      </c>
      <c r="K42" s="17" t="n">
        <v>12</v>
      </c>
      <c r="L42" s="17" t="n">
        <v>0</v>
      </c>
      <c r="M42" s="17" t="inlineStr">
        <is>
          <t>Sedang</t>
        </is>
      </c>
    </row>
    <row r="43" s="1">
      <c r="A43" s="17">
        <f>RANDBETWEEN(2,164)</f>
        <v/>
      </c>
      <c r="B43" s="17">
        <f t="array" ref="B43">INDEX(Data_DBD!$B:$B,$A43)</f>
        <v/>
      </c>
      <c r="C43" s="17">
        <f t="array" ref="C43">INDEX(Data_DBD!$C:$C,$A43)</f>
        <v/>
      </c>
      <c r="D43" s="17">
        <f t="array" ref="D43">INDEX(Data_DBD!$D:$D,$A43)</f>
        <v/>
      </c>
      <c r="E43" s="17">
        <f t="array" ref="E43">INDEX(Data_DBD!$E:$E,$A43)</f>
        <v/>
      </c>
      <c r="F43" s="17">
        <f t="array" ref="F43">INDEX(Data_DBD!$F:$F,$A43)</f>
        <v/>
      </c>
      <c r="H43" s="17" t="n">
        <v>60</v>
      </c>
      <c r="I43" s="17" t="n">
        <v>68</v>
      </c>
      <c r="J43" s="17" t="n">
        <v>4</v>
      </c>
      <c r="K43" s="17" t="n">
        <v>15</v>
      </c>
      <c r="L43" s="17" t="n">
        <v>0</v>
      </c>
      <c r="M43" s="17" t="inlineStr">
        <is>
          <t>Sedang</t>
        </is>
      </c>
    </row>
    <row r="44" s="1">
      <c r="A44" s="17">
        <f>RANDBETWEEN(2,164)</f>
        <v/>
      </c>
      <c r="B44" s="17">
        <f t="array" ref="B44">INDEX(Data_DBD!$B:$B,$A44)</f>
        <v/>
      </c>
      <c r="C44" s="17">
        <f t="array" ref="C44">INDEX(Data_DBD!$C:$C,$A44)</f>
        <v/>
      </c>
      <c r="D44" s="17">
        <f t="array" ref="D44">INDEX(Data_DBD!$D:$D,$A44)</f>
        <v/>
      </c>
      <c r="E44" s="17">
        <f t="array" ref="E44">INDEX(Data_DBD!$E:$E,$A44)</f>
        <v/>
      </c>
      <c r="F44" s="17">
        <f t="array" ref="F44">INDEX(Data_DBD!$F:$F,$A44)</f>
        <v/>
      </c>
      <c r="H44" s="17" t="n">
        <v>147</v>
      </c>
      <c r="I44" s="17" t="n">
        <v>66</v>
      </c>
      <c r="J44" s="17" t="n">
        <v>10</v>
      </c>
      <c r="K44" s="17" t="n">
        <v>21</v>
      </c>
      <c r="L44" s="17" t="n">
        <v>1</v>
      </c>
      <c r="M44" s="17" t="inlineStr">
        <is>
          <t>Tinggi</t>
        </is>
      </c>
    </row>
    <row r="45" s="1">
      <c r="A45" s="17">
        <f>RANDBETWEEN(2,164)</f>
        <v/>
      </c>
      <c r="B45" s="17">
        <f t="array" ref="B45">INDEX(Data_DBD!$B:$B,$A45)</f>
        <v/>
      </c>
      <c r="C45" s="17">
        <f t="array" ref="C45">INDEX(Data_DBD!$C:$C,$A45)</f>
        <v/>
      </c>
      <c r="D45" s="17">
        <f t="array" ref="D45">INDEX(Data_DBD!$D:$D,$A45)</f>
        <v/>
      </c>
      <c r="E45" s="17">
        <f t="array" ref="E45">INDEX(Data_DBD!$E:$E,$A45)</f>
        <v/>
      </c>
      <c r="F45" s="17">
        <f t="array" ref="F45">INDEX(Data_DBD!$F:$F,$A45)</f>
        <v/>
      </c>
      <c r="H45" s="17" t="n">
        <v>107</v>
      </c>
      <c r="I45" s="17" t="n">
        <v>48</v>
      </c>
      <c r="J45" s="17" t="n">
        <v>5</v>
      </c>
      <c r="K45" s="17" t="n">
        <v>18</v>
      </c>
      <c r="L45" s="17" t="n">
        <v>0</v>
      </c>
      <c r="M45" s="17" t="inlineStr">
        <is>
          <t>Tinggi</t>
        </is>
      </c>
    </row>
    <row r="46" s="1">
      <c r="A46" s="17">
        <f>RANDBETWEEN(2,164)</f>
        <v/>
      </c>
      <c r="B46" s="17">
        <f t="array" ref="B46">INDEX(Data_DBD!$B:$B,$A46)</f>
        <v/>
      </c>
      <c r="C46" s="17">
        <f t="array" ref="C46">INDEX(Data_DBD!$C:$C,$A46)</f>
        <v/>
      </c>
      <c r="D46" s="17">
        <f t="array" ref="D46">INDEX(Data_DBD!$D:$D,$A46)</f>
        <v/>
      </c>
      <c r="E46" s="17">
        <f t="array" ref="E46">INDEX(Data_DBD!$E:$E,$A46)</f>
        <v/>
      </c>
      <c r="F46" s="17">
        <f t="array" ref="F46">INDEX(Data_DBD!$F:$F,$A46)</f>
        <v/>
      </c>
      <c r="H46" s="17" t="n">
        <v>72</v>
      </c>
      <c r="I46" s="17" t="n">
        <v>3</v>
      </c>
      <c r="J46" s="17" t="n">
        <v>5</v>
      </c>
      <c r="K46" s="17" t="n">
        <v>10</v>
      </c>
      <c r="L46" s="17" t="n">
        <v>1</v>
      </c>
      <c r="M46" s="17" t="inlineStr">
        <is>
          <t>Sedang</t>
        </is>
      </c>
    </row>
    <row r="47" s="1">
      <c r="A47" s="17">
        <f>RANDBETWEEN(2,164)</f>
        <v/>
      </c>
      <c r="B47" s="17">
        <f t="array" ref="B47">INDEX(Data_DBD!$B:$B,$A47)</f>
        <v/>
      </c>
      <c r="C47" s="17">
        <f t="array" ref="C47">INDEX(Data_DBD!$C:$C,$A47)</f>
        <v/>
      </c>
      <c r="D47" s="17">
        <f t="array" ref="D47">INDEX(Data_DBD!$D:$D,$A47)</f>
        <v/>
      </c>
      <c r="E47" s="17">
        <f t="array" ref="E47">INDEX(Data_DBD!$E:$E,$A47)</f>
        <v/>
      </c>
      <c r="F47" s="17">
        <f t="array" ref="F47">INDEX(Data_DBD!$F:$F,$A47)</f>
        <v/>
      </c>
      <c r="H47" s="17" t="n">
        <v>57</v>
      </c>
      <c r="I47" s="17" t="n">
        <v>2</v>
      </c>
      <c r="J47" s="17" t="n">
        <v>2</v>
      </c>
      <c r="K47" s="17" t="n">
        <v>15</v>
      </c>
      <c r="L47" s="17" t="n">
        <v>1</v>
      </c>
      <c r="M47" s="17" t="inlineStr">
        <is>
          <t>Sedang</t>
        </is>
      </c>
    </row>
    <row r="48" s="1">
      <c r="A48" s="17">
        <f>RANDBETWEEN(2,164)</f>
        <v/>
      </c>
      <c r="B48" s="17">
        <f t="array" ref="B48">INDEX(Data_DBD!$B:$B,$A48)</f>
        <v/>
      </c>
      <c r="C48" s="17">
        <f t="array" ref="C48">INDEX(Data_DBD!$C:$C,$A48)</f>
        <v/>
      </c>
      <c r="D48" s="17">
        <f t="array" ref="D48">INDEX(Data_DBD!$D:$D,$A48)</f>
        <v/>
      </c>
      <c r="E48" s="17">
        <f t="array" ref="E48">INDEX(Data_DBD!$E:$E,$A48)</f>
        <v/>
      </c>
      <c r="F48" s="17">
        <f t="array" ref="F48">INDEX(Data_DBD!$F:$F,$A48)</f>
        <v/>
      </c>
      <c r="H48" s="17" t="n">
        <v>37</v>
      </c>
      <c r="I48" s="17" t="n">
        <v>28</v>
      </c>
      <c r="J48" s="17" t="n">
        <v>4</v>
      </c>
      <c r="K48" s="17" t="n">
        <v>4</v>
      </c>
      <c r="L48" s="17" t="n">
        <v>1</v>
      </c>
      <c r="M48" s="17" t="inlineStr">
        <is>
          <t>Rendah</t>
        </is>
      </c>
    </row>
    <row r="49" s="1">
      <c r="A49" s="17">
        <f>RANDBETWEEN(2,164)</f>
        <v/>
      </c>
      <c r="B49" s="17">
        <f t="array" ref="B49">INDEX(Data_DBD!$B:$B,$A49)</f>
        <v/>
      </c>
      <c r="C49" s="17">
        <f t="array" ref="C49">INDEX(Data_DBD!$C:$C,$A49)</f>
        <v/>
      </c>
      <c r="D49" s="17">
        <f t="array" ref="D49">INDEX(Data_DBD!$D:$D,$A49)</f>
        <v/>
      </c>
      <c r="E49" s="17">
        <f t="array" ref="E49">INDEX(Data_DBD!$E:$E,$A49)</f>
        <v/>
      </c>
      <c r="F49" s="17">
        <f t="array" ref="F49">INDEX(Data_DBD!$F:$F,$A49)</f>
        <v/>
      </c>
      <c r="H49" s="17" t="n">
        <v>96</v>
      </c>
      <c r="I49" s="17" t="n">
        <v>56</v>
      </c>
      <c r="J49" s="17" t="n">
        <v>4</v>
      </c>
      <c r="K49" s="17" t="n">
        <v>18</v>
      </c>
      <c r="L49" s="17" t="n">
        <v>0</v>
      </c>
      <c r="M49" s="17" t="inlineStr">
        <is>
          <t>Tinggi</t>
        </is>
      </c>
    </row>
    <row r="50" s="1">
      <c r="A50" s="17">
        <f>RANDBETWEEN(2,164)</f>
        <v/>
      </c>
      <c r="B50" s="17">
        <f t="array" ref="B50">INDEX(Data_DBD!$B:$B,$A50)</f>
        <v/>
      </c>
      <c r="C50" s="17">
        <f t="array" ref="C50">INDEX(Data_DBD!$C:$C,$A50)</f>
        <v/>
      </c>
      <c r="D50" s="17">
        <f t="array" ref="D50">INDEX(Data_DBD!$D:$D,$A50)</f>
        <v/>
      </c>
      <c r="E50" s="17">
        <f t="array" ref="E50">INDEX(Data_DBD!$E:$E,$A50)</f>
        <v/>
      </c>
      <c r="F50" s="17">
        <f t="array" ref="F50">INDEX(Data_DBD!$F:$F,$A50)</f>
        <v/>
      </c>
      <c r="H50" s="17" t="n">
        <v>72</v>
      </c>
      <c r="I50" s="17" t="n">
        <v>3</v>
      </c>
      <c r="J50" s="17" t="n">
        <v>5</v>
      </c>
      <c r="K50" s="17" t="n">
        <v>10</v>
      </c>
      <c r="L50" s="17" t="n">
        <v>1</v>
      </c>
      <c r="M50" s="17" t="inlineStr">
        <is>
          <t>Sedang</t>
        </is>
      </c>
    </row>
    <row r="51" s="1">
      <c r="A51" s="17">
        <f>RANDBETWEEN(2,164)</f>
        <v/>
      </c>
      <c r="B51" s="17">
        <f t="array" ref="B51">INDEX(Data_DBD!$B:$B,$A51)</f>
        <v/>
      </c>
      <c r="C51" s="17">
        <f t="array" ref="C51">INDEX(Data_DBD!$C:$C,$A51)</f>
        <v/>
      </c>
      <c r="D51" s="17">
        <f t="array" ref="D51">INDEX(Data_DBD!$D:$D,$A51)</f>
        <v/>
      </c>
      <c r="E51" s="17">
        <f t="array" ref="E51">INDEX(Data_DBD!$E:$E,$A51)</f>
        <v/>
      </c>
      <c r="F51" s="17">
        <f t="array" ref="F51">INDEX(Data_DBD!$F:$F,$A51)</f>
        <v/>
      </c>
      <c r="H51" s="17" t="n">
        <v>120</v>
      </c>
      <c r="I51" s="17" t="n">
        <v>26</v>
      </c>
      <c r="J51" s="17" t="n">
        <v>4</v>
      </c>
      <c r="K51" s="17" t="n">
        <v>33</v>
      </c>
      <c r="L51" s="17" t="n">
        <v>1</v>
      </c>
      <c r="M51" s="17" t="inlineStr">
        <is>
          <t>Tinggi</t>
        </is>
      </c>
    </row>
    <row r="52" s="1">
      <c r="A52" s="17">
        <f>RANDBETWEEN(2,164)</f>
        <v/>
      </c>
      <c r="B52" s="17">
        <f t="array" ref="B52">INDEX(Data_DBD!$B:$B,$A52)</f>
        <v/>
      </c>
      <c r="C52" s="17">
        <f t="array" ref="C52">INDEX(Data_DBD!$C:$C,$A52)</f>
        <v/>
      </c>
      <c r="D52" s="17">
        <f t="array" ref="D52">INDEX(Data_DBD!$D:$D,$A52)</f>
        <v/>
      </c>
      <c r="E52" s="17">
        <f t="array" ref="E52">INDEX(Data_DBD!$E:$E,$A52)</f>
        <v/>
      </c>
      <c r="F52" s="17">
        <f t="array" ref="F52">INDEX(Data_DBD!$F:$F,$A52)</f>
        <v/>
      </c>
      <c r="H52" s="17" t="n">
        <v>35</v>
      </c>
      <c r="I52" s="17" t="n">
        <v>40</v>
      </c>
      <c r="J52" s="17" t="n">
        <v>3</v>
      </c>
      <c r="K52" s="17" t="n">
        <v>4</v>
      </c>
      <c r="L52" s="17" t="n">
        <v>1</v>
      </c>
      <c r="M52" s="17" t="inlineStr">
        <is>
          <t>Rendah</t>
        </is>
      </c>
    </row>
    <row r="53" s="1">
      <c r="A53" s="17">
        <f>RANDBETWEEN(2,164)</f>
        <v/>
      </c>
      <c r="B53" s="17">
        <f t="array" ref="B53">INDEX(Data_DBD!$B:$B,$A53)</f>
        <v/>
      </c>
      <c r="C53" s="17">
        <f t="array" ref="C53">INDEX(Data_DBD!$C:$C,$A53)</f>
        <v/>
      </c>
      <c r="D53" s="17">
        <f t="array" ref="D53">INDEX(Data_DBD!$D:$D,$A53)</f>
        <v/>
      </c>
      <c r="E53" s="17">
        <f t="array" ref="E53">INDEX(Data_DBD!$E:$E,$A53)</f>
        <v/>
      </c>
      <c r="F53" s="17">
        <f t="array" ref="F53">INDEX(Data_DBD!$F:$F,$A53)</f>
        <v/>
      </c>
      <c r="H53" s="17" t="n">
        <v>2</v>
      </c>
      <c r="I53" s="17" t="n">
        <v>34</v>
      </c>
      <c r="J53" s="17" t="n">
        <v>3</v>
      </c>
      <c r="K53" s="17" t="n">
        <v>12</v>
      </c>
      <c r="L53" s="17" t="n">
        <v>0</v>
      </c>
      <c r="M53" s="17" t="inlineStr">
        <is>
          <t>Sedang</t>
        </is>
      </c>
    </row>
    <row r="54" s="1">
      <c r="A54" s="17">
        <f>RANDBETWEEN(2,164)</f>
        <v/>
      </c>
      <c r="B54" s="17">
        <f t="array" ref="B54">INDEX(Data_DBD!$B:$B,$A54)</f>
        <v/>
      </c>
      <c r="C54" s="17">
        <f t="array" ref="C54">INDEX(Data_DBD!$C:$C,$A54)</f>
        <v/>
      </c>
      <c r="D54" s="17">
        <f t="array" ref="D54">INDEX(Data_DBD!$D:$D,$A54)</f>
        <v/>
      </c>
      <c r="E54" s="17">
        <f t="array" ref="E54">INDEX(Data_DBD!$E:$E,$A54)</f>
        <v/>
      </c>
      <c r="F54" s="17">
        <f t="array" ref="F54">INDEX(Data_DBD!$F:$F,$A54)</f>
        <v/>
      </c>
      <c r="H54" s="17" t="n">
        <v>77</v>
      </c>
      <c r="I54" s="17" t="n">
        <v>16</v>
      </c>
      <c r="J54" s="17" t="n">
        <v>4</v>
      </c>
      <c r="K54" s="17" t="n">
        <v>13</v>
      </c>
      <c r="L54" s="17" t="n">
        <v>1</v>
      </c>
      <c r="M54" s="17" t="inlineStr">
        <is>
          <t>Sedang</t>
        </is>
      </c>
    </row>
    <row r="55" s="1">
      <c r="A55" s="17">
        <f>RANDBETWEEN(2,164)</f>
        <v/>
      </c>
      <c r="B55" s="17">
        <f t="array" ref="B55">INDEX(Data_DBD!$B:$B,$A55)</f>
        <v/>
      </c>
      <c r="C55" s="17">
        <f t="array" ref="C55">INDEX(Data_DBD!$C:$C,$A55)</f>
        <v/>
      </c>
      <c r="D55" s="17">
        <f t="array" ref="D55">INDEX(Data_DBD!$D:$D,$A55)</f>
        <v/>
      </c>
      <c r="E55" s="17">
        <f t="array" ref="E55">INDEX(Data_DBD!$E:$E,$A55)</f>
        <v/>
      </c>
      <c r="F55" s="17">
        <f t="array" ref="F55">INDEX(Data_DBD!$F:$F,$A55)</f>
        <v/>
      </c>
      <c r="H55" s="17" t="n">
        <v>164</v>
      </c>
      <c r="I55" s="17" t="n">
        <v>10</v>
      </c>
      <c r="J55" s="17" t="n">
        <v>6</v>
      </c>
      <c r="K55" s="17" t="n">
        <v>3</v>
      </c>
      <c r="L55" s="17" t="n">
        <v>0</v>
      </c>
      <c r="M55" s="17" t="inlineStr">
        <is>
          <t>Rendah</t>
        </is>
      </c>
    </row>
    <row r="56" s="1">
      <c r="A56" s="17">
        <f>RANDBETWEEN(2,164)</f>
        <v/>
      </c>
      <c r="B56" s="17">
        <f t="array" ref="B56">INDEX(Data_DBD!$B:$B,$A56)</f>
        <v/>
      </c>
      <c r="C56" s="17">
        <f t="array" ref="C56">INDEX(Data_DBD!$C:$C,$A56)</f>
        <v/>
      </c>
      <c r="D56" s="17">
        <f t="array" ref="D56">INDEX(Data_DBD!$D:$D,$A56)</f>
        <v/>
      </c>
      <c r="E56" s="17">
        <f t="array" ref="E56">INDEX(Data_DBD!$E:$E,$A56)</f>
        <v/>
      </c>
      <c r="F56" s="17">
        <f t="array" ref="F56">INDEX(Data_DBD!$F:$F,$A56)</f>
        <v/>
      </c>
      <c r="H56" s="17" t="n">
        <v>21</v>
      </c>
      <c r="I56" s="17" t="n">
        <v>10</v>
      </c>
      <c r="J56" s="17" t="n">
        <v>5</v>
      </c>
      <c r="K56" s="17" t="n">
        <v>14</v>
      </c>
      <c r="L56" s="17" t="n">
        <v>1</v>
      </c>
      <c r="M56" s="17" t="inlineStr">
        <is>
          <t>Sedang</t>
        </is>
      </c>
    </row>
    <row r="57" s="1">
      <c r="A57" s="17">
        <f>RANDBETWEEN(2,164)</f>
        <v/>
      </c>
      <c r="B57" s="17">
        <f t="array" ref="B57">INDEX(Data_DBD!$B:$B,$A57)</f>
        <v/>
      </c>
      <c r="C57" s="17">
        <f t="array" ref="C57">INDEX(Data_DBD!$C:$C,$A57)</f>
        <v/>
      </c>
      <c r="D57" s="17">
        <f t="array" ref="D57">INDEX(Data_DBD!$D:$D,$A57)</f>
        <v/>
      </c>
      <c r="E57" s="17">
        <f t="array" ref="E57">INDEX(Data_DBD!$E:$E,$A57)</f>
        <v/>
      </c>
      <c r="F57" s="17">
        <f t="array" ref="F57">INDEX(Data_DBD!$F:$F,$A57)</f>
        <v/>
      </c>
      <c r="H57" s="17" t="n">
        <v>77</v>
      </c>
      <c r="I57" s="17" t="n">
        <v>16</v>
      </c>
      <c r="J57" s="17" t="n">
        <v>4</v>
      </c>
      <c r="K57" s="17" t="n">
        <v>13</v>
      </c>
      <c r="L57" s="17" t="n">
        <v>1</v>
      </c>
      <c r="M57" s="17" t="inlineStr">
        <is>
          <t>Sedang</t>
        </is>
      </c>
    </row>
    <row r="58" s="1">
      <c r="A58" s="17">
        <f>RANDBETWEEN(2,164)</f>
        <v/>
      </c>
      <c r="B58" s="17">
        <f t="array" ref="B58">INDEX(Data_DBD!$B:$B,$A58)</f>
        <v/>
      </c>
      <c r="C58" s="17">
        <f t="array" ref="C58">INDEX(Data_DBD!$C:$C,$A58)</f>
        <v/>
      </c>
      <c r="D58" s="17">
        <f t="array" ref="D58">INDEX(Data_DBD!$D:$D,$A58)</f>
        <v/>
      </c>
      <c r="E58" s="17">
        <f t="array" ref="E58">INDEX(Data_DBD!$E:$E,$A58)</f>
        <v/>
      </c>
      <c r="F58" s="17">
        <f t="array" ref="F58">INDEX(Data_DBD!$F:$F,$A58)</f>
        <v/>
      </c>
      <c r="H58" s="17" t="n">
        <v>105</v>
      </c>
      <c r="I58" s="17" t="n">
        <v>61</v>
      </c>
      <c r="J58" s="17" t="n">
        <v>3</v>
      </c>
      <c r="K58" s="17" t="n">
        <v>18</v>
      </c>
      <c r="L58" s="17" t="n">
        <v>1</v>
      </c>
      <c r="M58" s="17" t="inlineStr">
        <is>
          <t>Tinggi</t>
        </is>
      </c>
    </row>
    <row r="59" s="1">
      <c r="A59" s="17">
        <f>RANDBETWEEN(2,164)</f>
        <v/>
      </c>
      <c r="B59" s="17">
        <f t="array" ref="B59">INDEX(Data_DBD!$B:$B,$A59)</f>
        <v/>
      </c>
      <c r="C59" s="17">
        <f t="array" ref="C59">INDEX(Data_DBD!$C:$C,$A59)</f>
        <v/>
      </c>
      <c r="D59" s="17">
        <f t="array" ref="D59">INDEX(Data_DBD!$D:$D,$A59)</f>
        <v/>
      </c>
      <c r="E59" s="17">
        <f t="array" ref="E59">INDEX(Data_DBD!$E:$E,$A59)</f>
        <v/>
      </c>
      <c r="F59" s="17">
        <f t="array" ref="F59">INDEX(Data_DBD!$F:$F,$A59)</f>
        <v/>
      </c>
      <c r="H59" s="17" t="n">
        <v>119</v>
      </c>
      <c r="I59" s="17" t="n">
        <v>30</v>
      </c>
      <c r="J59" s="17" t="n">
        <v>7</v>
      </c>
      <c r="K59" s="17" t="n">
        <v>33</v>
      </c>
      <c r="L59" s="17" t="n">
        <v>0</v>
      </c>
      <c r="M59" s="17" t="inlineStr">
        <is>
          <t>Tinggi</t>
        </is>
      </c>
    </row>
    <row r="60" s="1">
      <c r="A60" s="17">
        <f>RANDBETWEEN(2,164)</f>
        <v/>
      </c>
      <c r="B60" s="17">
        <f t="array" ref="B60">INDEX(Data_DBD!$B:$B,$A60)</f>
        <v/>
      </c>
      <c r="C60" s="17">
        <f t="array" ref="C60">INDEX(Data_DBD!$C:$C,$A60)</f>
        <v/>
      </c>
      <c r="D60" s="17">
        <f t="array" ref="D60">INDEX(Data_DBD!$D:$D,$A60)</f>
        <v/>
      </c>
      <c r="E60" s="17">
        <f t="array" ref="E60">INDEX(Data_DBD!$E:$E,$A60)</f>
        <v/>
      </c>
      <c r="F60" s="17">
        <f t="array" ref="F60">INDEX(Data_DBD!$F:$F,$A60)</f>
        <v/>
      </c>
      <c r="H60" s="17" t="n">
        <v>104</v>
      </c>
      <c r="I60" s="17" t="n">
        <v>37</v>
      </c>
      <c r="J60" s="17" t="n">
        <v>4</v>
      </c>
      <c r="K60" s="17" t="n">
        <v>18</v>
      </c>
      <c r="L60" s="17" t="n">
        <v>1</v>
      </c>
      <c r="M60" s="17" t="inlineStr">
        <is>
          <t>Tinggi</t>
        </is>
      </c>
    </row>
    <row r="61" s="1">
      <c r="A61" s="17">
        <f>RANDBETWEEN(2,164)</f>
        <v/>
      </c>
      <c r="B61" s="17">
        <f t="array" ref="B61">INDEX(Data_DBD!$B:$B,$A61)</f>
        <v/>
      </c>
      <c r="C61" s="17">
        <f t="array" ref="C61">INDEX(Data_DBD!$C:$C,$A61)</f>
        <v/>
      </c>
      <c r="D61" s="17">
        <f t="array" ref="D61">INDEX(Data_DBD!$D:$D,$A61)</f>
        <v/>
      </c>
      <c r="E61" s="17">
        <f t="array" ref="E61">INDEX(Data_DBD!$E:$E,$A61)</f>
        <v/>
      </c>
      <c r="F61" s="17">
        <f t="array" ref="F61">INDEX(Data_DBD!$F:$F,$A61)</f>
        <v/>
      </c>
      <c r="H61" s="17" t="n">
        <v>45</v>
      </c>
      <c r="I61" s="17" t="n">
        <v>75</v>
      </c>
      <c r="J61" s="17" t="n">
        <v>3</v>
      </c>
      <c r="K61" s="17" t="n">
        <v>13</v>
      </c>
      <c r="L61" s="17" t="n">
        <v>1</v>
      </c>
      <c r="M61" s="17" t="inlineStr">
        <is>
          <t>Sedang</t>
        </is>
      </c>
    </row>
    <row r="62" s="1">
      <c r="A62" s="17">
        <f>RANDBETWEEN(2,164)</f>
        <v/>
      </c>
      <c r="B62" s="17">
        <f t="array" ref="B62">INDEX(Data_DBD!$B:$B,$A62)</f>
        <v/>
      </c>
      <c r="C62" s="17">
        <f t="array" ref="C62">INDEX(Data_DBD!$C:$C,$A62)</f>
        <v/>
      </c>
      <c r="D62" s="17">
        <f t="array" ref="D62">INDEX(Data_DBD!$D:$D,$A62)</f>
        <v/>
      </c>
      <c r="E62" s="17">
        <f t="array" ref="E62">INDEX(Data_DBD!$E:$E,$A62)</f>
        <v/>
      </c>
      <c r="F62" s="17">
        <f t="array" ref="F62">INDEX(Data_DBD!$F:$F,$A62)</f>
        <v/>
      </c>
      <c r="H62" s="17" t="n">
        <v>68</v>
      </c>
      <c r="I62" s="17" t="n">
        <v>44</v>
      </c>
      <c r="J62" s="17" t="n">
        <v>5</v>
      </c>
      <c r="K62" s="17" t="n">
        <v>10</v>
      </c>
      <c r="L62" s="17" t="n">
        <v>0</v>
      </c>
      <c r="M62" s="17" t="inlineStr">
        <is>
          <t>Sedang</t>
        </is>
      </c>
    </row>
    <row r="63" s="1">
      <c r="A63" s="17">
        <f>RANDBETWEEN(2,164)</f>
        <v/>
      </c>
      <c r="B63" s="17">
        <f t="array" ref="B63">INDEX(Data_DBD!$B:$B,$A63)</f>
        <v/>
      </c>
      <c r="C63" s="17">
        <f t="array" ref="C63">INDEX(Data_DBD!$C:$C,$A63)</f>
        <v/>
      </c>
      <c r="D63" s="17">
        <f t="array" ref="D63">INDEX(Data_DBD!$D:$D,$A63)</f>
        <v/>
      </c>
      <c r="E63" s="17">
        <f t="array" ref="E63">INDEX(Data_DBD!$E:$E,$A63)</f>
        <v/>
      </c>
      <c r="F63" s="17">
        <f t="array" ref="F63">INDEX(Data_DBD!$F:$F,$A63)</f>
        <v/>
      </c>
      <c r="H63" s="17" t="n">
        <v>6</v>
      </c>
      <c r="I63" s="17" t="n">
        <v>14</v>
      </c>
      <c r="J63" s="17" t="n">
        <v>4</v>
      </c>
      <c r="K63" s="17" t="n">
        <v>12</v>
      </c>
      <c r="L63" s="17" t="n">
        <v>0</v>
      </c>
      <c r="M63" s="17" t="inlineStr">
        <is>
          <t>Sedang</t>
        </is>
      </c>
    </row>
    <row r="64" s="1">
      <c r="A64" s="17">
        <f>RANDBETWEEN(2,164)</f>
        <v/>
      </c>
      <c r="B64" s="17">
        <f t="array" ref="B64">INDEX(Data_DBD!$B:$B,$A64)</f>
        <v/>
      </c>
      <c r="C64" s="17">
        <f t="array" ref="C64">INDEX(Data_DBD!$C:$C,$A64)</f>
        <v/>
      </c>
      <c r="D64" s="17">
        <f t="array" ref="D64">INDEX(Data_DBD!$D:$D,$A64)</f>
        <v/>
      </c>
      <c r="E64" s="17">
        <f t="array" ref="E64">INDEX(Data_DBD!$E:$E,$A64)</f>
        <v/>
      </c>
      <c r="F64" s="17">
        <f t="array" ref="F64">INDEX(Data_DBD!$F:$F,$A64)</f>
        <v/>
      </c>
      <c r="H64" s="17" t="n">
        <v>113</v>
      </c>
      <c r="I64" s="17" t="n">
        <v>69</v>
      </c>
      <c r="J64" s="17" t="n">
        <v>1</v>
      </c>
      <c r="K64" s="17" t="n">
        <v>33</v>
      </c>
      <c r="L64" s="17" t="n">
        <v>1</v>
      </c>
      <c r="M64" s="17" t="inlineStr">
        <is>
          <t>Tinggi</t>
        </is>
      </c>
    </row>
    <row r="65" s="1">
      <c r="A65" s="17">
        <f>RANDBETWEEN(2,164)</f>
        <v/>
      </c>
      <c r="B65" s="17">
        <f t="array" ref="B65">INDEX(Data_DBD!$B:$B,$A65)</f>
        <v/>
      </c>
      <c r="C65" s="17">
        <f t="array" ref="C65">INDEX(Data_DBD!$C:$C,$A65)</f>
        <v/>
      </c>
      <c r="D65" s="17">
        <f t="array" ref="D65">INDEX(Data_DBD!$D:$D,$A65)</f>
        <v/>
      </c>
      <c r="E65" s="17">
        <f t="array" ref="E65">INDEX(Data_DBD!$E:$E,$A65)</f>
        <v/>
      </c>
      <c r="F65" s="17">
        <f t="array" ref="F65">INDEX(Data_DBD!$F:$F,$A65)</f>
        <v/>
      </c>
      <c r="H65" s="17" t="n">
        <v>34</v>
      </c>
      <c r="I65" s="17" t="n">
        <v>55</v>
      </c>
      <c r="J65" s="17" t="n">
        <v>3</v>
      </c>
      <c r="K65" s="17" t="n">
        <v>14</v>
      </c>
      <c r="L65" s="17" t="n">
        <v>0</v>
      </c>
      <c r="M65" s="17" t="inlineStr">
        <is>
          <t>Sedang</t>
        </is>
      </c>
    </row>
    <row r="66" s="1">
      <c r="A66" s="17">
        <f>RANDBETWEEN(2,164)</f>
        <v/>
      </c>
      <c r="B66" s="17">
        <f t="array" ref="B66">INDEX(Data_DBD!$B:$B,$A66)</f>
        <v/>
      </c>
      <c r="C66" s="17">
        <f t="array" ref="C66">INDEX(Data_DBD!$C:$C,$A66)</f>
        <v/>
      </c>
      <c r="D66" s="17">
        <f t="array" ref="D66">INDEX(Data_DBD!$D:$D,$A66)</f>
        <v/>
      </c>
      <c r="E66" s="17">
        <f t="array" ref="E66">INDEX(Data_DBD!$E:$E,$A66)</f>
        <v/>
      </c>
      <c r="F66" s="17">
        <f t="array" ref="F66">INDEX(Data_DBD!$F:$F,$A66)</f>
        <v/>
      </c>
      <c r="H66" s="17" t="n">
        <v>42</v>
      </c>
      <c r="I66" s="17" t="n">
        <v>21</v>
      </c>
      <c r="J66" s="17" t="n">
        <v>5</v>
      </c>
      <c r="K66" s="17" t="n">
        <v>13</v>
      </c>
      <c r="L66" s="17" t="n">
        <v>1</v>
      </c>
      <c r="M66" s="17" t="inlineStr">
        <is>
          <t>Sedang</t>
        </is>
      </c>
    </row>
    <row r="67" s="1">
      <c r="A67" s="17">
        <f>RANDBETWEEN(2,164)</f>
        <v/>
      </c>
      <c r="B67" s="17">
        <f t="array" ref="B67">INDEX(Data_DBD!$B:$B,$A67)</f>
        <v/>
      </c>
      <c r="C67" s="17">
        <f t="array" ref="C67">INDEX(Data_DBD!$C:$C,$A67)</f>
        <v/>
      </c>
      <c r="D67" s="17">
        <f t="array" ref="D67">INDEX(Data_DBD!$D:$D,$A67)</f>
        <v/>
      </c>
      <c r="E67" s="17">
        <f t="array" ref="E67">INDEX(Data_DBD!$E:$E,$A67)</f>
        <v/>
      </c>
      <c r="F67" s="17">
        <f t="array" ref="F67">INDEX(Data_DBD!$F:$F,$A67)</f>
        <v/>
      </c>
      <c r="H67" s="17" t="n">
        <v>130</v>
      </c>
      <c r="I67" s="17" t="n">
        <v>12</v>
      </c>
      <c r="J67" s="17" t="n">
        <v>4</v>
      </c>
      <c r="K67" s="17" t="n">
        <v>33</v>
      </c>
      <c r="L67" s="17" t="n">
        <v>0</v>
      </c>
      <c r="M67" s="17" t="inlineStr">
        <is>
          <t>Tinggi</t>
        </is>
      </c>
    </row>
    <row r="68" s="1">
      <c r="A68" s="17">
        <f>RANDBETWEEN(2,164)</f>
        <v/>
      </c>
      <c r="B68" s="17">
        <f t="array" ref="B68">INDEX(Data_DBD!$B:$B,$A68)</f>
        <v/>
      </c>
      <c r="C68" s="17">
        <f t="array" ref="C68">INDEX(Data_DBD!$C:$C,$A68)</f>
        <v/>
      </c>
      <c r="D68" s="17">
        <f t="array" ref="D68">INDEX(Data_DBD!$D:$D,$A68)</f>
        <v/>
      </c>
      <c r="E68" s="17">
        <f t="array" ref="E68">INDEX(Data_DBD!$E:$E,$A68)</f>
        <v/>
      </c>
      <c r="F68" s="17">
        <f t="array" ref="F68">INDEX(Data_DBD!$F:$F,$A68)</f>
        <v/>
      </c>
      <c r="H68" s="17" t="n">
        <v>113</v>
      </c>
      <c r="I68" s="17" t="n">
        <v>69</v>
      </c>
      <c r="J68" s="17" t="n">
        <v>1</v>
      </c>
      <c r="K68" s="17" t="n">
        <v>33</v>
      </c>
      <c r="L68" s="17" t="n">
        <v>1</v>
      </c>
      <c r="M68" s="17" t="inlineStr">
        <is>
          <t>Tinggi</t>
        </is>
      </c>
    </row>
    <row r="69" s="1">
      <c r="A69" s="17">
        <f>RANDBETWEEN(2,164)</f>
        <v/>
      </c>
      <c r="B69" s="17">
        <f t="array" ref="B69">INDEX(Data_DBD!$B:$B,$A69)</f>
        <v/>
      </c>
      <c r="C69" s="17">
        <f t="array" ref="C69">INDEX(Data_DBD!$C:$C,$A69)</f>
        <v/>
      </c>
      <c r="D69" s="17">
        <f t="array" ref="D69">INDEX(Data_DBD!$D:$D,$A69)</f>
        <v/>
      </c>
      <c r="E69" s="17">
        <f t="array" ref="E69">INDEX(Data_DBD!$E:$E,$A69)</f>
        <v/>
      </c>
      <c r="F69" s="17">
        <f t="array" ref="F69">INDEX(Data_DBD!$F:$F,$A69)</f>
        <v/>
      </c>
      <c r="H69" s="17" t="n">
        <v>40</v>
      </c>
      <c r="I69" s="17" t="n">
        <v>65</v>
      </c>
      <c r="J69" s="17" t="n">
        <v>3</v>
      </c>
      <c r="K69" s="17" t="n">
        <v>13</v>
      </c>
      <c r="L69" s="17" t="n">
        <v>1</v>
      </c>
      <c r="M69" s="17" t="inlineStr">
        <is>
          <t>Sedang</t>
        </is>
      </c>
    </row>
    <row r="70" s="1">
      <c r="A70" s="17">
        <f>RANDBETWEEN(2,164)</f>
        <v/>
      </c>
      <c r="B70" s="17">
        <f t="array" ref="B70">INDEX(Data_DBD!$B:$B,$A70)</f>
        <v/>
      </c>
      <c r="C70" s="17">
        <f t="array" ref="C70">INDEX(Data_DBD!$C:$C,$A70)</f>
        <v/>
      </c>
      <c r="D70" s="17">
        <f t="array" ref="D70">INDEX(Data_DBD!$D:$D,$A70)</f>
        <v/>
      </c>
      <c r="E70" s="17">
        <f t="array" ref="E70">INDEX(Data_DBD!$E:$E,$A70)</f>
        <v/>
      </c>
      <c r="F70" s="17">
        <f t="array" ref="F70">INDEX(Data_DBD!$F:$F,$A70)</f>
        <v/>
      </c>
      <c r="H70" s="17" t="n">
        <v>151</v>
      </c>
      <c r="I70" s="17" t="n">
        <v>24</v>
      </c>
      <c r="J70" s="17" t="n">
        <v>3</v>
      </c>
      <c r="K70" s="17" t="n">
        <v>21</v>
      </c>
      <c r="L70" s="17" t="n">
        <v>0</v>
      </c>
      <c r="M70" s="17" t="inlineStr">
        <is>
          <t>Tinggi</t>
        </is>
      </c>
    </row>
    <row r="71" s="1">
      <c r="A71" s="17">
        <f>RANDBETWEEN(2,164)</f>
        <v/>
      </c>
      <c r="B71" s="17">
        <f t="array" ref="B71">INDEX(Data_DBD!$B:$B,$A71)</f>
        <v/>
      </c>
      <c r="C71" s="17">
        <f t="array" ref="C71">INDEX(Data_DBD!$C:$C,$A71)</f>
        <v/>
      </c>
      <c r="D71" s="17">
        <f t="array" ref="D71">INDEX(Data_DBD!$D:$D,$A71)</f>
        <v/>
      </c>
      <c r="E71" s="17">
        <f t="array" ref="E71">INDEX(Data_DBD!$E:$E,$A71)</f>
        <v/>
      </c>
      <c r="F71" s="17">
        <f t="array" ref="F71">INDEX(Data_DBD!$F:$F,$A71)</f>
        <v/>
      </c>
      <c r="H71" s="17" t="n">
        <v>29</v>
      </c>
      <c r="I71" s="17" t="n">
        <v>19</v>
      </c>
      <c r="J71" s="17" t="n">
        <v>2</v>
      </c>
      <c r="K71" s="17" t="n">
        <v>14</v>
      </c>
      <c r="L71" s="17" t="n">
        <v>1</v>
      </c>
      <c r="M71" s="17" t="inlineStr">
        <is>
          <t>Sedang</t>
        </is>
      </c>
    </row>
    <row r="72" s="1">
      <c r="A72" s="17">
        <f>RANDBETWEEN(2,164)</f>
        <v/>
      </c>
      <c r="B72" s="17">
        <f t="array" ref="B72">INDEX(Data_DBD!$B:$B,$A72)</f>
        <v/>
      </c>
      <c r="C72" s="17">
        <f t="array" ref="C72">INDEX(Data_DBD!$C:$C,$A72)</f>
        <v/>
      </c>
      <c r="D72" s="17">
        <f t="array" ref="D72">INDEX(Data_DBD!$D:$D,$A72)</f>
        <v/>
      </c>
      <c r="E72" s="17">
        <f t="array" ref="E72">INDEX(Data_DBD!$E:$E,$A72)</f>
        <v/>
      </c>
      <c r="F72" s="17">
        <f t="array" ref="F72">INDEX(Data_DBD!$F:$F,$A72)</f>
        <v/>
      </c>
      <c r="H72" s="17" t="n">
        <v>152</v>
      </c>
      <c r="I72" s="17" t="n">
        <v>47</v>
      </c>
      <c r="J72" s="17" t="n">
        <v>3</v>
      </c>
      <c r="K72" s="17" t="n">
        <v>21</v>
      </c>
      <c r="L72" s="17" t="n">
        <v>1</v>
      </c>
      <c r="M72" s="17" t="inlineStr">
        <is>
          <t>Tinggi</t>
        </is>
      </c>
    </row>
    <row r="73" s="1">
      <c r="A73" s="17">
        <f>RANDBETWEEN(2,164)</f>
        <v/>
      </c>
      <c r="B73" s="17">
        <f t="array" ref="B73">INDEX(Data_DBD!$B:$B,$A73)</f>
        <v/>
      </c>
      <c r="C73" s="17">
        <f t="array" ref="C73">INDEX(Data_DBD!$C:$C,$A73)</f>
        <v/>
      </c>
      <c r="D73" s="17">
        <f t="array" ref="D73">INDEX(Data_DBD!$D:$D,$A73)</f>
        <v/>
      </c>
      <c r="E73" s="17">
        <f t="array" ref="E73">INDEX(Data_DBD!$E:$E,$A73)</f>
        <v/>
      </c>
      <c r="F73" s="17">
        <f t="array" ref="F73">INDEX(Data_DBD!$F:$F,$A73)</f>
        <v/>
      </c>
      <c r="H73" s="17" t="n">
        <v>129</v>
      </c>
      <c r="I73" s="17" t="n">
        <v>4</v>
      </c>
      <c r="J73" s="17" t="n">
        <v>3</v>
      </c>
      <c r="K73" s="17" t="n">
        <v>33</v>
      </c>
      <c r="L73" s="17" t="n">
        <v>0</v>
      </c>
      <c r="M73" s="17" t="inlineStr">
        <is>
          <t>Tinggi</t>
        </is>
      </c>
    </row>
    <row r="74" s="1">
      <c r="A74" s="17">
        <f>RANDBETWEEN(2,164)</f>
        <v/>
      </c>
      <c r="B74" s="17">
        <f t="array" ref="B74">INDEX(Data_DBD!$B:$B,$A74)</f>
        <v/>
      </c>
      <c r="C74" s="17">
        <f t="array" ref="C74">INDEX(Data_DBD!$C:$C,$A74)</f>
        <v/>
      </c>
      <c r="D74" s="17">
        <f t="array" ref="D74">INDEX(Data_DBD!$D:$D,$A74)</f>
        <v/>
      </c>
      <c r="E74" s="17">
        <f t="array" ref="E74">INDEX(Data_DBD!$E:$E,$A74)</f>
        <v/>
      </c>
      <c r="F74" s="17">
        <f t="array" ref="F74">INDEX(Data_DBD!$F:$F,$A74)</f>
        <v/>
      </c>
      <c r="H74" s="17" t="n">
        <v>100</v>
      </c>
      <c r="I74" s="17" t="n">
        <v>19</v>
      </c>
      <c r="J74" s="17" t="n">
        <v>6</v>
      </c>
      <c r="K74" s="17" t="n">
        <v>18</v>
      </c>
      <c r="L74" s="17" t="n">
        <v>0</v>
      </c>
      <c r="M74" s="17" t="inlineStr">
        <is>
          <t>Tinggi</t>
        </is>
      </c>
    </row>
    <row r="75" s="1">
      <c r="A75" s="17">
        <f>RANDBETWEEN(2,164)</f>
        <v/>
      </c>
      <c r="B75" s="17">
        <f t="array" ref="B75">INDEX(Data_DBD!$B:$B,$A75)</f>
        <v/>
      </c>
      <c r="C75" s="17">
        <f t="array" ref="C75">INDEX(Data_DBD!$C:$C,$A75)</f>
        <v/>
      </c>
      <c r="D75" s="17">
        <f t="array" ref="D75">INDEX(Data_DBD!$D:$D,$A75)</f>
        <v/>
      </c>
      <c r="E75" s="17">
        <f t="array" ref="E75">INDEX(Data_DBD!$E:$E,$A75)</f>
        <v/>
      </c>
      <c r="F75" s="17">
        <f t="array" ref="F75">INDEX(Data_DBD!$F:$F,$A75)</f>
        <v/>
      </c>
      <c r="H75" s="17" t="n">
        <v>32</v>
      </c>
      <c r="I75" s="17" t="n">
        <v>54</v>
      </c>
      <c r="J75" s="17" t="n">
        <v>4</v>
      </c>
      <c r="K75" s="17" t="n">
        <v>14</v>
      </c>
      <c r="L75" s="17" t="n">
        <v>0</v>
      </c>
      <c r="M75" s="17" t="inlineStr">
        <is>
          <t>Sedang</t>
        </is>
      </c>
    </row>
    <row r="76" s="1">
      <c r="A76" s="17">
        <f>RANDBETWEEN(2,164)</f>
        <v/>
      </c>
      <c r="B76" s="17">
        <f t="array" ref="B76">INDEX(Data_DBD!$B:$B,$A76)</f>
        <v/>
      </c>
      <c r="C76" s="17">
        <f t="array" ref="C76">INDEX(Data_DBD!$C:$C,$A76)</f>
        <v/>
      </c>
      <c r="D76" s="17">
        <f t="array" ref="D76">INDEX(Data_DBD!$D:$D,$A76)</f>
        <v/>
      </c>
      <c r="E76" s="17">
        <f t="array" ref="E76">INDEX(Data_DBD!$E:$E,$A76)</f>
        <v/>
      </c>
      <c r="F76" s="17">
        <f t="array" ref="F76">INDEX(Data_DBD!$F:$F,$A76)</f>
        <v/>
      </c>
      <c r="H76" s="17" t="n">
        <v>24</v>
      </c>
      <c r="I76" s="17" t="n">
        <v>60</v>
      </c>
      <c r="J76" s="17" t="n">
        <v>4</v>
      </c>
      <c r="K76" s="17" t="n">
        <v>14</v>
      </c>
      <c r="L76" s="17" t="n">
        <v>0</v>
      </c>
      <c r="M76" s="17" t="inlineStr">
        <is>
          <t>Sedang</t>
        </is>
      </c>
    </row>
    <row r="77" s="1">
      <c r="A77" s="17">
        <f>RANDBETWEEN(2,164)</f>
        <v/>
      </c>
      <c r="B77" s="17">
        <f t="array" ref="B77">INDEX(Data_DBD!$B:$B,$A77)</f>
        <v/>
      </c>
      <c r="C77" s="17">
        <f t="array" ref="C77">INDEX(Data_DBD!$C:$C,$A77)</f>
        <v/>
      </c>
      <c r="D77" s="17">
        <f t="array" ref="D77">INDEX(Data_DBD!$D:$D,$A77)</f>
        <v/>
      </c>
      <c r="E77" s="17">
        <f t="array" ref="E77">INDEX(Data_DBD!$E:$E,$A77)</f>
        <v/>
      </c>
      <c r="F77" s="17">
        <f t="array" ref="F77">INDEX(Data_DBD!$F:$F,$A77)</f>
        <v/>
      </c>
      <c r="H77" s="17" t="n">
        <v>89</v>
      </c>
      <c r="I77" s="17" t="n">
        <v>32</v>
      </c>
      <c r="J77" s="17" t="n">
        <v>4</v>
      </c>
      <c r="K77" s="17" t="n">
        <v>13</v>
      </c>
      <c r="L77" s="17" t="n">
        <v>0</v>
      </c>
      <c r="M77" s="17" t="inlineStr">
        <is>
          <t>Sedang</t>
        </is>
      </c>
    </row>
    <row r="78" s="1">
      <c r="A78" s="17">
        <f>RANDBETWEEN(2,164)</f>
        <v/>
      </c>
      <c r="B78" s="17">
        <f t="array" ref="B78">INDEX(Data_DBD!$B:$B,$A78)</f>
        <v/>
      </c>
      <c r="C78" s="17">
        <f t="array" ref="C78">INDEX(Data_DBD!$C:$C,$A78)</f>
        <v/>
      </c>
      <c r="D78" s="17">
        <f t="array" ref="D78">INDEX(Data_DBD!$D:$D,$A78)</f>
        <v/>
      </c>
      <c r="E78" s="17">
        <f t="array" ref="E78">INDEX(Data_DBD!$E:$E,$A78)</f>
        <v/>
      </c>
      <c r="F78" s="17">
        <f t="array" ref="F78">INDEX(Data_DBD!$F:$F,$A78)</f>
        <v/>
      </c>
      <c r="H78" s="17" t="n">
        <v>132</v>
      </c>
      <c r="I78" s="17" t="n">
        <v>10</v>
      </c>
      <c r="J78" s="17" t="n">
        <v>3</v>
      </c>
      <c r="K78" s="17" t="n">
        <v>33</v>
      </c>
      <c r="L78" s="17" t="n">
        <v>1</v>
      </c>
      <c r="M78" s="17" t="inlineStr">
        <is>
          <t>Tinggi</t>
        </is>
      </c>
    </row>
    <row r="79" s="1">
      <c r="A79" s="17">
        <f>RANDBETWEEN(2,164)</f>
        <v/>
      </c>
      <c r="B79" s="17">
        <f t="array" ref="B79">INDEX(Data_DBD!$B:$B,$A79)</f>
        <v/>
      </c>
      <c r="C79" s="17">
        <f t="array" ref="C79">INDEX(Data_DBD!$C:$C,$A79)</f>
        <v/>
      </c>
      <c r="D79" s="17">
        <f t="array" ref="D79">INDEX(Data_DBD!$D:$D,$A79)</f>
        <v/>
      </c>
      <c r="E79" s="17">
        <f t="array" ref="E79">INDEX(Data_DBD!$E:$E,$A79)</f>
        <v/>
      </c>
      <c r="F79" s="17">
        <f t="array" ref="F79">INDEX(Data_DBD!$F:$F,$A79)</f>
        <v/>
      </c>
      <c r="H79" s="17" t="n">
        <v>142</v>
      </c>
      <c r="I79" s="17" t="n">
        <v>39</v>
      </c>
      <c r="J79" s="17" t="n">
        <v>2</v>
      </c>
      <c r="K79" s="17" t="n">
        <v>21</v>
      </c>
      <c r="L79" s="17" t="n">
        <v>1</v>
      </c>
      <c r="M79" s="17" t="inlineStr">
        <is>
          <t>Tinggi</t>
        </is>
      </c>
    </row>
    <row r="80" s="1">
      <c r="A80" s="17">
        <f>RANDBETWEEN(2,164)</f>
        <v/>
      </c>
      <c r="B80" s="17">
        <f t="array" ref="B80">INDEX(Data_DBD!$B:$B,$A80)</f>
        <v/>
      </c>
      <c r="C80" s="17">
        <f t="array" ref="C80">INDEX(Data_DBD!$C:$C,$A80)</f>
        <v/>
      </c>
      <c r="D80" s="17">
        <f t="array" ref="D80">INDEX(Data_DBD!$D:$D,$A80)</f>
        <v/>
      </c>
      <c r="E80" s="17">
        <f t="array" ref="E80">INDEX(Data_DBD!$E:$E,$A80)</f>
        <v/>
      </c>
      <c r="F80" s="17">
        <f t="array" ref="F80">INDEX(Data_DBD!$F:$F,$A80)</f>
        <v/>
      </c>
      <c r="H80" s="17" t="n">
        <v>151</v>
      </c>
      <c r="I80" s="17" t="n">
        <v>24</v>
      </c>
      <c r="J80" s="17" t="n">
        <v>3</v>
      </c>
      <c r="K80" s="17" t="n">
        <v>21</v>
      </c>
      <c r="L80" s="17" t="n">
        <v>0</v>
      </c>
      <c r="M80" s="17" t="inlineStr">
        <is>
          <t>Tinggi</t>
        </is>
      </c>
    </row>
    <row r="81" s="1">
      <c r="A81" s="17">
        <f>RANDBETWEEN(2,164)</f>
        <v/>
      </c>
      <c r="B81" s="17">
        <f t="array" ref="B81">INDEX(Data_DBD!$B:$B,$A81)</f>
        <v/>
      </c>
      <c r="C81" s="17">
        <f t="array" ref="C81">INDEX(Data_DBD!$C:$C,$A81)</f>
        <v/>
      </c>
      <c r="D81" s="17">
        <f t="array" ref="D81">INDEX(Data_DBD!$D:$D,$A81)</f>
        <v/>
      </c>
      <c r="E81" s="17">
        <f t="array" ref="E81">INDEX(Data_DBD!$E:$E,$A81)</f>
        <v/>
      </c>
      <c r="F81" s="17">
        <f t="array" ref="F81">INDEX(Data_DBD!$F:$F,$A81)</f>
        <v/>
      </c>
      <c r="H81" s="17" t="n">
        <v>119</v>
      </c>
      <c r="I81" s="17" t="n">
        <v>30</v>
      </c>
      <c r="J81" s="17" t="n">
        <v>7</v>
      </c>
      <c r="K81" s="17" t="n">
        <v>33</v>
      </c>
      <c r="L81" s="17" t="n">
        <v>0</v>
      </c>
      <c r="M81" s="17" t="inlineStr">
        <is>
          <t>Tinggi</t>
        </is>
      </c>
    </row>
    <row r="82" s="1">
      <c r="A82" s="17">
        <f>RANDBETWEEN(2,164)</f>
        <v/>
      </c>
      <c r="B82" s="17">
        <f t="array" ref="B82">INDEX(Data_DBD!$B:$B,$A82)</f>
        <v/>
      </c>
      <c r="C82" s="17">
        <f t="array" ref="C82">INDEX(Data_DBD!$C:$C,$A82)</f>
        <v/>
      </c>
      <c r="D82" s="17">
        <f t="array" ref="D82">INDEX(Data_DBD!$D:$D,$A82)</f>
        <v/>
      </c>
      <c r="E82" s="17">
        <f t="array" ref="E82">INDEX(Data_DBD!$E:$E,$A82)</f>
        <v/>
      </c>
      <c r="F82" s="17">
        <f t="array" ref="F82">INDEX(Data_DBD!$F:$F,$A82)</f>
        <v/>
      </c>
      <c r="H82" s="17" t="n">
        <v>105</v>
      </c>
      <c r="I82" s="17" t="n">
        <v>61</v>
      </c>
      <c r="J82" s="17" t="n">
        <v>3</v>
      </c>
      <c r="K82" s="17" t="n">
        <v>18</v>
      </c>
      <c r="L82" s="17" t="n">
        <v>1</v>
      </c>
      <c r="M82" s="17" t="inlineStr">
        <is>
          <t>Tinggi</t>
        </is>
      </c>
    </row>
    <row r="83" s="1">
      <c r="A83" s="17">
        <f>RANDBETWEEN(2,164)</f>
        <v/>
      </c>
      <c r="B83" s="17">
        <f t="array" ref="B83">INDEX(Data_DBD!$B:$B,$A83)</f>
        <v/>
      </c>
      <c r="C83" s="17">
        <f t="array" ref="C83">INDEX(Data_DBD!$C:$C,$A83)</f>
        <v/>
      </c>
      <c r="D83" s="17">
        <f t="array" ref="D83">INDEX(Data_DBD!$D:$D,$A83)</f>
        <v/>
      </c>
      <c r="E83" s="17">
        <f t="array" ref="E83">INDEX(Data_DBD!$E:$E,$A83)</f>
        <v/>
      </c>
      <c r="F83" s="17">
        <f t="array" ref="F83">INDEX(Data_DBD!$F:$F,$A83)</f>
        <v/>
      </c>
      <c r="H83" s="17" t="n">
        <v>153</v>
      </c>
      <c r="I83" s="17" t="n">
        <v>73</v>
      </c>
      <c r="J83" s="17" t="n">
        <v>7</v>
      </c>
      <c r="K83" s="17" t="n">
        <v>21</v>
      </c>
      <c r="L83" s="17" t="n">
        <v>1</v>
      </c>
      <c r="M83" s="17" t="inlineStr">
        <is>
          <t>Tinggi</t>
        </is>
      </c>
    </row>
    <row r="84" s="1">
      <c r="A84" s="17">
        <f>RANDBETWEEN(2,164)</f>
        <v/>
      </c>
      <c r="B84" s="17">
        <f t="array" ref="B84">INDEX(Data_DBD!$B:$B,$A84)</f>
        <v/>
      </c>
      <c r="C84" s="17">
        <f t="array" ref="C84">INDEX(Data_DBD!$C:$C,$A84)</f>
        <v/>
      </c>
      <c r="D84" s="17">
        <f t="array" ref="D84">INDEX(Data_DBD!$D:$D,$A84)</f>
        <v/>
      </c>
      <c r="E84" s="17">
        <f t="array" ref="E84">INDEX(Data_DBD!$E:$E,$A84)</f>
        <v/>
      </c>
      <c r="F84" s="17">
        <f t="array" ref="F84">INDEX(Data_DBD!$F:$F,$A84)</f>
        <v/>
      </c>
      <c r="H84" s="17" t="n">
        <v>106</v>
      </c>
      <c r="I84" s="17" t="n">
        <v>23</v>
      </c>
      <c r="J84" s="17" t="n">
        <v>3</v>
      </c>
      <c r="K84" s="17" t="n">
        <v>18</v>
      </c>
      <c r="L84" s="17" t="n">
        <v>1</v>
      </c>
      <c r="M84" s="17" t="inlineStr">
        <is>
          <t>Tinggi</t>
        </is>
      </c>
    </row>
    <row r="85" s="1">
      <c r="A85" s="17">
        <f>RANDBETWEEN(2,164)</f>
        <v/>
      </c>
      <c r="B85" s="17">
        <f t="array" ref="B85">INDEX(Data_DBD!$B:$B,$A85)</f>
        <v/>
      </c>
      <c r="C85" s="17">
        <f t="array" ref="C85">INDEX(Data_DBD!$C:$C,$A85)</f>
        <v/>
      </c>
      <c r="D85" s="17">
        <f t="array" ref="D85">INDEX(Data_DBD!$D:$D,$A85)</f>
        <v/>
      </c>
      <c r="E85" s="17">
        <f t="array" ref="E85">INDEX(Data_DBD!$E:$E,$A85)</f>
        <v/>
      </c>
      <c r="F85" s="17">
        <f t="array" ref="F85">INDEX(Data_DBD!$F:$F,$A85)</f>
        <v/>
      </c>
      <c r="H85" s="17" t="n">
        <v>108</v>
      </c>
      <c r="I85" s="17" t="n">
        <v>69</v>
      </c>
      <c r="J85" s="17" t="n">
        <v>7</v>
      </c>
      <c r="K85" s="17" t="n">
        <v>33</v>
      </c>
      <c r="L85" s="17" t="n">
        <v>1</v>
      </c>
      <c r="M85" s="17" t="inlineStr">
        <is>
          <t>Tinggi</t>
        </is>
      </c>
    </row>
    <row r="86" s="1">
      <c r="A86" s="17">
        <f>RANDBETWEEN(2,164)</f>
        <v/>
      </c>
      <c r="B86" s="17">
        <f t="array" ref="B86">INDEX(Data_DBD!$B:$B,$A86)</f>
        <v/>
      </c>
      <c r="C86" s="17">
        <f t="array" ref="C86">INDEX(Data_DBD!$C:$C,$A86)</f>
        <v/>
      </c>
      <c r="D86" s="17">
        <f t="array" ref="D86">INDEX(Data_DBD!$D:$D,$A86)</f>
        <v/>
      </c>
      <c r="E86" s="17">
        <f t="array" ref="E86">INDEX(Data_DBD!$E:$E,$A86)</f>
        <v/>
      </c>
      <c r="F86" s="17">
        <f t="array" ref="F86">INDEX(Data_DBD!$F:$F,$A86)</f>
        <v/>
      </c>
      <c r="H86" s="17" t="n">
        <v>39</v>
      </c>
      <c r="I86" s="17" t="n">
        <v>12</v>
      </c>
      <c r="J86" s="17" t="n">
        <v>5</v>
      </c>
      <c r="K86" s="17" t="n">
        <v>13</v>
      </c>
      <c r="L86" s="17" t="n">
        <v>1</v>
      </c>
      <c r="M86" s="17" t="inlineStr">
        <is>
          <t>Sedang</t>
        </is>
      </c>
    </row>
    <row r="87" s="1">
      <c r="A87" s="17">
        <f>RANDBETWEEN(2,164)</f>
        <v/>
      </c>
      <c r="B87" s="17">
        <f t="array" ref="B87">INDEX(Data_DBD!$B:$B,$A87)</f>
        <v/>
      </c>
      <c r="C87" s="17">
        <f t="array" ref="C87">INDEX(Data_DBD!$C:$C,$A87)</f>
        <v/>
      </c>
      <c r="D87" s="17">
        <f t="array" ref="D87">INDEX(Data_DBD!$D:$D,$A87)</f>
        <v/>
      </c>
      <c r="E87" s="17">
        <f t="array" ref="E87">INDEX(Data_DBD!$E:$E,$A87)</f>
        <v/>
      </c>
      <c r="F87" s="17">
        <f t="array" ref="F87">INDEX(Data_DBD!$F:$F,$A87)</f>
        <v/>
      </c>
      <c r="H87" s="17" t="n">
        <v>164</v>
      </c>
      <c r="I87" s="17" t="n">
        <v>10</v>
      </c>
      <c r="J87" s="17" t="n">
        <v>6</v>
      </c>
      <c r="K87" s="17" t="n">
        <v>3</v>
      </c>
      <c r="L87" s="17" t="n">
        <v>0</v>
      </c>
      <c r="M87" s="17" t="inlineStr">
        <is>
          <t>Rendah</t>
        </is>
      </c>
    </row>
    <row r="88" s="1">
      <c r="A88" s="17">
        <f>RANDBETWEEN(2,164)</f>
        <v/>
      </c>
      <c r="B88" s="17">
        <f t="array" ref="B88">INDEX(Data_DBD!$B:$B,$A88)</f>
        <v/>
      </c>
      <c r="C88" s="17">
        <f t="array" ref="C88">INDEX(Data_DBD!$C:$C,$A88)</f>
        <v/>
      </c>
      <c r="D88" s="17">
        <f t="array" ref="D88">INDEX(Data_DBD!$D:$D,$A88)</f>
        <v/>
      </c>
      <c r="E88" s="17">
        <f t="array" ref="E88">INDEX(Data_DBD!$E:$E,$A88)</f>
        <v/>
      </c>
      <c r="F88" s="17">
        <f t="array" ref="F88">INDEX(Data_DBD!$F:$F,$A88)</f>
        <v/>
      </c>
      <c r="H88" s="17" t="n">
        <v>77</v>
      </c>
      <c r="I88" s="17" t="n">
        <v>16</v>
      </c>
      <c r="J88" s="17" t="n">
        <v>4</v>
      </c>
      <c r="K88" s="17" t="n">
        <v>13</v>
      </c>
      <c r="L88" s="17" t="n">
        <v>1</v>
      </c>
      <c r="M88" s="17" t="inlineStr">
        <is>
          <t>Sedang</t>
        </is>
      </c>
    </row>
    <row r="89" s="1">
      <c r="A89" s="17">
        <f>RANDBETWEEN(2,164)</f>
        <v/>
      </c>
      <c r="B89" s="17">
        <f t="array" ref="B89">INDEX(Data_DBD!$B:$B,$A89)</f>
        <v/>
      </c>
      <c r="C89" s="17">
        <f t="array" ref="C89">INDEX(Data_DBD!$C:$C,$A89)</f>
        <v/>
      </c>
      <c r="D89" s="17">
        <f t="array" ref="D89">INDEX(Data_DBD!$D:$D,$A89)</f>
        <v/>
      </c>
      <c r="E89" s="17">
        <f t="array" ref="E89">INDEX(Data_DBD!$E:$E,$A89)</f>
        <v/>
      </c>
      <c r="F89" s="17">
        <f t="array" ref="F89">INDEX(Data_DBD!$F:$F,$A89)</f>
        <v/>
      </c>
      <c r="H89" s="17" t="n">
        <v>138</v>
      </c>
      <c r="I89" s="17" t="n">
        <v>13</v>
      </c>
      <c r="J89" s="17" t="n">
        <v>3</v>
      </c>
      <c r="K89" s="17" t="n">
        <v>33</v>
      </c>
      <c r="L89" s="17" t="n">
        <v>1</v>
      </c>
      <c r="M89" s="17" t="inlineStr">
        <is>
          <t>Tinggi</t>
        </is>
      </c>
    </row>
    <row r="90" s="1">
      <c r="A90" s="17">
        <f>RANDBETWEEN(2,164)</f>
        <v/>
      </c>
      <c r="B90" s="17">
        <f t="array" ref="B90">INDEX(Data_DBD!$B:$B,$A90)</f>
        <v/>
      </c>
      <c r="C90" s="17">
        <f t="array" ref="C90">INDEX(Data_DBD!$C:$C,$A90)</f>
        <v/>
      </c>
      <c r="D90" s="17">
        <f t="array" ref="D90">INDEX(Data_DBD!$D:$D,$A90)</f>
        <v/>
      </c>
      <c r="E90" s="17">
        <f t="array" ref="E90">INDEX(Data_DBD!$E:$E,$A90)</f>
        <v/>
      </c>
      <c r="F90" s="17">
        <f t="array" ref="F90">INDEX(Data_DBD!$F:$F,$A90)</f>
        <v/>
      </c>
      <c r="H90" s="17" t="n">
        <v>41</v>
      </c>
      <c r="I90" s="17" t="n">
        <v>8</v>
      </c>
      <c r="J90" s="17" t="n">
        <v>4</v>
      </c>
      <c r="K90" s="17" t="n">
        <v>13</v>
      </c>
      <c r="L90" s="17" t="n">
        <v>0</v>
      </c>
      <c r="M90" s="17" t="inlineStr">
        <is>
          <t>Sedang</t>
        </is>
      </c>
    </row>
    <row r="91" s="1">
      <c r="A91" s="17">
        <f>RANDBETWEEN(2,164)</f>
        <v/>
      </c>
      <c r="B91" s="17">
        <f t="array" ref="B91">INDEX(Data_DBD!$B:$B,$A91)</f>
        <v/>
      </c>
      <c r="C91" s="17">
        <f t="array" ref="C91">INDEX(Data_DBD!$C:$C,$A91)</f>
        <v/>
      </c>
      <c r="D91" s="17">
        <f t="array" ref="D91">INDEX(Data_DBD!$D:$D,$A91)</f>
        <v/>
      </c>
      <c r="E91" s="17">
        <f t="array" ref="E91">INDEX(Data_DBD!$E:$E,$A91)</f>
        <v/>
      </c>
      <c r="F91" s="17">
        <f t="array" ref="F91">INDEX(Data_DBD!$F:$F,$A91)</f>
        <v/>
      </c>
      <c r="H91" s="17" t="n">
        <v>17</v>
      </c>
      <c r="I91" s="17" t="n">
        <v>2</v>
      </c>
      <c r="J91" s="17" t="n">
        <v>3</v>
      </c>
      <c r="K91" s="17" t="n">
        <v>7</v>
      </c>
      <c r="L91" s="17" t="n">
        <v>0</v>
      </c>
      <c r="M91" s="17" t="inlineStr">
        <is>
          <t>Rendah</t>
        </is>
      </c>
    </row>
    <row r="92" s="1">
      <c r="A92" s="17">
        <f>RANDBETWEEN(2,164)</f>
        <v/>
      </c>
      <c r="B92" s="17">
        <f t="array" ref="B92">INDEX(Data_DBD!$B:$B,$A92)</f>
        <v/>
      </c>
      <c r="C92" s="17">
        <f t="array" ref="C92">INDEX(Data_DBD!$C:$C,$A92)</f>
        <v/>
      </c>
      <c r="D92" s="17">
        <f t="array" ref="D92">INDEX(Data_DBD!$D:$D,$A92)</f>
        <v/>
      </c>
      <c r="E92" s="17">
        <f t="array" ref="E92">INDEX(Data_DBD!$E:$E,$A92)</f>
        <v/>
      </c>
      <c r="F92" s="17">
        <f t="array" ref="F92">INDEX(Data_DBD!$F:$F,$A92)</f>
        <v/>
      </c>
      <c r="H92" s="17" t="n">
        <v>95</v>
      </c>
      <c r="I92" s="17" t="n">
        <v>11</v>
      </c>
      <c r="J92" s="17" t="n">
        <v>3</v>
      </c>
      <c r="K92" s="17" t="n">
        <v>18</v>
      </c>
      <c r="L92" s="17" t="n">
        <v>1</v>
      </c>
      <c r="M92" s="17" t="inlineStr">
        <is>
          <t>Tinggi</t>
        </is>
      </c>
    </row>
    <row r="93" s="1">
      <c r="A93" s="17">
        <f>RANDBETWEEN(2,164)</f>
        <v/>
      </c>
      <c r="B93" s="17">
        <f t="array" ref="B93">INDEX(Data_DBD!$B:$B,$A93)</f>
        <v/>
      </c>
      <c r="C93" s="17">
        <f t="array" ref="C93">INDEX(Data_DBD!$C:$C,$A93)</f>
        <v/>
      </c>
      <c r="D93" s="17">
        <f t="array" ref="D93">INDEX(Data_DBD!$D:$D,$A93)</f>
        <v/>
      </c>
      <c r="E93" s="17">
        <f t="array" ref="E93">INDEX(Data_DBD!$E:$E,$A93)</f>
        <v/>
      </c>
      <c r="F93" s="17">
        <f t="array" ref="F93">INDEX(Data_DBD!$F:$F,$A93)</f>
        <v/>
      </c>
      <c r="H93" s="17" t="n">
        <v>162</v>
      </c>
      <c r="I93" s="17" t="n">
        <v>22</v>
      </c>
      <c r="J93" s="17" t="n">
        <v>3</v>
      </c>
      <c r="K93" s="17" t="n">
        <v>3</v>
      </c>
      <c r="L93" s="17" t="n">
        <v>1</v>
      </c>
      <c r="M93" s="17" t="inlineStr">
        <is>
          <t>Rendah</t>
        </is>
      </c>
    </row>
    <row r="94" s="1">
      <c r="A94" s="17">
        <f>RANDBETWEEN(2,164)</f>
        <v/>
      </c>
      <c r="B94" s="17">
        <f t="array" ref="B94">INDEX(Data_DBD!$B:$B,$A94)</f>
        <v/>
      </c>
      <c r="C94" s="17">
        <f t="array" ref="C94">INDEX(Data_DBD!$C:$C,$A94)</f>
        <v/>
      </c>
      <c r="D94" s="17">
        <f t="array" ref="D94">INDEX(Data_DBD!$D:$D,$A94)</f>
        <v/>
      </c>
      <c r="E94" s="17">
        <f t="array" ref="E94">INDEX(Data_DBD!$E:$E,$A94)</f>
        <v/>
      </c>
      <c r="F94" s="17">
        <f t="array" ref="F94">INDEX(Data_DBD!$F:$F,$A94)</f>
        <v/>
      </c>
      <c r="H94" s="17" t="n">
        <v>68</v>
      </c>
      <c r="I94" s="17" t="n">
        <v>44</v>
      </c>
      <c r="J94" s="17" t="n">
        <v>5</v>
      </c>
      <c r="K94" s="17" t="n">
        <v>10</v>
      </c>
      <c r="L94" s="17" t="n">
        <v>0</v>
      </c>
      <c r="M94" s="17" t="inlineStr">
        <is>
          <t>Sedang</t>
        </is>
      </c>
    </row>
    <row r="95" s="1">
      <c r="A95" s="17">
        <f>RANDBETWEEN(2,164)</f>
        <v/>
      </c>
      <c r="B95" s="17">
        <f t="array" ref="B95">INDEX(Data_DBD!$B:$B,$A95)</f>
        <v/>
      </c>
      <c r="C95" s="17">
        <f t="array" ref="C95">INDEX(Data_DBD!$C:$C,$A95)</f>
        <v/>
      </c>
      <c r="D95" s="17">
        <f t="array" ref="D95">INDEX(Data_DBD!$D:$D,$A95)</f>
        <v/>
      </c>
      <c r="E95" s="17">
        <f t="array" ref="E95">INDEX(Data_DBD!$E:$E,$A95)</f>
        <v/>
      </c>
      <c r="F95" s="17">
        <f t="array" ref="F95">INDEX(Data_DBD!$F:$F,$A95)</f>
        <v/>
      </c>
      <c r="H95" s="17" t="n">
        <v>23</v>
      </c>
      <c r="I95" s="17" t="n">
        <v>28</v>
      </c>
      <c r="J95" s="17" t="n">
        <v>4</v>
      </c>
      <c r="K95" s="17" t="n">
        <v>14</v>
      </c>
      <c r="L95" s="17" t="n">
        <v>1</v>
      </c>
      <c r="M95" s="17" t="inlineStr">
        <is>
          <t>Sedang</t>
        </is>
      </c>
    </row>
    <row r="96" s="1">
      <c r="A96" s="17">
        <f>RANDBETWEEN(2,164)</f>
        <v/>
      </c>
      <c r="B96" s="17">
        <f t="array" ref="B96">INDEX(Data_DBD!$B:$B,$A96)</f>
        <v/>
      </c>
      <c r="C96" s="17">
        <f t="array" ref="C96">INDEX(Data_DBD!$C:$C,$A96)</f>
        <v/>
      </c>
      <c r="D96" s="17">
        <f t="array" ref="D96">INDEX(Data_DBD!$D:$D,$A96)</f>
        <v/>
      </c>
      <c r="E96" s="17">
        <f t="array" ref="E96">INDEX(Data_DBD!$E:$E,$A96)</f>
        <v/>
      </c>
      <c r="F96" s="17">
        <f t="array" ref="F96">INDEX(Data_DBD!$F:$F,$A96)</f>
        <v/>
      </c>
      <c r="H96" s="17" t="n">
        <v>79</v>
      </c>
      <c r="I96" s="17" t="n">
        <v>29</v>
      </c>
      <c r="J96" s="17" t="n">
        <v>3</v>
      </c>
      <c r="K96" s="17" t="n">
        <v>13</v>
      </c>
      <c r="L96" s="17" t="n">
        <v>0</v>
      </c>
      <c r="M96" s="17" t="inlineStr">
        <is>
          <t>Sedang</t>
        </is>
      </c>
    </row>
    <row r="97" s="1">
      <c r="A97" s="17">
        <f>RANDBETWEEN(2,164)</f>
        <v/>
      </c>
      <c r="B97" s="17">
        <f t="array" ref="B97">INDEX(Data_DBD!$B:$B,$A97)</f>
        <v/>
      </c>
      <c r="C97" s="17">
        <f t="array" ref="C97">INDEX(Data_DBD!$C:$C,$A97)</f>
        <v/>
      </c>
      <c r="D97" s="17">
        <f t="array" ref="D97">INDEX(Data_DBD!$D:$D,$A97)</f>
        <v/>
      </c>
      <c r="E97" s="17">
        <f t="array" ref="E97">INDEX(Data_DBD!$E:$E,$A97)</f>
        <v/>
      </c>
      <c r="F97" s="17">
        <f t="array" ref="F97">INDEX(Data_DBD!$F:$F,$A97)</f>
        <v/>
      </c>
      <c r="H97" s="17" t="n">
        <v>55</v>
      </c>
      <c r="I97" s="17" t="n">
        <v>7</v>
      </c>
      <c r="J97" s="17" t="n">
        <v>4</v>
      </c>
      <c r="K97" s="17" t="n">
        <v>15</v>
      </c>
      <c r="L97" s="17" t="n">
        <v>1</v>
      </c>
      <c r="M97" s="17" t="inlineStr">
        <is>
          <t>Sedang</t>
        </is>
      </c>
    </row>
    <row r="98" s="1">
      <c r="A98" s="17">
        <f>RANDBETWEEN(2,164)</f>
        <v/>
      </c>
      <c r="B98" s="17">
        <f t="array" ref="B98">INDEX(Data_DBD!$B:$B,$A98)</f>
        <v/>
      </c>
      <c r="C98" s="17">
        <f t="array" ref="C98">INDEX(Data_DBD!$C:$C,$A98)</f>
        <v/>
      </c>
      <c r="D98" s="17">
        <f t="array" ref="D98">INDEX(Data_DBD!$D:$D,$A98)</f>
        <v/>
      </c>
      <c r="E98" s="17">
        <f t="array" ref="E98">INDEX(Data_DBD!$E:$E,$A98)</f>
        <v/>
      </c>
      <c r="F98" s="17">
        <f t="array" ref="F98">INDEX(Data_DBD!$F:$F,$A98)</f>
        <v/>
      </c>
      <c r="H98" s="17" t="n">
        <v>96</v>
      </c>
      <c r="I98" s="17" t="n">
        <v>56</v>
      </c>
      <c r="J98" s="17" t="n">
        <v>4</v>
      </c>
      <c r="K98" s="17" t="n">
        <v>18</v>
      </c>
      <c r="L98" s="17" t="n">
        <v>0</v>
      </c>
      <c r="M98" s="17" t="inlineStr">
        <is>
          <t>Tinggi</t>
        </is>
      </c>
    </row>
    <row r="99" s="1">
      <c r="A99" s="17">
        <f>RANDBETWEEN(2,164)</f>
        <v/>
      </c>
      <c r="B99" s="17">
        <f t="array" ref="B99">INDEX(Data_DBD!$B:$B,$A99)</f>
        <v/>
      </c>
      <c r="C99" s="17">
        <f t="array" ref="C99">INDEX(Data_DBD!$C:$C,$A99)</f>
        <v/>
      </c>
      <c r="D99" s="17">
        <f t="array" ref="D99">INDEX(Data_DBD!$D:$D,$A99)</f>
        <v/>
      </c>
      <c r="E99" s="17">
        <f t="array" ref="E99">INDEX(Data_DBD!$E:$E,$A99)</f>
        <v/>
      </c>
      <c r="F99" s="17">
        <f t="array" ref="F99">INDEX(Data_DBD!$F:$F,$A99)</f>
        <v/>
      </c>
      <c r="H99" s="17" t="n">
        <v>139</v>
      </c>
      <c r="I99" s="17" t="n">
        <v>52</v>
      </c>
      <c r="J99" s="17" t="n">
        <v>7</v>
      </c>
      <c r="K99" s="17" t="n">
        <v>21</v>
      </c>
      <c r="L99" s="17" t="n">
        <v>0</v>
      </c>
      <c r="M99" s="17" t="inlineStr">
        <is>
          <t>Tinggi</t>
        </is>
      </c>
    </row>
    <row r="100" s="1">
      <c r="A100" s="17">
        <f>RANDBETWEEN(2,164)</f>
        <v/>
      </c>
      <c r="B100" s="17">
        <f t="array" ref="B100">INDEX(Data_DBD!$B:$B,$A100)</f>
        <v/>
      </c>
      <c r="C100" s="17">
        <f t="array" ref="C100">INDEX(Data_DBD!$C:$C,$A100)</f>
        <v/>
      </c>
      <c r="D100" s="17">
        <f t="array" ref="D100">INDEX(Data_DBD!$D:$D,$A100)</f>
        <v/>
      </c>
      <c r="E100" s="17">
        <f t="array" ref="E100">INDEX(Data_DBD!$E:$E,$A100)</f>
        <v/>
      </c>
      <c r="F100" s="17">
        <f t="array" ref="F100">INDEX(Data_DBD!$F:$F,$A100)</f>
        <v/>
      </c>
      <c r="H100" s="17" t="n">
        <v>14</v>
      </c>
      <c r="I100" s="17" t="n">
        <v>49</v>
      </c>
      <c r="J100" s="17" t="n">
        <v>4</v>
      </c>
      <c r="K100" s="17" t="n">
        <v>7</v>
      </c>
      <c r="L100" s="17" t="n">
        <v>1</v>
      </c>
      <c r="M100" s="17" t="inlineStr">
        <is>
          <t>Rendah</t>
        </is>
      </c>
    </row>
    <row r="101" s="1">
      <c r="A101" s="17">
        <f>RANDBETWEEN(2,164)</f>
        <v/>
      </c>
      <c r="B101" s="17">
        <f t="array" ref="B101">INDEX(Data_DBD!$B:$B,$A101)</f>
        <v/>
      </c>
      <c r="C101" s="17">
        <f t="array" ref="C101">INDEX(Data_DBD!$C:$C,$A101)</f>
        <v/>
      </c>
      <c r="D101" s="17">
        <f t="array" ref="D101">INDEX(Data_DBD!$D:$D,$A101)</f>
        <v/>
      </c>
      <c r="E101" s="17">
        <f t="array" ref="E101">INDEX(Data_DBD!$E:$E,$A101)</f>
        <v/>
      </c>
      <c r="F101" s="17">
        <f t="array" ref="F101">INDEX(Data_DBD!$F:$F,$A101)</f>
        <v/>
      </c>
      <c r="H101" s="17" t="n">
        <v>30</v>
      </c>
      <c r="I101" s="17" t="n">
        <v>3</v>
      </c>
      <c r="J101" s="17" t="n">
        <v>2</v>
      </c>
      <c r="K101" s="17" t="n">
        <v>14</v>
      </c>
      <c r="L101" s="17" t="n">
        <v>1</v>
      </c>
      <c r="M101" s="17" t="inlineStr">
        <is>
          <t>Sedang</t>
        </is>
      </c>
    </row>
    <row r="102" s="1">
      <c r="A102" s="17">
        <f>RANDBETWEEN(2,164)</f>
        <v/>
      </c>
      <c r="B102" s="17">
        <f t="array" ref="B102">INDEX(Data_DBD!$B:$B,$A102)</f>
        <v/>
      </c>
      <c r="C102" s="17">
        <f t="array" ref="C102">INDEX(Data_DBD!$C:$C,$A102)</f>
        <v/>
      </c>
      <c r="D102" s="17">
        <f t="array" ref="D102">INDEX(Data_DBD!$D:$D,$A102)</f>
        <v/>
      </c>
      <c r="E102" s="17">
        <f t="array" ref="E102">INDEX(Data_DBD!$E:$E,$A102)</f>
        <v/>
      </c>
      <c r="F102" s="17">
        <f t="array" ref="F102">INDEX(Data_DBD!$F:$F,$A102)</f>
        <v/>
      </c>
      <c r="H102" s="17" t="n">
        <v>148</v>
      </c>
      <c r="I102" s="17" t="n">
        <v>55</v>
      </c>
      <c r="J102" s="17" t="n">
        <v>3</v>
      </c>
      <c r="K102" s="17" t="n">
        <v>21</v>
      </c>
      <c r="L102" s="17" t="n">
        <v>1</v>
      </c>
      <c r="M102" s="17" t="inlineStr">
        <is>
          <t>Tinggi</t>
        </is>
      </c>
    </row>
    <row r="103" s="1">
      <c r="A103" s="17">
        <f>RANDBETWEEN(2,164)</f>
        <v/>
      </c>
      <c r="B103" s="17">
        <f t="array" ref="B103">INDEX(Data_DBD!$B:$B,$A103)</f>
        <v/>
      </c>
      <c r="C103" s="17">
        <f t="array" ref="C103">INDEX(Data_DBD!$C:$C,$A103)</f>
        <v/>
      </c>
      <c r="D103" s="17">
        <f t="array" ref="D103">INDEX(Data_DBD!$D:$D,$A103)</f>
        <v/>
      </c>
      <c r="E103" s="17">
        <f t="array" ref="E103">INDEX(Data_DBD!$E:$E,$A103)</f>
        <v/>
      </c>
      <c r="F103" s="17">
        <f t="array" ref="F103">INDEX(Data_DBD!$F:$F,$A103)</f>
        <v/>
      </c>
      <c r="H103" s="17" t="n">
        <v>60</v>
      </c>
      <c r="I103" s="17" t="n">
        <v>68</v>
      </c>
      <c r="J103" s="17" t="n">
        <v>4</v>
      </c>
      <c r="K103" s="17" t="n">
        <v>15</v>
      </c>
      <c r="L103" s="17" t="n">
        <v>0</v>
      </c>
      <c r="M103" s="17" t="inlineStr">
        <is>
          <t>Sedang</t>
        </is>
      </c>
    </row>
    <row r="104" s="1">
      <c r="A104" s="17">
        <f>RANDBETWEEN(2,164)</f>
        <v/>
      </c>
      <c r="B104" s="17">
        <f t="array" ref="B104">INDEX(Data_DBD!$B:$B,$A104)</f>
        <v/>
      </c>
      <c r="C104" s="17">
        <f t="array" ref="C104">INDEX(Data_DBD!$C:$C,$A104)</f>
        <v/>
      </c>
      <c r="D104" s="17">
        <f t="array" ref="D104">INDEX(Data_DBD!$D:$D,$A104)</f>
        <v/>
      </c>
      <c r="E104" s="17">
        <f t="array" ref="E104">INDEX(Data_DBD!$E:$E,$A104)</f>
        <v/>
      </c>
      <c r="F104" s="17">
        <f t="array" ref="F104">INDEX(Data_DBD!$F:$F,$A104)</f>
        <v/>
      </c>
      <c r="H104" s="17" t="n">
        <v>137</v>
      </c>
      <c r="I104" s="17" t="n">
        <v>3</v>
      </c>
      <c r="J104" s="17" t="n">
        <v>1</v>
      </c>
      <c r="K104" s="17" t="n">
        <v>33</v>
      </c>
      <c r="L104" s="17" t="n">
        <v>1</v>
      </c>
      <c r="M104" s="17" t="inlineStr">
        <is>
          <t>Tinggi</t>
        </is>
      </c>
    </row>
    <row r="105" s="1">
      <c r="A105" s="17">
        <f>RANDBETWEEN(2,164)</f>
        <v/>
      </c>
      <c r="B105" s="17">
        <f t="array" ref="B105">INDEX(Data_DBD!$B:$B,$A105)</f>
        <v/>
      </c>
      <c r="C105" s="17">
        <f t="array" ref="C105">INDEX(Data_DBD!$C:$C,$A105)</f>
        <v/>
      </c>
      <c r="D105" s="17">
        <f t="array" ref="D105">INDEX(Data_DBD!$D:$D,$A105)</f>
        <v/>
      </c>
      <c r="E105" s="17">
        <f t="array" ref="E105">INDEX(Data_DBD!$E:$E,$A105)</f>
        <v/>
      </c>
      <c r="F105" s="17">
        <f t="array" ref="F105">INDEX(Data_DBD!$F:$F,$A105)</f>
        <v/>
      </c>
      <c r="H105" s="17" t="n">
        <v>88</v>
      </c>
      <c r="I105" s="17" t="n">
        <v>20</v>
      </c>
      <c r="J105" s="17" t="n">
        <v>4</v>
      </c>
      <c r="K105" s="17" t="n">
        <v>13</v>
      </c>
      <c r="L105" s="17" t="n">
        <v>1</v>
      </c>
      <c r="M105" s="17" t="inlineStr">
        <is>
          <t>Sedang</t>
        </is>
      </c>
    </row>
    <row r="106" s="1">
      <c r="A106" s="17">
        <f>RANDBETWEEN(2,164)</f>
        <v/>
      </c>
      <c r="B106" s="17">
        <f t="array" ref="B106">INDEX(Data_DBD!$B:$B,$A106)</f>
        <v/>
      </c>
      <c r="C106" s="17">
        <f t="array" ref="C106">INDEX(Data_DBD!$C:$C,$A106)</f>
        <v/>
      </c>
      <c r="D106" s="17">
        <f t="array" ref="D106">INDEX(Data_DBD!$D:$D,$A106)</f>
        <v/>
      </c>
      <c r="E106" s="17">
        <f t="array" ref="E106">INDEX(Data_DBD!$E:$E,$A106)</f>
        <v/>
      </c>
      <c r="F106" s="17">
        <f t="array" ref="F106">INDEX(Data_DBD!$F:$F,$A106)</f>
        <v/>
      </c>
      <c r="H106" s="17" t="n">
        <v>7</v>
      </c>
      <c r="I106" s="17" t="n">
        <v>12</v>
      </c>
      <c r="J106" s="17" t="n">
        <v>1</v>
      </c>
      <c r="K106" s="17" t="n">
        <v>12</v>
      </c>
      <c r="L106" s="17" t="n">
        <v>1</v>
      </c>
      <c r="M106" s="17" t="inlineStr">
        <is>
          <t>Sedang</t>
        </is>
      </c>
    </row>
    <row r="107" s="1">
      <c r="A107" s="17">
        <f>RANDBETWEEN(2,164)</f>
        <v/>
      </c>
      <c r="B107" s="17">
        <f t="array" ref="B107">INDEX(Data_DBD!$B:$B,$A107)</f>
        <v/>
      </c>
      <c r="C107" s="17">
        <f t="array" ref="C107">INDEX(Data_DBD!$C:$C,$A107)</f>
        <v/>
      </c>
      <c r="D107" s="17">
        <f t="array" ref="D107">INDEX(Data_DBD!$D:$D,$A107)</f>
        <v/>
      </c>
      <c r="E107" s="17">
        <f t="array" ref="E107">INDEX(Data_DBD!$E:$E,$A107)</f>
        <v/>
      </c>
      <c r="F107" s="17">
        <f t="array" ref="F107">INDEX(Data_DBD!$F:$F,$A107)</f>
        <v/>
      </c>
      <c r="H107" s="17" t="n">
        <v>157</v>
      </c>
      <c r="I107" s="17" t="n">
        <v>15</v>
      </c>
      <c r="J107" s="17" t="n">
        <v>4</v>
      </c>
      <c r="K107" s="17" t="n">
        <v>21</v>
      </c>
      <c r="L107" s="17" t="n">
        <v>1</v>
      </c>
      <c r="M107" s="17" t="inlineStr">
        <is>
          <t>Tinggi</t>
        </is>
      </c>
    </row>
    <row r="108" s="1">
      <c r="A108" s="17">
        <f>RANDBETWEEN(2,164)</f>
        <v/>
      </c>
      <c r="B108" s="17">
        <f t="array" ref="B108">INDEX(Data_DBD!$B:$B,$A108)</f>
        <v/>
      </c>
      <c r="C108" s="17">
        <f t="array" ref="C108">INDEX(Data_DBD!$C:$C,$A108)</f>
        <v/>
      </c>
      <c r="D108" s="17">
        <f t="array" ref="D108">INDEX(Data_DBD!$D:$D,$A108)</f>
        <v/>
      </c>
      <c r="E108" s="17">
        <f t="array" ref="E108">INDEX(Data_DBD!$E:$E,$A108)</f>
        <v/>
      </c>
      <c r="F108" s="17">
        <f t="array" ref="F108">INDEX(Data_DBD!$F:$F,$A108)</f>
        <v/>
      </c>
      <c r="H108" s="17" t="n">
        <v>19</v>
      </c>
      <c r="I108" s="17" t="n">
        <v>8</v>
      </c>
      <c r="J108" s="17" t="n">
        <v>4</v>
      </c>
      <c r="K108" s="17" t="n">
        <v>7</v>
      </c>
      <c r="L108" s="17" t="n">
        <v>0</v>
      </c>
      <c r="M108" s="17" t="inlineStr">
        <is>
          <t>Rendah</t>
        </is>
      </c>
    </row>
    <row r="109" s="1">
      <c r="A109" s="17">
        <f>RANDBETWEEN(2,164)</f>
        <v/>
      </c>
      <c r="B109" s="17">
        <f t="array" ref="B109">INDEX(Data_DBD!$B:$B,$A109)</f>
        <v/>
      </c>
      <c r="C109" s="17">
        <f t="array" ref="C109">INDEX(Data_DBD!$C:$C,$A109)</f>
        <v/>
      </c>
      <c r="D109" s="17">
        <f t="array" ref="D109">INDEX(Data_DBD!$D:$D,$A109)</f>
        <v/>
      </c>
      <c r="E109" s="17">
        <f t="array" ref="E109">INDEX(Data_DBD!$E:$E,$A109)</f>
        <v/>
      </c>
      <c r="F109" s="17">
        <f t="array" ref="F109">INDEX(Data_DBD!$F:$F,$A109)</f>
        <v/>
      </c>
      <c r="H109" s="17" t="n">
        <v>91</v>
      </c>
      <c r="I109" s="17" t="n">
        <v>35</v>
      </c>
      <c r="J109" s="17" t="n">
        <v>1</v>
      </c>
      <c r="K109" s="17" t="n">
        <v>18</v>
      </c>
      <c r="L109" s="17" t="n">
        <v>1</v>
      </c>
      <c r="M109" s="17" t="inlineStr">
        <is>
          <t>Tinggi</t>
        </is>
      </c>
    </row>
    <row r="110" s="1">
      <c r="A110" s="17">
        <f>RANDBETWEEN(2,164)</f>
        <v/>
      </c>
      <c r="B110" s="17">
        <f t="array" ref="B110">INDEX(Data_DBD!$B:$B,$A110)</f>
        <v/>
      </c>
      <c r="C110" s="17">
        <f t="array" ref="C110">INDEX(Data_DBD!$C:$C,$A110)</f>
        <v/>
      </c>
      <c r="D110" s="17">
        <f t="array" ref="D110">INDEX(Data_DBD!$D:$D,$A110)</f>
        <v/>
      </c>
      <c r="E110" s="17">
        <f t="array" ref="E110">INDEX(Data_DBD!$E:$E,$A110)</f>
        <v/>
      </c>
      <c r="F110" s="17">
        <f t="array" ref="F110">INDEX(Data_DBD!$F:$F,$A110)</f>
        <v/>
      </c>
      <c r="H110" s="17" t="n">
        <v>103</v>
      </c>
      <c r="I110" s="17" t="n">
        <v>22</v>
      </c>
      <c r="J110" s="17" t="n">
        <v>5</v>
      </c>
      <c r="K110" s="17" t="n">
        <v>18</v>
      </c>
      <c r="L110" s="17" t="n">
        <v>0</v>
      </c>
      <c r="M110" s="17" t="inlineStr">
        <is>
          <t>Tinggi</t>
        </is>
      </c>
    </row>
    <row r="111" s="1">
      <c r="A111" s="17">
        <f>RANDBETWEEN(2,164)</f>
        <v/>
      </c>
      <c r="B111" s="17">
        <f t="array" ref="B111">INDEX(Data_DBD!$B:$B,$A111)</f>
        <v/>
      </c>
      <c r="C111" s="17">
        <f t="array" ref="C111">INDEX(Data_DBD!$C:$C,$A111)</f>
        <v/>
      </c>
      <c r="D111" s="17">
        <f t="array" ref="D111">INDEX(Data_DBD!$D:$D,$A111)</f>
        <v/>
      </c>
      <c r="E111" s="17">
        <f t="array" ref="E111">INDEX(Data_DBD!$E:$E,$A111)</f>
        <v/>
      </c>
      <c r="F111" s="17">
        <f t="array" ref="F111">INDEX(Data_DBD!$F:$F,$A111)</f>
        <v/>
      </c>
      <c r="H111" s="17" t="n">
        <v>136</v>
      </c>
      <c r="I111" s="17" t="n">
        <v>6</v>
      </c>
      <c r="J111" s="17" t="n">
        <v>2</v>
      </c>
      <c r="K111" s="17" t="n">
        <v>33</v>
      </c>
      <c r="L111" s="17" t="n">
        <v>0</v>
      </c>
      <c r="M111" s="17" t="inlineStr">
        <is>
          <t>Tinggi</t>
        </is>
      </c>
    </row>
    <row r="112" s="1">
      <c r="A112" s="17">
        <f>RANDBETWEEN(2,164)</f>
        <v/>
      </c>
      <c r="B112" s="17">
        <f t="array" ref="B112">INDEX(Data_DBD!$B:$B,$A112)</f>
        <v/>
      </c>
      <c r="C112" s="17">
        <f t="array" ref="C112">INDEX(Data_DBD!$C:$C,$A112)</f>
        <v/>
      </c>
      <c r="D112" s="17">
        <f t="array" ref="D112">INDEX(Data_DBD!$D:$D,$A112)</f>
        <v/>
      </c>
      <c r="E112" s="17">
        <f t="array" ref="E112">INDEX(Data_DBD!$E:$E,$A112)</f>
        <v/>
      </c>
      <c r="F112" s="17">
        <f t="array" ref="F112">INDEX(Data_DBD!$F:$F,$A112)</f>
        <v/>
      </c>
      <c r="H112" s="17" t="n">
        <v>158</v>
      </c>
      <c r="I112" s="17" t="n">
        <v>5</v>
      </c>
      <c r="J112" s="17" t="n">
        <v>2</v>
      </c>
      <c r="K112" s="17" t="n">
        <v>21</v>
      </c>
      <c r="L112" s="17" t="n">
        <v>0</v>
      </c>
      <c r="M112" s="17" t="inlineStr">
        <is>
          <t>Tinggi</t>
        </is>
      </c>
    </row>
    <row r="113" s="1">
      <c r="A113" s="17">
        <f>RANDBETWEEN(2,164)</f>
        <v/>
      </c>
      <c r="B113" s="17">
        <f t="array" ref="B113">INDEX(Data_DBD!$B:$B,$A113)</f>
        <v/>
      </c>
      <c r="C113" s="17">
        <f t="array" ref="C113">INDEX(Data_DBD!$C:$C,$A113)</f>
        <v/>
      </c>
      <c r="D113" s="17">
        <f t="array" ref="D113">INDEX(Data_DBD!$D:$D,$A113)</f>
        <v/>
      </c>
      <c r="E113" s="17">
        <f t="array" ref="E113">INDEX(Data_DBD!$E:$E,$A113)</f>
        <v/>
      </c>
      <c r="F113" s="17">
        <f t="array" ref="F113">INDEX(Data_DBD!$F:$F,$A113)</f>
        <v/>
      </c>
      <c r="H113" s="17" t="n">
        <v>163</v>
      </c>
      <c r="I113" s="17" t="n">
        <v>34</v>
      </c>
      <c r="J113" s="17" t="n">
        <v>4</v>
      </c>
      <c r="K113" s="17" t="n">
        <v>3</v>
      </c>
      <c r="L113" s="17" t="n">
        <v>1</v>
      </c>
      <c r="M113" s="17" t="inlineStr">
        <is>
          <t>Rendah</t>
        </is>
      </c>
    </row>
    <row r="114" s="1">
      <c r="A114" s="17">
        <f>RANDBETWEEN(2,164)</f>
        <v/>
      </c>
      <c r="B114" s="17">
        <f t="array" ref="B114">INDEX(Data_DBD!$B:$B,$A114)</f>
        <v/>
      </c>
      <c r="C114" s="17">
        <f t="array" ref="C114">INDEX(Data_DBD!$C:$C,$A114)</f>
        <v/>
      </c>
      <c r="D114" s="17">
        <f t="array" ref="D114">INDEX(Data_DBD!$D:$D,$A114)</f>
        <v/>
      </c>
      <c r="E114" s="17">
        <f t="array" ref="E114">INDEX(Data_DBD!$E:$E,$A114)</f>
        <v/>
      </c>
      <c r="F114" s="17">
        <f t="array" ref="F114">INDEX(Data_DBD!$F:$F,$A114)</f>
        <v/>
      </c>
      <c r="H114" s="17" t="n">
        <v>104</v>
      </c>
      <c r="I114" s="17" t="n">
        <v>37</v>
      </c>
      <c r="J114" s="17" t="n">
        <v>4</v>
      </c>
      <c r="K114" s="17" t="n">
        <v>18</v>
      </c>
      <c r="L114" s="17" t="n">
        <v>1</v>
      </c>
      <c r="M114" s="17" t="inlineStr">
        <is>
          <t>Tinggi</t>
        </is>
      </c>
    </row>
    <row r="115" s="1">
      <c r="A115" s="17">
        <f>RANDBETWEEN(2,164)</f>
        <v/>
      </c>
      <c r="B115" s="17">
        <f t="array" ref="B115">INDEX(Data_DBD!$B:$B,$A115)</f>
        <v/>
      </c>
      <c r="C115" s="17">
        <f t="array" ref="C115">INDEX(Data_DBD!$C:$C,$A115)</f>
        <v/>
      </c>
      <c r="D115" s="17">
        <f t="array" ref="D115">INDEX(Data_DBD!$D:$D,$A115)</f>
        <v/>
      </c>
      <c r="E115" s="17">
        <f t="array" ref="E115">INDEX(Data_DBD!$E:$E,$A115)</f>
        <v/>
      </c>
      <c r="F115" s="17">
        <f t="array" ref="F115">INDEX(Data_DBD!$F:$F,$A115)</f>
        <v/>
      </c>
      <c r="H115" s="17" t="n">
        <v>109</v>
      </c>
      <c r="I115" s="17" t="n">
        <v>40</v>
      </c>
      <c r="J115" s="17" t="n">
        <v>3</v>
      </c>
      <c r="K115" s="17" t="n">
        <v>33</v>
      </c>
      <c r="L115" s="17" t="n">
        <v>1</v>
      </c>
      <c r="M115" s="17" t="inlineStr">
        <is>
          <t>Tinggi</t>
        </is>
      </c>
    </row>
    <row r="116" s="1">
      <c r="A116" s="17">
        <f>RANDBETWEEN(2,164)</f>
        <v/>
      </c>
      <c r="B116" s="17">
        <f t="array" ref="B116">INDEX(Data_DBD!$B:$B,$A116)</f>
        <v/>
      </c>
      <c r="C116" s="17">
        <f t="array" ref="C116">INDEX(Data_DBD!$C:$C,$A116)</f>
        <v/>
      </c>
      <c r="D116" s="17">
        <f t="array" ref="D116">INDEX(Data_DBD!$D:$D,$A116)</f>
        <v/>
      </c>
      <c r="E116" s="17">
        <f t="array" ref="E116">INDEX(Data_DBD!$E:$E,$A116)</f>
        <v/>
      </c>
      <c r="F116" s="17">
        <f t="array" ref="F116">INDEX(Data_DBD!$F:$F,$A116)</f>
        <v/>
      </c>
      <c r="H116" s="17" t="n">
        <v>49</v>
      </c>
      <c r="I116" s="17" t="n">
        <v>64</v>
      </c>
      <c r="J116" s="17" t="n">
        <v>5</v>
      </c>
      <c r="K116" s="17" t="n">
        <v>13</v>
      </c>
      <c r="L116" s="17" t="n">
        <v>0</v>
      </c>
      <c r="M116" s="17" t="inlineStr">
        <is>
          <t>Sedang</t>
        </is>
      </c>
    </row>
    <row r="117" s="1">
      <c r="A117" s="17">
        <f>RANDBETWEEN(2,164)</f>
        <v/>
      </c>
      <c r="B117" s="17">
        <f t="array" ref="B117">INDEX(Data_DBD!$B:$B,$A117)</f>
        <v/>
      </c>
      <c r="C117" s="17">
        <f t="array" ref="C117">INDEX(Data_DBD!$C:$C,$A117)</f>
        <v/>
      </c>
      <c r="D117" s="17">
        <f t="array" ref="D117">INDEX(Data_DBD!$D:$D,$A117)</f>
        <v/>
      </c>
      <c r="E117" s="17">
        <f t="array" ref="E117">INDEX(Data_DBD!$E:$E,$A117)</f>
        <v/>
      </c>
      <c r="F117" s="17">
        <f t="array" ref="F117">INDEX(Data_DBD!$F:$F,$A117)</f>
        <v/>
      </c>
      <c r="H117" s="17" t="n">
        <v>108</v>
      </c>
      <c r="I117" s="17" t="n">
        <v>69</v>
      </c>
      <c r="J117" s="17" t="n">
        <v>7</v>
      </c>
      <c r="K117" s="17" t="n">
        <v>33</v>
      </c>
      <c r="L117" s="17" t="n">
        <v>1</v>
      </c>
      <c r="M117" s="17" t="inlineStr">
        <is>
          <t>Tinggi</t>
        </is>
      </c>
    </row>
    <row r="118" s="1">
      <c r="A118" s="17">
        <f>RANDBETWEEN(2,164)</f>
        <v/>
      </c>
      <c r="B118" s="17">
        <f t="array" ref="B118">INDEX(Data_DBD!$B:$B,$A118)</f>
        <v/>
      </c>
      <c r="C118" s="17">
        <f t="array" ref="C118">INDEX(Data_DBD!$C:$C,$A118)</f>
        <v/>
      </c>
      <c r="D118" s="17">
        <f t="array" ref="D118">INDEX(Data_DBD!$D:$D,$A118)</f>
        <v/>
      </c>
      <c r="E118" s="17">
        <f t="array" ref="E118">INDEX(Data_DBD!$E:$E,$A118)</f>
        <v/>
      </c>
      <c r="F118" s="17">
        <f t="array" ref="F118">INDEX(Data_DBD!$F:$F,$A118)</f>
        <v/>
      </c>
      <c r="H118" s="17" t="n">
        <v>84</v>
      </c>
      <c r="I118" s="17" t="n">
        <v>42</v>
      </c>
      <c r="J118" s="17" t="n">
        <v>4</v>
      </c>
      <c r="K118" s="17" t="n">
        <v>13</v>
      </c>
      <c r="L118" s="17" t="n">
        <v>1</v>
      </c>
      <c r="M118" s="17" t="inlineStr">
        <is>
          <t>Sedang</t>
        </is>
      </c>
    </row>
    <row r="119" s="1">
      <c r="A119" s="17">
        <f>RANDBETWEEN(2,164)</f>
        <v/>
      </c>
      <c r="B119" s="17">
        <f t="array" ref="B119">INDEX(Data_DBD!$B:$B,$A119)</f>
        <v/>
      </c>
      <c r="C119" s="17">
        <f t="array" ref="C119">INDEX(Data_DBD!$C:$C,$A119)</f>
        <v/>
      </c>
      <c r="D119" s="17">
        <f t="array" ref="D119">INDEX(Data_DBD!$D:$D,$A119)</f>
        <v/>
      </c>
      <c r="E119" s="17">
        <f t="array" ref="E119">INDEX(Data_DBD!$E:$E,$A119)</f>
        <v/>
      </c>
      <c r="F119" s="17">
        <f t="array" ref="F119">INDEX(Data_DBD!$F:$F,$A119)</f>
        <v/>
      </c>
      <c r="H119" s="17" t="n">
        <v>117</v>
      </c>
      <c r="I119" s="17" t="n">
        <v>49</v>
      </c>
      <c r="J119" s="17" t="n">
        <v>4</v>
      </c>
      <c r="K119" s="17" t="n">
        <v>33</v>
      </c>
      <c r="L119" s="17" t="n">
        <v>1</v>
      </c>
      <c r="M119" s="17" t="inlineStr">
        <is>
          <t>Tinggi</t>
        </is>
      </c>
    </row>
    <row r="120" s="1">
      <c r="A120" s="17">
        <f>RANDBETWEEN(2,164)</f>
        <v/>
      </c>
      <c r="B120" s="17">
        <f t="array" ref="B120">INDEX(Data_DBD!$B:$B,$A120)</f>
        <v/>
      </c>
      <c r="C120" s="17">
        <f t="array" ref="C120">INDEX(Data_DBD!$C:$C,$A120)</f>
        <v/>
      </c>
      <c r="D120" s="17">
        <f t="array" ref="D120">INDEX(Data_DBD!$D:$D,$A120)</f>
        <v/>
      </c>
      <c r="E120" s="17">
        <f t="array" ref="E120">INDEX(Data_DBD!$E:$E,$A120)</f>
        <v/>
      </c>
      <c r="F120" s="17">
        <f t="array" ref="F120">INDEX(Data_DBD!$F:$F,$A120)</f>
        <v/>
      </c>
      <c r="H120" s="17" t="n">
        <v>21</v>
      </c>
      <c r="I120" s="17" t="n">
        <v>10</v>
      </c>
      <c r="J120" s="17" t="n">
        <v>5</v>
      </c>
      <c r="K120" s="17" t="n">
        <v>14</v>
      </c>
      <c r="L120" s="17" t="n">
        <v>1</v>
      </c>
      <c r="M120" s="17" t="inlineStr">
        <is>
          <t>Sedang</t>
        </is>
      </c>
    </row>
    <row r="121" s="1">
      <c r="A121" s="17">
        <f>RANDBETWEEN(2,164)</f>
        <v/>
      </c>
      <c r="B121" s="17">
        <f t="array" ref="B121">INDEX(Data_DBD!$B:$B,$A121)</f>
        <v/>
      </c>
      <c r="C121" s="17">
        <f t="array" ref="C121">INDEX(Data_DBD!$C:$C,$A121)</f>
        <v/>
      </c>
      <c r="D121" s="17">
        <f t="array" ref="D121">INDEX(Data_DBD!$D:$D,$A121)</f>
        <v/>
      </c>
      <c r="E121" s="17">
        <f t="array" ref="E121">INDEX(Data_DBD!$E:$E,$A121)</f>
        <v/>
      </c>
      <c r="F121" s="17">
        <f t="array" ref="F121">INDEX(Data_DBD!$F:$F,$A121)</f>
        <v/>
      </c>
      <c r="H121" s="17" t="n">
        <v>119</v>
      </c>
      <c r="I121" s="17" t="n">
        <v>30</v>
      </c>
      <c r="J121" s="17" t="n">
        <v>7</v>
      </c>
      <c r="K121" s="17" t="n">
        <v>33</v>
      </c>
      <c r="L121" s="17" t="n">
        <v>0</v>
      </c>
      <c r="M121" s="17" t="inlineStr">
        <is>
          <t>Tinggi</t>
        </is>
      </c>
    </row>
    <row r="122" s="1">
      <c r="A122" s="17">
        <f>RANDBETWEEN(2,164)</f>
        <v/>
      </c>
      <c r="B122" s="17">
        <f t="array" ref="B122">INDEX(Data_DBD!$B:$B,$A122)</f>
        <v/>
      </c>
      <c r="C122" s="17">
        <f t="array" ref="C122">INDEX(Data_DBD!$C:$C,$A122)</f>
        <v/>
      </c>
      <c r="D122" s="17">
        <f t="array" ref="D122">INDEX(Data_DBD!$D:$D,$A122)</f>
        <v/>
      </c>
      <c r="E122" s="17">
        <f t="array" ref="E122">INDEX(Data_DBD!$E:$E,$A122)</f>
        <v/>
      </c>
      <c r="F122" s="17">
        <f t="array" ref="F122">INDEX(Data_DBD!$F:$F,$A122)</f>
        <v/>
      </c>
      <c r="H122" s="17" t="n">
        <v>126</v>
      </c>
      <c r="I122" s="17" t="n">
        <v>51</v>
      </c>
      <c r="J122" s="17" t="n">
        <v>3</v>
      </c>
      <c r="K122" s="17" t="n">
        <v>33</v>
      </c>
      <c r="L122" s="17" t="n">
        <v>1</v>
      </c>
      <c r="M122" s="17" t="inlineStr">
        <is>
          <t>Tinggi</t>
        </is>
      </c>
    </row>
    <row r="123" s="1">
      <c r="A123" s="17">
        <f>RANDBETWEEN(2,164)</f>
        <v/>
      </c>
      <c r="B123" s="17">
        <f t="array" ref="B123">INDEX(Data_DBD!$B:$B,$A123)</f>
        <v/>
      </c>
      <c r="C123" s="17">
        <f t="array" ref="C123">INDEX(Data_DBD!$C:$C,$A123)</f>
        <v/>
      </c>
      <c r="D123" s="17">
        <f t="array" ref="D123">INDEX(Data_DBD!$D:$D,$A123)</f>
        <v/>
      </c>
      <c r="E123" s="17">
        <f t="array" ref="E123">INDEX(Data_DBD!$E:$E,$A123)</f>
        <v/>
      </c>
      <c r="F123" s="17">
        <f t="array" ref="F123">INDEX(Data_DBD!$F:$F,$A123)</f>
        <v/>
      </c>
      <c r="H123" s="17" t="n">
        <v>36</v>
      </c>
      <c r="I123" s="17" t="n">
        <v>27</v>
      </c>
      <c r="J123" s="17" t="n">
        <v>1</v>
      </c>
      <c r="K123" s="17" t="n">
        <v>4</v>
      </c>
      <c r="L123" s="17" t="n">
        <v>1</v>
      </c>
      <c r="M123" s="17" t="inlineStr">
        <is>
          <t>Rendah</t>
        </is>
      </c>
    </row>
    <row r="124" s="1">
      <c r="A124" s="17">
        <f>RANDBETWEEN(2,164)</f>
        <v/>
      </c>
      <c r="B124" s="17">
        <f t="array" ref="B124">INDEX(Data_DBD!$B:$B,$A124)</f>
        <v/>
      </c>
      <c r="C124" s="17">
        <f t="array" ref="C124">INDEX(Data_DBD!$C:$C,$A124)</f>
        <v/>
      </c>
      <c r="D124" s="17">
        <f t="array" ref="D124">INDEX(Data_DBD!$D:$D,$A124)</f>
        <v/>
      </c>
      <c r="E124" s="17">
        <f t="array" ref="E124">INDEX(Data_DBD!$E:$E,$A124)</f>
        <v/>
      </c>
      <c r="F124" s="17">
        <f t="array" ref="F124">INDEX(Data_DBD!$F:$F,$A124)</f>
        <v/>
      </c>
      <c r="H124" s="17" t="n">
        <v>93</v>
      </c>
      <c r="I124" s="17" t="n">
        <v>65</v>
      </c>
      <c r="J124" s="17" t="n">
        <v>4</v>
      </c>
      <c r="K124" s="17" t="n">
        <v>18</v>
      </c>
      <c r="L124" s="17" t="n">
        <v>0</v>
      </c>
      <c r="M124" s="17" t="inlineStr">
        <is>
          <t>Tinggi</t>
        </is>
      </c>
    </row>
    <row r="125" s="1">
      <c r="A125" s="17">
        <f>RANDBETWEEN(2,164)</f>
        <v/>
      </c>
      <c r="B125" s="17">
        <f t="array" ref="B125">INDEX(Data_DBD!$B:$B,$A125)</f>
        <v/>
      </c>
      <c r="C125" s="17">
        <f t="array" ref="C125">INDEX(Data_DBD!$C:$C,$A125)</f>
        <v/>
      </c>
      <c r="D125" s="17">
        <f t="array" ref="D125">INDEX(Data_DBD!$D:$D,$A125)</f>
        <v/>
      </c>
      <c r="E125" s="17">
        <f t="array" ref="E125">INDEX(Data_DBD!$E:$E,$A125)</f>
        <v/>
      </c>
      <c r="F125" s="17">
        <f t="array" ref="F125">INDEX(Data_DBD!$F:$F,$A125)</f>
        <v/>
      </c>
      <c r="H125" s="17" t="n">
        <v>162</v>
      </c>
      <c r="I125" s="17" t="n">
        <v>22</v>
      </c>
      <c r="J125" s="17" t="n">
        <v>3</v>
      </c>
      <c r="K125" s="17" t="n">
        <v>3</v>
      </c>
      <c r="L125" s="17" t="n">
        <v>1</v>
      </c>
      <c r="M125" s="17" t="inlineStr">
        <is>
          <t>Rendah</t>
        </is>
      </c>
    </row>
    <row r="126" s="1">
      <c r="A126" s="17">
        <f>RANDBETWEEN(2,164)</f>
        <v/>
      </c>
      <c r="B126" s="17">
        <f t="array" ref="B126">INDEX(Data_DBD!$B:$B,$A126)</f>
        <v/>
      </c>
      <c r="C126" s="17">
        <f t="array" ref="C126">INDEX(Data_DBD!$C:$C,$A126)</f>
        <v/>
      </c>
      <c r="D126" s="17">
        <f t="array" ref="D126">INDEX(Data_DBD!$D:$D,$A126)</f>
        <v/>
      </c>
      <c r="E126" s="17">
        <f t="array" ref="E126">INDEX(Data_DBD!$E:$E,$A126)</f>
        <v/>
      </c>
      <c r="F126" s="17">
        <f t="array" ref="F126">INDEX(Data_DBD!$F:$F,$A126)</f>
        <v/>
      </c>
      <c r="H126" s="17" t="n">
        <v>132</v>
      </c>
      <c r="I126" s="17" t="n">
        <v>10</v>
      </c>
      <c r="J126" s="17" t="n">
        <v>3</v>
      </c>
      <c r="K126" s="17" t="n">
        <v>33</v>
      </c>
      <c r="L126" s="17" t="n">
        <v>1</v>
      </c>
      <c r="M126" s="17" t="inlineStr">
        <is>
          <t>Tinggi</t>
        </is>
      </c>
    </row>
    <row r="127" s="1">
      <c r="A127" s="17">
        <f>RANDBETWEEN(2,164)</f>
        <v/>
      </c>
      <c r="B127" s="17">
        <f t="array" ref="B127">INDEX(Data_DBD!$B:$B,$A127)</f>
        <v/>
      </c>
      <c r="C127" s="17">
        <f t="array" ref="C127">INDEX(Data_DBD!$C:$C,$A127)</f>
        <v/>
      </c>
      <c r="D127" s="17">
        <f t="array" ref="D127">INDEX(Data_DBD!$D:$D,$A127)</f>
        <v/>
      </c>
      <c r="E127" s="17">
        <f t="array" ref="E127">INDEX(Data_DBD!$E:$E,$A127)</f>
        <v/>
      </c>
      <c r="F127" s="17">
        <f t="array" ref="F127">INDEX(Data_DBD!$F:$F,$A127)</f>
        <v/>
      </c>
      <c r="H127" s="17" t="n">
        <v>105</v>
      </c>
      <c r="I127" s="17" t="n">
        <v>61</v>
      </c>
      <c r="J127" s="17" t="n">
        <v>3</v>
      </c>
      <c r="K127" s="17" t="n">
        <v>18</v>
      </c>
      <c r="L127" s="17" t="n">
        <v>1</v>
      </c>
      <c r="M127" s="17" t="inlineStr">
        <is>
          <t>Tinggi</t>
        </is>
      </c>
    </row>
    <row r="128" s="1">
      <c r="A128" s="17">
        <f>RANDBETWEEN(2,164)</f>
        <v/>
      </c>
      <c r="B128" s="17">
        <f t="array" ref="B128">INDEX(Data_DBD!$B:$B,$A128)</f>
        <v/>
      </c>
      <c r="C128" s="17">
        <f t="array" ref="C128">INDEX(Data_DBD!$C:$C,$A128)</f>
        <v/>
      </c>
      <c r="D128" s="17">
        <f t="array" ref="D128">INDEX(Data_DBD!$D:$D,$A128)</f>
        <v/>
      </c>
      <c r="E128" s="17">
        <f t="array" ref="E128">INDEX(Data_DBD!$E:$E,$A128)</f>
        <v/>
      </c>
      <c r="F128" s="17">
        <f t="array" ref="F128">INDEX(Data_DBD!$F:$F,$A128)</f>
        <v/>
      </c>
      <c r="H128" s="17" t="n">
        <v>59</v>
      </c>
      <c r="I128" s="17" t="n">
        <v>28</v>
      </c>
      <c r="J128" s="17" t="n">
        <v>4</v>
      </c>
      <c r="K128" s="17" t="n">
        <v>15</v>
      </c>
      <c r="L128" s="17" t="n">
        <v>0</v>
      </c>
      <c r="M128" s="17" t="inlineStr">
        <is>
          <t>Sedang</t>
        </is>
      </c>
    </row>
    <row r="129" s="1">
      <c r="A129" s="17">
        <f>RANDBETWEEN(2,164)</f>
        <v/>
      </c>
      <c r="B129" s="17">
        <f t="array" ref="B129">INDEX(Data_DBD!$B:$B,$A129)</f>
        <v/>
      </c>
      <c r="C129" s="17">
        <f t="array" ref="C129">INDEX(Data_DBD!$C:$C,$A129)</f>
        <v/>
      </c>
      <c r="D129" s="17">
        <f t="array" ref="D129">INDEX(Data_DBD!$D:$D,$A129)</f>
        <v/>
      </c>
      <c r="E129" s="17">
        <f t="array" ref="E129">INDEX(Data_DBD!$E:$E,$A129)</f>
        <v/>
      </c>
      <c r="F129" s="17">
        <f t="array" ref="F129">INDEX(Data_DBD!$F:$F,$A129)</f>
        <v/>
      </c>
      <c r="H129" s="17" t="n">
        <v>32</v>
      </c>
      <c r="I129" s="17" t="n">
        <v>54</v>
      </c>
      <c r="J129" s="17" t="n">
        <v>4</v>
      </c>
      <c r="K129" s="17" t="n">
        <v>14</v>
      </c>
      <c r="L129" s="17" t="n">
        <v>0</v>
      </c>
      <c r="M129" s="17" t="inlineStr">
        <is>
          <t>Sedang</t>
        </is>
      </c>
    </row>
    <row r="130" s="1">
      <c r="A130" s="17">
        <f>RANDBETWEEN(2,164)</f>
        <v/>
      </c>
      <c r="B130" s="17">
        <f t="array" ref="B130">INDEX(Data_DBD!$B:$B,$A130)</f>
        <v/>
      </c>
      <c r="C130" s="17">
        <f t="array" ref="C130">INDEX(Data_DBD!$C:$C,$A130)</f>
        <v/>
      </c>
      <c r="D130" s="17">
        <f t="array" ref="D130">INDEX(Data_DBD!$D:$D,$A130)</f>
        <v/>
      </c>
      <c r="E130" s="17">
        <f t="array" ref="E130">INDEX(Data_DBD!$E:$E,$A130)</f>
        <v/>
      </c>
      <c r="F130" s="17">
        <f t="array" ref="F130">INDEX(Data_DBD!$F:$F,$A130)</f>
        <v/>
      </c>
      <c r="H130" s="17" t="n">
        <v>37</v>
      </c>
      <c r="I130" s="17" t="n">
        <v>28</v>
      </c>
      <c r="J130" s="17" t="n">
        <v>4</v>
      </c>
      <c r="K130" s="17" t="n">
        <v>4</v>
      </c>
      <c r="L130" s="17" t="n">
        <v>1</v>
      </c>
      <c r="M130" s="17" t="inlineStr">
        <is>
          <t>Rendah</t>
        </is>
      </c>
    </row>
    <row r="131" s="1">
      <c r="A131" s="17">
        <f>RANDBETWEEN(2,164)</f>
        <v/>
      </c>
      <c r="B131" s="17">
        <f t="array" ref="B131">INDEX(Data_DBD!$B:$B,$A131)</f>
        <v/>
      </c>
      <c r="C131" s="17">
        <f t="array" ref="C131">INDEX(Data_DBD!$C:$C,$A131)</f>
        <v/>
      </c>
      <c r="D131" s="17">
        <f t="array" ref="D131">INDEX(Data_DBD!$D:$D,$A131)</f>
        <v/>
      </c>
      <c r="E131" s="17">
        <f t="array" ref="E131">INDEX(Data_DBD!$E:$E,$A131)</f>
        <v/>
      </c>
      <c r="F131" s="17">
        <f t="array" ref="F131">INDEX(Data_DBD!$F:$F,$A131)</f>
        <v/>
      </c>
      <c r="H131" s="17" t="n">
        <v>112</v>
      </c>
      <c r="I131" s="17" t="n">
        <v>61</v>
      </c>
      <c r="J131" s="17" t="n">
        <v>3</v>
      </c>
      <c r="K131" s="17" t="n">
        <v>33</v>
      </c>
      <c r="L131" s="17" t="n">
        <v>1</v>
      </c>
      <c r="M131" s="17" t="inlineStr">
        <is>
          <t>Tinggi</t>
        </is>
      </c>
    </row>
    <row r="132" s="1">
      <c r="A132" s="17">
        <f>RANDBETWEEN(2,164)</f>
        <v/>
      </c>
      <c r="B132" s="17">
        <f t="array" ref="B132">INDEX(Data_DBD!$B:$B,$A132)</f>
        <v/>
      </c>
      <c r="C132" s="17">
        <f t="array" ref="C132">INDEX(Data_DBD!$C:$C,$A132)</f>
        <v/>
      </c>
      <c r="D132" s="17">
        <f t="array" ref="D132">INDEX(Data_DBD!$D:$D,$A132)</f>
        <v/>
      </c>
      <c r="E132" s="17">
        <f t="array" ref="E132">INDEX(Data_DBD!$E:$E,$A132)</f>
        <v/>
      </c>
      <c r="F132" s="17">
        <f t="array" ref="F132">INDEX(Data_DBD!$F:$F,$A132)</f>
        <v/>
      </c>
      <c r="H132" s="17" t="n">
        <v>122</v>
      </c>
      <c r="I132" s="17" t="n">
        <v>28</v>
      </c>
      <c r="J132" s="17" t="n">
        <v>3</v>
      </c>
      <c r="K132" s="17" t="n">
        <v>33</v>
      </c>
      <c r="L132" s="17" t="n">
        <v>1</v>
      </c>
      <c r="M132" s="17" t="inlineStr">
        <is>
          <t>Tinggi</t>
        </is>
      </c>
    </row>
    <row r="133" s="1">
      <c r="A133" s="17">
        <f>RANDBETWEEN(2,164)</f>
        <v/>
      </c>
      <c r="B133" s="17">
        <f t="array" ref="B133">INDEX(Data_DBD!$B:$B,$A133)</f>
        <v/>
      </c>
      <c r="C133" s="17">
        <f t="array" ref="C133">INDEX(Data_DBD!$C:$C,$A133)</f>
        <v/>
      </c>
      <c r="D133" s="17">
        <f t="array" ref="D133">INDEX(Data_DBD!$D:$D,$A133)</f>
        <v/>
      </c>
      <c r="E133" s="17">
        <f t="array" ref="E133">INDEX(Data_DBD!$E:$E,$A133)</f>
        <v/>
      </c>
      <c r="F133" s="17">
        <f t="array" ref="F133">INDEX(Data_DBD!$F:$F,$A133)</f>
        <v/>
      </c>
      <c r="H133" s="17" t="n">
        <v>120</v>
      </c>
      <c r="I133" s="17" t="n">
        <v>26</v>
      </c>
      <c r="J133" s="17" t="n">
        <v>4</v>
      </c>
      <c r="K133" s="17" t="n">
        <v>33</v>
      </c>
      <c r="L133" s="17" t="n">
        <v>1</v>
      </c>
      <c r="M133" s="17" t="inlineStr">
        <is>
          <t>Tinggi</t>
        </is>
      </c>
    </row>
    <row r="134" s="1">
      <c r="A134" s="17">
        <f>RANDBETWEEN(2,164)</f>
        <v/>
      </c>
      <c r="B134" s="17">
        <f t="array" ref="B134">INDEX(Data_DBD!$B:$B,$A134)</f>
        <v/>
      </c>
      <c r="C134" s="17">
        <f t="array" ref="C134">INDEX(Data_DBD!$C:$C,$A134)</f>
        <v/>
      </c>
      <c r="D134" s="17">
        <f t="array" ref="D134">INDEX(Data_DBD!$D:$D,$A134)</f>
        <v/>
      </c>
      <c r="E134" s="17">
        <f t="array" ref="E134">INDEX(Data_DBD!$E:$E,$A134)</f>
        <v/>
      </c>
      <c r="F134" s="17">
        <f t="array" ref="F134">INDEX(Data_DBD!$F:$F,$A134)</f>
        <v/>
      </c>
      <c r="H134" s="17" t="n">
        <v>24</v>
      </c>
      <c r="I134" s="17" t="n">
        <v>60</v>
      </c>
      <c r="J134" s="17" t="n">
        <v>4</v>
      </c>
      <c r="K134" s="17" t="n">
        <v>14</v>
      </c>
      <c r="L134" s="17" t="n">
        <v>0</v>
      </c>
      <c r="M134" s="17" t="inlineStr">
        <is>
          <t>Sedang</t>
        </is>
      </c>
    </row>
    <row r="135" s="1">
      <c r="A135" s="17">
        <f>RANDBETWEEN(2,164)</f>
        <v/>
      </c>
      <c r="B135" s="17">
        <f t="array" ref="B135">INDEX(Data_DBD!$B:$B,$A135)</f>
        <v/>
      </c>
      <c r="C135" s="17">
        <f t="array" ref="C135">INDEX(Data_DBD!$C:$C,$A135)</f>
        <v/>
      </c>
      <c r="D135" s="17">
        <f t="array" ref="D135">INDEX(Data_DBD!$D:$D,$A135)</f>
        <v/>
      </c>
      <c r="E135" s="17">
        <f t="array" ref="E135">INDEX(Data_DBD!$E:$E,$A135)</f>
        <v/>
      </c>
      <c r="F135" s="17">
        <f t="array" ref="F135">INDEX(Data_DBD!$F:$F,$A135)</f>
        <v/>
      </c>
      <c r="H135" s="17" t="n">
        <v>162</v>
      </c>
      <c r="I135" s="17" t="n">
        <v>22</v>
      </c>
      <c r="J135" s="17" t="n">
        <v>3</v>
      </c>
      <c r="K135" s="17" t="n">
        <v>3</v>
      </c>
      <c r="L135" s="17" t="n">
        <v>1</v>
      </c>
      <c r="M135" s="17" t="inlineStr">
        <is>
          <t>Rendah</t>
        </is>
      </c>
    </row>
    <row r="136" s="1">
      <c r="A136" s="17">
        <f>RANDBETWEEN(2,164)</f>
        <v/>
      </c>
      <c r="B136" s="17">
        <f t="array" ref="B136">INDEX(Data_DBD!$B:$B,$A136)</f>
        <v/>
      </c>
      <c r="C136" s="17">
        <f t="array" ref="C136">INDEX(Data_DBD!$C:$C,$A136)</f>
        <v/>
      </c>
      <c r="D136" s="17">
        <f t="array" ref="D136">INDEX(Data_DBD!$D:$D,$A136)</f>
        <v/>
      </c>
      <c r="E136" s="17">
        <f t="array" ref="E136">INDEX(Data_DBD!$E:$E,$A136)</f>
        <v/>
      </c>
      <c r="F136" s="17">
        <f t="array" ref="F136">INDEX(Data_DBD!$F:$F,$A136)</f>
        <v/>
      </c>
      <c r="H136" s="17" t="n">
        <v>144</v>
      </c>
      <c r="I136" s="17" t="n">
        <v>61</v>
      </c>
      <c r="J136" s="17" t="n">
        <v>4</v>
      </c>
      <c r="K136" s="17" t="n">
        <v>21</v>
      </c>
      <c r="L136" s="17" t="n">
        <v>1</v>
      </c>
      <c r="M136" s="17" t="inlineStr">
        <is>
          <t>Tinggi</t>
        </is>
      </c>
    </row>
    <row r="137" s="1">
      <c r="A137" s="17">
        <f>RANDBETWEEN(2,164)</f>
        <v/>
      </c>
      <c r="B137" s="17">
        <f t="array" ref="B137">INDEX(Data_DBD!$B:$B,$A137)</f>
        <v/>
      </c>
      <c r="C137" s="17">
        <f t="array" ref="C137">INDEX(Data_DBD!$C:$C,$A137)</f>
        <v/>
      </c>
      <c r="D137" s="17">
        <f t="array" ref="D137">INDEX(Data_DBD!$D:$D,$A137)</f>
        <v/>
      </c>
      <c r="E137" s="17">
        <f t="array" ref="E137">INDEX(Data_DBD!$E:$E,$A137)</f>
        <v/>
      </c>
      <c r="F137" s="17">
        <f t="array" ref="F137">INDEX(Data_DBD!$F:$F,$A137)</f>
        <v/>
      </c>
      <c r="H137" s="17" t="n">
        <v>157</v>
      </c>
      <c r="I137" s="17" t="n">
        <v>15</v>
      </c>
      <c r="J137" s="17" t="n">
        <v>4</v>
      </c>
      <c r="K137" s="17" t="n">
        <v>21</v>
      </c>
      <c r="L137" s="17" t="n">
        <v>1</v>
      </c>
      <c r="M137" s="17" t="inlineStr">
        <is>
          <t>Tinggi</t>
        </is>
      </c>
    </row>
    <row r="138" s="1">
      <c r="A138" s="17">
        <f>RANDBETWEEN(2,164)</f>
        <v/>
      </c>
      <c r="B138" s="17">
        <f t="array" ref="B138">INDEX(Data_DBD!$B:$B,$A138)</f>
        <v/>
      </c>
      <c r="C138" s="17">
        <f t="array" ref="C138">INDEX(Data_DBD!$C:$C,$A138)</f>
        <v/>
      </c>
      <c r="D138" s="17">
        <f t="array" ref="D138">INDEX(Data_DBD!$D:$D,$A138)</f>
        <v/>
      </c>
      <c r="E138" s="17">
        <f t="array" ref="E138">INDEX(Data_DBD!$E:$E,$A138)</f>
        <v/>
      </c>
      <c r="F138" s="17">
        <f t="array" ref="F138">INDEX(Data_DBD!$F:$F,$A138)</f>
        <v/>
      </c>
      <c r="H138" s="17" t="n">
        <v>61</v>
      </c>
      <c r="I138" s="17" t="n">
        <v>29</v>
      </c>
      <c r="J138" s="17" t="n">
        <v>3</v>
      </c>
      <c r="K138" s="17" t="n">
        <v>15</v>
      </c>
      <c r="L138" s="17" t="n">
        <v>1</v>
      </c>
      <c r="M138" s="17" t="inlineStr">
        <is>
          <t>Sedang</t>
        </is>
      </c>
    </row>
    <row r="139" s="1">
      <c r="A139" s="17">
        <f>RANDBETWEEN(2,164)</f>
        <v/>
      </c>
      <c r="B139" s="17">
        <f t="array" ref="B139">INDEX(Data_DBD!$B:$B,$A139)</f>
        <v/>
      </c>
      <c r="C139" s="17">
        <f t="array" ref="C139">INDEX(Data_DBD!$C:$C,$A139)</f>
        <v/>
      </c>
      <c r="D139" s="17">
        <f t="array" ref="D139">INDEX(Data_DBD!$D:$D,$A139)</f>
        <v/>
      </c>
      <c r="E139" s="17">
        <f t="array" ref="E139">INDEX(Data_DBD!$E:$E,$A139)</f>
        <v/>
      </c>
      <c r="F139" s="17">
        <f t="array" ref="F139">INDEX(Data_DBD!$F:$F,$A139)</f>
        <v/>
      </c>
      <c r="H139" s="17" t="n">
        <v>113</v>
      </c>
      <c r="I139" s="17" t="n">
        <v>69</v>
      </c>
      <c r="J139" s="17" t="n">
        <v>1</v>
      </c>
      <c r="K139" s="17" t="n">
        <v>33</v>
      </c>
      <c r="L139" s="17" t="n">
        <v>1</v>
      </c>
      <c r="M139" s="17" t="inlineStr">
        <is>
          <t>Tinggi</t>
        </is>
      </c>
    </row>
    <row r="140" s="1">
      <c r="A140" s="17">
        <f>RANDBETWEEN(2,164)</f>
        <v/>
      </c>
      <c r="B140" s="17">
        <f t="array" ref="B140">INDEX(Data_DBD!$B:$B,$A140)</f>
        <v/>
      </c>
      <c r="C140" s="17">
        <f t="array" ref="C140">INDEX(Data_DBD!$C:$C,$A140)</f>
        <v/>
      </c>
      <c r="D140" s="17">
        <f t="array" ref="D140">INDEX(Data_DBD!$D:$D,$A140)</f>
        <v/>
      </c>
      <c r="E140" s="17">
        <f t="array" ref="E140">INDEX(Data_DBD!$E:$E,$A140)</f>
        <v/>
      </c>
      <c r="F140" s="17">
        <f t="array" ref="F140">INDEX(Data_DBD!$F:$F,$A140)</f>
        <v/>
      </c>
      <c r="H140" s="17" t="n">
        <v>116</v>
      </c>
      <c r="I140" s="17" t="n">
        <v>32</v>
      </c>
      <c r="J140" s="17" t="n">
        <v>4</v>
      </c>
      <c r="K140" s="17" t="n">
        <v>33</v>
      </c>
      <c r="L140" s="17" t="n">
        <v>1</v>
      </c>
      <c r="M140" s="17" t="inlineStr">
        <is>
          <t>Tinggi</t>
        </is>
      </c>
    </row>
    <row r="141" s="1">
      <c r="A141" s="17">
        <f>RANDBETWEEN(2,164)</f>
        <v/>
      </c>
      <c r="B141" s="17">
        <f t="array" ref="B141">INDEX(Data_DBD!$B:$B,$A141)</f>
        <v/>
      </c>
      <c r="C141" s="17">
        <f t="array" ref="C141">INDEX(Data_DBD!$C:$C,$A141)</f>
        <v/>
      </c>
      <c r="D141" s="17">
        <f t="array" ref="D141">INDEX(Data_DBD!$D:$D,$A141)</f>
        <v/>
      </c>
      <c r="E141" s="17">
        <f t="array" ref="E141">INDEX(Data_DBD!$E:$E,$A141)</f>
        <v/>
      </c>
      <c r="F141" s="17">
        <f t="array" ref="F141">INDEX(Data_DBD!$F:$F,$A141)</f>
        <v/>
      </c>
      <c r="H141" s="17" t="n">
        <v>115</v>
      </c>
      <c r="I141" s="17" t="n">
        <v>52</v>
      </c>
      <c r="J141" s="17" t="n">
        <v>3</v>
      </c>
      <c r="K141" s="17" t="n">
        <v>33</v>
      </c>
      <c r="L141" s="17" t="n">
        <v>1</v>
      </c>
      <c r="M141" s="17" t="inlineStr">
        <is>
          <t>Tinggi</t>
        </is>
      </c>
    </row>
    <row r="142" s="1">
      <c r="A142" s="17">
        <f>RANDBETWEEN(2,164)</f>
        <v/>
      </c>
      <c r="B142" s="17">
        <f t="array" ref="B142">INDEX(Data_DBD!$B:$B,$A142)</f>
        <v/>
      </c>
      <c r="C142" s="17">
        <f t="array" ref="C142">INDEX(Data_DBD!$C:$C,$A142)</f>
        <v/>
      </c>
      <c r="D142" s="17">
        <f t="array" ref="D142">INDEX(Data_DBD!$D:$D,$A142)</f>
        <v/>
      </c>
      <c r="E142" s="17">
        <f t="array" ref="E142">INDEX(Data_DBD!$E:$E,$A142)</f>
        <v/>
      </c>
      <c r="F142" s="17">
        <f t="array" ref="F142">INDEX(Data_DBD!$F:$F,$A142)</f>
        <v/>
      </c>
      <c r="H142" s="17" t="n">
        <v>4</v>
      </c>
      <c r="I142" s="17" t="n">
        <v>23</v>
      </c>
      <c r="J142" s="17" t="n">
        <v>5</v>
      </c>
      <c r="K142" s="17" t="n">
        <v>12</v>
      </c>
      <c r="L142" s="17" t="n">
        <v>0</v>
      </c>
      <c r="M142" s="17" t="inlineStr">
        <is>
          <t>Sedang</t>
        </is>
      </c>
    </row>
    <row r="143" s="1">
      <c r="A143" s="17">
        <f>RANDBETWEEN(2,164)</f>
        <v/>
      </c>
      <c r="B143" s="17">
        <f t="array" ref="B143">INDEX(Data_DBD!$B:$B,$A143)</f>
        <v/>
      </c>
      <c r="C143" s="17">
        <f t="array" ref="C143">INDEX(Data_DBD!$C:$C,$A143)</f>
        <v/>
      </c>
      <c r="D143" s="17">
        <f t="array" ref="D143">INDEX(Data_DBD!$D:$D,$A143)</f>
        <v/>
      </c>
      <c r="E143" s="17">
        <f t="array" ref="E143">INDEX(Data_DBD!$E:$E,$A143)</f>
        <v/>
      </c>
      <c r="F143" s="17">
        <f t="array" ref="F143">INDEX(Data_DBD!$F:$F,$A143)</f>
        <v/>
      </c>
      <c r="H143" s="17" t="n">
        <v>78</v>
      </c>
      <c r="I143" s="17" t="n">
        <v>6</v>
      </c>
      <c r="J143" s="17" t="n">
        <v>3</v>
      </c>
      <c r="K143" s="17" t="n">
        <v>13</v>
      </c>
      <c r="L143" s="17" t="n">
        <v>0</v>
      </c>
      <c r="M143" s="17" t="inlineStr">
        <is>
          <t>Sedang</t>
        </is>
      </c>
    </row>
    <row r="144" s="1">
      <c r="A144" s="17">
        <f>RANDBETWEEN(2,164)</f>
        <v/>
      </c>
      <c r="B144" s="17">
        <f t="array" ref="B144">INDEX(Data_DBD!$B:$B,$A144)</f>
        <v/>
      </c>
      <c r="C144" s="17">
        <f t="array" ref="C144">INDEX(Data_DBD!$C:$C,$A144)</f>
        <v/>
      </c>
      <c r="D144" s="17">
        <f t="array" ref="D144">INDEX(Data_DBD!$D:$D,$A144)</f>
        <v/>
      </c>
      <c r="E144" s="17">
        <f t="array" ref="E144">INDEX(Data_DBD!$E:$E,$A144)</f>
        <v/>
      </c>
      <c r="F144" s="17">
        <f t="array" ref="F144">INDEX(Data_DBD!$F:$F,$A144)</f>
        <v/>
      </c>
      <c r="H144" s="17" t="n">
        <v>112</v>
      </c>
      <c r="I144" s="17" t="n">
        <v>61</v>
      </c>
      <c r="J144" s="17" t="n">
        <v>3</v>
      </c>
      <c r="K144" s="17" t="n">
        <v>33</v>
      </c>
      <c r="L144" s="17" t="n">
        <v>1</v>
      </c>
      <c r="M144" s="17" t="inlineStr">
        <is>
          <t>Tinggi</t>
        </is>
      </c>
    </row>
    <row r="145" s="1">
      <c r="A145" s="17">
        <f>RANDBETWEEN(2,164)</f>
        <v/>
      </c>
      <c r="B145" s="17">
        <f t="array" ref="B145">INDEX(Data_DBD!$B:$B,$A145)</f>
        <v/>
      </c>
      <c r="C145" s="17">
        <f t="array" ref="C145">INDEX(Data_DBD!$C:$C,$A145)</f>
        <v/>
      </c>
      <c r="D145" s="17">
        <f t="array" ref="D145">INDEX(Data_DBD!$D:$D,$A145)</f>
        <v/>
      </c>
      <c r="E145" s="17">
        <f t="array" ref="E145">INDEX(Data_DBD!$E:$E,$A145)</f>
        <v/>
      </c>
      <c r="F145" s="17">
        <f t="array" ref="F145">INDEX(Data_DBD!$F:$F,$A145)</f>
        <v/>
      </c>
      <c r="H145" s="17" t="n">
        <v>136</v>
      </c>
      <c r="I145" s="17" t="n">
        <v>6</v>
      </c>
      <c r="J145" s="17" t="n">
        <v>2</v>
      </c>
      <c r="K145" s="17" t="n">
        <v>33</v>
      </c>
      <c r="L145" s="17" t="n">
        <v>0</v>
      </c>
      <c r="M145" s="17" t="inlineStr">
        <is>
          <t>Tinggi</t>
        </is>
      </c>
    </row>
    <row r="146" s="1">
      <c r="A146" s="17">
        <f>RANDBETWEEN(2,164)</f>
        <v/>
      </c>
      <c r="B146" s="17">
        <f t="array" ref="B146">INDEX(Data_DBD!$B:$B,$A146)</f>
        <v/>
      </c>
      <c r="C146" s="17">
        <f t="array" ref="C146">INDEX(Data_DBD!$C:$C,$A146)</f>
        <v/>
      </c>
      <c r="D146" s="17">
        <f t="array" ref="D146">INDEX(Data_DBD!$D:$D,$A146)</f>
        <v/>
      </c>
      <c r="E146" s="17">
        <f t="array" ref="E146">INDEX(Data_DBD!$E:$E,$A146)</f>
        <v/>
      </c>
      <c r="F146" s="17">
        <f t="array" ref="F146">INDEX(Data_DBD!$F:$F,$A146)</f>
        <v/>
      </c>
      <c r="H146" s="17" t="n">
        <v>84</v>
      </c>
      <c r="I146" s="17" t="n">
        <v>42</v>
      </c>
      <c r="J146" s="17" t="n">
        <v>4</v>
      </c>
      <c r="K146" s="17" t="n">
        <v>13</v>
      </c>
      <c r="L146" s="17" t="n">
        <v>1</v>
      </c>
      <c r="M146" s="17" t="inlineStr">
        <is>
          <t>Sedang</t>
        </is>
      </c>
    </row>
    <row r="147" s="1">
      <c r="A147" s="17">
        <f>RANDBETWEEN(2,164)</f>
        <v/>
      </c>
      <c r="B147" s="17">
        <f t="array" ref="B147">INDEX(Data_DBD!$B:$B,$A147)</f>
        <v/>
      </c>
      <c r="C147" s="17">
        <f t="array" ref="C147">INDEX(Data_DBD!$C:$C,$A147)</f>
        <v/>
      </c>
      <c r="D147" s="17">
        <f t="array" ref="D147">INDEX(Data_DBD!$D:$D,$A147)</f>
        <v/>
      </c>
      <c r="E147" s="17">
        <f t="array" ref="E147">INDEX(Data_DBD!$E:$E,$A147)</f>
        <v/>
      </c>
      <c r="F147" s="17">
        <f t="array" ref="F147">INDEX(Data_DBD!$F:$F,$A147)</f>
        <v/>
      </c>
      <c r="H147" s="17" t="n">
        <v>72</v>
      </c>
      <c r="I147" s="17" t="n">
        <v>3</v>
      </c>
      <c r="J147" s="17" t="n">
        <v>5</v>
      </c>
      <c r="K147" s="17" t="n">
        <v>10</v>
      </c>
      <c r="L147" s="17" t="n">
        <v>1</v>
      </c>
      <c r="M147" s="17" t="inlineStr">
        <is>
          <t>Sedang</t>
        </is>
      </c>
    </row>
    <row r="148" s="1">
      <c r="A148" s="17">
        <f>RANDBETWEEN(2,164)</f>
        <v/>
      </c>
      <c r="B148" s="17">
        <f t="array" ref="B148">INDEX(Data_DBD!$B:$B,$A148)</f>
        <v/>
      </c>
      <c r="C148" s="17">
        <f t="array" ref="C148">INDEX(Data_DBD!$C:$C,$A148)</f>
        <v/>
      </c>
      <c r="D148" s="17">
        <f t="array" ref="D148">INDEX(Data_DBD!$D:$D,$A148)</f>
        <v/>
      </c>
      <c r="E148" s="17">
        <f t="array" ref="E148">INDEX(Data_DBD!$E:$E,$A148)</f>
        <v/>
      </c>
      <c r="F148" s="17">
        <f t="array" ref="F148">INDEX(Data_DBD!$F:$F,$A148)</f>
        <v/>
      </c>
      <c r="H148" s="17" t="n">
        <v>85</v>
      </c>
      <c r="I148" s="17" t="n">
        <v>27</v>
      </c>
      <c r="J148" s="17" t="n">
        <v>9</v>
      </c>
      <c r="K148" s="17" t="n">
        <v>13</v>
      </c>
      <c r="L148" s="17" t="n">
        <v>0</v>
      </c>
      <c r="M148" s="17" t="inlineStr">
        <is>
          <t>Sedang</t>
        </is>
      </c>
    </row>
    <row r="149" s="1">
      <c r="A149" s="17">
        <f>RANDBETWEEN(2,164)</f>
        <v/>
      </c>
      <c r="B149" s="17">
        <f t="array" ref="B149">INDEX(Data_DBD!$B:$B,$A149)</f>
        <v/>
      </c>
      <c r="C149" s="17">
        <f t="array" ref="C149">INDEX(Data_DBD!$C:$C,$A149)</f>
        <v/>
      </c>
      <c r="D149" s="17">
        <f t="array" ref="D149">INDEX(Data_DBD!$D:$D,$A149)</f>
        <v/>
      </c>
      <c r="E149" s="17">
        <f t="array" ref="E149">INDEX(Data_DBD!$E:$E,$A149)</f>
        <v/>
      </c>
      <c r="F149" s="17">
        <f t="array" ref="F149">INDEX(Data_DBD!$F:$F,$A149)</f>
        <v/>
      </c>
      <c r="H149" s="17" t="n">
        <v>5</v>
      </c>
      <c r="I149" s="17" t="n">
        <v>18</v>
      </c>
      <c r="J149" s="17" t="n">
        <v>2</v>
      </c>
      <c r="K149" s="17" t="n">
        <v>12</v>
      </c>
      <c r="L149" s="17" t="n">
        <v>1</v>
      </c>
      <c r="M149" s="17" t="inlineStr">
        <is>
          <t>Sedang</t>
        </is>
      </c>
    </row>
    <row r="150" s="1">
      <c r="A150" s="17">
        <f>RANDBETWEEN(2,164)</f>
        <v/>
      </c>
      <c r="B150" s="17">
        <f t="array" ref="B150">INDEX(Data_DBD!$B:$B,$A150)</f>
        <v/>
      </c>
      <c r="C150" s="17">
        <f t="array" ref="C150">INDEX(Data_DBD!$C:$C,$A150)</f>
        <v/>
      </c>
      <c r="D150" s="17">
        <f t="array" ref="D150">INDEX(Data_DBD!$D:$D,$A150)</f>
        <v/>
      </c>
      <c r="E150" s="17">
        <f t="array" ref="E150">INDEX(Data_DBD!$E:$E,$A150)</f>
        <v/>
      </c>
      <c r="F150" s="17">
        <f t="array" ref="F150">INDEX(Data_DBD!$F:$F,$A150)</f>
        <v/>
      </c>
      <c r="H150" s="17" t="n">
        <v>88</v>
      </c>
      <c r="I150" s="17" t="n">
        <v>20</v>
      </c>
      <c r="J150" s="17" t="n">
        <v>4</v>
      </c>
      <c r="K150" s="17" t="n">
        <v>13</v>
      </c>
      <c r="L150" s="17" t="n">
        <v>1</v>
      </c>
      <c r="M150" s="17" t="inlineStr">
        <is>
          <t>Sedang</t>
        </is>
      </c>
    </row>
    <row r="151" s="1">
      <c r="A151" s="17">
        <f>RANDBETWEEN(2,164)</f>
        <v/>
      </c>
      <c r="B151" s="17">
        <f t="array" ref="B151">INDEX(Data_DBD!$B:$B,$A151)</f>
        <v/>
      </c>
      <c r="C151" s="17">
        <f t="array" ref="C151">INDEX(Data_DBD!$C:$C,$A151)</f>
        <v/>
      </c>
      <c r="D151" s="17">
        <f t="array" ref="D151">INDEX(Data_DBD!$D:$D,$A151)</f>
        <v/>
      </c>
      <c r="E151" s="17">
        <f t="array" ref="E151">INDEX(Data_DBD!$E:$E,$A151)</f>
        <v/>
      </c>
      <c r="F151" s="17">
        <f t="array" ref="F151">INDEX(Data_DBD!$F:$F,$A151)</f>
        <v/>
      </c>
      <c r="H151" s="17" t="n">
        <v>88</v>
      </c>
      <c r="I151" s="17" t="n">
        <v>20</v>
      </c>
      <c r="J151" s="17" t="n">
        <v>4</v>
      </c>
      <c r="K151" s="17" t="n">
        <v>13</v>
      </c>
      <c r="L151" s="17" t="n">
        <v>1</v>
      </c>
      <c r="M151" s="17" t="inlineStr">
        <is>
          <t>Sedang</t>
        </is>
      </c>
    </row>
    <row r="152" s="1">
      <c r="A152" s="17">
        <f>RANDBETWEEN(2,164)</f>
        <v/>
      </c>
      <c r="B152" s="17">
        <f t="array" ref="B152">INDEX(Data_DBD!$B:$B,$A152)</f>
        <v/>
      </c>
      <c r="C152" s="17">
        <f t="array" ref="C152">INDEX(Data_DBD!$C:$C,$A152)</f>
        <v/>
      </c>
      <c r="D152" s="17">
        <f t="array" ref="D152">INDEX(Data_DBD!$D:$D,$A152)</f>
        <v/>
      </c>
      <c r="E152" s="17">
        <f t="array" ref="E152">INDEX(Data_DBD!$E:$E,$A152)</f>
        <v/>
      </c>
      <c r="F152" s="17">
        <f t="array" ref="F152">INDEX(Data_DBD!$F:$F,$A152)</f>
        <v/>
      </c>
      <c r="H152" s="17" t="n">
        <v>126</v>
      </c>
      <c r="I152" s="17" t="n">
        <v>51</v>
      </c>
      <c r="J152" s="17" t="n">
        <v>3</v>
      </c>
      <c r="K152" s="17" t="n">
        <v>33</v>
      </c>
      <c r="L152" s="17" t="n">
        <v>1</v>
      </c>
      <c r="M152" s="17" t="inlineStr">
        <is>
          <t>Tinggi</t>
        </is>
      </c>
    </row>
    <row r="153" s="1">
      <c r="A153" s="17">
        <f>RANDBETWEEN(2,164)</f>
        <v/>
      </c>
      <c r="B153" s="17">
        <f t="array" ref="B153">INDEX(Data_DBD!$B:$B,$A153)</f>
        <v/>
      </c>
      <c r="C153" s="17">
        <f t="array" ref="C153">INDEX(Data_DBD!$C:$C,$A153)</f>
        <v/>
      </c>
      <c r="D153" s="17">
        <f t="array" ref="D153">INDEX(Data_DBD!$D:$D,$A153)</f>
        <v/>
      </c>
      <c r="E153" s="17">
        <f t="array" ref="E153">INDEX(Data_DBD!$E:$E,$A153)</f>
        <v/>
      </c>
      <c r="F153" s="17">
        <f t="array" ref="F153">INDEX(Data_DBD!$F:$F,$A153)</f>
        <v/>
      </c>
      <c r="H153" s="17" t="n">
        <v>44</v>
      </c>
      <c r="I153" s="17" t="n">
        <v>28</v>
      </c>
      <c r="J153" s="17" t="n">
        <v>5</v>
      </c>
      <c r="K153" s="17" t="n">
        <v>13</v>
      </c>
      <c r="L153" s="17" t="n">
        <v>1</v>
      </c>
      <c r="M153" s="17" t="inlineStr">
        <is>
          <t>Sedang</t>
        </is>
      </c>
    </row>
    <row r="154" s="1">
      <c r="A154" s="17">
        <f>RANDBETWEEN(2,164)</f>
        <v/>
      </c>
      <c r="B154" s="17">
        <f t="array" ref="B154">INDEX(Data_DBD!$B:$B,$A154)</f>
        <v/>
      </c>
      <c r="C154" s="17">
        <f t="array" ref="C154">INDEX(Data_DBD!$C:$C,$A154)</f>
        <v/>
      </c>
      <c r="D154" s="17">
        <f t="array" ref="D154">INDEX(Data_DBD!$D:$D,$A154)</f>
        <v/>
      </c>
      <c r="E154" s="17">
        <f t="array" ref="E154">INDEX(Data_DBD!$E:$E,$A154)</f>
        <v/>
      </c>
      <c r="F154" s="17">
        <f t="array" ref="F154">INDEX(Data_DBD!$F:$F,$A154)</f>
        <v/>
      </c>
      <c r="H154" s="17" t="n">
        <v>126</v>
      </c>
      <c r="I154" s="17" t="n">
        <v>51</v>
      </c>
      <c r="J154" s="17" t="n">
        <v>3</v>
      </c>
      <c r="K154" s="17" t="n">
        <v>33</v>
      </c>
      <c r="L154" s="17" t="n">
        <v>1</v>
      </c>
      <c r="M154" s="17" t="inlineStr">
        <is>
          <t>Tinggi</t>
        </is>
      </c>
    </row>
    <row r="155" s="1">
      <c r="A155" s="17">
        <f>RANDBETWEEN(2,164)</f>
        <v/>
      </c>
      <c r="B155" s="17">
        <f t="array" ref="B155">INDEX(Data_DBD!$B:$B,$A155)</f>
        <v/>
      </c>
      <c r="C155" s="17">
        <f t="array" ref="C155">INDEX(Data_DBD!$C:$C,$A155)</f>
        <v/>
      </c>
      <c r="D155" s="17">
        <f t="array" ref="D155">INDEX(Data_DBD!$D:$D,$A155)</f>
        <v/>
      </c>
      <c r="E155" s="17">
        <f t="array" ref="E155">INDEX(Data_DBD!$E:$E,$A155)</f>
        <v/>
      </c>
      <c r="F155" s="17">
        <f t="array" ref="F155">INDEX(Data_DBD!$F:$F,$A155)</f>
        <v/>
      </c>
      <c r="H155" s="17" t="n">
        <v>84</v>
      </c>
      <c r="I155" s="17" t="n">
        <v>42</v>
      </c>
      <c r="J155" s="17" t="n">
        <v>4</v>
      </c>
      <c r="K155" s="17" t="n">
        <v>13</v>
      </c>
      <c r="L155" s="17" t="n">
        <v>1</v>
      </c>
      <c r="M155" s="17" t="inlineStr">
        <is>
          <t>Sedang</t>
        </is>
      </c>
    </row>
    <row r="156" s="1">
      <c r="A156" s="17">
        <f>RANDBETWEEN(2,164)</f>
        <v/>
      </c>
      <c r="B156" s="17">
        <f t="array" ref="B156">INDEX(Data_DBD!$B:$B,$A156)</f>
        <v/>
      </c>
      <c r="C156" s="17">
        <f t="array" ref="C156">INDEX(Data_DBD!$C:$C,$A156)</f>
        <v/>
      </c>
      <c r="D156" s="17">
        <f t="array" ref="D156">INDEX(Data_DBD!$D:$D,$A156)</f>
        <v/>
      </c>
      <c r="E156" s="17">
        <f t="array" ref="E156">INDEX(Data_DBD!$E:$E,$A156)</f>
        <v/>
      </c>
      <c r="F156" s="17">
        <f t="array" ref="F156">INDEX(Data_DBD!$F:$F,$A156)</f>
        <v/>
      </c>
      <c r="H156" s="17" t="n">
        <v>60</v>
      </c>
      <c r="I156" s="17" t="n">
        <v>68</v>
      </c>
      <c r="J156" s="17" t="n">
        <v>4</v>
      </c>
      <c r="K156" s="17" t="n">
        <v>15</v>
      </c>
      <c r="L156" s="17" t="n">
        <v>0</v>
      </c>
      <c r="M156" s="17" t="inlineStr">
        <is>
          <t>Sedang</t>
        </is>
      </c>
    </row>
    <row r="157" s="1">
      <c r="A157" s="17">
        <f>RANDBETWEEN(2,164)</f>
        <v/>
      </c>
      <c r="B157" s="17">
        <f t="array" ref="B157">INDEX(Data_DBD!$B:$B,$A157)</f>
        <v/>
      </c>
      <c r="C157" s="17">
        <f t="array" ref="C157">INDEX(Data_DBD!$C:$C,$A157)</f>
        <v/>
      </c>
      <c r="D157" s="17">
        <f t="array" ref="D157">INDEX(Data_DBD!$D:$D,$A157)</f>
        <v/>
      </c>
      <c r="E157" s="17">
        <f t="array" ref="E157">INDEX(Data_DBD!$E:$E,$A157)</f>
        <v/>
      </c>
      <c r="F157" s="17">
        <f t="array" ref="F157">INDEX(Data_DBD!$F:$F,$A157)</f>
        <v/>
      </c>
      <c r="H157" s="17" t="n">
        <v>89</v>
      </c>
      <c r="I157" s="17" t="n">
        <v>32</v>
      </c>
      <c r="J157" s="17" t="n">
        <v>4</v>
      </c>
      <c r="K157" s="17" t="n">
        <v>13</v>
      </c>
      <c r="L157" s="17" t="n">
        <v>0</v>
      </c>
      <c r="M157" s="17" t="inlineStr">
        <is>
          <t>Sedang</t>
        </is>
      </c>
    </row>
    <row r="158" s="1">
      <c r="A158" s="17">
        <f>RANDBETWEEN(2,164)</f>
        <v/>
      </c>
      <c r="B158" s="17">
        <f t="array" ref="B158">INDEX(Data_DBD!$B:$B,$A158)</f>
        <v/>
      </c>
      <c r="C158" s="17">
        <f t="array" ref="C158">INDEX(Data_DBD!$C:$C,$A158)</f>
        <v/>
      </c>
      <c r="D158" s="17">
        <f t="array" ref="D158">INDEX(Data_DBD!$D:$D,$A158)</f>
        <v/>
      </c>
      <c r="E158" s="17">
        <f t="array" ref="E158">INDEX(Data_DBD!$E:$E,$A158)</f>
        <v/>
      </c>
      <c r="F158" s="17">
        <f t="array" ref="F158">INDEX(Data_DBD!$F:$F,$A158)</f>
        <v/>
      </c>
      <c r="H158" s="17" t="n">
        <v>60</v>
      </c>
      <c r="I158" s="17" t="n">
        <v>68</v>
      </c>
      <c r="J158" s="17" t="n">
        <v>4</v>
      </c>
      <c r="K158" s="17" t="n">
        <v>15</v>
      </c>
      <c r="L158" s="17" t="n">
        <v>0</v>
      </c>
      <c r="M158" s="17" t="inlineStr">
        <is>
          <t>Sedang</t>
        </is>
      </c>
    </row>
    <row r="159" s="1">
      <c r="A159" s="17">
        <f>RANDBETWEEN(2,164)</f>
        <v/>
      </c>
      <c r="B159" s="17">
        <f t="array" ref="B159">INDEX(Data_DBD!$B:$B,$A159)</f>
        <v/>
      </c>
      <c r="C159" s="17">
        <f t="array" ref="C159">INDEX(Data_DBD!$C:$C,$A159)</f>
        <v/>
      </c>
      <c r="D159" s="17">
        <f t="array" ref="D159">INDEX(Data_DBD!$D:$D,$A159)</f>
        <v/>
      </c>
      <c r="E159" s="17">
        <f t="array" ref="E159">INDEX(Data_DBD!$E:$E,$A159)</f>
        <v/>
      </c>
      <c r="F159" s="17">
        <f t="array" ref="F159">INDEX(Data_DBD!$F:$F,$A159)</f>
        <v/>
      </c>
      <c r="H159" s="17" t="n">
        <v>153</v>
      </c>
      <c r="I159" s="17" t="n">
        <v>73</v>
      </c>
      <c r="J159" s="17" t="n">
        <v>7</v>
      </c>
      <c r="K159" s="17" t="n">
        <v>21</v>
      </c>
      <c r="L159" s="17" t="n">
        <v>1</v>
      </c>
      <c r="M159" s="17" t="inlineStr">
        <is>
          <t>Tinggi</t>
        </is>
      </c>
    </row>
    <row r="160" s="1">
      <c r="A160" s="17">
        <f>RANDBETWEEN(2,164)</f>
        <v/>
      </c>
      <c r="B160" s="17">
        <f t="array" ref="B160">INDEX(Data_DBD!$B:$B,$A160)</f>
        <v/>
      </c>
      <c r="C160" s="17">
        <f t="array" ref="C160">INDEX(Data_DBD!$C:$C,$A160)</f>
        <v/>
      </c>
      <c r="D160" s="17">
        <f t="array" ref="D160">INDEX(Data_DBD!$D:$D,$A160)</f>
        <v/>
      </c>
      <c r="E160" s="17">
        <f t="array" ref="E160">INDEX(Data_DBD!$E:$E,$A160)</f>
        <v/>
      </c>
      <c r="F160" s="17">
        <f t="array" ref="F160">INDEX(Data_DBD!$F:$F,$A160)</f>
        <v/>
      </c>
      <c r="H160" s="17" t="n">
        <v>122</v>
      </c>
      <c r="I160" s="17" t="n">
        <v>28</v>
      </c>
      <c r="J160" s="17" t="n">
        <v>3</v>
      </c>
      <c r="K160" s="17" t="n">
        <v>33</v>
      </c>
      <c r="L160" s="17" t="n">
        <v>1</v>
      </c>
      <c r="M160" s="17" t="inlineStr">
        <is>
          <t>Tinggi</t>
        </is>
      </c>
    </row>
    <row r="161" s="1">
      <c r="A161" s="17">
        <f>RANDBETWEEN(2,164)</f>
        <v/>
      </c>
      <c r="B161" s="17">
        <f t="array" ref="B161">INDEX(Data_DBD!$B:$B,$A161)</f>
        <v/>
      </c>
      <c r="C161" s="17">
        <f t="array" ref="C161">INDEX(Data_DBD!$C:$C,$A161)</f>
        <v/>
      </c>
      <c r="D161" s="17">
        <f t="array" ref="D161">INDEX(Data_DBD!$D:$D,$A161)</f>
        <v/>
      </c>
      <c r="E161" s="17">
        <f t="array" ref="E161">INDEX(Data_DBD!$E:$E,$A161)</f>
        <v/>
      </c>
      <c r="F161" s="17">
        <f t="array" ref="F161">INDEX(Data_DBD!$F:$F,$A161)</f>
        <v/>
      </c>
      <c r="H161" s="17" t="n">
        <v>34</v>
      </c>
      <c r="I161" s="17" t="n">
        <v>55</v>
      </c>
      <c r="J161" s="17" t="n">
        <v>3</v>
      </c>
      <c r="K161" s="17" t="n">
        <v>14</v>
      </c>
      <c r="L161" s="17" t="n">
        <v>0</v>
      </c>
      <c r="M161" s="17" t="inlineStr">
        <is>
          <t>Sedang</t>
        </is>
      </c>
    </row>
    <row r="162" s="1">
      <c r="A162" s="17">
        <f>RANDBETWEEN(2,164)</f>
        <v/>
      </c>
      <c r="B162" s="17">
        <f t="array" ref="B162">INDEX(Data_DBD!$B:$B,$A162)</f>
        <v/>
      </c>
      <c r="C162" s="17">
        <f t="array" ref="C162">INDEX(Data_DBD!$C:$C,$A162)</f>
        <v/>
      </c>
      <c r="D162" s="17">
        <f t="array" ref="D162">INDEX(Data_DBD!$D:$D,$A162)</f>
        <v/>
      </c>
      <c r="E162" s="17">
        <f t="array" ref="E162">INDEX(Data_DBD!$E:$E,$A162)</f>
        <v/>
      </c>
      <c r="F162" s="17">
        <f t="array" ref="F162">INDEX(Data_DBD!$F:$F,$A162)</f>
        <v/>
      </c>
      <c r="H162" s="17" t="n">
        <v>127</v>
      </c>
      <c r="I162" s="17" t="n">
        <v>21</v>
      </c>
      <c r="J162" s="17" t="n">
        <v>2</v>
      </c>
      <c r="K162" s="17" t="n">
        <v>33</v>
      </c>
      <c r="L162" s="17" t="n">
        <v>0</v>
      </c>
      <c r="M162" s="17" t="inlineStr">
        <is>
          <t>Tinggi</t>
        </is>
      </c>
    </row>
    <row r="163" s="1">
      <c r="A163" s="17">
        <f>RANDBETWEEN(2,164)</f>
        <v/>
      </c>
      <c r="B163" s="17">
        <f t="array" ref="B163">INDEX(Data_DBD!$B:$B,$A163)</f>
        <v/>
      </c>
      <c r="C163" s="17">
        <f t="array" ref="C163">INDEX(Data_DBD!$C:$C,$A163)</f>
        <v/>
      </c>
      <c r="D163" s="17">
        <f t="array" ref="D163">INDEX(Data_DBD!$D:$D,$A163)</f>
        <v/>
      </c>
      <c r="E163" s="17">
        <f t="array" ref="E163">INDEX(Data_DBD!$E:$E,$A163)</f>
        <v/>
      </c>
      <c r="F163" s="17">
        <f t="array" ref="F163">INDEX(Data_DBD!$F:$F,$A163)</f>
        <v/>
      </c>
      <c r="H163" s="17" t="n">
        <v>51</v>
      </c>
      <c r="I163" s="17" t="n">
        <v>48</v>
      </c>
      <c r="J163" s="17" t="n">
        <v>4</v>
      </c>
      <c r="K163" s="17" t="n">
        <v>13</v>
      </c>
      <c r="L163" s="17" t="n">
        <v>0</v>
      </c>
      <c r="M163" s="17" t="inlineStr">
        <is>
          <t>Sedang</t>
        </is>
      </c>
    </row>
    <row r="164" s="1">
      <c r="A164" s="17">
        <f>RANDBETWEEN(2,164)</f>
        <v/>
      </c>
      <c r="B164" s="17">
        <f t="array" ref="B164">INDEX(Data_DBD!$B:$B,$A164)</f>
        <v/>
      </c>
      <c r="C164" s="17">
        <f t="array" ref="C164">INDEX(Data_DBD!$C:$C,$A164)</f>
        <v/>
      </c>
      <c r="D164" s="17">
        <f t="array" ref="D164">INDEX(Data_DBD!$D:$D,$A164)</f>
        <v/>
      </c>
      <c r="E164" s="17">
        <f t="array" ref="E164">INDEX(Data_DBD!$E:$E,$A164)</f>
        <v/>
      </c>
      <c r="F164" s="17">
        <f t="array" ref="F164">INDEX(Data_DBD!$F:$F,$A164)</f>
        <v/>
      </c>
      <c r="H164" s="17" t="n">
        <v>57</v>
      </c>
      <c r="I164" s="17" t="n">
        <v>2</v>
      </c>
      <c r="J164" s="17" t="n">
        <v>2</v>
      </c>
      <c r="K164" s="17" t="n">
        <v>15</v>
      </c>
      <c r="L164" s="17" t="n">
        <v>1</v>
      </c>
      <c r="M164" s="17" t="inlineStr">
        <is>
          <t>Sedang</t>
        </is>
      </c>
    </row>
    <row r="165" s="1">
      <c r="I165">
        <f>AVERAGE(I2:I164)</f>
        <v/>
      </c>
      <c r="J165">
        <f>AVERAGE(J2:J164)</f>
        <v/>
      </c>
      <c r="K165">
        <f>AVERAGE(K2:K164)</f>
        <v/>
      </c>
      <c r="L165">
        <f>AVERAGE(L2:L164)</f>
        <v/>
      </c>
    </row>
    <row r="167" s="1">
      <c r="B167" t="n">
        <v>18</v>
      </c>
    </row>
    <row r="168" s="1">
      <c r="E168" s="21" t="inlineStr">
        <is>
          <t>USIA</t>
        </is>
      </c>
      <c r="J168" s="21" t="inlineStr">
        <is>
          <t>LAMA RAWAT INAP</t>
        </is>
      </c>
      <c r="O168" s="21" t="inlineStr">
        <is>
          <t>JUMLAH KASUS PER BULAN</t>
        </is>
      </c>
      <c r="T168" s="21" t="inlineStr">
        <is>
          <t>JENIS KELAMIN</t>
        </is>
      </c>
    </row>
    <row r="169" s="1">
      <c r="E169" s="17" t="inlineStr">
        <is>
          <t>Usia</t>
        </is>
      </c>
      <c r="F169" s="17">
        <f>AVERAGEIF($I$2:$I$164,"&lt;="&amp;$I$165)</f>
        <v/>
      </c>
      <c r="G169" s="17">
        <f>AVERAGEIF($I$2:$I$164,"&gt;"&amp;$I$165)</f>
        <v/>
      </c>
      <c r="J169" s="17" t="inlineStr">
        <is>
          <t>Lama rawat inap</t>
        </is>
      </c>
      <c r="K169" s="17">
        <f>AVERAGEIF($J$2:$J$164,"&lt;="&amp;$J$165)</f>
        <v/>
      </c>
      <c r="L169" s="17">
        <f>AVERAGEIF($J$2:$J$164,"&gt;"&amp;$J$165)</f>
        <v/>
      </c>
      <c r="O169" s="17" t="inlineStr">
        <is>
          <t>Jumlah kasus perbulan</t>
        </is>
      </c>
      <c r="P169" s="17">
        <f>AVERAGEIF($K$2:$K$164,"&lt;="&amp;$K$165)</f>
        <v/>
      </c>
      <c r="Q169" s="17">
        <f>AVERAGEIF($K$2:$K$164,"&gt;"&amp;$K$165)</f>
        <v/>
      </c>
      <c r="T169" s="17" t="inlineStr">
        <is>
          <t>Jenis kelamin</t>
        </is>
      </c>
      <c r="U169" s="17">
        <f>AVERAGEIF($L$2:$L$164,"&lt;="&amp;$L$165)</f>
        <v/>
      </c>
      <c r="V169" s="17">
        <f>AVERAGEIF($L$2:$L$164,"&gt;"&amp;$L$165)</f>
        <v/>
      </c>
    </row>
    <row r="170" s="1">
      <c r="E170" s="17">
        <f t="array" ref="E170:E332">IF($I$2:$I$164&lt;$F$169,"kiri",IF($I$2:$I$164&lt;$G$169,"tengah","kanan"))</f>
        <v/>
      </c>
      <c r="F170" s="17" t="inlineStr">
        <is>
          <t>Kanan &gt; 54.7</t>
        </is>
      </c>
      <c r="G170" s="17" t="n"/>
      <c r="J170" s="17">
        <f t="array" ref="J170:J332">IF($J$2:$J$164&lt;$K$169,"kiri",IF($J$2:$J$164&lt;$L$169,"tengah","kanan"))</f>
        <v/>
      </c>
      <c r="K170" s="17" t="inlineStr">
        <is>
          <t>Kanan &gt; 4.72</t>
        </is>
      </c>
      <c r="L170" s="17" t="n"/>
      <c r="O170" s="17">
        <f t="array" ref="O170:O332">IF($K$2:$K$164&lt;$P$169,"kiri",IF($K$2:$K$164&lt;$Q$169,"tengah","kanan"))</f>
        <v/>
      </c>
      <c r="P170" s="17" t="inlineStr">
        <is>
          <t>Kanan &gt; 29.21</t>
        </is>
      </c>
      <c r="Q170" s="17" t="n"/>
      <c r="T170" s="17">
        <f t="array" ref="T170:T332">IF($L$2:$L$164&lt;$U$169,"kiri",IF($L$2:$L$164&lt;$V$169,"tengah","kanan"))</f>
        <v/>
      </c>
      <c r="U170" s="17" t="inlineStr">
        <is>
          <t>Kanan &gt; 1</t>
        </is>
      </c>
      <c r="V170" s="17" t="n"/>
    </row>
    <row r="171" s="1">
      <c r="E171" s="17" t="inlineStr">
        <is>
          <t>tengah</t>
        </is>
      </c>
      <c r="F171" s="17">
        <f>COUNTIFS($E$170:$E$332,"Kanan",$M$2:$M$164,"Tinggi")</f>
        <v/>
      </c>
      <c r="G171" s="17">
        <f>F171/34</f>
        <v/>
      </c>
      <c r="J171" s="17" t="inlineStr">
        <is>
          <t>kiri</t>
        </is>
      </c>
      <c r="K171" s="17">
        <f>COUNTIFS($J$170:$J$332,"Kanan",$M$2:$M$164,"Tinggi")</f>
        <v/>
      </c>
      <c r="L171" s="17">
        <f>K171/33</f>
        <v/>
      </c>
      <c r="O171" s="17" t="inlineStr">
        <is>
          <t>kanan</t>
        </is>
      </c>
      <c r="P171" s="17">
        <f>COUNTIFS($O$170:$O$332,"Kanan",$M$2:$M$164,"Tinggi")</f>
        <v/>
      </c>
      <c r="Q171" s="17">
        <f>P171/39</f>
        <v/>
      </c>
      <c r="T171" s="17" t="inlineStr">
        <is>
          <t>tengah</t>
        </is>
      </c>
      <c r="U171" s="17">
        <f>COUNTIFS($T$170:$T$332,"Kanan",$M$2:$M$164,"Tinggi")</f>
        <v/>
      </c>
      <c r="V171" s="17">
        <f>U171/95</f>
        <v/>
      </c>
    </row>
    <row r="172" s="1">
      <c r="E172" s="17" t="inlineStr">
        <is>
          <t>tengah</t>
        </is>
      </c>
      <c r="F172" s="17">
        <f>COUNTIFS($E$170:$E$332,"Kanan",$M$2:$M$164,"Sedang")</f>
        <v/>
      </c>
      <c r="G172" s="17">
        <f>F172/34</f>
        <v/>
      </c>
      <c r="J172" s="17" t="inlineStr">
        <is>
          <t>tengah</t>
        </is>
      </c>
      <c r="K172" s="17">
        <f>COUNTIFS($J$170:$J$332,"Kanan",$M$2:$M$164,"Sedang")</f>
        <v/>
      </c>
      <c r="L172" s="17">
        <f>K172/33</f>
        <v/>
      </c>
      <c r="O172" s="17" t="inlineStr">
        <is>
          <t>tengah</t>
        </is>
      </c>
      <c r="P172" s="17">
        <f>COUNTIFS($O$170:$O$332,"Kanan",$M$2:$M$164,"Sedang")</f>
        <v/>
      </c>
      <c r="Q172" s="17">
        <f>P172/39</f>
        <v/>
      </c>
      <c r="T172" s="17" t="inlineStr">
        <is>
          <t>kanan</t>
        </is>
      </c>
      <c r="U172" s="17">
        <f>COUNTIFS($T$170:$T$332,"Kanan",$M$2:$M$164,"Sedang")</f>
        <v/>
      </c>
      <c r="V172" s="17">
        <f>U172/95</f>
        <v/>
      </c>
    </row>
    <row r="173" s="1">
      <c r="E173" s="17" t="inlineStr">
        <is>
          <t>kiri</t>
        </is>
      </c>
      <c r="F173" s="17">
        <f>COUNTIFS($E$170:$E$332,"Kanan",$M$2:$M$164,"Rendah")</f>
        <v/>
      </c>
      <c r="G173" s="17">
        <f>F173/34</f>
        <v/>
      </c>
      <c r="J173" s="17" t="inlineStr">
        <is>
          <t>kiri</t>
        </is>
      </c>
      <c r="K173" s="17">
        <f>COUNTIFS($J$170:$J$332,"Kanan",$M$2:$M$164,"Rendah")</f>
        <v/>
      </c>
      <c r="L173" s="17">
        <f>K173/33</f>
        <v/>
      </c>
      <c r="O173" s="17" t="inlineStr">
        <is>
          <t>kanan</t>
        </is>
      </c>
      <c r="P173" s="17">
        <f>COUNTIFS($O$170:$O$332,"Kanan",$M$2:$M$164,"Rendah")</f>
        <v/>
      </c>
      <c r="Q173" s="17">
        <f>P173/29</f>
        <v/>
      </c>
      <c r="T173" s="17" t="inlineStr">
        <is>
          <t>kanan</t>
        </is>
      </c>
      <c r="U173" s="17">
        <f>COUNTIFS($T$170:$T$332,"Kanan",$M$2:$M$164,"Rendah")</f>
        <v/>
      </c>
      <c r="V173" s="17">
        <f>U173/95</f>
        <v/>
      </c>
    </row>
    <row r="174" s="1">
      <c r="E174" s="17" t="inlineStr">
        <is>
          <t>kanan</t>
        </is>
      </c>
      <c r="F174" s="17" t="inlineStr">
        <is>
          <t>Entropy</t>
        </is>
      </c>
      <c r="G174" s="17">
        <f>-(IFERROR(G171*LOG(G171,2),0)+IFERROR(G172*LOG(G172,2),0)+IFERROR(G173*LOG(G173,2),0))</f>
        <v/>
      </c>
      <c r="J174" s="17" t="inlineStr">
        <is>
          <t>kanan</t>
        </is>
      </c>
      <c r="K174" s="17" t="inlineStr">
        <is>
          <t>Entropy</t>
        </is>
      </c>
      <c r="L174" s="17">
        <f>-(IFERROR(L171*LOG(L171,2),0)+IFERROR(L172*LOG(L172,2),0)+IFERROR(L173*LOG(L173,2),0))</f>
        <v/>
      </c>
      <c r="O174" s="17" t="inlineStr">
        <is>
          <t>tengah</t>
        </is>
      </c>
      <c r="P174" s="17" t="inlineStr">
        <is>
          <t>Entropy</t>
        </is>
      </c>
      <c r="Q174" s="17">
        <f>-(IFERROR(Q171*LOG(Q171,2),0)+IFERROR(Q172*LOG(Q172,2),0)+IFERROR(Q173*LOG(Q173,2),0))</f>
        <v/>
      </c>
      <c r="T174" s="17" t="inlineStr">
        <is>
          <t>tengah</t>
        </is>
      </c>
      <c r="U174" s="17" t="inlineStr">
        <is>
          <t>Entropy</t>
        </is>
      </c>
      <c r="V174" s="17">
        <f>-(IFERROR(V171*LOG(V171,2),0)+IFERROR(V172*LOG(V172,2),0)+IFERROR(V173*LOG(V173,2),0))</f>
        <v/>
      </c>
    </row>
    <row r="175" s="1">
      <c r="E175" s="17" t="inlineStr">
        <is>
          <t>tengah</t>
        </is>
      </c>
      <c r="F175" s="17" t="n"/>
      <c r="G175" s="17">
        <f>SUM(F171:F173)/163</f>
        <v/>
      </c>
      <c r="J175" s="17" t="inlineStr">
        <is>
          <t>tengah</t>
        </is>
      </c>
      <c r="K175" s="17" t="n"/>
      <c r="L175" s="17">
        <f>SUM(K171:K173)/163</f>
        <v/>
      </c>
      <c r="O175" s="17" t="inlineStr">
        <is>
          <t>tengah</t>
        </is>
      </c>
      <c r="P175" s="17" t="n"/>
      <c r="Q175" s="17">
        <f>SUM(P171:P173)/163</f>
        <v/>
      </c>
      <c r="T175" s="17" t="inlineStr">
        <is>
          <t>tengah</t>
        </is>
      </c>
      <c r="U175" s="17" t="n"/>
      <c r="V175" s="17">
        <f>SUM(U171:U173)/163</f>
        <v/>
      </c>
    </row>
    <row r="176" s="1">
      <c r="E176" s="17" t="inlineStr">
        <is>
          <t>kiri</t>
        </is>
      </c>
      <c r="F176" s="17" t="n"/>
      <c r="G176" s="23">
        <f>G174*G175</f>
        <v/>
      </c>
      <c r="J176" s="17" t="inlineStr">
        <is>
          <t>tengah</t>
        </is>
      </c>
      <c r="K176" s="17" t="n"/>
      <c r="L176" s="23">
        <f>L174*L175</f>
        <v/>
      </c>
      <c r="O176" s="17" t="inlineStr">
        <is>
          <t>kanan</t>
        </is>
      </c>
      <c r="P176" s="17" t="n"/>
      <c r="Q176" s="23">
        <f>Q174*Q175</f>
        <v/>
      </c>
      <c r="T176" s="17" t="inlineStr">
        <is>
          <t>kanan</t>
        </is>
      </c>
      <c r="U176" s="17" t="n"/>
      <c r="V176" s="23">
        <f>V174*V175</f>
        <v/>
      </c>
    </row>
    <row r="177" s="1">
      <c r="E177" s="17" t="inlineStr">
        <is>
          <t>tengah</t>
        </is>
      </c>
      <c r="F177" s="17" t="n"/>
      <c r="G177" s="17" t="n"/>
      <c r="J177" s="17" t="inlineStr">
        <is>
          <t>tengah</t>
        </is>
      </c>
      <c r="K177" s="17" t="n"/>
      <c r="L177" s="17" t="n"/>
      <c r="O177" s="17" t="inlineStr">
        <is>
          <t>kiri</t>
        </is>
      </c>
      <c r="P177" s="17" t="n"/>
      <c r="Q177" s="17" t="n"/>
      <c r="T177" s="17" t="inlineStr">
        <is>
          <t>kanan</t>
        </is>
      </c>
      <c r="U177" s="17" t="n"/>
      <c r="V177" s="17" t="n"/>
    </row>
    <row r="178" s="1">
      <c r="E178" s="17" t="inlineStr">
        <is>
          <t>tengah</t>
        </is>
      </c>
      <c r="F178" s="17" t="n"/>
      <c r="G178" s="17" t="n"/>
      <c r="J178" s="17" t="inlineStr">
        <is>
          <t>tengah</t>
        </is>
      </c>
      <c r="K178" s="17" t="n"/>
      <c r="L178" s="17" t="n"/>
      <c r="O178" s="17" t="inlineStr">
        <is>
          <t>tengah</t>
        </is>
      </c>
      <c r="P178" s="17" t="n"/>
      <c r="Q178" s="17" t="n"/>
      <c r="T178" s="17" t="inlineStr">
        <is>
          <t>kanan</t>
        </is>
      </c>
      <c r="U178" s="17" t="n"/>
      <c r="V178" s="17" t="n"/>
    </row>
    <row r="179" s="1">
      <c r="E179" s="17" t="inlineStr">
        <is>
          <t>tengah</t>
        </is>
      </c>
      <c r="F179" s="17" t="inlineStr">
        <is>
          <t>Kiri&lt;17.15</t>
        </is>
      </c>
      <c r="G179" s="17" t="n"/>
      <c r="J179" s="17" t="inlineStr">
        <is>
          <t>tengah</t>
        </is>
      </c>
      <c r="K179" s="17" t="inlineStr">
        <is>
          <t>Kiri&lt;2.48</t>
        </is>
      </c>
      <c r="L179" s="17" t="n"/>
      <c r="O179" s="17" t="inlineStr">
        <is>
          <t>tengah</t>
        </is>
      </c>
      <c r="P179" s="17" t="inlineStr">
        <is>
          <t>Kiri&lt;12.60</t>
        </is>
      </c>
      <c r="Q179" s="17" t="n"/>
      <c r="T179" s="17" t="inlineStr">
        <is>
          <t>tengah</t>
        </is>
      </c>
      <c r="U179" s="17" t="inlineStr">
        <is>
          <t>Kiri&lt;0</t>
        </is>
      </c>
      <c r="V179" s="17" t="n"/>
    </row>
    <row r="180" s="1">
      <c r="E180" s="17" t="inlineStr">
        <is>
          <t>kanan</t>
        </is>
      </c>
      <c r="F180" s="17">
        <f>COUNTIFS($E$170:$E$332,"Kiri",$M$2:$M$164,"Tinggi")</f>
        <v/>
      </c>
      <c r="G180" s="17">
        <f>F180/44</f>
        <v/>
      </c>
      <c r="J180" s="17" t="inlineStr">
        <is>
          <t>tengah</t>
        </is>
      </c>
      <c r="K180" s="17">
        <f>COUNTIFS($J$170:$J$332,"Kiri",$M$2:$M$164,"Tinggi")</f>
        <v/>
      </c>
      <c r="L180" s="17">
        <f>K180/31</f>
        <v/>
      </c>
      <c r="O180" s="17" t="inlineStr">
        <is>
          <t>tengah</t>
        </is>
      </c>
      <c r="P180" s="17">
        <f>COUNTIFS($O$170:$O$332,"Kiri",$M$2:$M$164,"Tinggi")</f>
        <v/>
      </c>
      <c r="Q180" s="17">
        <f>P180/57</f>
        <v/>
      </c>
      <c r="T180" s="17" t="inlineStr">
        <is>
          <t>tengah</t>
        </is>
      </c>
      <c r="U180" s="17">
        <f>COUNTIFS($T$170:$T$332,"Kiri",$M$2:$M$164,"Tinggi")</f>
        <v/>
      </c>
      <c r="V180" s="17">
        <f>U180/95</f>
        <v/>
      </c>
    </row>
    <row r="181" s="1">
      <c r="E181" s="17" t="inlineStr">
        <is>
          <t>tengah</t>
        </is>
      </c>
      <c r="F181" s="17">
        <f>COUNTIFS($E$170:$E$332,"Kiri",$M$2:$M$164,"Sedang")</f>
        <v/>
      </c>
      <c r="G181" s="17">
        <f>F181/44</f>
        <v/>
      </c>
      <c r="J181" s="17" t="inlineStr">
        <is>
          <t>kiri</t>
        </is>
      </c>
      <c r="K181" s="17">
        <f>COUNTIFS($J$170:$J$332,"Kiri",$M$2:$M$164,"Sedang")</f>
        <v/>
      </c>
      <c r="L181" s="17">
        <f>K181/31</f>
        <v/>
      </c>
      <c r="O181" s="17" t="inlineStr">
        <is>
          <t>tengah</t>
        </is>
      </c>
      <c r="P181" s="17">
        <f>COUNTIFS($O$170:$O$332,"Kiri",$M$2:$M$164,"Sedang")</f>
        <v/>
      </c>
      <c r="Q181" s="17">
        <f>P181/31</f>
        <v/>
      </c>
      <c r="T181" s="17" t="inlineStr">
        <is>
          <t>kanan</t>
        </is>
      </c>
      <c r="U181" s="17">
        <f>COUNTIFS($T$170:$T$332,"Kiri",$M$2:$M$164,"Sedang")</f>
        <v/>
      </c>
      <c r="V181" s="17">
        <f>U181/95</f>
        <v/>
      </c>
    </row>
    <row r="182" s="1">
      <c r="E182" s="17" t="inlineStr">
        <is>
          <t>tengah</t>
        </is>
      </c>
      <c r="F182" s="17">
        <f>COUNTIFS($E$170:$E$332,"Kiri",$M$2:$M$164,"Rendah")</f>
        <v/>
      </c>
      <c r="G182" s="17">
        <f>F182/44</f>
        <v/>
      </c>
      <c r="J182" s="17" t="inlineStr">
        <is>
          <t>kanan</t>
        </is>
      </c>
      <c r="K182" s="17">
        <f>COUNTIFS($J$170:$J$332,"Kiri",$M$2:$M$164,"Rendah")</f>
        <v/>
      </c>
      <c r="L182" s="17">
        <f>K182/31</f>
        <v/>
      </c>
      <c r="O182" s="17" t="inlineStr">
        <is>
          <t>tengah</t>
        </is>
      </c>
      <c r="P182" s="17">
        <f>COUNTIFS($O$170:$O$332,"Kiri",$M$2:$M$164,"Rendah")</f>
        <v/>
      </c>
      <c r="Q182" s="17">
        <f>P182/31</f>
        <v/>
      </c>
      <c r="T182" s="17" t="inlineStr">
        <is>
          <t>kanan</t>
        </is>
      </c>
      <c r="U182" s="17">
        <f>COUNTIFS($T$170:$T$332,"Kiri",$M$2:$M$164,"Rendah")</f>
        <v/>
      </c>
      <c r="V182" s="17">
        <f>U182/95</f>
        <v/>
      </c>
    </row>
    <row r="183" s="1">
      <c r="E183" s="17" t="inlineStr">
        <is>
          <t>kiri</t>
        </is>
      </c>
      <c r="F183" s="17" t="inlineStr">
        <is>
          <t>Entropy</t>
        </is>
      </c>
      <c r="G183" s="17">
        <f>-(IFERROR(G180*LOG(G180,2),0)+IFERROR(G181*LOG(G181,2),0)+IFERROR(G182*LOG(G182,2),0))</f>
        <v/>
      </c>
      <c r="J183" s="17" t="inlineStr">
        <is>
          <t>kiri</t>
        </is>
      </c>
      <c r="K183" s="17" t="inlineStr">
        <is>
          <t>Entropy</t>
        </is>
      </c>
      <c r="L183" s="17">
        <f>-(IFERROR(L180*LOG(L180,2),0)+IFERROR(L181*LOG(L181,2),0)+IFERROR(L182*LOG(L182,2),0))</f>
        <v/>
      </c>
      <c r="O183" s="17" t="inlineStr">
        <is>
          <t>kanan</t>
        </is>
      </c>
      <c r="P183" s="17" t="inlineStr">
        <is>
          <t>Entropy</t>
        </is>
      </c>
      <c r="Q183" s="17">
        <f>-(IFERROR(Q180*LOG(Q180,2),0)+IFERROR(Q181*LOG(Q181,2),0)+IFERROR(Q182*LOG(Q182,2),0))</f>
        <v/>
      </c>
      <c r="T183" s="17" t="inlineStr">
        <is>
          <t>tengah</t>
        </is>
      </c>
      <c r="U183" s="17" t="inlineStr">
        <is>
          <t>Entropy</t>
        </is>
      </c>
      <c r="V183" s="17">
        <f>-(IFERROR(V180*LOG(V180,2),0)+IFERROR(V181*LOG(V181,2),0)+IFERROR(V182*LOG(V182,2),0))</f>
        <v/>
      </c>
    </row>
    <row r="184" s="1">
      <c r="E184" s="17" t="inlineStr">
        <is>
          <t>tengah</t>
        </is>
      </c>
      <c r="F184" s="17" t="n"/>
      <c r="G184" s="17">
        <f>SUM(F180:F182)/163</f>
        <v/>
      </c>
      <c r="J184" s="17" t="inlineStr">
        <is>
          <t>tengah</t>
        </is>
      </c>
      <c r="K184" s="17" t="n"/>
      <c r="L184" s="17">
        <f>SUM(K180:K182)/163</f>
        <v/>
      </c>
      <c r="O184" s="17" t="inlineStr">
        <is>
          <t>kanan</t>
        </is>
      </c>
      <c r="P184" s="17" t="n"/>
      <c r="Q184" s="17">
        <f>SUM(P180:P182)/163</f>
        <v/>
      </c>
      <c r="T184" s="17" t="inlineStr">
        <is>
          <t>tengah</t>
        </is>
      </c>
      <c r="U184" s="17" t="n"/>
      <c r="V184" s="17">
        <f>SUM(U180:U182)/163</f>
        <v/>
      </c>
    </row>
    <row r="185" s="1">
      <c r="E185" s="17" t="inlineStr">
        <is>
          <t>tengah</t>
        </is>
      </c>
      <c r="F185" s="17" t="n"/>
      <c r="G185" s="23">
        <f>G183*G184</f>
        <v/>
      </c>
      <c r="J185" s="17" t="inlineStr">
        <is>
          <t>tengah</t>
        </is>
      </c>
      <c r="K185" s="17" t="n"/>
      <c r="L185" s="23">
        <f>L183*L184</f>
        <v/>
      </c>
      <c r="O185" s="17" t="inlineStr">
        <is>
          <t>kiri</t>
        </is>
      </c>
      <c r="P185" s="17" t="n"/>
      <c r="Q185" s="23">
        <f>Q183*Q184</f>
        <v/>
      </c>
      <c r="T185" s="17" t="inlineStr">
        <is>
          <t>kanan</t>
        </is>
      </c>
      <c r="U185" s="17" t="n"/>
      <c r="V185" s="23">
        <f>V183*V184</f>
        <v/>
      </c>
    </row>
    <row r="186" s="1">
      <c r="E186" s="17" t="inlineStr">
        <is>
          <t>kiri</t>
        </is>
      </c>
      <c r="F186" s="17" t="n"/>
      <c r="G186" s="17" t="n"/>
      <c r="J186" s="17" t="inlineStr">
        <is>
          <t>tengah</t>
        </is>
      </c>
      <c r="K186" s="17" t="n"/>
      <c r="L186" s="17" t="n"/>
      <c r="O186" s="17" t="inlineStr">
        <is>
          <t>kiri</t>
        </is>
      </c>
      <c r="P186" s="17" t="n"/>
      <c r="Q186" s="17" t="n"/>
      <c r="T186" s="17" t="inlineStr">
        <is>
          <t>tengah</t>
        </is>
      </c>
      <c r="U186" s="17" t="n"/>
      <c r="V186" s="17" t="n"/>
    </row>
    <row r="187" s="1">
      <c r="E187" s="17" t="inlineStr">
        <is>
          <t>kiri</t>
        </is>
      </c>
      <c r="F187" s="17" t="n"/>
      <c r="G187" s="17" t="n"/>
      <c r="J187" s="17" t="inlineStr">
        <is>
          <t>tengah</t>
        </is>
      </c>
      <c r="K187" s="17" t="n"/>
      <c r="L187" s="17" t="n"/>
      <c r="O187" s="17" t="inlineStr">
        <is>
          <t>kanan</t>
        </is>
      </c>
      <c r="P187" s="17" t="n"/>
      <c r="Q187" s="17" t="n"/>
      <c r="T187" s="17" t="inlineStr">
        <is>
          <t>kanan</t>
        </is>
      </c>
      <c r="U187" s="17" t="n"/>
      <c r="V187" s="17" t="n"/>
    </row>
    <row r="188" s="1">
      <c r="E188" s="17" t="inlineStr">
        <is>
          <t>tengah</t>
        </is>
      </c>
      <c r="F188" s="17" t="inlineStr">
        <is>
          <t>Tengah</t>
        </is>
      </c>
      <c r="G188" s="17" t="n"/>
      <c r="J188" s="17" t="inlineStr">
        <is>
          <t>tengah</t>
        </is>
      </c>
      <c r="K188" s="17" t="inlineStr">
        <is>
          <t>Tengah</t>
        </is>
      </c>
      <c r="L188" s="17" t="n"/>
      <c r="O188" s="17" t="inlineStr">
        <is>
          <t>tengah</t>
        </is>
      </c>
      <c r="P188" s="17" t="inlineStr">
        <is>
          <t>Tengah</t>
        </is>
      </c>
      <c r="Q188" s="17" t="n"/>
      <c r="T188" s="17" t="inlineStr">
        <is>
          <t>kanan</t>
        </is>
      </c>
      <c r="U188" s="17" t="inlineStr">
        <is>
          <t>Tengah</t>
        </is>
      </c>
      <c r="V188" s="17" t="n"/>
    </row>
    <row r="189" s="1">
      <c r="E189" s="17" t="inlineStr">
        <is>
          <t>tengah</t>
        </is>
      </c>
      <c r="F189" s="17">
        <f>COUNTIFS($E$170:$E$332,"Tengah",$M$2:$M$164,"Tinggi")</f>
        <v/>
      </c>
      <c r="G189" s="17">
        <f>F189/85</f>
        <v/>
      </c>
      <c r="J189" s="17" t="inlineStr">
        <is>
          <t>kiri</t>
        </is>
      </c>
      <c r="K189" s="17">
        <f>COUNTIFS($J$170:$J$332,"Tengah",$M$2:$M$164,"Tinggi")</f>
        <v/>
      </c>
      <c r="L189" s="17">
        <f>K189/99</f>
        <v/>
      </c>
      <c r="O189" s="17" t="inlineStr">
        <is>
          <t>kiri</t>
        </is>
      </c>
      <c r="P189" s="17">
        <f>COUNTIFS($O$170:$O$332,"Tengah",$M$2:$M$164,"Tinggi")</f>
        <v/>
      </c>
      <c r="Q189" s="17">
        <f>P189/93</f>
        <v/>
      </c>
      <c r="T189" s="17" t="inlineStr">
        <is>
          <t>tengah</t>
        </is>
      </c>
      <c r="U189" s="17">
        <f>COUNTIFS($T$170:$T$332,"Tengah",$M$2:$M$164,"Tinggi")</f>
        <v/>
      </c>
      <c r="V189" s="17">
        <f>U189/68</f>
        <v/>
      </c>
    </row>
    <row r="190" s="1">
      <c r="E190" s="17" t="inlineStr">
        <is>
          <t>tengah</t>
        </is>
      </c>
      <c r="F190" s="17">
        <f>COUNTIFS($E$170:$E$332,"Tengah",$M$2:$M$164,"Sedang")</f>
        <v/>
      </c>
      <c r="G190" s="17">
        <f>F190/85</f>
        <v/>
      </c>
      <c r="J190" s="17" t="inlineStr">
        <is>
          <t>kanan</t>
        </is>
      </c>
      <c r="K190" s="17">
        <f>COUNTIFS($J$170:$J$332,"Tengah",$M$2:$M$164,"Sedang")</f>
        <v/>
      </c>
      <c r="L190" s="17">
        <f>K190/99</f>
        <v/>
      </c>
      <c r="O190" s="17" t="inlineStr">
        <is>
          <t>tengah</t>
        </is>
      </c>
      <c r="P190" s="17">
        <f>COUNTIFS($O$170:$O$332,"Tengah",$M$2:$M$164,"Sedang")</f>
        <v/>
      </c>
      <c r="Q190" s="17">
        <f>P190/93</f>
        <v/>
      </c>
      <c r="T190" s="17" t="inlineStr">
        <is>
          <t>tengah</t>
        </is>
      </c>
      <c r="U190" s="17">
        <f>COUNTIFS($T$170:$T$332,"Tengah",$M$2:$M$164,"Sedang")</f>
        <v/>
      </c>
      <c r="V190" s="17">
        <f>U190/68</f>
        <v/>
      </c>
    </row>
    <row r="191" s="1">
      <c r="E191" s="17" t="inlineStr">
        <is>
          <t>tengah</t>
        </is>
      </c>
      <c r="F191" s="17">
        <f>COUNTIFS($E$170:$E$332,"Tengah",$M$2:$M$164,"Rendah")</f>
        <v/>
      </c>
      <c r="G191" s="17">
        <f>F191/85</f>
        <v/>
      </c>
      <c r="J191" s="17" t="inlineStr">
        <is>
          <t>kiri</t>
        </is>
      </c>
      <c r="K191" s="17">
        <f>COUNTIFS($J$170:$J$332,"Tengah",$M$2:$M$164,"Rendah")</f>
        <v/>
      </c>
      <c r="L191" s="17">
        <f>K191/99</f>
        <v/>
      </c>
      <c r="O191" s="17" t="inlineStr">
        <is>
          <t>kiri</t>
        </is>
      </c>
      <c r="P191" s="17">
        <f>COUNTIFS($O$170:$O$332,"Tengah",$M$2:$M$164,"Rendah")</f>
        <v/>
      </c>
      <c r="Q191" s="17">
        <f>P191/93</f>
        <v/>
      </c>
      <c r="T191" s="17" t="inlineStr">
        <is>
          <t>tengah</t>
        </is>
      </c>
      <c r="U191" s="17">
        <f>COUNTIFS($T$170:$T$332,"Tengah",$M$2:$M$164,"Rendah")</f>
        <v/>
      </c>
      <c r="V191" s="17">
        <f>U191/68</f>
        <v/>
      </c>
    </row>
    <row r="192" s="1">
      <c r="E192" s="17" t="inlineStr">
        <is>
          <t>kiri</t>
        </is>
      </c>
      <c r="F192" s="17" t="inlineStr">
        <is>
          <t>Entropy</t>
        </is>
      </c>
      <c r="G192" s="17">
        <f>-(IFERROR(G189*LOG(G189,2),0)+IFERROR(G190*LOG(G190,2),0)+IFERROR(G191*LOG(G191,2),0))</f>
        <v/>
      </c>
      <c r="J192" s="17" t="inlineStr">
        <is>
          <t>kiri</t>
        </is>
      </c>
      <c r="K192" s="17" t="inlineStr">
        <is>
          <t>Entropy</t>
        </is>
      </c>
      <c r="L192" s="17">
        <f>-(IFERROR(L189*LOG(L189,2),0)+IFERROR(L190*LOG(L190,2),0)+IFERROR(L191*LOG(L191,2),0))</f>
        <v/>
      </c>
      <c r="O192" s="17" t="inlineStr">
        <is>
          <t>tengah</t>
        </is>
      </c>
      <c r="P192" s="17" t="inlineStr">
        <is>
          <t>Entropy</t>
        </is>
      </c>
      <c r="Q192" s="17">
        <f>-(IFERROR(Q189*LOG(Q189,2),0)+IFERROR(Q190*LOG(Q190,2),0)+IFERROR(Q191*LOG(Q191,2),0))</f>
        <v/>
      </c>
      <c r="T192" s="17" t="inlineStr">
        <is>
          <t>kanan</t>
        </is>
      </c>
      <c r="U192" s="17" t="inlineStr">
        <is>
          <t>Entropy</t>
        </is>
      </c>
      <c r="V192" s="17">
        <f>-(IFERROR(V189*LOG(V189,2),0)+IFERROR(V190*LOG(V190,2),0)+IFERROR(V191*LOG(V191,2),0))</f>
        <v/>
      </c>
    </row>
    <row r="193" s="1">
      <c r="E193" s="17" t="inlineStr">
        <is>
          <t>kiri</t>
        </is>
      </c>
      <c r="F193" s="17" t="n"/>
      <c r="G193" s="17">
        <f>SUM(F189:F191)/163</f>
        <v/>
      </c>
      <c r="J193" s="17" t="inlineStr">
        <is>
          <t>tengah</t>
        </is>
      </c>
      <c r="K193" s="17" t="n"/>
      <c r="L193" s="17">
        <f>SUM(K189:K191)/163</f>
        <v/>
      </c>
      <c r="O193" s="17" t="inlineStr">
        <is>
          <t>tengah</t>
        </is>
      </c>
      <c r="P193" s="17" t="n"/>
      <c r="Q193" s="17">
        <f>SUM(P189:P191)/163</f>
        <v/>
      </c>
      <c r="T193" s="17" t="inlineStr">
        <is>
          <t>tengah</t>
        </is>
      </c>
      <c r="U193" s="17" t="n"/>
      <c r="V193" s="17">
        <f>SUM(U189:U191)/163</f>
        <v/>
      </c>
    </row>
    <row r="194" s="1">
      <c r="E194" s="17" t="inlineStr">
        <is>
          <t>tengah</t>
        </is>
      </c>
      <c r="F194" s="17" t="n"/>
      <c r="G194" s="23">
        <f>G192*G193</f>
        <v/>
      </c>
      <c r="J194" s="17" t="inlineStr">
        <is>
          <t>tengah</t>
        </is>
      </c>
      <c r="K194" s="17" t="n"/>
      <c r="L194" s="23">
        <f>L192*L193</f>
        <v/>
      </c>
      <c r="O194" s="17" t="inlineStr">
        <is>
          <t>tengah</t>
        </is>
      </c>
      <c r="P194" s="17" t="n"/>
      <c r="Q194" s="23">
        <f>Q192*Q193</f>
        <v/>
      </c>
      <c r="T194" s="17" t="inlineStr">
        <is>
          <t>tengah</t>
        </is>
      </c>
      <c r="U194" s="17" t="n"/>
      <c r="V194" s="23">
        <f>V192*V193</f>
        <v/>
      </c>
    </row>
    <row r="195" s="1">
      <c r="E195" s="17" t="inlineStr">
        <is>
          <t>tengah</t>
        </is>
      </c>
      <c r="F195" s="17" t="n"/>
      <c r="G195" s="17" t="n"/>
      <c r="J195" s="17" t="inlineStr">
        <is>
          <t>tengah</t>
        </is>
      </c>
      <c r="K195" s="17" t="n"/>
      <c r="L195" s="17" t="n"/>
      <c r="O195" s="17" t="inlineStr">
        <is>
          <t>kiri</t>
        </is>
      </c>
      <c r="P195" s="17" t="n"/>
      <c r="Q195" s="17" t="n"/>
      <c r="T195" s="17" t="inlineStr">
        <is>
          <t>kanan</t>
        </is>
      </c>
      <c r="U195" s="17" t="n"/>
      <c r="V195" s="17" t="n"/>
    </row>
    <row r="196" s="1">
      <c r="E196" s="17" t="inlineStr">
        <is>
          <t>tengah</t>
        </is>
      </c>
      <c r="F196" s="17" t="inlineStr">
        <is>
          <t>IG</t>
        </is>
      </c>
      <c r="G196" s="17" t="n"/>
      <c r="J196" s="17" t="inlineStr">
        <is>
          <t>kanan</t>
        </is>
      </c>
      <c r="K196" s="17" t="inlineStr">
        <is>
          <t>IG</t>
        </is>
      </c>
      <c r="L196" s="17" t="n"/>
      <c r="O196" s="17" t="inlineStr">
        <is>
          <t>tengah</t>
        </is>
      </c>
      <c r="P196" s="17" t="inlineStr">
        <is>
          <t>IG</t>
        </is>
      </c>
      <c r="Q196" s="17" t="n"/>
      <c r="T196" s="17" t="inlineStr">
        <is>
          <t>tengah</t>
        </is>
      </c>
      <c r="U196" s="17" t="inlineStr">
        <is>
          <t>IG</t>
        </is>
      </c>
      <c r="V196" s="17" t="n"/>
    </row>
    <row r="197" s="1">
      <c r="E197" s="17" t="inlineStr">
        <is>
          <t>tengah</t>
        </is>
      </c>
      <c r="F197" s="24">
        <f>P5-(G176+G185+G194)</f>
        <v/>
      </c>
      <c r="G197" s="17" t="n"/>
      <c r="J197" s="17" t="inlineStr">
        <is>
          <t>tengah</t>
        </is>
      </c>
      <c r="K197" s="24">
        <f>P5-(L176+L185+L194)</f>
        <v/>
      </c>
      <c r="L197" s="17" t="n"/>
      <c r="O197" s="17" t="inlineStr">
        <is>
          <t>tengah</t>
        </is>
      </c>
      <c r="P197" s="24">
        <f>P5-(Q176+Q185+Q194)</f>
        <v/>
      </c>
      <c r="Q197" s="17" t="n"/>
      <c r="T197" s="17" t="inlineStr">
        <is>
          <t>kanan</t>
        </is>
      </c>
      <c r="U197" s="24">
        <f>P5-(V176+V185+V194)</f>
        <v/>
      </c>
      <c r="V197" s="17" t="n"/>
    </row>
    <row r="198" s="1">
      <c r="E198" s="17" t="inlineStr">
        <is>
          <t>tengah</t>
        </is>
      </c>
      <c r="F198" s="17" t="n"/>
      <c r="G198" s="17" t="n"/>
      <c r="J198" s="17" t="inlineStr">
        <is>
          <t>tengah</t>
        </is>
      </c>
      <c r="K198" s="17" t="n"/>
      <c r="L198" s="17" t="n"/>
      <c r="O198" s="17" t="inlineStr">
        <is>
          <t>tengah</t>
        </is>
      </c>
      <c r="P198" s="17" t="n"/>
      <c r="Q198" s="17" t="n"/>
      <c r="T198" s="17" t="inlineStr">
        <is>
          <t>tengah</t>
        </is>
      </c>
      <c r="U198" s="17" t="n"/>
      <c r="V198" s="17" t="n"/>
    </row>
    <row r="199" s="1">
      <c r="E199" s="17" t="inlineStr">
        <is>
          <t>tengah</t>
        </is>
      </c>
      <c r="F199" s="17" t="n"/>
      <c r="G199" s="17" t="n"/>
      <c r="J199" s="17" t="inlineStr">
        <is>
          <t>tengah</t>
        </is>
      </c>
      <c r="K199" s="17" t="n"/>
      <c r="L199" s="17" t="n"/>
      <c r="O199" s="17" t="inlineStr">
        <is>
          <t>tengah</t>
        </is>
      </c>
      <c r="P199" s="17" t="n"/>
      <c r="Q199" s="17" t="n"/>
      <c r="T199" s="17" t="inlineStr">
        <is>
          <t>tengah</t>
        </is>
      </c>
      <c r="U199" s="17" t="n"/>
      <c r="V199" s="17" t="n"/>
    </row>
    <row r="200" s="1">
      <c r="E200" s="17" t="inlineStr">
        <is>
          <t>kanan</t>
        </is>
      </c>
      <c r="F200" s="17" t="n"/>
      <c r="G200" s="17" t="n"/>
      <c r="J200" s="17" t="inlineStr">
        <is>
          <t>kiri</t>
        </is>
      </c>
      <c r="K200" s="17" t="n"/>
      <c r="L200" s="17" t="n"/>
      <c r="O200" s="17" t="inlineStr">
        <is>
          <t>kanan</t>
        </is>
      </c>
      <c r="P200" s="17" t="n"/>
      <c r="Q200" s="17" t="n"/>
      <c r="T200" s="17" t="inlineStr">
        <is>
          <t>kanan</t>
        </is>
      </c>
      <c r="U200" s="17" t="n"/>
      <c r="V200" s="17" t="n"/>
    </row>
    <row r="201" s="1">
      <c r="E201" s="17" t="inlineStr">
        <is>
          <t>tengah</t>
        </is>
      </c>
      <c r="F201" s="17" t="n"/>
      <c r="G201" s="17" t="n"/>
      <c r="J201" s="17" t="inlineStr">
        <is>
          <t>tengah</t>
        </is>
      </c>
      <c r="K201" s="17" t="n"/>
      <c r="L201" s="17" t="n"/>
      <c r="O201" s="17" t="inlineStr">
        <is>
          <t>tengah</t>
        </is>
      </c>
      <c r="P201" s="17" t="n"/>
      <c r="Q201" s="17" t="n"/>
      <c r="T201" s="17" t="inlineStr">
        <is>
          <t>kanan</t>
        </is>
      </c>
      <c r="U201" s="17" t="n"/>
      <c r="V201" s="17" t="n"/>
    </row>
    <row r="202" s="1">
      <c r="E202" s="17" t="inlineStr">
        <is>
          <t>kiri</t>
        </is>
      </c>
      <c r="F202" s="17" t="n"/>
      <c r="G202" s="17" t="n"/>
      <c r="J202" s="17" t="inlineStr">
        <is>
          <t>tengah</t>
        </is>
      </c>
      <c r="K202" s="17" t="n"/>
      <c r="L202" s="17" t="n"/>
      <c r="O202" s="17" t="inlineStr">
        <is>
          <t>tengah</t>
        </is>
      </c>
      <c r="P202" s="17" t="n"/>
      <c r="Q202" s="17" t="n"/>
      <c r="T202" s="17" t="inlineStr">
        <is>
          <t>kanan</t>
        </is>
      </c>
      <c r="U202" s="17" t="n"/>
      <c r="V202" s="17" t="n"/>
    </row>
    <row r="203" s="1">
      <c r="E203" s="17" t="inlineStr">
        <is>
          <t>kiri</t>
        </is>
      </c>
      <c r="F203" s="17" t="n"/>
      <c r="G203" s="17" t="n"/>
      <c r="J203" s="17" t="inlineStr">
        <is>
          <t>kiri</t>
        </is>
      </c>
      <c r="K203" s="17" t="n"/>
      <c r="L203" s="17" t="n"/>
      <c r="O203" s="17" t="inlineStr">
        <is>
          <t>kanan</t>
        </is>
      </c>
      <c r="P203" s="17" t="n"/>
      <c r="Q203" s="17" t="n"/>
      <c r="T203" s="17" t="inlineStr">
        <is>
          <t>tengah</t>
        </is>
      </c>
      <c r="U203" s="17" t="n"/>
      <c r="V203" s="17" t="n"/>
    </row>
    <row r="204" s="1">
      <c r="E204" s="17" t="inlineStr">
        <is>
          <t>tengah</t>
        </is>
      </c>
      <c r="F204" s="17" t="n"/>
      <c r="G204" s="17" t="n"/>
      <c r="J204" s="17" t="inlineStr">
        <is>
          <t>kiri</t>
        </is>
      </c>
      <c r="K204" s="17" t="n"/>
      <c r="L204" s="17" t="n"/>
      <c r="O204" s="17" t="inlineStr">
        <is>
          <t>tengah</t>
        </is>
      </c>
      <c r="P204" s="17" t="n"/>
      <c r="Q204" s="17" t="n"/>
      <c r="T204" s="17" t="inlineStr">
        <is>
          <t>kanan</t>
        </is>
      </c>
      <c r="U204" s="17" t="n"/>
      <c r="V204" s="17" t="n"/>
    </row>
    <row r="205" s="1">
      <c r="E205" s="17" t="inlineStr">
        <is>
          <t>kanan</t>
        </is>
      </c>
      <c r="F205" s="17" t="n"/>
      <c r="G205" s="17" t="n"/>
      <c r="J205" s="17" t="inlineStr">
        <is>
          <t>kiri</t>
        </is>
      </c>
      <c r="K205" s="17" t="n"/>
      <c r="L205" s="17" t="n"/>
      <c r="O205" s="17" t="inlineStr">
        <is>
          <t>tengah</t>
        </is>
      </c>
      <c r="P205" s="17" t="n"/>
      <c r="Q205" s="17" t="n"/>
      <c r="T205" s="17" t="inlineStr">
        <is>
          <t>tengah</t>
        </is>
      </c>
      <c r="U205" s="17" t="n"/>
      <c r="V205" s="17" t="n"/>
    </row>
    <row r="206" s="1">
      <c r="E206" s="17" t="inlineStr">
        <is>
          <t>kanan</t>
        </is>
      </c>
      <c r="F206" s="17" t="n"/>
      <c r="G206" s="17" t="n"/>
      <c r="J206" s="17" t="inlineStr">
        <is>
          <t>kiri</t>
        </is>
      </c>
      <c r="K206" s="17" t="n"/>
      <c r="L206" s="17" t="n"/>
      <c r="O206" s="17" t="inlineStr">
        <is>
          <t>tengah</t>
        </is>
      </c>
      <c r="P206" s="17" t="n"/>
      <c r="Q206" s="17" t="n"/>
      <c r="T206" s="17" t="inlineStr">
        <is>
          <t>tengah</t>
        </is>
      </c>
      <c r="U206" s="17" t="n"/>
      <c r="V206" s="17" t="n"/>
    </row>
    <row r="207" s="1">
      <c r="E207" s="17" t="inlineStr">
        <is>
          <t>kiri</t>
        </is>
      </c>
      <c r="F207" s="17" t="n"/>
      <c r="G207" s="17" t="n"/>
      <c r="J207" s="17" t="inlineStr">
        <is>
          <t>kanan</t>
        </is>
      </c>
      <c r="K207" s="17" t="n"/>
      <c r="L207" s="17" t="n"/>
      <c r="O207" s="17" t="inlineStr">
        <is>
          <t>tengah</t>
        </is>
      </c>
      <c r="P207" s="17" t="n"/>
      <c r="Q207" s="17" t="n"/>
      <c r="T207" s="17" t="inlineStr">
        <is>
          <t>kanan</t>
        </is>
      </c>
      <c r="U207" s="17" t="n"/>
      <c r="V207" s="17" t="n"/>
    </row>
    <row r="208" s="1">
      <c r="E208" s="17" t="inlineStr">
        <is>
          <t>tengah</t>
        </is>
      </c>
      <c r="F208" s="17" t="n"/>
      <c r="G208" s="17" t="n"/>
      <c r="J208" s="17" t="inlineStr">
        <is>
          <t>kiri</t>
        </is>
      </c>
      <c r="K208" s="17" t="n"/>
      <c r="L208" s="17" t="n"/>
      <c r="O208" s="17" t="inlineStr">
        <is>
          <t>kanan</t>
        </is>
      </c>
      <c r="P208" s="17" t="n"/>
      <c r="Q208" s="17" t="n"/>
      <c r="T208" s="17" t="inlineStr">
        <is>
          <t>tengah</t>
        </is>
      </c>
      <c r="U208" s="17" t="n"/>
      <c r="V208" s="17" t="n"/>
    </row>
    <row r="209" s="1">
      <c r="E209" s="17" t="inlineStr">
        <is>
          <t>kiri</t>
        </is>
      </c>
      <c r="F209" s="17" t="n"/>
      <c r="G209" s="17" t="n"/>
      <c r="J209" s="17" t="inlineStr">
        <is>
          <t>kiri</t>
        </is>
      </c>
      <c r="K209" s="17" t="n"/>
      <c r="L209" s="17" t="n"/>
      <c r="O209" s="17" t="inlineStr">
        <is>
          <t>tengah</t>
        </is>
      </c>
      <c r="P209" s="17" t="n"/>
      <c r="Q209" s="17" t="n"/>
      <c r="T209" s="17" t="inlineStr">
        <is>
          <t>tengah</t>
        </is>
      </c>
      <c r="U209" s="17" t="n"/>
      <c r="V209" s="17" t="n"/>
    </row>
    <row r="210" s="1">
      <c r="E210" s="17" t="inlineStr">
        <is>
          <t>tengah</t>
        </is>
      </c>
      <c r="F210" s="17" t="n"/>
      <c r="G210" s="17" t="n"/>
      <c r="J210" s="17" t="inlineStr">
        <is>
          <t>kanan</t>
        </is>
      </c>
      <c r="K210" s="17" t="n"/>
      <c r="L210" s="17" t="n"/>
      <c r="O210" s="17" t="inlineStr">
        <is>
          <t>kiri</t>
        </is>
      </c>
      <c r="P210" s="17" t="n"/>
      <c r="Q210" s="17" t="n"/>
      <c r="T210" s="17" t="inlineStr">
        <is>
          <t>tengah</t>
        </is>
      </c>
      <c r="U210" s="17" t="n"/>
      <c r="V210" s="17" t="n"/>
    </row>
    <row r="211" s="1">
      <c r="E211" s="17" t="inlineStr">
        <is>
          <t>kanan</t>
        </is>
      </c>
      <c r="F211" s="17" t="n"/>
      <c r="G211" s="17" t="n"/>
      <c r="J211" s="17" t="inlineStr">
        <is>
          <t>tengah</t>
        </is>
      </c>
      <c r="K211" s="17" t="n"/>
      <c r="L211" s="17" t="n"/>
      <c r="O211" s="17" t="inlineStr">
        <is>
          <t>tengah</t>
        </is>
      </c>
      <c r="P211" s="17" t="n"/>
      <c r="Q211" s="17" t="n"/>
      <c r="T211" s="17" t="inlineStr">
        <is>
          <t>tengah</t>
        </is>
      </c>
      <c r="U211" s="17" t="n"/>
      <c r="V211" s="17" t="n"/>
    </row>
    <row r="212" s="1">
      <c r="E212" s="17" t="inlineStr">
        <is>
          <t>kanan</t>
        </is>
      </c>
      <c r="F212" s="17" t="n"/>
      <c r="G212" s="17" t="n"/>
      <c r="J212" s="17" t="inlineStr">
        <is>
          <t>kanan</t>
        </is>
      </c>
      <c r="K212" s="17" t="n"/>
      <c r="L212" s="17" t="n"/>
      <c r="O212" s="17" t="inlineStr">
        <is>
          <t>tengah</t>
        </is>
      </c>
      <c r="P212" s="17" t="n"/>
      <c r="Q212" s="17" t="n"/>
      <c r="T212" s="17" t="inlineStr">
        <is>
          <t>kanan</t>
        </is>
      </c>
      <c r="U212" s="17" t="n"/>
      <c r="V212" s="17" t="n"/>
    </row>
    <row r="213" s="1">
      <c r="E213" s="17" t="inlineStr">
        <is>
          <t>tengah</t>
        </is>
      </c>
      <c r="F213" s="17" t="n"/>
      <c r="G213" s="17" t="n"/>
      <c r="J213" s="17" t="inlineStr">
        <is>
          <t>kanan</t>
        </is>
      </c>
      <c r="K213" s="17" t="n"/>
      <c r="L213" s="17" t="n"/>
      <c r="O213" s="17" t="inlineStr">
        <is>
          <t>tengah</t>
        </is>
      </c>
      <c r="P213" s="17" t="n"/>
      <c r="Q213" s="17" t="n"/>
      <c r="T213" s="17" t="inlineStr">
        <is>
          <t>tengah</t>
        </is>
      </c>
      <c r="U213" s="17" t="n"/>
      <c r="V213" s="17" t="n"/>
    </row>
    <row r="214" s="1">
      <c r="E214" s="17" t="inlineStr">
        <is>
          <t>kiri</t>
        </is>
      </c>
      <c r="F214" s="17" t="n"/>
      <c r="G214" s="17" t="n"/>
      <c r="J214" s="17" t="inlineStr">
        <is>
          <t>kanan</t>
        </is>
      </c>
      <c r="K214" s="17" t="n"/>
      <c r="L214" s="17" t="n"/>
      <c r="O214" s="17" t="inlineStr">
        <is>
          <t>kiri</t>
        </is>
      </c>
      <c r="P214" s="17" t="n"/>
      <c r="Q214" s="17" t="n"/>
      <c r="T214" s="17" t="inlineStr">
        <is>
          <t>kanan</t>
        </is>
      </c>
      <c r="U214" s="17" t="n"/>
      <c r="V214" s="17" t="n"/>
    </row>
    <row r="215" s="1">
      <c r="E215" s="17" t="inlineStr">
        <is>
          <t>kiri</t>
        </is>
      </c>
      <c r="F215" s="17" t="n"/>
      <c r="G215" s="17" t="n"/>
      <c r="J215" s="17" t="inlineStr">
        <is>
          <t>kiri</t>
        </is>
      </c>
      <c r="K215" s="17" t="n"/>
      <c r="L215" s="17" t="n"/>
      <c r="O215" s="17" t="inlineStr">
        <is>
          <t>tengah</t>
        </is>
      </c>
      <c r="P215" s="17" t="n"/>
      <c r="Q215" s="17" t="n"/>
      <c r="T215" s="17" t="inlineStr">
        <is>
          <t>kanan</t>
        </is>
      </c>
      <c r="U215" s="17" t="n"/>
      <c r="V215" s="17" t="n"/>
    </row>
    <row r="216" s="1">
      <c r="E216" s="17" t="inlineStr">
        <is>
          <t>tengah</t>
        </is>
      </c>
      <c r="F216" s="17" t="n"/>
      <c r="G216" s="17" t="n"/>
      <c r="J216" s="17" t="inlineStr">
        <is>
          <t>tengah</t>
        </is>
      </c>
      <c r="K216" s="17" t="n"/>
      <c r="L216" s="17" t="n"/>
      <c r="O216" s="17" t="inlineStr">
        <is>
          <t>kiri</t>
        </is>
      </c>
      <c r="P216" s="17" t="n"/>
      <c r="Q216" s="17" t="n"/>
      <c r="T216" s="17" t="inlineStr">
        <is>
          <t>kanan</t>
        </is>
      </c>
      <c r="U216" s="17" t="n"/>
      <c r="V216" s="17" t="n"/>
    </row>
    <row r="217" s="1">
      <c r="E217" s="17" t="inlineStr">
        <is>
          <t>kanan</t>
        </is>
      </c>
      <c r="F217" s="17" t="n"/>
      <c r="G217" s="17" t="n"/>
      <c r="J217" s="17" t="inlineStr">
        <is>
          <t>tengah</t>
        </is>
      </c>
      <c r="K217" s="17" t="n"/>
      <c r="L217" s="17" t="n"/>
      <c r="O217" s="17" t="inlineStr">
        <is>
          <t>tengah</t>
        </is>
      </c>
      <c r="P217" s="17" t="n"/>
      <c r="Q217" s="17" t="n"/>
      <c r="T217" s="17" t="inlineStr">
        <is>
          <t>tengah</t>
        </is>
      </c>
      <c r="U217" s="17" t="n"/>
      <c r="V217" s="17" t="n"/>
    </row>
    <row r="218" s="1">
      <c r="E218" s="17" t="inlineStr">
        <is>
          <t>kiri</t>
        </is>
      </c>
      <c r="F218" s="17" t="n"/>
      <c r="G218" s="17" t="n"/>
      <c r="J218" s="17" t="inlineStr">
        <is>
          <t>kanan</t>
        </is>
      </c>
      <c r="K218" s="17" t="n"/>
      <c r="L218" s="17" t="n"/>
      <c r="O218" s="17" t="inlineStr">
        <is>
          <t>kiri</t>
        </is>
      </c>
      <c r="P218" s="17" t="n"/>
      <c r="Q218" s="17" t="n"/>
      <c r="T218" s="17" t="inlineStr">
        <is>
          <t>kanan</t>
        </is>
      </c>
      <c r="U218" s="17" t="n"/>
      <c r="V218" s="17" t="n"/>
    </row>
    <row r="219" s="1">
      <c r="E219" s="17" t="inlineStr">
        <is>
          <t>tengah</t>
        </is>
      </c>
      <c r="F219" s="17" t="n"/>
      <c r="G219" s="17" t="n"/>
      <c r="J219" s="17" t="inlineStr">
        <is>
          <t>tengah</t>
        </is>
      </c>
      <c r="K219" s="17" t="n"/>
      <c r="L219" s="17" t="n"/>
      <c r="O219" s="17" t="inlineStr">
        <is>
          <t>kanan</t>
        </is>
      </c>
      <c r="P219" s="17" t="n"/>
      <c r="Q219" s="17" t="n"/>
      <c r="T219" s="17" t="inlineStr">
        <is>
          <t>kanan</t>
        </is>
      </c>
      <c r="U219" s="17" t="n"/>
      <c r="V219" s="17" t="n"/>
    </row>
    <row r="220" s="1">
      <c r="E220" s="17" t="inlineStr">
        <is>
          <t>tengah</t>
        </is>
      </c>
      <c r="F220" s="17" t="n"/>
      <c r="G220" s="17" t="n"/>
      <c r="J220" s="17" t="inlineStr">
        <is>
          <t>tengah</t>
        </is>
      </c>
      <c r="K220" s="17" t="n"/>
      <c r="L220" s="17" t="n"/>
      <c r="O220" s="17" t="inlineStr">
        <is>
          <t>kiri</t>
        </is>
      </c>
      <c r="P220" s="17" t="n"/>
      <c r="Q220" s="17" t="n"/>
      <c r="T220" s="17" t="inlineStr">
        <is>
          <t>kanan</t>
        </is>
      </c>
      <c r="U220" s="17" t="n"/>
      <c r="V220" s="17" t="n"/>
    </row>
    <row r="221" s="1">
      <c r="E221" s="17" t="inlineStr">
        <is>
          <t>tengah</t>
        </is>
      </c>
      <c r="F221" s="17" t="n"/>
      <c r="G221" s="17" t="n"/>
      <c r="J221" s="17" t="inlineStr">
        <is>
          <t>tengah</t>
        </is>
      </c>
      <c r="K221" s="17" t="n"/>
      <c r="L221" s="17" t="n"/>
      <c r="O221" s="17" t="inlineStr">
        <is>
          <t>kiri</t>
        </is>
      </c>
      <c r="P221" s="17" t="n"/>
      <c r="Q221" s="17" t="n"/>
      <c r="T221" s="17" t="inlineStr">
        <is>
          <t>tengah</t>
        </is>
      </c>
      <c r="U221" s="17" t="n"/>
      <c r="V221" s="17" t="n"/>
    </row>
    <row r="222" s="1">
      <c r="E222" s="17" t="inlineStr">
        <is>
          <t>kiri</t>
        </is>
      </c>
      <c r="F222" s="17" t="n"/>
      <c r="G222" s="17" t="n"/>
      <c r="J222" s="17" t="inlineStr">
        <is>
          <t>tengah</t>
        </is>
      </c>
      <c r="K222" s="17" t="n"/>
      <c r="L222" s="17" t="n"/>
      <c r="O222" s="17" t="inlineStr">
        <is>
          <t>tengah</t>
        </is>
      </c>
      <c r="P222" s="17" t="n"/>
      <c r="Q222" s="17" t="n"/>
      <c r="T222" s="17" t="inlineStr">
        <is>
          <t>kanan</t>
        </is>
      </c>
      <c r="U222" s="17" t="n"/>
      <c r="V222" s="17" t="n"/>
    </row>
    <row r="223" s="1">
      <c r="E223" s="17" t="inlineStr">
        <is>
          <t>kiri</t>
        </is>
      </c>
      <c r="F223" s="17" t="n"/>
      <c r="G223" s="17" t="n"/>
      <c r="J223" s="17" t="inlineStr">
        <is>
          <t>kanan</t>
        </is>
      </c>
      <c r="K223" s="17" t="n"/>
      <c r="L223" s="17" t="n"/>
      <c r="O223" s="17" t="inlineStr">
        <is>
          <t>kiri</t>
        </is>
      </c>
      <c r="P223" s="17" t="n"/>
      <c r="Q223" s="17" t="n"/>
      <c r="T223" s="17" t="inlineStr">
        <is>
          <t>tengah</t>
        </is>
      </c>
      <c r="U223" s="17" t="n"/>
      <c r="V223" s="17" t="n"/>
    </row>
    <row r="224" s="1">
      <c r="E224" s="17" t="inlineStr">
        <is>
          <t>kiri</t>
        </is>
      </c>
      <c r="F224" s="17" t="n"/>
      <c r="G224" s="17" t="n"/>
      <c r="J224" s="17" t="inlineStr">
        <is>
          <t>kanan</t>
        </is>
      </c>
      <c r="K224" s="17" t="n"/>
      <c r="L224" s="17" t="n"/>
      <c r="O224" s="17" t="inlineStr">
        <is>
          <t>tengah</t>
        </is>
      </c>
      <c r="P224" s="17" t="n"/>
      <c r="Q224" s="17" t="n"/>
      <c r="T224" s="17" t="inlineStr">
        <is>
          <t>kanan</t>
        </is>
      </c>
      <c r="U224" s="17" t="n"/>
      <c r="V224" s="17" t="n"/>
    </row>
    <row r="225" s="1">
      <c r="E225" s="17" t="inlineStr">
        <is>
          <t>kiri</t>
        </is>
      </c>
      <c r="F225" s="17" t="n"/>
      <c r="G225" s="17" t="n"/>
      <c r="J225" s="17" t="inlineStr">
        <is>
          <t>tengah</t>
        </is>
      </c>
      <c r="K225" s="17" t="n"/>
      <c r="L225" s="17" t="n"/>
      <c r="O225" s="17" t="inlineStr">
        <is>
          <t>tengah</t>
        </is>
      </c>
      <c r="P225" s="17" t="n"/>
      <c r="Q225" s="17" t="n"/>
      <c r="T225" s="17" t="inlineStr">
        <is>
          <t>kanan</t>
        </is>
      </c>
      <c r="U225" s="17" t="n"/>
      <c r="V225" s="17" t="n"/>
    </row>
    <row r="226" s="1">
      <c r="E226" s="17" t="inlineStr">
        <is>
          <t>kanan</t>
        </is>
      </c>
      <c r="F226" s="17" t="n"/>
      <c r="G226" s="17" t="n"/>
      <c r="J226" s="17" t="inlineStr">
        <is>
          <t>tengah</t>
        </is>
      </c>
      <c r="K226" s="17" t="n"/>
      <c r="L226" s="17" t="n"/>
      <c r="O226" s="17" t="inlineStr">
        <is>
          <t>tengah</t>
        </is>
      </c>
      <c r="P226" s="17" t="n"/>
      <c r="Q226" s="17" t="n"/>
      <c r="T226" s="17" t="inlineStr">
        <is>
          <t>kanan</t>
        </is>
      </c>
      <c r="U226" s="17" t="n"/>
      <c r="V226" s="17" t="n"/>
    </row>
    <row r="227" s="1">
      <c r="E227" s="17" t="inlineStr">
        <is>
          <t>tengah</t>
        </is>
      </c>
      <c r="F227" s="17" t="n"/>
      <c r="G227" s="17" t="n"/>
      <c r="J227" s="17" t="inlineStr">
        <is>
          <t>kanan</t>
        </is>
      </c>
      <c r="K227" s="17" t="n"/>
      <c r="L227" s="17" t="n"/>
      <c r="O227" s="17" t="inlineStr">
        <is>
          <t>kanan</t>
        </is>
      </c>
      <c r="P227" s="17" t="n"/>
      <c r="Q227" s="17" t="n"/>
      <c r="T227" s="17" t="inlineStr">
        <is>
          <t>tengah</t>
        </is>
      </c>
      <c r="U227" s="17" t="n"/>
      <c r="V227" s="17" t="n"/>
    </row>
    <row r="228" s="1">
      <c r="E228" s="17" t="inlineStr">
        <is>
          <t>tengah</t>
        </is>
      </c>
      <c r="F228" s="17" t="n"/>
      <c r="G228" s="17" t="n"/>
      <c r="J228" s="17" t="inlineStr">
        <is>
          <t>tengah</t>
        </is>
      </c>
      <c r="K228" s="17" t="n"/>
      <c r="L228" s="17" t="n"/>
      <c r="O228" s="17" t="inlineStr">
        <is>
          <t>tengah</t>
        </is>
      </c>
      <c r="P228" s="17" t="n"/>
      <c r="Q228" s="17" t="n"/>
      <c r="T228" s="17" t="inlineStr">
        <is>
          <t>kanan</t>
        </is>
      </c>
      <c r="U228" s="17" t="n"/>
      <c r="V228" s="17" t="n"/>
    </row>
    <row r="229" s="1">
      <c r="E229" s="17" t="inlineStr">
        <is>
          <t>kanan</t>
        </is>
      </c>
      <c r="F229" s="17" t="n"/>
      <c r="G229" s="17" t="n"/>
      <c r="J229" s="17" t="inlineStr">
        <is>
          <t>tengah</t>
        </is>
      </c>
      <c r="K229" s="17" t="n"/>
      <c r="L229" s="17" t="n"/>
      <c r="O229" s="17" t="inlineStr">
        <is>
          <t>tengah</t>
        </is>
      </c>
      <c r="P229" s="17" t="n"/>
      <c r="Q229" s="17" t="n"/>
      <c r="T229" s="17" t="inlineStr">
        <is>
          <t>kanan</t>
        </is>
      </c>
      <c r="U229" s="17" t="n"/>
      <c r="V229" s="17" t="n"/>
    </row>
    <row r="230" s="1">
      <c r="E230" s="17" t="inlineStr">
        <is>
          <t>tengah</t>
        </is>
      </c>
      <c r="F230" s="17" t="n"/>
      <c r="G230" s="17" t="n"/>
      <c r="J230" s="17" t="inlineStr">
        <is>
          <t>kanan</t>
        </is>
      </c>
      <c r="K230" s="17" t="n"/>
      <c r="L230" s="17" t="n"/>
      <c r="O230" s="17" t="inlineStr">
        <is>
          <t>kiri</t>
        </is>
      </c>
      <c r="P230" s="17" t="n"/>
      <c r="Q230" s="17" t="n"/>
      <c r="T230" s="17" t="inlineStr">
        <is>
          <t>tengah</t>
        </is>
      </c>
      <c r="U230" s="17" t="n"/>
      <c r="V230" s="17" t="n"/>
    </row>
    <row r="231" s="1">
      <c r="E231" s="17" t="inlineStr">
        <is>
          <t>kiri</t>
        </is>
      </c>
      <c r="F231" s="17" t="n"/>
      <c r="G231" s="17" t="n"/>
      <c r="J231" s="17" t="inlineStr">
        <is>
          <t>tengah</t>
        </is>
      </c>
      <c r="K231" s="17" t="n"/>
      <c r="L231" s="17" t="n"/>
      <c r="O231" s="17" t="inlineStr">
        <is>
          <t>kiri</t>
        </is>
      </c>
      <c r="P231" s="17" t="n"/>
      <c r="Q231" s="17" t="n"/>
      <c r="T231" s="17" t="inlineStr">
        <is>
          <t>tengah</t>
        </is>
      </c>
      <c r="U231" s="17" t="n"/>
      <c r="V231" s="17" t="n"/>
    </row>
    <row r="232" s="1">
      <c r="E232" s="17" t="inlineStr">
        <is>
          <t>kanan</t>
        </is>
      </c>
      <c r="F232" s="17" t="n"/>
      <c r="G232" s="17" t="n"/>
      <c r="J232" s="17" t="inlineStr">
        <is>
          <t>kiri</t>
        </is>
      </c>
      <c r="K232" s="17" t="n"/>
      <c r="L232" s="17" t="n"/>
      <c r="O232" s="17" t="inlineStr">
        <is>
          <t>kanan</t>
        </is>
      </c>
      <c r="P232" s="17" t="n"/>
      <c r="Q232" s="17" t="n"/>
      <c r="T232" s="17" t="inlineStr">
        <is>
          <t>kanan</t>
        </is>
      </c>
      <c r="U232" s="17" t="n"/>
      <c r="V232" s="17" t="n"/>
    </row>
    <row r="233" s="1">
      <c r="E233" s="17" t="inlineStr">
        <is>
          <t>kanan</t>
        </is>
      </c>
      <c r="F233" s="17" t="n"/>
      <c r="G233" s="17" t="n"/>
      <c r="J233" s="17" t="inlineStr">
        <is>
          <t>tengah</t>
        </is>
      </c>
      <c r="K233" s="17" t="n"/>
      <c r="L233" s="17" t="n"/>
      <c r="O233" s="17" t="inlineStr">
        <is>
          <t>tengah</t>
        </is>
      </c>
      <c r="P233" s="17" t="n"/>
      <c r="Q233" s="17" t="n"/>
      <c r="T233" s="17" t="inlineStr">
        <is>
          <t>tengah</t>
        </is>
      </c>
      <c r="U233" s="17" t="n"/>
      <c r="V233" s="17" t="n"/>
    </row>
    <row r="234" s="1">
      <c r="E234" s="17" t="inlineStr">
        <is>
          <t>tengah</t>
        </is>
      </c>
      <c r="F234" s="17" t="n"/>
      <c r="G234" s="17" t="n"/>
      <c r="J234" s="17" t="inlineStr">
        <is>
          <t>kanan</t>
        </is>
      </c>
      <c r="K234" s="17" t="n"/>
      <c r="L234" s="17" t="n"/>
      <c r="O234" s="17" t="inlineStr">
        <is>
          <t>tengah</t>
        </is>
      </c>
      <c r="P234" s="17" t="n"/>
      <c r="Q234" s="17" t="n"/>
      <c r="T234" s="17" t="inlineStr">
        <is>
          <t>kanan</t>
        </is>
      </c>
      <c r="U234" s="17" t="n"/>
      <c r="V234" s="17" t="n"/>
    </row>
    <row r="235" s="1">
      <c r="E235" s="17" t="inlineStr">
        <is>
          <t>kiri</t>
        </is>
      </c>
      <c r="F235" s="17" t="n"/>
      <c r="G235" s="17" t="n"/>
      <c r="J235" s="17" t="inlineStr">
        <is>
          <t>tengah</t>
        </is>
      </c>
      <c r="K235" s="17" t="n"/>
      <c r="L235" s="17" t="n"/>
      <c r="O235" s="17" t="inlineStr">
        <is>
          <t>kanan</t>
        </is>
      </c>
      <c r="P235" s="17" t="n"/>
      <c r="Q235" s="17" t="n"/>
      <c r="T235" s="17" t="inlineStr">
        <is>
          <t>tengah</t>
        </is>
      </c>
      <c r="U235" s="17" t="n"/>
      <c r="V235" s="17" t="n"/>
    </row>
    <row r="236" s="1">
      <c r="E236" s="17" t="inlineStr">
        <is>
          <t>kanan</t>
        </is>
      </c>
      <c r="F236" s="17" t="n"/>
      <c r="G236" s="17" t="n"/>
      <c r="J236" s="17" t="inlineStr">
        <is>
          <t>kiri</t>
        </is>
      </c>
      <c r="K236" s="17" t="n"/>
      <c r="L236" s="17" t="n"/>
      <c r="O236" s="17" t="inlineStr">
        <is>
          <t>kanan</t>
        </is>
      </c>
      <c r="P236" s="17" t="n"/>
      <c r="Q236" s="17" t="n"/>
      <c r="T236" s="17" t="inlineStr">
        <is>
          <t>kanan</t>
        </is>
      </c>
      <c r="U236" s="17" t="n"/>
      <c r="V236" s="17" t="n"/>
    </row>
    <row r="237" s="1">
      <c r="E237" s="17" t="inlineStr">
        <is>
          <t>kanan</t>
        </is>
      </c>
      <c r="F237" s="17" t="n"/>
      <c r="G237" s="17" t="n"/>
      <c r="J237" s="17" t="inlineStr">
        <is>
          <t>tengah</t>
        </is>
      </c>
      <c r="K237" s="17" t="n"/>
      <c r="L237" s="17" t="n"/>
      <c r="O237" s="17" t="inlineStr">
        <is>
          <t>tengah</t>
        </is>
      </c>
      <c r="P237" s="17" t="n"/>
      <c r="Q237" s="17" t="n"/>
      <c r="T237" s="17" t="inlineStr">
        <is>
          <t>kanan</t>
        </is>
      </c>
      <c r="U237" s="17" t="n"/>
      <c r="V237" s="17" t="n"/>
    </row>
    <row r="238" s="1">
      <c r="E238" s="17" t="inlineStr">
        <is>
          <t>tengah</t>
        </is>
      </c>
      <c r="F238" s="17" t="n"/>
      <c r="G238" s="17" t="n"/>
      <c r="J238" s="17" t="inlineStr">
        <is>
          <t>tengah</t>
        </is>
      </c>
      <c r="K238" s="17" t="n"/>
      <c r="L238" s="17" t="n"/>
      <c r="O238" s="17" t="inlineStr">
        <is>
          <t>tengah</t>
        </is>
      </c>
      <c r="P238" s="17" t="n"/>
      <c r="Q238" s="17" t="n"/>
      <c r="T238" s="17" t="inlineStr">
        <is>
          <t>tengah</t>
        </is>
      </c>
      <c r="U238" s="17" t="n"/>
      <c r="V238" s="17" t="n"/>
    </row>
    <row r="239" s="1">
      <c r="E239" s="17" t="inlineStr">
        <is>
          <t>tengah</t>
        </is>
      </c>
      <c r="F239" s="17" t="n"/>
      <c r="G239" s="17" t="n"/>
      <c r="J239" s="17" t="inlineStr">
        <is>
          <t>kiri</t>
        </is>
      </c>
      <c r="K239" s="17" t="n"/>
      <c r="L239" s="17" t="n"/>
      <c r="O239" s="17" t="inlineStr">
        <is>
          <t>tengah</t>
        </is>
      </c>
      <c r="P239" s="17" t="n"/>
      <c r="Q239" s="17" t="n"/>
      <c r="T239" s="17" t="inlineStr">
        <is>
          <t>kanan</t>
        </is>
      </c>
      <c r="U239" s="17" t="n"/>
      <c r="V239" s="17" t="n"/>
    </row>
    <row r="240" s="1">
      <c r="E240" s="17" t="inlineStr">
        <is>
          <t>tengah</t>
        </is>
      </c>
      <c r="F240" s="17" t="n"/>
      <c r="G240" s="17" t="n"/>
      <c r="J240" s="17" t="inlineStr">
        <is>
          <t>tengah</t>
        </is>
      </c>
      <c r="K240" s="17" t="n"/>
      <c r="L240" s="17" t="n"/>
      <c r="O240" s="17" t="inlineStr">
        <is>
          <t>tengah</t>
        </is>
      </c>
      <c r="P240" s="17" t="n"/>
      <c r="Q240" s="17" t="n"/>
      <c r="T240" s="17" t="inlineStr">
        <is>
          <t>kanan</t>
        </is>
      </c>
      <c r="U240" s="17" t="n"/>
      <c r="V240" s="17" t="n"/>
    </row>
    <row r="241" s="1">
      <c r="E241" s="17" t="inlineStr">
        <is>
          <t>kiri</t>
        </is>
      </c>
      <c r="F241" s="17" t="n"/>
      <c r="G241" s="17" t="n"/>
      <c r="J241" s="17" t="inlineStr">
        <is>
          <t>tengah</t>
        </is>
      </c>
      <c r="K241" s="17" t="n"/>
      <c r="L241" s="17" t="n"/>
      <c r="O241" s="17" t="inlineStr">
        <is>
          <t>kanan</t>
        </is>
      </c>
      <c r="P241" s="17" t="n"/>
      <c r="Q241" s="17" t="n"/>
      <c r="T241" s="17" t="inlineStr">
        <is>
          <t>tengah</t>
        </is>
      </c>
      <c r="U241" s="17" t="n"/>
      <c r="V241" s="17" t="n"/>
    </row>
    <row r="242" s="1">
      <c r="E242" s="17" t="inlineStr">
        <is>
          <t>tengah</t>
        </is>
      </c>
      <c r="F242" s="17" t="n"/>
      <c r="G242" s="17" t="n"/>
      <c r="J242" s="17" t="inlineStr">
        <is>
          <t>kanan</t>
        </is>
      </c>
      <c r="K242" s="17" t="n"/>
      <c r="L242" s="17" t="n"/>
      <c r="O242" s="17" t="inlineStr">
        <is>
          <t>tengah</t>
        </is>
      </c>
      <c r="P242" s="17" t="n"/>
      <c r="Q242" s="17" t="n"/>
      <c r="T242" s="17" t="inlineStr">
        <is>
          <t>tengah</t>
        </is>
      </c>
      <c r="U242" s="17" t="n"/>
      <c r="V242" s="17" t="n"/>
    </row>
    <row r="243" s="1">
      <c r="E243" s="17" t="inlineStr">
        <is>
          <t>tengah</t>
        </is>
      </c>
      <c r="F243" s="17" t="n"/>
      <c r="G243" s="17" t="n"/>
      <c r="J243" s="17" t="inlineStr">
        <is>
          <t>tengah</t>
        </is>
      </c>
      <c r="K243" s="17" t="n"/>
      <c r="L243" s="17" t="n"/>
      <c r="O243" s="17" t="inlineStr">
        <is>
          <t>tengah</t>
        </is>
      </c>
      <c r="P243" s="17" t="n"/>
      <c r="Q243" s="17" t="n"/>
      <c r="T243" s="17" t="inlineStr">
        <is>
          <t>tengah</t>
        </is>
      </c>
      <c r="U243" s="17" t="n"/>
      <c r="V243" s="17" t="n"/>
    </row>
    <row r="244" s="1">
      <c r="E244" s="17" t="inlineStr">
        <is>
          <t>kanan</t>
        </is>
      </c>
      <c r="F244" s="17" t="n"/>
      <c r="G244" s="17" t="n"/>
      <c r="J244" s="17" t="inlineStr">
        <is>
          <t>tengah</t>
        </is>
      </c>
      <c r="K244" s="17" t="n"/>
      <c r="L244" s="17" t="n"/>
      <c r="O244" s="17" t="inlineStr">
        <is>
          <t>tengah</t>
        </is>
      </c>
      <c r="P244" s="17" t="n"/>
      <c r="Q244" s="17" t="n"/>
      <c r="T244" s="17" t="inlineStr">
        <is>
          <t>tengah</t>
        </is>
      </c>
      <c r="U244" s="17" t="n"/>
      <c r="V244" s="17" t="n"/>
    </row>
    <row r="245" s="1">
      <c r="E245" s="17" t="inlineStr">
        <is>
          <t>tengah</t>
        </is>
      </c>
      <c r="F245" s="17" t="n"/>
      <c r="G245" s="17" t="n"/>
      <c r="J245" s="17" t="inlineStr">
        <is>
          <t>tengah</t>
        </is>
      </c>
      <c r="K245" s="17" t="n"/>
      <c r="L245" s="17" t="n"/>
      <c r="O245" s="17" t="inlineStr">
        <is>
          <t>tengah</t>
        </is>
      </c>
      <c r="P245" s="17" t="n"/>
      <c r="Q245" s="17" t="n"/>
      <c r="T245" s="17" t="inlineStr">
        <is>
          <t>tengah</t>
        </is>
      </c>
      <c r="U245" s="17" t="n"/>
      <c r="V245" s="17" t="n"/>
    </row>
    <row r="246" s="1">
      <c r="E246" s="17" t="inlineStr">
        <is>
          <t>kiri</t>
        </is>
      </c>
      <c r="F246" s="17" t="n"/>
      <c r="G246" s="17" t="n"/>
      <c r="J246" s="17" t="inlineStr">
        <is>
          <t>tengah</t>
        </is>
      </c>
      <c r="K246" s="17" t="n"/>
      <c r="L246" s="17" t="n"/>
      <c r="O246" s="17" t="inlineStr">
        <is>
          <t>kanan</t>
        </is>
      </c>
      <c r="P246" s="17" t="n"/>
      <c r="Q246" s="17" t="n"/>
      <c r="T246" s="17" t="inlineStr">
        <is>
          <t>kanan</t>
        </is>
      </c>
      <c r="U246" s="17" t="n"/>
      <c r="V246" s="17" t="n"/>
    </row>
    <row r="247" s="1">
      <c r="E247" s="17" t="inlineStr">
        <is>
          <t>tengah</t>
        </is>
      </c>
      <c r="F247" s="17" t="n"/>
      <c r="G247" s="17" t="n"/>
      <c r="J247" s="17" t="inlineStr">
        <is>
          <t>kiri</t>
        </is>
      </c>
      <c r="K247" s="17" t="n"/>
      <c r="L247" s="17" t="n"/>
      <c r="O247" s="17" t="inlineStr">
        <is>
          <t>tengah</t>
        </is>
      </c>
      <c r="P247" s="17" t="n"/>
      <c r="Q247" s="17" t="n"/>
      <c r="T247" s="17" t="inlineStr">
        <is>
          <t>kanan</t>
        </is>
      </c>
      <c r="U247" s="17" t="n"/>
      <c r="V247" s="17" t="n"/>
    </row>
    <row r="248" s="1">
      <c r="E248" s="17" t="inlineStr">
        <is>
          <t>tengah</t>
        </is>
      </c>
      <c r="F248" s="17" t="n"/>
      <c r="G248" s="17" t="n"/>
      <c r="J248" s="17" t="inlineStr">
        <is>
          <t>tengah</t>
        </is>
      </c>
      <c r="K248" s="17" t="n"/>
      <c r="L248" s="17" t="n"/>
      <c r="O248" s="17" t="inlineStr">
        <is>
          <t>tengah</t>
        </is>
      </c>
      <c r="P248" s="17" t="n"/>
      <c r="Q248" s="17" t="n"/>
      <c r="T248" s="17" t="inlineStr">
        <is>
          <t>tengah</t>
        </is>
      </c>
      <c r="U248" s="17" t="n"/>
      <c r="V248" s="17" t="n"/>
    </row>
    <row r="249" s="1">
      <c r="E249" s="17" t="inlineStr">
        <is>
          <t>tengah</t>
        </is>
      </c>
      <c r="F249" s="17" t="n"/>
      <c r="G249" s="17" t="n"/>
      <c r="J249" s="17" t="inlineStr">
        <is>
          <t>kanan</t>
        </is>
      </c>
      <c r="K249" s="17" t="n"/>
      <c r="L249" s="17" t="n"/>
      <c r="O249" s="17" t="inlineStr">
        <is>
          <t>kanan</t>
        </is>
      </c>
      <c r="P249" s="17" t="n"/>
      <c r="Q249" s="17" t="n"/>
      <c r="T249" s="17" t="inlineStr">
        <is>
          <t>tengah</t>
        </is>
      </c>
      <c r="U249" s="17" t="n"/>
      <c r="V249" s="17" t="n"/>
    </row>
    <row r="250" s="1">
      <c r="E250" s="17" t="inlineStr">
        <is>
          <t>kanan</t>
        </is>
      </c>
      <c r="F250" s="17" t="n"/>
      <c r="G250" s="17" t="n"/>
      <c r="J250" s="17" t="inlineStr">
        <is>
          <t>tengah</t>
        </is>
      </c>
      <c r="K250" s="17" t="n"/>
      <c r="L250" s="17" t="n"/>
      <c r="O250" s="17" t="inlineStr">
        <is>
          <t>tengah</t>
        </is>
      </c>
      <c r="P250" s="17" t="n"/>
      <c r="Q250" s="17" t="n"/>
      <c r="T250" s="17" t="inlineStr">
        <is>
          <t>kanan</t>
        </is>
      </c>
      <c r="U250" s="17" t="n"/>
      <c r="V250" s="17" t="n"/>
    </row>
    <row r="251" s="1">
      <c r="E251" s="17" t="inlineStr">
        <is>
          <t>kanan</t>
        </is>
      </c>
      <c r="F251" s="17" t="n"/>
      <c r="G251" s="17" t="n"/>
      <c r="J251" s="17" t="inlineStr">
        <is>
          <t>kanan</t>
        </is>
      </c>
      <c r="K251" s="17" t="n"/>
      <c r="L251" s="17" t="n"/>
      <c r="O251" s="17" t="inlineStr">
        <is>
          <t>tengah</t>
        </is>
      </c>
      <c r="P251" s="17" t="n"/>
      <c r="Q251" s="17" t="n"/>
      <c r="T251" s="17" t="inlineStr">
        <is>
          <t>kanan</t>
        </is>
      </c>
      <c r="U251" s="17" t="n"/>
      <c r="V251" s="17" t="n"/>
    </row>
    <row r="252" s="1">
      <c r="E252" s="17" t="inlineStr">
        <is>
          <t>tengah</t>
        </is>
      </c>
      <c r="F252" s="17" t="n"/>
      <c r="G252" s="17" t="n"/>
      <c r="J252" s="17" t="inlineStr">
        <is>
          <t>tengah</t>
        </is>
      </c>
      <c r="K252" s="17" t="n"/>
      <c r="L252" s="17" t="n"/>
      <c r="O252" s="17" t="inlineStr">
        <is>
          <t>tengah</t>
        </is>
      </c>
      <c r="P252" s="17" t="n"/>
      <c r="Q252" s="17" t="n"/>
      <c r="T252" s="17" t="inlineStr">
        <is>
          <t>kanan</t>
        </is>
      </c>
      <c r="U252" s="17" t="n"/>
      <c r="V252" s="17" t="n"/>
    </row>
    <row r="253" s="1">
      <c r="E253" s="17" t="inlineStr">
        <is>
          <t>kanan</t>
        </is>
      </c>
      <c r="F253" s="17" t="n"/>
      <c r="G253" s="17" t="n"/>
      <c r="J253" s="17" t="inlineStr">
        <is>
          <t>kanan</t>
        </is>
      </c>
      <c r="K253" s="17" t="n"/>
      <c r="L253" s="17" t="n"/>
      <c r="O253" s="17" t="inlineStr">
        <is>
          <t>kanan</t>
        </is>
      </c>
      <c r="P253" s="17" t="n"/>
      <c r="Q253" s="17" t="n"/>
      <c r="T253" s="17" t="inlineStr">
        <is>
          <t>kanan</t>
        </is>
      </c>
      <c r="U253" s="17" t="n"/>
      <c r="V253" s="17" t="n"/>
    </row>
    <row r="254" s="1">
      <c r="E254" s="17" t="inlineStr">
        <is>
          <t>kiri</t>
        </is>
      </c>
      <c r="F254" s="17" t="n"/>
      <c r="G254" s="17" t="n"/>
      <c r="J254" s="17" t="inlineStr">
        <is>
          <t>kanan</t>
        </is>
      </c>
      <c r="K254" s="17" t="n"/>
      <c r="L254" s="17" t="n"/>
      <c r="O254" s="17" t="inlineStr">
        <is>
          <t>tengah</t>
        </is>
      </c>
      <c r="P254" s="17" t="n"/>
      <c r="Q254" s="17" t="n"/>
      <c r="T254" s="17" t="inlineStr">
        <is>
          <t>kanan</t>
        </is>
      </c>
      <c r="U254" s="17" t="n"/>
      <c r="V254" s="17" t="n"/>
    </row>
    <row r="255" s="1">
      <c r="E255" s="17" t="inlineStr">
        <is>
          <t>kiri</t>
        </is>
      </c>
      <c r="F255" s="17" t="n"/>
      <c r="G255" s="17" t="n"/>
      <c r="J255" s="17" t="inlineStr">
        <is>
          <t>kanan</t>
        </is>
      </c>
      <c r="K255" s="17" t="n"/>
      <c r="L255" s="17" t="n"/>
      <c r="O255" s="17" t="inlineStr">
        <is>
          <t>kiri</t>
        </is>
      </c>
      <c r="P255" s="17" t="n"/>
      <c r="Q255" s="17" t="n"/>
      <c r="T255" s="17" t="inlineStr">
        <is>
          <t>tengah</t>
        </is>
      </c>
      <c r="U255" s="17" t="n"/>
      <c r="V255" s="17" t="n"/>
    </row>
    <row r="256" s="1">
      <c r="E256" s="17" t="inlineStr">
        <is>
          <t>kiri</t>
        </is>
      </c>
      <c r="F256" s="17" t="n"/>
      <c r="G256" s="17" t="n"/>
      <c r="J256" s="17" t="inlineStr">
        <is>
          <t>tengah</t>
        </is>
      </c>
      <c r="K256" s="17" t="n"/>
      <c r="L256" s="17" t="n"/>
      <c r="O256" s="17" t="inlineStr">
        <is>
          <t>tengah</t>
        </is>
      </c>
      <c r="P256" s="17" t="n"/>
      <c r="Q256" s="17" t="n"/>
      <c r="T256" s="17" t="inlineStr">
        <is>
          <t>kanan</t>
        </is>
      </c>
      <c r="U256" s="17" t="n"/>
      <c r="V256" s="17" t="n"/>
    </row>
    <row r="257" s="1">
      <c r="E257" s="17" t="inlineStr">
        <is>
          <t>kiri</t>
        </is>
      </c>
      <c r="F257" s="17" t="n"/>
      <c r="G257" s="17" t="n"/>
      <c r="J257" s="17" t="inlineStr">
        <is>
          <t>tengah</t>
        </is>
      </c>
      <c r="K257" s="17" t="n"/>
      <c r="L257" s="17" t="n"/>
      <c r="O257" s="17" t="inlineStr">
        <is>
          <t>kanan</t>
        </is>
      </c>
      <c r="P257" s="17" t="n"/>
      <c r="Q257" s="17" t="n"/>
      <c r="T257" s="17" t="inlineStr">
        <is>
          <t>kanan</t>
        </is>
      </c>
      <c r="U257" s="17" t="n"/>
      <c r="V257" s="17" t="n"/>
    </row>
    <row r="258" s="1">
      <c r="E258" s="17" t="inlineStr">
        <is>
          <t>kiri</t>
        </is>
      </c>
      <c r="F258" s="17" t="n"/>
      <c r="G258" s="17" t="n"/>
      <c r="J258" s="17" t="inlineStr">
        <is>
          <t>tengah</t>
        </is>
      </c>
      <c r="K258" s="17" t="n"/>
      <c r="L258" s="17" t="n"/>
      <c r="O258" s="17" t="inlineStr">
        <is>
          <t>tengah</t>
        </is>
      </c>
      <c r="P258" s="17" t="n"/>
      <c r="Q258" s="17" t="n"/>
      <c r="T258" s="17" t="inlineStr">
        <is>
          <t>tengah</t>
        </is>
      </c>
      <c r="U258" s="17" t="n"/>
      <c r="V258" s="17" t="n"/>
    </row>
    <row r="259" s="1">
      <c r="E259" s="17" t="inlineStr">
        <is>
          <t>kiri</t>
        </is>
      </c>
      <c r="F259" s="17" t="n"/>
      <c r="G259" s="17" t="n"/>
      <c r="J259" s="17" t="inlineStr">
        <is>
          <t>tengah</t>
        </is>
      </c>
      <c r="K259" s="17" t="n"/>
      <c r="L259" s="17" t="n"/>
      <c r="O259" s="17" t="inlineStr">
        <is>
          <t>kiri</t>
        </is>
      </c>
      <c r="P259" s="17" t="n"/>
      <c r="Q259" s="17" t="n"/>
      <c r="T259" s="17" t="inlineStr">
        <is>
          <t>tengah</t>
        </is>
      </c>
      <c r="U259" s="17" t="n"/>
      <c r="V259" s="17" t="n"/>
    </row>
    <row r="260" s="1">
      <c r="E260" s="17" t="inlineStr">
        <is>
          <t>kiri</t>
        </is>
      </c>
      <c r="F260" s="17" t="n"/>
      <c r="G260" s="17" t="n"/>
      <c r="J260" s="17" t="inlineStr">
        <is>
          <t>tengah</t>
        </is>
      </c>
      <c r="K260" s="17" t="n"/>
      <c r="L260" s="17" t="n"/>
      <c r="O260" s="17" t="inlineStr">
        <is>
          <t>tengah</t>
        </is>
      </c>
      <c r="P260" s="17" t="n"/>
      <c r="Q260" s="17" t="n"/>
      <c r="T260" s="17" t="inlineStr">
        <is>
          <t>kanan</t>
        </is>
      </c>
      <c r="U260" s="17" t="n"/>
      <c r="V260" s="17" t="n"/>
    </row>
    <row r="261" s="1">
      <c r="E261" s="17" t="inlineStr">
        <is>
          <t>tengah</t>
        </is>
      </c>
      <c r="F261" s="17" t="n"/>
      <c r="G261" s="17" t="n"/>
      <c r="J261" s="17" t="inlineStr">
        <is>
          <t>tengah</t>
        </is>
      </c>
      <c r="K261" s="17" t="n"/>
      <c r="L261" s="17" t="n"/>
      <c r="O261" s="17" t="inlineStr">
        <is>
          <t>kiri</t>
        </is>
      </c>
      <c r="P261" s="17" t="n"/>
      <c r="Q261" s="17" t="n"/>
      <c r="T261" s="17" t="inlineStr">
        <is>
          <t>kanan</t>
        </is>
      </c>
      <c r="U261" s="17" t="n"/>
      <c r="V261" s="17" t="n"/>
    </row>
    <row r="262" s="1">
      <c r="E262" s="17" t="inlineStr">
        <is>
          <t>tengah</t>
        </is>
      </c>
      <c r="F262" s="17" t="n"/>
      <c r="G262" s="17" t="n"/>
      <c r="J262" s="17" t="inlineStr">
        <is>
          <t>kanan</t>
        </is>
      </c>
      <c r="K262" s="17" t="n"/>
      <c r="L262" s="17" t="n"/>
      <c r="O262" s="17" t="inlineStr">
        <is>
          <t>kiri</t>
        </is>
      </c>
      <c r="P262" s="17" t="n"/>
      <c r="Q262" s="17" t="n"/>
      <c r="T262" s="17" t="inlineStr">
        <is>
          <t>tengah</t>
        </is>
      </c>
      <c r="U262" s="17" t="n"/>
      <c r="V262" s="17" t="n"/>
    </row>
    <row r="263" s="1">
      <c r="E263" s="17" t="inlineStr">
        <is>
          <t>tengah</t>
        </is>
      </c>
      <c r="F263" s="17" t="n"/>
      <c r="G263" s="17" t="n"/>
      <c r="J263" s="17" t="inlineStr">
        <is>
          <t>tengah</t>
        </is>
      </c>
      <c r="K263" s="17" t="n"/>
      <c r="L263" s="17" t="n"/>
      <c r="O263" s="17" t="inlineStr">
        <is>
          <t>tengah</t>
        </is>
      </c>
      <c r="P263" s="17" t="n"/>
      <c r="Q263" s="17" t="n"/>
      <c r="T263" s="17" t="inlineStr">
        <is>
          <t>kanan</t>
        </is>
      </c>
      <c r="U263" s="17" t="n"/>
      <c r="V263" s="17" t="n"/>
    </row>
    <row r="264" s="1">
      <c r="E264" s="17" t="inlineStr">
        <is>
          <t>tengah</t>
        </is>
      </c>
      <c r="F264" s="17" t="n"/>
      <c r="G264" s="17" t="n"/>
      <c r="J264" s="17" t="inlineStr">
        <is>
          <t>tengah</t>
        </is>
      </c>
      <c r="K264" s="17" t="n"/>
      <c r="L264" s="17" t="n"/>
      <c r="O264" s="17" t="inlineStr">
        <is>
          <t>tengah</t>
        </is>
      </c>
      <c r="P264" s="17" t="n"/>
      <c r="Q264" s="17" t="n"/>
      <c r="T264" s="17" t="inlineStr">
        <is>
          <t>tengah</t>
        </is>
      </c>
      <c r="U264" s="17" t="n"/>
      <c r="V264" s="17" t="n"/>
    </row>
    <row r="265" s="1">
      <c r="E265" s="17" t="inlineStr">
        <is>
          <t>kiri</t>
        </is>
      </c>
      <c r="F265" s="17" t="n"/>
      <c r="G265" s="17" t="n"/>
      <c r="J265" s="17" t="inlineStr">
        <is>
          <t>tengah</t>
        </is>
      </c>
      <c r="K265" s="17" t="n"/>
      <c r="L265" s="17" t="n"/>
      <c r="O265" s="17" t="inlineStr">
        <is>
          <t>tengah</t>
        </is>
      </c>
      <c r="P265" s="17" t="n"/>
      <c r="Q265" s="17" t="n"/>
      <c r="T265" s="17" t="inlineStr">
        <is>
          <t>kanan</t>
        </is>
      </c>
      <c r="U265" s="17" t="n"/>
      <c r="V265" s="17" t="n"/>
    </row>
    <row r="266" s="1">
      <c r="E266" s="17" t="inlineStr">
        <is>
          <t>kanan</t>
        </is>
      </c>
      <c r="F266" s="17" t="n"/>
      <c r="G266" s="17" t="n"/>
      <c r="J266" s="17" t="inlineStr">
        <is>
          <t>tengah</t>
        </is>
      </c>
      <c r="K266" s="17" t="n"/>
      <c r="L266" s="17" t="n"/>
      <c r="O266" s="17" t="inlineStr">
        <is>
          <t>tengah</t>
        </is>
      </c>
      <c r="P266" s="17" t="n"/>
      <c r="Q266" s="17" t="n"/>
      <c r="T266" s="17" t="inlineStr">
        <is>
          <t>tengah</t>
        </is>
      </c>
      <c r="U266" s="17" t="n"/>
      <c r="V266" s="17" t="n"/>
    </row>
    <row r="267" s="1">
      <c r="E267" s="17" t="inlineStr">
        <is>
          <t>tengah</t>
        </is>
      </c>
      <c r="F267" s="17" t="n"/>
      <c r="G267" s="17" t="n"/>
      <c r="J267" s="17" t="inlineStr">
        <is>
          <t>kanan</t>
        </is>
      </c>
      <c r="K267" s="17" t="n"/>
      <c r="L267" s="17" t="n"/>
      <c r="O267" s="17" t="inlineStr">
        <is>
          <t>tengah</t>
        </is>
      </c>
      <c r="P267" s="17" t="n"/>
      <c r="Q267" s="17" t="n"/>
      <c r="T267" s="17" t="inlineStr">
        <is>
          <t>tengah</t>
        </is>
      </c>
      <c r="U267" s="17" t="n"/>
      <c r="V267" s="17" t="n"/>
    </row>
    <row r="268" s="1">
      <c r="E268" s="17" t="inlineStr">
        <is>
          <t>tengah</t>
        </is>
      </c>
      <c r="F268" s="17" t="n"/>
      <c r="G268" s="17" t="n"/>
      <c r="J268" s="17" t="inlineStr">
        <is>
          <t>tengah</t>
        </is>
      </c>
      <c r="K268" s="17" t="n"/>
      <c r="L268" s="17" t="n"/>
      <c r="O268" s="17" t="inlineStr">
        <is>
          <t>kiri</t>
        </is>
      </c>
      <c r="P268" s="17" t="n"/>
      <c r="Q268" s="17" t="n"/>
      <c r="T268" s="17" t="inlineStr">
        <is>
          <t>kanan</t>
        </is>
      </c>
      <c r="U268" s="17" t="n"/>
      <c r="V268" s="17" t="n"/>
    </row>
    <row r="269" s="1">
      <c r="E269" s="17" t="inlineStr">
        <is>
          <t>kiri</t>
        </is>
      </c>
      <c r="F269" s="17" t="n"/>
      <c r="G269" s="17" t="n"/>
      <c r="J269" s="17" t="inlineStr">
        <is>
          <t>kiri</t>
        </is>
      </c>
      <c r="K269" s="17" t="n"/>
      <c r="L269" s="17" t="n"/>
      <c r="O269" s="17" t="inlineStr">
        <is>
          <t>tengah</t>
        </is>
      </c>
      <c r="P269" s="17" t="n"/>
      <c r="Q269" s="17" t="n"/>
      <c r="T269" s="17" t="inlineStr">
        <is>
          <t>kanan</t>
        </is>
      </c>
      <c r="U269" s="17" t="n"/>
      <c r="V269" s="17" t="n"/>
    </row>
    <row r="270" s="1">
      <c r="E270" s="17" t="inlineStr">
        <is>
          <t>kanan</t>
        </is>
      </c>
      <c r="F270" s="17" t="n"/>
      <c r="G270" s="17" t="n"/>
      <c r="J270" s="17" t="inlineStr">
        <is>
          <t>tengah</t>
        </is>
      </c>
      <c r="K270" s="17" t="n"/>
      <c r="L270" s="17" t="n"/>
      <c r="O270" s="17" t="inlineStr">
        <is>
          <t>tengah</t>
        </is>
      </c>
      <c r="P270" s="17" t="n"/>
      <c r="Q270" s="17" t="n"/>
      <c r="T270" s="17" t="inlineStr">
        <is>
          <t>kanan</t>
        </is>
      </c>
      <c r="U270" s="17" t="n"/>
      <c r="V270" s="17" t="n"/>
    </row>
    <row r="271" s="1">
      <c r="E271" s="17" t="inlineStr">
        <is>
          <t>kanan</t>
        </is>
      </c>
      <c r="F271" s="17" t="n"/>
      <c r="G271" s="17" t="n"/>
      <c r="J271" s="17" t="inlineStr">
        <is>
          <t>tengah</t>
        </is>
      </c>
      <c r="K271" s="17" t="n"/>
      <c r="L271" s="17" t="n"/>
      <c r="O271" s="17" t="inlineStr">
        <is>
          <t>tengah</t>
        </is>
      </c>
      <c r="P271" s="17" t="n"/>
      <c r="Q271" s="17" t="n"/>
      <c r="T271" s="17" t="inlineStr">
        <is>
          <t>tengah</t>
        </is>
      </c>
      <c r="U271" s="17" t="n"/>
      <c r="V271" s="17" t="n"/>
    </row>
    <row r="272" s="1">
      <c r="E272" s="17" t="inlineStr">
        <is>
          <t>kiri</t>
        </is>
      </c>
      <c r="F272" s="17" t="n"/>
      <c r="G272" s="17" t="n"/>
      <c r="J272" s="17" t="inlineStr">
        <is>
          <t>kiri</t>
        </is>
      </c>
      <c r="K272" s="17" t="n"/>
      <c r="L272" s="17" t="n"/>
      <c r="O272" s="17" t="inlineStr">
        <is>
          <t>kanan</t>
        </is>
      </c>
      <c r="P272" s="17" t="n"/>
      <c r="Q272" s="17" t="n"/>
      <c r="T272" s="17" t="inlineStr">
        <is>
          <t>kanan</t>
        </is>
      </c>
      <c r="U272" s="17" t="n"/>
      <c r="V272" s="17" t="n"/>
    </row>
    <row r="273" s="1">
      <c r="E273" s="17" t="inlineStr">
        <is>
          <t>tengah</t>
        </is>
      </c>
      <c r="F273" s="17" t="n"/>
      <c r="G273" s="17" t="n"/>
      <c r="J273" s="17" t="inlineStr">
        <is>
          <t>tengah</t>
        </is>
      </c>
      <c r="K273" s="17" t="n"/>
      <c r="L273" s="17" t="n"/>
      <c r="O273" s="17" t="inlineStr">
        <is>
          <t>tengah</t>
        </is>
      </c>
      <c r="P273" s="17" t="n"/>
      <c r="Q273" s="17" t="n"/>
      <c r="T273" s="17" t="inlineStr">
        <is>
          <t>kanan</t>
        </is>
      </c>
      <c r="U273" s="17" t="n"/>
      <c r="V273" s="17" t="n"/>
    </row>
    <row r="274" s="1">
      <c r="E274" s="17" t="inlineStr">
        <is>
          <t>kiri</t>
        </is>
      </c>
      <c r="F274" s="17" t="n"/>
      <c r="G274" s="17" t="n"/>
      <c r="J274" s="17" t="inlineStr">
        <is>
          <t>kiri</t>
        </is>
      </c>
      <c r="K274" s="17" t="n"/>
      <c r="L274" s="17" t="n"/>
      <c r="O274" s="17" t="inlineStr">
        <is>
          <t>kiri</t>
        </is>
      </c>
      <c r="P274" s="17" t="n"/>
      <c r="Q274" s="17" t="n"/>
      <c r="T274" s="17" t="inlineStr">
        <is>
          <t>kanan</t>
        </is>
      </c>
      <c r="U274" s="17" t="n"/>
      <c r="V274" s="17" t="n"/>
    </row>
    <row r="275" s="1">
      <c r="E275" s="17" t="inlineStr">
        <is>
          <t>kiri</t>
        </is>
      </c>
      <c r="F275" s="17" t="n"/>
      <c r="G275" s="17" t="n"/>
      <c r="J275" s="17" t="inlineStr">
        <is>
          <t>tengah</t>
        </is>
      </c>
      <c r="K275" s="17" t="n"/>
      <c r="L275" s="17" t="n"/>
      <c r="O275" s="17" t="inlineStr">
        <is>
          <t>tengah</t>
        </is>
      </c>
      <c r="P275" s="17" t="n"/>
      <c r="Q275" s="17" t="n"/>
      <c r="T275" s="17" t="inlineStr">
        <is>
          <t>kanan</t>
        </is>
      </c>
      <c r="U275" s="17" t="n"/>
      <c r="V275" s="17" t="n"/>
    </row>
    <row r="276" s="1">
      <c r="E276" s="17" t="inlineStr">
        <is>
          <t>kiri</t>
        </is>
      </c>
      <c r="F276" s="17" t="n"/>
      <c r="G276" s="17" t="n"/>
      <c r="J276" s="17" t="inlineStr">
        <is>
          <t>tengah</t>
        </is>
      </c>
      <c r="K276" s="17" t="n"/>
      <c r="L276" s="17" t="n"/>
      <c r="O276" s="17" t="inlineStr">
        <is>
          <t>kiri</t>
        </is>
      </c>
      <c r="P276" s="17" t="n"/>
      <c r="Q276" s="17" t="n"/>
      <c r="T276" s="17" t="inlineStr">
        <is>
          <t>tengah</t>
        </is>
      </c>
      <c r="U276" s="17" t="n"/>
      <c r="V276" s="17" t="n"/>
    </row>
    <row r="277" s="1">
      <c r="E277" s="17" t="inlineStr">
        <is>
          <t>tengah</t>
        </is>
      </c>
      <c r="F277" s="17" t="n"/>
      <c r="G277" s="17" t="n"/>
      <c r="J277" s="17" t="inlineStr">
        <is>
          <t>kiri</t>
        </is>
      </c>
      <c r="K277" s="17" t="n"/>
      <c r="L277" s="17" t="n"/>
      <c r="O277" s="17" t="inlineStr">
        <is>
          <t>tengah</t>
        </is>
      </c>
      <c r="P277" s="17" t="n"/>
      <c r="Q277" s="17" t="n"/>
      <c r="T277" s="17" t="inlineStr">
        <is>
          <t>kanan</t>
        </is>
      </c>
      <c r="U277" s="17" t="n"/>
      <c r="V277" s="17" t="n"/>
    </row>
    <row r="278" s="1">
      <c r="E278" s="17" t="inlineStr">
        <is>
          <t>tengah</t>
        </is>
      </c>
      <c r="F278" s="17" t="n"/>
      <c r="G278" s="17" t="n"/>
      <c r="J278" s="17" t="inlineStr">
        <is>
          <t>kanan</t>
        </is>
      </c>
      <c r="K278" s="17" t="n"/>
      <c r="L278" s="17" t="n"/>
      <c r="O278" s="17" t="inlineStr">
        <is>
          <t>tengah</t>
        </is>
      </c>
      <c r="P278" s="17" t="n"/>
      <c r="Q278" s="17" t="n"/>
      <c r="T278" s="17" t="inlineStr">
        <is>
          <t>tengah</t>
        </is>
      </c>
      <c r="U278" s="17" t="n"/>
      <c r="V278" s="17" t="n"/>
    </row>
    <row r="279" s="1">
      <c r="E279" s="17" t="inlineStr">
        <is>
          <t>kiri</t>
        </is>
      </c>
      <c r="F279" s="17" t="n"/>
      <c r="G279" s="17" t="n"/>
      <c r="J279" s="17" t="inlineStr">
        <is>
          <t>kiri</t>
        </is>
      </c>
      <c r="K279" s="17" t="n"/>
      <c r="L279" s="17" t="n"/>
      <c r="O279" s="17" t="inlineStr">
        <is>
          <t>kanan</t>
        </is>
      </c>
      <c r="P279" s="17" t="n"/>
      <c r="Q279" s="17" t="n"/>
      <c r="T279" s="17" t="inlineStr">
        <is>
          <t>tengah</t>
        </is>
      </c>
      <c r="U279" s="17" t="n"/>
      <c r="V279" s="17" t="n"/>
    </row>
    <row r="280" s="1">
      <c r="E280" s="17" t="inlineStr">
        <is>
          <t>kiri</t>
        </is>
      </c>
      <c r="F280" s="17" t="n"/>
      <c r="G280" s="17" t="n"/>
      <c r="J280" s="17" t="inlineStr">
        <is>
          <t>kiri</t>
        </is>
      </c>
      <c r="K280" s="17" t="n"/>
      <c r="L280" s="17" t="n"/>
      <c r="O280" s="17" t="inlineStr">
        <is>
          <t>tengah</t>
        </is>
      </c>
      <c r="P280" s="17" t="n"/>
      <c r="Q280" s="17" t="n"/>
      <c r="T280" s="17" t="inlineStr">
        <is>
          <t>tengah</t>
        </is>
      </c>
      <c r="U280" s="17" t="n"/>
      <c r="V280" s="17" t="n"/>
    </row>
    <row r="281" s="1">
      <c r="E281" s="17" t="inlineStr">
        <is>
          <t>tengah</t>
        </is>
      </c>
      <c r="F281" s="17" t="n"/>
      <c r="G281" s="17" t="n"/>
      <c r="J281" s="17" t="inlineStr">
        <is>
          <t>tengah</t>
        </is>
      </c>
      <c r="K281" s="17" t="n"/>
      <c r="L281" s="17" t="n"/>
      <c r="O281" s="17" t="inlineStr">
        <is>
          <t>kiri</t>
        </is>
      </c>
      <c r="P281" s="17" t="n"/>
      <c r="Q281" s="17" t="n"/>
      <c r="T281" s="17" t="inlineStr">
        <is>
          <t>kanan</t>
        </is>
      </c>
      <c r="U281" s="17" t="n"/>
      <c r="V281" s="17" t="n"/>
    </row>
    <row r="282" s="1">
      <c r="E282" s="17" t="inlineStr">
        <is>
          <t>tengah</t>
        </is>
      </c>
      <c r="F282" s="17" t="n"/>
      <c r="G282" s="17" t="n"/>
      <c r="J282" s="17" t="inlineStr">
        <is>
          <t>tengah</t>
        </is>
      </c>
      <c r="K282" s="17" t="n"/>
      <c r="L282" s="17" t="n"/>
      <c r="O282" s="17" t="inlineStr">
        <is>
          <t>tengah</t>
        </is>
      </c>
      <c r="P282" s="17" t="n"/>
      <c r="Q282" s="17" t="n"/>
      <c r="T282" s="17" t="inlineStr">
        <is>
          <t>kanan</t>
        </is>
      </c>
      <c r="U282" s="17" t="n"/>
      <c r="V282" s="17" t="n"/>
    </row>
    <row r="283" s="1">
      <c r="E283" s="17" t="inlineStr">
        <is>
          <t>tengah</t>
        </is>
      </c>
      <c r="F283" s="17" t="n"/>
      <c r="G283" s="17" t="n"/>
      <c r="J283" s="17" t="inlineStr">
        <is>
          <t>tengah</t>
        </is>
      </c>
      <c r="K283" s="17" t="n"/>
      <c r="L283" s="17" t="n"/>
      <c r="O283" s="17" t="inlineStr">
        <is>
          <t>kanan</t>
        </is>
      </c>
      <c r="P283" s="17" t="n"/>
      <c r="Q283" s="17" t="n"/>
      <c r="T283" s="17" t="inlineStr">
        <is>
          <t>kanan</t>
        </is>
      </c>
      <c r="U283" s="17" t="n"/>
      <c r="V283" s="17" t="n"/>
    </row>
    <row r="284" s="1">
      <c r="E284" s="17" t="inlineStr">
        <is>
          <t>kanan</t>
        </is>
      </c>
      <c r="F284" s="17" t="n"/>
      <c r="G284" s="17" t="n"/>
      <c r="J284" s="17" t="inlineStr">
        <is>
          <t>kanan</t>
        </is>
      </c>
      <c r="K284" s="17" t="n"/>
      <c r="L284" s="17" t="n"/>
      <c r="O284" s="17" t="inlineStr">
        <is>
          <t>tengah</t>
        </is>
      </c>
      <c r="P284" s="17" t="n"/>
      <c r="Q284" s="17" t="n"/>
      <c r="T284" s="17" t="inlineStr">
        <is>
          <t>tengah</t>
        </is>
      </c>
      <c r="U284" s="17" t="n"/>
      <c r="V284" s="17" t="n"/>
    </row>
    <row r="285" s="1">
      <c r="E285" s="17" t="inlineStr">
        <is>
          <t>kanan</t>
        </is>
      </c>
      <c r="F285" s="17" t="n"/>
      <c r="G285" s="17" t="n"/>
      <c r="J285" s="17" t="inlineStr">
        <is>
          <t>kanan</t>
        </is>
      </c>
      <c r="K285" s="17" t="n"/>
      <c r="L285" s="17" t="n"/>
      <c r="O285" s="17" t="inlineStr">
        <is>
          <t>kanan</t>
        </is>
      </c>
      <c r="P285" s="17" t="n"/>
      <c r="Q285" s="17" t="n"/>
      <c r="T285" s="17" t="inlineStr">
        <is>
          <t>kanan</t>
        </is>
      </c>
      <c r="U285" s="17" t="n"/>
      <c r="V285" s="17" t="n"/>
    </row>
    <row r="286" s="1">
      <c r="E286" s="17" t="inlineStr">
        <is>
          <t>tengah</t>
        </is>
      </c>
      <c r="F286" s="17" t="n"/>
      <c r="G286" s="17" t="n"/>
      <c r="J286" s="17" t="inlineStr">
        <is>
          <t>tengah</t>
        </is>
      </c>
      <c r="K286" s="17" t="n"/>
      <c r="L286" s="17" t="n"/>
      <c r="O286" s="17" t="inlineStr">
        <is>
          <t>tengah</t>
        </is>
      </c>
      <c r="P286" s="17" t="n"/>
      <c r="Q286" s="17" t="n"/>
      <c r="T286" s="17" t="inlineStr">
        <is>
          <t>kanan</t>
        </is>
      </c>
      <c r="U286" s="17" t="n"/>
      <c r="V286" s="17" t="n"/>
    </row>
    <row r="287" s="1">
      <c r="E287" s="17" t="inlineStr">
        <is>
          <t>tengah</t>
        </is>
      </c>
      <c r="F287" s="17" t="n"/>
      <c r="G287" s="17" t="n"/>
      <c r="J287" s="17" t="inlineStr">
        <is>
          <t>tengah</t>
        </is>
      </c>
      <c r="K287" s="17" t="n"/>
      <c r="L287" s="17" t="n"/>
      <c r="O287" s="17" t="inlineStr">
        <is>
          <t>kanan</t>
        </is>
      </c>
      <c r="P287" s="17" t="n"/>
      <c r="Q287" s="17" t="n"/>
      <c r="T287" s="17" t="inlineStr">
        <is>
          <t>kanan</t>
        </is>
      </c>
      <c r="U287" s="17" t="n"/>
      <c r="V287" s="17" t="n"/>
    </row>
    <row r="288" s="1">
      <c r="E288" s="17" t="inlineStr">
        <is>
          <t>kiri</t>
        </is>
      </c>
      <c r="F288" s="17" t="n"/>
      <c r="G288" s="17" t="n"/>
      <c r="J288" s="17" t="inlineStr">
        <is>
          <t>kanan</t>
        </is>
      </c>
      <c r="K288" s="17" t="n"/>
      <c r="L288" s="17" t="n"/>
      <c r="O288" s="17" t="inlineStr">
        <is>
          <t>tengah</t>
        </is>
      </c>
      <c r="P288" s="17" t="n"/>
      <c r="Q288" s="17" t="n"/>
      <c r="T288" s="17" t="inlineStr">
        <is>
          <t>kanan</t>
        </is>
      </c>
      <c r="U288" s="17" t="n"/>
      <c r="V288" s="17" t="n"/>
    </row>
    <row r="289" s="1">
      <c r="E289" s="17" t="inlineStr">
        <is>
          <t>tengah</t>
        </is>
      </c>
      <c r="F289" s="17" t="n"/>
      <c r="G289" s="17" t="n"/>
      <c r="J289" s="17" t="inlineStr">
        <is>
          <t>kanan</t>
        </is>
      </c>
      <c r="K289" s="17" t="n"/>
      <c r="L289" s="17" t="n"/>
      <c r="O289" s="17" t="inlineStr">
        <is>
          <t>kanan</t>
        </is>
      </c>
      <c r="P289" s="17" t="n"/>
      <c r="Q289" s="17" t="n"/>
      <c r="T289" s="17" t="inlineStr">
        <is>
          <t>tengah</t>
        </is>
      </c>
      <c r="U289" s="17" t="n"/>
      <c r="V289" s="17" t="n"/>
    </row>
    <row r="290" s="1">
      <c r="E290" s="17" t="inlineStr">
        <is>
          <t>tengah</t>
        </is>
      </c>
      <c r="F290" s="17" t="n"/>
      <c r="G290" s="17" t="n"/>
      <c r="J290" s="17" t="inlineStr">
        <is>
          <t>tengah</t>
        </is>
      </c>
      <c r="K290" s="17" t="n"/>
      <c r="L290" s="17" t="n"/>
      <c r="O290" s="17" t="inlineStr">
        <is>
          <t>kanan</t>
        </is>
      </c>
      <c r="P290" s="17" t="n"/>
      <c r="Q290" s="17" t="n"/>
      <c r="T290" s="17" t="inlineStr">
        <is>
          <t>kanan</t>
        </is>
      </c>
      <c r="U290" s="17" t="n"/>
      <c r="V290" s="17" t="n"/>
    </row>
    <row r="291" s="1">
      <c r="E291" s="17" t="inlineStr">
        <is>
          <t>tengah</t>
        </is>
      </c>
      <c r="F291" s="17" t="n"/>
      <c r="G291" s="17" t="n"/>
      <c r="J291" s="17" t="inlineStr">
        <is>
          <t>kiri</t>
        </is>
      </c>
      <c r="K291" s="17" t="n"/>
      <c r="L291" s="17" t="n"/>
      <c r="O291" s="17" t="inlineStr">
        <is>
          <t>kiri</t>
        </is>
      </c>
      <c r="P291" s="17" t="n"/>
      <c r="Q291" s="17" t="n"/>
      <c r="T291" s="17" t="inlineStr">
        <is>
          <t>kanan</t>
        </is>
      </c>
      <c r="U291" s="17" t="n"/>
      <c r="V291" s="17" t="n"/>
    </row>
    <row r="292" s="1">
      <c r="E292" s="17" t="inlineStr">
        <is>
          <t>kanan</t>
        </is>
      </c>
      <c r="F292" s="17" t="n"/>
      <c r="G292" s="17" t="n"/>
      <c r="J292" s="17" t="inlineStr">
        <is>
          <t>tengah</t>
        </is>
      </c>
      <c r="K292" s="17" t="n"/>
      <c r="L292" s="17" t="n"/>
      <c r="O292" s="17" t="inlineStr">
        <is>
          <t>tengah</t>
        </is>
      </c>
      <c r="P292" s="17" t="n"/>
      <c r="Q292" s="17" t="n"/>
      <c r="T292" s="17" t="inlineStr">
        <is>
          <t>tengah</t>
        </is>
      </c>
      <c r="U292" s="17" t="n"/>
      <c r="V292" s="17" t="n"/>
    </row>
    <row r="293" s="1">
      <c r="E293" s="17" t="inlineStr">
        <is>
          <t>tengah</t>
        </is>
      </c>
      <c r="F293" s="17" t="n"/>
      <c r="G293" s="17" t="n"/>
      <c r="J293" s="17" t="inlineStr">
        <is>
          <t>tengah</t>
        </is>
      </c>
      <c r="K293" s="17" t="n"/>
      <c r="L293" s="17" t="n"/>
      <c r="O293" s="17" t="inlineStr">
        <is>
          <t>kiri</t>
        </is>
      </c>
      <c r="P293" s="17" t="n"/>
      <c r="Q293" s="17" t="n"/>
      <c r="T293" s="17" t="inlineStr">
        <is>
          <t>kanan</t>
        </is>
      </c>
      <c r="U293" s="17" t="n"/>
      <c r="V293" s="17" t="n"/>
    </row>
    <row r="294" s="1">
      <c r="E294" s="17" t="inlineStr">
        <is>
          <t>kiri</t>
        </is>
      </c>
      <c r="F294" s="17" t="n"/>
      <c r="G294" s="17" t="n"/>
      <c r="J294" s="17" t="inlineStr">
        <is>
          <t>tengah</t>
        </is>
      </c>
      <c r="K294" s="17" t="n"/>
      <c r="L294" s="17" t="n"/>
      <c r="O294" s="17" t="inlineStr">
        <is>
          <t>kanan</t>
        </is>
      </c>
      <c r="P294" s="17" t="n"/>
      <c r="Q294" s="17" t="n"/>
      <c r="T294" s="17" t="inlineStr">
        <is>
          <t>kanan</t>
        </is>
      </c>
      <c r="U294" s="17" t="n"/>
      <c r="V294" s="17" t="n"/>
    </row>
    <row r="295" s="1">
      <c r="E295" s="17" t="inlineStr">
        <is>
          <t>kanan</t>
        </is>
      </c>
      <c r="F295" s="17" t="n"/>
      <c r="G295" s="17" t="n"/>
      <c r="J295" s="17" t="inlineStr">
        <is>
          <t>tengah</t>
        </is>
      </c>
      <c r="K295" s="17" t="n"/>
      <c r="L295" s="17" t="n"/>
      <c r="O295" s="17" t="inlineStr">
        <is>
          <t>tengah</t>
        </is>
      </c>
      <c r="P295" s="17" t="n"/>
      <c r="Q295" s="17" t="n"/>
      <c r="T295" s="17" t="inlineStr">
        <is>
          <t>kanan</t>
        </is>
      </c>
      <c r="U295" s="17" t="n"/>
      <c r="V295" s="17" t="n"/>
    </row>
    <row r="296" s="1">
      <c r="E296" s="17" t="inlineStr">
        <is>
          <t>tengah</t>
        </is>
      </c>
      <c r="F296" s="17" t="n"/>
      <c r="G296" s="17" t="n"/>
      <c r="J296" s="17" t="inlineStr">
        <is>
          <t>tengah</t>
        </is>
      </c>
      <c r="K296" s="17" t="n"/>
      <c r="L296" s="17" t="n"/>
      <c r="O296" s="17" t="inlineStr">
        <is>
          <t>tengah</t>
        </is>
      </c>
      <c r="P296" s="17" t="n"/>
      <c r="Q296" s="17" t="n"/>
      <c r="T296" s="17" t="inlineStr">
        <is>
          <t>tengah</t>
        </is>
      </c>
      <c r="U296" s="17" t="n"/>
      <c r="V296" s="17" t="n"/>
    </row>
    <row r="297" s="1">
      <c r="E297" s="17" t="inlineStr">
        <is>
          <t>tengah</t>
        </is>
      </c>
      <c r="F297" s="17" t="n"/>
      <c r="G297" s="17" t="n"/>
      <c r="J297" s="17" t="inlineStr">
        <is>
          <t>tengah</t>
        </is>
      </c>
      <c r="K297" s="17" t="n"/>
      <c r="L297" s="17" t="n"/>
      <c r="O297" s="17" t="inlineStr">
        <is>
          <t>tengah</t>
        </is>
      </c>
      <c r="P297" s="17" t="n"/>
      <c r="Q297" s="17" t="n"/>
      <c r="T297" s="17" t="inlineStr">
        <is>
          <t>tengah</t>
        </is>
      </c>
      <c r="U297" s="17" t="n"/>
      <c r="V297" s="17" t="n"/>
    </row>
    <row r="298" s="1">
      <c r="E298" s="17" t="inlineStr">
        <is>
          <t>tengah</t>
        </is>
      </c>
      <c r="F298" s="17" t="n"/>
      <c r="G298" s="17" t="n"/>
      <c r="J298" s="17" t="inlineStr">
        <is>
          <t>tengah</t>
        </is>
      </c>
      <c r="K298" s="17" t="n"/>
      <c r="L298" s="17" t="n"/>
      <c r="O298" s="17" t="inlineStr">
        <is>
          <t>kiri</t>
        </is>
      </c>
      <c r="P298" s="17" t="n"/>
      <c r="Q298" s="17" t="n"/>
      <c r="T298" s="17" t="inlineStr">
        <is>
          <t>kanan</t>
        </is>
      </c>
      <c r="U298" s="17" t="n"/>
      <c r="V298" s="17" t="n"/>
    </row>
    <row r="299" s="1">
      <c r="E299" s="17" t="inlineStr">
        <is>
          <t>kanan</t>
        </is>
      </c>
      <c r="F299" s="17" t="n"/>
      <c r="G299" s="17" t="n"/>
      <c r="J299" s="17" t="inlineStr">
        <is>
          <t>tengah</t>
        </is>
      </c>
      <c r="K299" s="17" t="n"/>
      <c r="L299" s="17" t="n"/>
      <c r="O299" s="17" t="inlineStr">
        <is>
          <t>kanan</t>
        </is>
      </c>
      <c r="P299" s="17" t="n"/>
      <c r="Q299" s="17" t="n"/>
      <c r="T299" s="17" t="inlineStr">
        <is>
          <t>kanan</t>
        </is>
      </c>
      <c r="U299" s="17" t="n"/>
      <c r="V299" s="17" t="n"/>
    </row>
    <row r="300" s="1">
      <c r="E300" s="17" t="inlineStr">
        <is>
          <t>tengah</t>
        </is>
      </c>
      <c r="F300" s="17" t="n"/>
      <c r="G300" s="17" t="n"/>
      <c r="J300" s="17" t="inlineStr">
        <is>
          <t>tengah</t>
        </is>
      </c>
      <c r="K300" s="17" t="n"/>
      <c r="L300" s="17" t="n"/>
      <c r="O300" s="17" t="inlineStr">
        <is>
          <t>kanan</t>
        </is>
      </c>
      <c r="P300" s="17" t="n"/>
      <c r="Q300" s="17" t="n"/>
      <c r="T300" s="17" t="inlineStr">
        <is>
          <t>kanan</t>
        </is>
      </c>
      <c r="U300" s="17" t="n"/>
      <c r="V300" s="17" t="n"/>
    </row>
    <row r="301" s="1">
      <c r="E301" s="17" t="inlineStr">
        <is>
          <t>tengah</t>
        </is>
      </c>
      <c r="F301" s="17" t="n"/>
      <c r="G301" s="17" t="n"/>
      <c r="J301" s="17" t="inlineStr">
        <is>
          <t>tengah</t>
        </is>
      </c>
      <c r="K301" s="17" t="n"/>
      <c r="L301" s="17" t="n"/>
      <c r="O301" s="17" t="inlineStr">
        <is>
          <t>kanan</t>
        </is>
      </c>
      <c r="P301" s="17" t="n"/>
      <c r="Q301" s="17" t="n"/>
      <c r="T301" s="17" t="inlineStr">
        <is>
          <t>kanan</t>
        </is>
      </c>
      <c r="U301" s="17" t="n"/>
      <c r="V301" s="17" t="n"/>
    </row>
    <row r="302" s="1">
      <c r="E302" s="17" t="inlineStr">
        <is>
          <t>kanan</t>
        </is>
      </c>
      <c r="F302" s="17" t="n"/>
      <c r="G302" s="17" t="n"/>
      <c r="J302" s="17" t="inlineStr">
        <is>
          <t>tengah</t>
        </is>
      </c>
      <c r="K302" s="17" t="n"/>
      <c r="L302" s="17" t="n"/>
      <c r="O302" s="17" t="inlineStr">
        <is>
          <t>tengah</t>
        </is>
      </c>
      <c r="P302" s="17" t="n"/>
      <c r="Q302" s="17" t="n"/>
      <c r="T302" s="17" t="inlineStr">
        <is>
          <t>tengah</t>
        </is>
      </c>
      <c r="U302" s="17" t="n"/>
      <c r="V302" s="17" t="n"/>
    </row>
    <row r="303" s="1">
      <c r="E303" s="17" t="inlineStr">
        <is>
          <t>tengah</t>
        </is>
      </c>
      <c r="F303" s="17" t="n"/>
      <c r="G303" s="17" t="n"/>
      <c r="J303" s="17" t="inlineStr">
        <is>
          <t>tengah</t>
        </is>
      </c>
      <c r="K303" s="17" t="n"/>
      <c r="L303" s="17" t="n"/>
      <c r="O303" s="17" t="inlineStr">
        <is>
          <t>kiri</t>
        </is>
      </c>
      <c r="P303" s="17" t="n"/>
      <c r="Q303" s="17" t="n"/>
      <c r="T303" s="17" t="inlineStr">
        <is>
          <t>kanan</t>
        </is>
      </c>
      <c r="U303" s="17" t="n"/>
      <c r="V303" s="17" t="n"/>
    </row>
    <row r="304" s="1">
      <c r="E304" s="17" t="inlineStr">
        <is>
          <t>kanan</t>
        </is>
      </c>
      <c r="F304" s="17" t="n"/>
      <c r="G304" s="17" t="n"/>
      <c r="J304" s="17" t="inlineStr">
        <is>
          <t>tengah</t>
        </is>
      </c>
      <c r="K304" s="17" t="n"/>
      <c r="L304" s="17" t="n"/>
      <c r="O304" s="17" t="inlineStr">
        <is>
          <t>tengah</t>
        </is>
      </c>
      <c r="P304" s="17" t="n"/>
      <c r="Q304" s="17" t="n"/>
      <c r="T304" s="17" t="inlineStr">
        <is>
          <t>kanan</t>
        </is>
      </c>
      <c r="U304" s="17" t="n"/>
      <c r="V304" s="17" t="n"/>
    </row>
    <row r="305" s="1">
      <c r="E305" s="17" t="inlineStr">
        <is>
          <t>kiri</t>
        </is>
      </c>
      <c r="F305" s="17" t="n"/>
      <c r="G305" s="17" t="n"/>
      <c r="J305" s="17" t="inlineStr">
        <is>
          <t>tengah</t>
        </is>
      </c>
      <c r="K305" s="17" t="n"/>
      <c r="L305" s="17" t="n"/>
      <c r="O305" s="17" t="inlineStr">
        <is>
          <t>tengah</t>
        </is>
      </c>
      <c r="P305" s="17" t="n"/>
      <c r="Q305" s="17" t="n"/>
      <c r="T305" s="17" t="inlineStr">
        <is>
          <t>kanan</t>
        </is>
      </c>
      <c r="U305" s="17" t="n"/>
      <c r="V305" s="17" t="n"/>
    </row>
    <row r="306" s="1">
      <c r="E306" s="17" t="inlineStr">
        <is>
          <t>tengah</t>
        </is>
      </c>
      <c r="F306" s="17" t="n"/>
      <c r="G306" s="17" t="n"/>
      <c r="J306" s="17" t="inlineStr">
        <is>
          <t>tengah</t>
        </is>
      </c>
      <c r="K306" s="17" t="n"/>
      <c r="L306" s="17" t="n"/>
      <c r="O306" s="17" t="inlineStr">
        <is>
          <t>tengah</t>
        </is>
      </c>
      <c r="P306" s="17" t="n"/>
      <c r="Q306" s="17" t="n"/>
      <c r="T306" s="17" t="inlineStr">
        <is>
          <t>kanan</t>
        </is>
      </c>
      <c r="U306" s="17" t="n"/>
      <c r="V306" s="17" t="n"/>
    </row>
    <row r="307" s="1">
      <c r="E307" s="17" t="inlineStr">
        <is>
          <t>kanan</t>
        </is>
      </c>
      <c r="F307" s="17" t="n"/>
      <c r="G307" s="17" t="n"/>
      <c r="J307" s="17" t="inlineStr">
        <is>
          <t>kiri</t>
        </is>
      </c>
      <c r="K307" s="17" t="n"/>
      <c r="L307" s="17" t="n"/>
      <c r="O307" s="17" t="inlineStr">
        <is>
          <t>kanan</t>
        </is>
      </c>
      <c r="P307" s="17" t="n"/>
      <c r="Q307" s="17" t="n"/>
      <c r="T307" s="17" t="inlineStr">
        <is>
          <t>kanan</t>
        </is>
      </c>
      <c r="U307" s="17" t="n"/>
      <c r="V307" s="17" t="n"/>
    </row>
    <row r="308" s="1">
      <c r="E308" s="17" t="inlineStr">
        <is>
          <t>tengah</t>
        </is>
      </c>
      <c r="F308" s="17" t="n"/>
      <c r="G308" s="17" t="n"/>
      <c r="J308" s="17" t="inlineStr">
        <is>
          <t>tengah</t>
        </is>
      </c>
      <c r="K308" s="17" t="n"/>
      <c r="L308" s="17" t="n"/>
      <c r="O308" s="17" t="inlineStr">
        <is>
          <t>kanan</t>
        </is>
      </c>
      <c r="P308" s="17" t="n"/>
      <c r="Q308" s="17" t="n"/>
      <c r="T308" s="17" t="inlineStr">
        <is>
          <t>kanan</t>
        </is>
      </c>
      <c r="U308" s="17" t="n"/>
      <c r="V308" s="17" t="n"/>
    </row>
    <row r="309" s="1">
      <c r="E309" s="17" t="inlineStr">
        <is>
          <t>tengah</t>
        </is>
      </c>
      <c r="F309" s="17" t="n"/>
      <c r="G309" s="17" t="n"/>
      <c r="J309" s="17" t="inlineStr">
        <is>
          <t>tengah</t>
        </is>
      </c>
      <c r="K309" s="17" t="n"/>
      <c r="L309" s="17" t="n"/>
      <c r="O309" s="17" t="inlineStr">
        <is>
          <t>kanan</t>
        </is>
      </c>
      <c r="P309" s="17" t="n"/>
      <c r="Q309" s="17" t="n"/>
      <c r="T309" s="17" t="inlineStr">
        <is>
          <t>kanan</t>
        </is>
      </c>
      <c r="U309" s="17" t="n"/>
      <c r="V309" s="17" t="n"/>
    </row>
    <row r="310" s="1">
      <c r="E310" s="17" t="inlineStr">
        <is>
          <t>tengah</t>
        </is>
      </c>
      <c r="F310" s="17" t="n"/>
      <c r="G310" s="17" t="n"/>
      <c r="J310" s="17" t="inlineStr">
        <is>
          <t>kanan</t>
        </is>
      </c>
      <c r="K310" s="17" t="n"/>
      <c r="L310" s="17" t="n"/>
      <c r="O310" s="17" t="inlineStr">
        <is>
          <t>kiri</t>
        </is>
      </c>
      <c r="P310" s="17" t="n"/>
      <c r="Q310" s="17" t="n"/>
      <c r="T310" s="17" t="inlineStr">
        <is>
          <t>tengah</t>
        </is>
      </c>
      <c r="U310" s="17" t="n"/>
      <c r="V310" s="17" t="n"/>
    </row>
    <row r="311" s="1">
      <c r="E311" s="17" t="inlineStr">
        <is>
          <t>kiri</t>
        </is>
      </c>
      <c r="F311" s="17" t="n"/>
      <c r="G311" s="17" t="n"/>
      <c r="J311" s="17" t="inlineStr">
        <is>
          <t>tengah</t>
        </is>
      </c>
      <c r="K311" s="17" t="n"/>
      <c r="L311" s="17" t="n"/>
      <c r="O311" s="17" t="inlineStr">
        <is>
          <t>tengah</t>
        </is>
      </c>
      <c r="P311" s="17" t="n"/>
      <c r="Q311" s="17" t="n"/>
      <c r="T311" s="17" t="inlineStr">
        <is>
          <t>tengah</t>
        </is>
      </c>
      <c r="U311" s="17" t="n"/>
      <c r="V311" s="17" t="n"/>
    </row>
    <row r="312" s="1">
      <c r="E312" s="17" t="inlineStr">
        <is>
          <t>kanan</t>
        </is>
      </c>
      <c r="F312" s="17" t="n"/>
      <c r="G312" s="17" t="n"/>
      <c r="J312" s="17" t="inlineStr">
        <is>
          <t>tengah</t>
        </is>
      </c>
      <c r="K312" s="17" t="n"/>
      <c r="L312" s="17" t="n"/>
      <c r="O312" s="17" t="inlineStr">
        <is>
          <t>kanan</t>
        </is>
      </c>
      <c r="P312" s="17" t="n"/>
      <c r="Q312" s="17" t="n"/>
      <c r="T312" s="17" t="inlineStr">
        <is>
          <t>kanan</t>
        </is>
      </c>
      <c r="U312" s="17" t="n"/>
      <c r="V312" s="17" t="n"/>
    </row>
    <row r="313" s="1">
      <c r="E313" s="17" t="inlineStr">
        <is>
          <t>kiri</t>
        </is>
      </c>
      <c r="F313" s="17" t="n"/>
      <c r="G313" s="17" t="n"/>
      <c r="J313" s="17" t="inlineStr">
        <is>
          <t>kiri</t>
        </is>
      </c>
      <c r="K313" s="17" t="n"/>
      <c r="L313" s="17" t="n"/>
      <c r="O313" s="17" t="inlineStr">
        <is>
          <t>kanan</t>
        </is>
      </c>
      <c r="P313" s="17" t="n"/>
      <c r="Q313" s="17" t="n"/>
      <c r="T313" s="17" t="inlineStr">
        <is>
          <t>tengah</t>
        </is>
      </c>
      <c r="U313" s="17" t="n"/>
      <c r="V313" s="17" t="n"/>
    </row>
    <row r="314" s="1">
      <c r="E314" s="17" t="inlineStr">
        <is>
          <t>tengah</t>
        </is>
      </c>
      <c r="F314" s="17" t="n"/>
      <c r="G314" s="17" t="n"/>
      <c r="J314" s="17" t="inlineStr">
        <is>
          <t>tengah</t>
        </is>
      </c>
      <c r="K314" s="17" t="n"/>
      <c r="L314" s="17" t="n"/>
      <c r="O314" s="17" t="inlineStr">
        <is>
          <t>tengah</t>
        </is>
      </c>
      <c r="P314" s="17" t="n"/>
      <c r="Q314" s="17" t="n"/>
      <c r="T314" s="17" t="inlineStr">
        <is>
          <t>kanan</t>
        </is>
      </c>
      <c r="U314" s="17" t="n"/>
      <c r="V314" s="17" t="n"/>
    </row>
    <row r="315" s="1">
      <c r="E315" s="17" t="inlineStr">
        <is>
          <t>kiri</t>
        </is>
      </c>
      <c r="F315" s="17" t="n"/>
      <c r="G315" s="17" t="n"/>
      <c r="J315" s="17" t="inlineStr">
        <is>
          <t>kanan</t>
        </is>
      </c>
      <c r="K315" s="17" t="n"/>
      <c r="L315" s="17" t="n"/>
      <c r="O315" s="17" t="inlineStr">
        <is>
          <t>kiri</t>
        </is>
      </c>
      <c r="P315" s="17" t="n"/>
      <c r="Q315" s="17" t="n"/>
      <c r="T315" s="17" t="inlineStr">
        <is>
          <t>kanan</t>
        </is>
      </c>
      <c r="U315" s="17" t="n"/>
      <c r="V315" s="17" t="n"/>
    </row>
    <row r="316" s="1">
      <c r="E316" s="17" t="inlineStr">
        <is>
          <t>tengah</t>
        </is>
      </c>
      <c r="F316" s="17" t="n"/>
      <c r="G316" s="17" t="n"/>
      <c r="J316" s="17" t="inlineStr">
        <is>
          <t>kanan</t>
        </is>
      </c>
      <c r="K316" s="17" t="n"/>
      <c r="L316" s="17" t="n"/>
      <c r="O316" s="17" t="inlineStr">
        <is>
          <t>tengah</t>
        </is>
      </c>
      <c r="P316" s="17" t="n"/>
      <c r="Q316" s="17" t="n"/>
      <c r="T316" s="17" t="inlineStr">
        <is>
          <t>tengah</t>
        </is>
      </c>
      <c r="U316" s="17" t="n"/>
      <c r="V316" s="17" t="n"/>
    </row>
    <row r="317" s="1">
      <c r="E317" s="17" t="inlineStr">
        <is>
          <t>tengah</t>
        </is>
      </c>
      <c r="F317" s="17" t="n"/>
      <c r="G317" s="17" t="n"/>
      <c r="J317" s="17" t="inlineStr">
        <is>
          <t>kiri</t>
        </is>
      </c>
      <c r="K317" s="17" t="n"/>
      <c r="L317" s="17" t="n"/>
      <c r="O317" s="17" t="inlineStr">
        <is>
          <t>kiri</t>
        </is>
      </c>
      <c r="P317" s="17" t="n"/>
      <c r="Q317" s="17" t="n"/>
      <c r="T317" s="17" t="inlineStr">
        <is>
          <t>kanan</t>
        </is>
      </c>
      <c r="U317" s="17" t="n"/>
      <c r="V317" s="17" t="n"/>
    </row>
    <row r="318" s="1">
      <c r="E318" s="17" t="inlineStr">
        <is>
          <t>tengah</t>
        </is>
      </c>
      <c r="F318" s="17" t="n"/>
      <c r="G318" s="17" t="n"/>
      <c r="J318" s="17" t="inlineStr">
        <is>
          <t>tengah</t>
        </is>
      </c>
      <c r="K318" s="17" t="n"/>
      <c r="L318" s="17" t="n"/>
      <c r="O318" s="17" t="inlineStr">
        <is>
          <t>tengah</t>
        </is>
      </c>
      <c r="P318" s="17" t="n"/>
      <c r="Q318" s="17" t="n"/>
      <c r="T318" s="17" t="inlineStr">
        <is>
          <t>kanan</t>
        </is>
      </c>
      <c r="U318" s="17" t="n"/>
      <c r="V318" s="17" t="n"/>
    </row>
    <row r="319" s="1">
      <c r="E319" s="17" t="inlineStr">
        <is>
          <t>tengah</t>
        </is>
      </c>
      <c r="F319" s="17" t="n"/>
      <c r="G319" s="17" t="n"/>
      <c r="J319" s="17" t="inlineStr">
        <is>
          <t>tengah</t>
        </is>
      </c>
      <c r="K319" s="17" t="n"/>
      <c r="L319" s="17" t="n"/>
      <c r="O319" s="17" t="inlineStr">
        <is>
          <t>tengah</t>
        </is>
      </c>
      <c r="P319" s="17" t="n"/>
      <c r="Q319" s="17" t="n"/>
      <c r="T319" s="17" t="inlineStr">
        <is>
          <t>kanan</t>
        </is>
      </c>
      <c r="U319" s="17" t="n"/>
      <c r="V319" s="17" t="n"/>
    </row>
    <row r="320" s="1">
      <c r="E320" s="17" t="inlineStr">
        <is>
          <t>tengah</t>
        </is>
      </c>
      <c r="F320" s="17" t="n"/>
      <c r="G320" s="17" t="n"/>
      <c r="J320" s="17" t="inlineStr">
        <is>
          <t>tengah</t>
        </is>
      </c>
      <c r="K320" s="17" t="n"/>
      <c r="L320" s="17" t="n"/>
      <c r="O320" s="17" t="inlineStr">
        <is>
          <t>kanan</t>
        </is>
      </c>
      <c r="P320" s="17" t="n"/>
      <c r="Q320" s="17" t="n"/>
      <c r="T320" s="17" t="inlineStr">
        <is>
          <t>kanan</t>
        </is>
      </c>
      <c r="U320" s="17" t="n"/>
      <c r="V320" s="17" t="n"/>
    </row>
    <row r="321" s="1">
      <c r="E321" s="17" t="inlineStr">
        <is>
          <t>tengah</t>
        </is>
      </c>
      <c r="F321" s="17" t="n"/>
      <c r="G321" s="17" t="n"/>
      <c r="J321" s="17" t="inlineStr">
        <is>
          <t>kanan</t>
        </is>
      </c>
      <c r="K321" s="17" t="n"/>
      <c r="L321" s="17" t="n"/>
      <c r="O321" s="17" t="inlineStr">
        <is>
          <t>tengah</t>
        </is>
      </c>
      <c r="P321" s="17" t="n"/>
      <c r="Q321" s="17" t="n"/>
      <c r="T321" s="17" t="inlineStr">
        <is>
          <t>kanan</t>
        </is>
      </c>
      <c r="U321" s="17" t="n"/>
      <c r="V321" s="17" t="n"/>
    </row>
    <row r="322" s="1">
      <c r="E322" s="17" t="inlineStr">
        <is>
          <t>tengah</t>
        </is>
      </c>
      <c r="F322" s="17" t="n"/>
      <c r="G322" s="17" t="n"/>
      <c r="J322" s="17" t="inlineStr">
        <is>
          <t>tengah</t>
        </is>
      </c>
      <c r="K322" s="17" t="n"/>
      <c r="L322" s="17" t="n"/>
      <c r="O322" s="17" t="inlineStr">
        <is>
          <t>kanan</t>
        </is>
      </c>
      <c r="P322" s="17" t="n"/>
      <c r="Q322" s="17" t="n"/>
      <c r="T322" s="17" t="inlineStr">
        <is>
          <t>kanan</t>
        </is>
      </c>
      <c r="U322" s="17" t="n"/>
      <c r="V322" s="17" t="n"/>
    </row>
    <row r="323" s="1">
      <c r="E323" s="17" t="inlineStr">
        <is>
          <t>tengah</t>
        </is>
      </c>
      <c r="F323" s="17" t="n"/>
      <c r="G323" s="17" t="n"/>
      <c r="J323" s="17" t="inlineStr">
        <is>
          <t>tengah</t>
        </is>
      </c>
      <c r="K323" s="17" t="n"/>
      <c r="L323" s="17" t="n"/>
      <c r="O323" s="17" t="inlineStr">
        <is>
          <t>tengah</t>
        </is>
      </c>
      <c r="P323" s="17" t="n"/>
      <c r="Q323" s="17" t="n"/>
      <c r="T323" s="17" t="inlineStr">
        <is>
          <t>kanan</t>
        </is>
      </c>
      <c r="U323" s="17" t="n"/>
      <c r="V323" s="17" t="n"/>
    </row>
    <row r="324" s="1">
      <c r="E324" s="17" t="inlineStr">
        <is>
          <t>kanan</t>
        </is>
      </c>
      <c r="F324" s="17" t="n"/>
      <c r="G324" s="17" t="n"/>
      <c r="J324" s="17" t="inlineStr">
        <is>
          <t>tengah</t>
        </is>
      </c>
      <c r="K324" s="17" t="n"/>
      <c r="L324" s="17" t="n"/>
      <c r="O324" s="17" t="inlineStr">
        <is>
          <t>tengah</t>
        </is>
      </c>
      <c r="P324" s="17" t="n"/>
      <c r="Q324" s="17" t="n"/>
      <c r="T324" s="17" t="inlineStr">
        <is>
          <t>tengah</t>
        </is>
      </c>
      <c r="U324" s="17" t="n"/>
      <c r="V324" s="17" t="n"/>
    </row>
    <row r="325" s="1">
      <c r="E325" s="17" t="inlineStr">
        <is>
          <t>tengah</t>
        </is>
      </c>
      <c r="F325" s="17" t="n"/>
      <c r="G325" s="17" t="n"/>
      <c r="J325" s="17" t="inlineStr">
        <is>
          <t>tengah</t>
        </is>
      </c>
      <c r="K325" s="17" t="n"/>
      <c r="L325" s="17" t="n"/>
      <c r="O325" s="17" t="inlineStr">
        <is>
          <t>tengah</t>
        </is>
      </c>
      <c r="P325" s="17" t="n"/>
      <c r="Q325" s="17" t="n"/>
      <c r="T325" s="17" t="inlineStr">
        <is>
          <t>tengah</t>
        </is>
      </c>
      <c r="U325" s="17" t="n"/>
      <c r="V325" s="17" t="n"/>
    </row>
    <row r="326" s="1">
      <c r="E326" s="17" t="inlineStr">
        <is>
          <t>kanan</t>
        </is>
      </c>
      <c r="F326" s="17" t="n"/>
      <c r="G326" s="17" t="n"/>
      <c r="J326" s="17" t="inlineStr">
        <is>
          <t>tengah</t>
        </is>
      </c>
      <c r="K326" s="17" t="n"/>
      <c r="L326" s="17" t="n"/>
      <c r="O326" s="17" t="inlineStr">
        <is>
          <t>tengah</t>
        </is>
      </c>
      <c r="P326" s="17" t="n"/>
      <c r="Q326" s="17" t="n"/>
      <c r="T326" s="17" t="inlineStr">
        <is>
          <t>tengah</t>
        </is>
      </c>
      <c r="U326" s="17" t="n"/>
      <c r="V326" s="17" t="n"/>
    </row>
    <row r="327" s="1">
      <c r="E327" s="17" t="inlineStr">
        <is>
          <t>kanan</t>
        </is>
      </c>
      <c r="F327" s="17" t="n"/>
      <c r="G327" s="17" t="n"/>
      <c r="J327" s="17" t="inlineStr">
        <is>
          <t>kanan</t>
        </is>
      </c>
      <c r="K327" s="17" t="n"/>
      <c r="L327" s="17" t="n"/>
      <c r="O327" s="17" t="inlineStr">
        <is>
          <t>tengah</t>
        </is>
      </c>
      <c r="P327" s="17" t="n"/>
      <c r="Q327" s="17" t="n"/>
      <c r="T327" s="17" t="inlineStr">
        <is>
          <t>kanan</t>
        </is>
      </c>
      <c r="U327" s="17" t="n"/>
      <c r="V327" s="17" t="n"/>
    </row>
    <row r="328" s="1">
      <c r="E328" s="17" t="inlineStr">
        <is>
          <t>tengah</t>
        </is>
      </c>
      <c r="F328" s="17" t="n"/>
      <c r="G328" s="17" t="n"/>
      <c r="J328" s="17" t="inlineStr">
        <is>
          <t>tengah</t>
        </is>
      </c>
      <c r="K328" s="17" t="n"/>
      <c r="L328" s="17" t="n"/>
      <c r="O328" s="17" t="inlineStr">
        <is>
          <t>kanan</t>
        </is>
      </c>
      <c r="P328" s="17" t="n"/>
      <c r="Q328" s="17" t="n"/>
      <c r="T328" s="17" t="inlineStr">
        <is>
          <t>kanan</t>
        </is>
      </c>
      <c r="U328" s="17" t="n"/>
      <c r="V328" s="17" t="n"/>
    </row>
    <row r="329" s="1">
      <c r="E329" s="17" t="inlineStr">
        <is>
          <t>kanan</t>
        </is>
      </c>
      <c r="F329" s="17" t="n"/>
      <c r="G329" s="17" t="n"/>
      <c r="J329" s="17" t="inlineStr">
        <is>
          <t>tengah</t>
        </is>
      </c>
      <c r="K329" s="17" t="n"/>
      <c r="L329" s="17" t="n"/>
      <c r="O329" s="17" t="inlineStr">
        <is>
          <t>tengah</t>
        </is>
      </c>
      <c r="P329" s="17" t="n"/>
      <c r="Q329" s="17" t="n"/>
      <c r="T329" s="17" t="inlineStr">
        <is>
          <t>tengah</t>
        </is>
      </c>
      <c r="U329" s="17" t="n"/>
      <c r="V329" s="17" t="n"/>
    </row>
    <row r="330" s="1">
      <c r="E330" s="17" t="inlineStr">
        <is>
          <t>tengah</t>
        </is>
      </c>
      <c r="F330" s="17" t="n"/>
      <c r="G330" s="17" t="n"/>
      <c r="J330" s="17" t="inlineStr">
        <is>
          <t>kiri</t>
        </is>
      </c>
      <c r="K330" s="17" t="n"/>
      <c r="L330" s="17" t="n"/>
      <c r="O330" s="17" t="inlineStr">
        <is>
          <t>kanan</t>
        </is>
      </c>
      <c r="P330" s="17" t="n"/>
      <c r="Q330" s="17" t="n"/>
      <c r="T330" s="17" t="inlineStr">
        <is>
          <t>tengah</t>
        </is>
      </c>
      <c r="U330" s="17" t="n"/>
      <c r="V330" s="17" t="n"/>
    </row>
    <row r="331" s="1">
      <c r="E331" s="17" t="inlineStr">
        <is>
          <t>tengah</t>
        </is>
      </c>
      <c r="F331" s="17" t="n"/>
      <c r="G331" s="17" t="n"/>
      <c r="J331" s="17" t="inlineStr">
        <is>
          <t>tengah</t>
        </is>
      </c>
      <c r="K331" s="17" t="n"/>
      <c r="L331" s="17" t="n"/>
      <c r="O331" s="17" t="inlineStr">
        <is>
          <t>tengah</t>
        </is>
      </c>
      <c r="P331" s="17" t="n"/>
      <c r="Q331" s="17" t="n"/>
      <c r="T331" s="17" t="inlineStr">
        <is>
          <t>tengah</t>
        </is>
      </c>
      <c r="U331" s="17" t="n"/>
      <c r="V331" s="17" t="n"/>
    </row>
    <row r="332" s="1">
      <c r="E332" s="17" t="inlineStr">
        <is>
          <t>kiri</t>
        </is>
      </c>
      <c r="F332" s="17" t="n"/>
      <c r="G332" s="17" t="n"/>
      <c r="J332" s="17" t="inlineStr">
        <is>
          <t>kiri</t>
        </is>
      </c>
      <c r="K332" s="17" t="n"/>
      <c r="L332" s="17" t="n"/>
      <c r="O332" s="17" t="inlineStr">
        <is>
          <t>tengah</t>
        </is>
      </c>
      <c r="P332" s="17" t="n"/>
      <c r="Q332" s="17" t="n"/>
      <c r="T332" s="17" t="inlineStr">
        <is>
          <t>kanan</t>
        </is>
      </c>
      <c r="U332" s="17" t="n"/>
      <c r="V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2"/>
  <sheetViews>
    <sheetView topLeftCell="G40" zoomScale="112" zoomScaleNormal="112" workbookViewId="0">
      <selection activeCell="S151" sqref="S151"/>
    </sheetView>
  </sheetViews>
  <sheetFormatPr baseColWidth="8" defaultColWidth="9.148148148148151" defaultRowHeight="15"/>
  <cols>
    <col width="9.140740740740741" customWidth="1" style="27" min="1" max="2"/>
    <col width="15.8592592592593" customWidth="1" style="27" min="3" max="3"/>
    <col width="13.2888888888889" customWidth="1" style="27" min="4" max="4"/>
    <col width="15.5703703703704" customWidth="1" style="27" min="5" max="5"/>
    <col width="13.1407407407407" customWidth="1" style="27" min="6" max="6"/>
    <col width="9.140740740740741" customWidth="1" style="27" min="7" max="9"/>
    <col width="17" customWidth="1" style="27" min="10" max="10"/>
    <col width="13.2888888888889" customWidth="1" style="27" min="11" max="11"/>
    <col width="13.8592592592593" customWidth="1" style="27" min="12" max="12"/>
    <col width="9.140740740740741" customWidth="1" style="27" min="13" max="14"/>
    <col width="16.1407407407407" customWidth="1" style="27" min="15" max="15"/>
    <col width="9.140740740740741" customWidth="1" style="27" min="16" max="18"/>
    <col width="6.42962962962963" customWidth="1" style="27" min="19" max="19"/>
    <col width="14.2888888888889" customWidth="1" style="27" min="20" max="20"/>
    <col width="9.140740740740741" customWidth="1" style="27" min="21" max="16384"/>
  </cols>
  <sheetData>
    <row r="1" s="1">
      <c r="A1" s="15" t="inlineStr">
        <is>
          <t>No</t>
        </is>
      </c>
      <c r="B1" s="15" t="inlineStr">
        <is>
          <t>Usia</t>
        </is>
      </c>
      <c r="C1" s="15" t="inlineStr">
        <is>
          <t>Lama Rawat Inap</t>
        </is>
      </c>
      <c r="D1" s="15" t="inlineStr">
        <is>
          <t>Jenis Kelamin</t>
        </is>
      </c>
      <c r="E1" s="15" t="inlineStr">
        <is>
          <t>Tingkat Resiko</t>
        </is>
      </c>
      <c r="H1" s="37" t="inlineStr">
        <is>
          <t>No</t>
        </is>
      </c>
      <c r="I1" s="37" t="inlineStr">
        <is>
          <t>Usia</t>
        </is>
      </c>
      <c r="J1" s="37" t="inlineStr">
        <is>
          <t>Lama Rawat Inap</t>
        </is>
      </c>
      <c r="K1" s="37" t="inlineStr">
        <is>
          <t>Jenis Kelamin</t>
        </is>
      </c>
      <c r="L1" s="37" t="inlineStr">
        <is>
          <t>Tingkat Resiko</t>
        </is>
      </c>
      <c r="O1" s="15" t="inlineStr">
        <is>
          <t>Perhitungan root</t>
        </is>
      </c>
      <c r="P1" s="29" t="n"/>
      <c r="Q1" s="29" t="n"/>
    </row>
    <row r="2" s="1">
      <c r="A2" s="22">
        <f>RANDBETWEEN(2,164)</f>
        <v/>
      </c>
      <c r="B2" s="22">
        <f t="array" ref="B2"/>
        <v/>
      </c>
      <c r="C2" s="22">
        <f t="array" ref="C2"/>
        <v/>
      </c>
      <c r="D2" s="22">
        <f t="array" ref="D2"/>
        <v/>
      </c>
      <c r="E2" s="22">
        <f t="array" ref="E2"/>
        <v/>
      </c>
      <c r="H2" s="38" t="n">
        <v>42</v>
      </c>
      <c r="I2" s="38" t="n">
        <v>21</v>
      </c>
      <c r="J2" s="38" t="n">
        <v>5</v>
      </c>
      <c r="K2" s="38" t="n">
        <v>1</v>
      </c>
      <c r="L2" s="38" t="inlineStr">
        <is>
          <t>Sedang</t>
        </is>
      </c>
      <c r="O2" s="29" t="inlineStr">
        <is>
          <t>Tinggi</t>
        </is>
      </c>
      <c r="P2" s="29">
        <f>COUNTIF(L2:L164,"Tinggi")</f>
        <v/>
      </c>
      <c r="Q2" s="29">
        <f>P2/163</f>
        <v/>
      </c>
    </row>
    <row r="3" s="1">
      <c r="A3" s="22">
        <f>RANDBETWEEN(2,164)</f>
        <v/>
      </c>
      <c r="B3" s="22">
        <f t="array" ref="B3"/>
        <v/>
      </c>
      <c r="C3" s="22">
        <f t="array" ref="C3"/>
        <v/>
      </c>
      <c r="D3" s="22">
        <f t="array" ref="D3"/>
        <v/>
      </c>
      <c r="E3" s="22">
        <f t="array" ref="E3"/>
        <v/>
      </c>
      <c r="H3" s="38" t="n">
        <v>30</v>
      </c>
      <c r="I3" s="38" t="n">
        <v>3</v>
      </c>
      <c r="J3" s="38" t="n">
        <v>2</v>
      </c>
      <c r="K3" s="38" t="n">
        <v>1</v>
      </c>
      <c r="L3" s="38" t="inlineStr">
        <is>
          <t>Sedang</t>
        </is>
      </c>
      <c r="O3" s="29" t="inlineStr">
        <is>
          <t>Sedang</t>
        </is>
      </c>
      <c r="P3" s="29">
        <f>COUNTIF(L2:L164,"Sedang")</f>
        <v/>
      </c>
      <c r="Q3" s="29">
        <f>P3/163</f>
        <v/>
      </c>
    </row>
    <row r="4" s="1">
      <c r="A4" s="22">
        <f>RANDBETWEEN(2,164)</f>
        <v/>
      </c>
      <c r="B4" s="22">
        <f t="array" ref="B4"/>
        <v/>
      </c>
      <c r="C4" s="22">
        <f t="array" ref="C4"/>
        <v/>
      </c>
      <c r="D4" s="22">
        <f t="array" ref="D4"/>
        <v/>
      </c>
      <c r="E4" s="22">
        <f t="array" ref="E4"/>
        <v/>
      </c>
      <c r="H4" s="38" t="n">
        <v>139</v>
      </c>
      <c r="I4" s="38" t="n">
        <v>52</v>
      </c>
      <c r="J4" s="38" t="n">
        <v>7</v>
      </c>
      <c r="K4" s="38" t="n">
        <v>0</v>
      </c>
      <c r="L4" s="38" t="inlineStr">
        <is>
          <t>Tinggi</t>
        </is>
      </c>
      <c r="O4" s="29" t="inlineStr">
        <is>
          <t>Rendah</t>
        </is>
      </c>
      <c r="P4" s="29">
        <f>COUNTIF(L2:L164,"Rendah")</f>
        <v/>
      </c>
      <c r="Q4" s="29">
        <f>P4/163</f>
        <v/>
      </c>
    </row>
    <row r="5" s="1">
      <c r="A5" s="22">
        <f>RANDBETWEEN(2,164)</f>
        <v/>
      </c>
      <c r="B5" s="22">
        <f t="array" ref="B5"/>
        <v/>
      </c>
      <c r="C5" s="22">
        <f t="array" ref="C5"/>
        <v/>
      </c>
      <c r="D5" s="22">
        <f t="array" ref="D5"/>
        <v/>
      </c>
      <c r="E5" s="22">
        <f t="array" ref="E5"/>
        <v/>
      </c>
      <c r="H5" s="38" t="n">
        <v>60</v>
      </c>
      <c r="I5" s="38" t="n">
        <v>68</v>
      </c>
      <c r="J5" s="38" t="n">
        <v>4</v>
      </c>
      <c r="K5" s="38" t="n">
        <v>0</v>
      </c>
      <c r="L5" s="38" t="inlineStr">
        <is>
          <t>Sedang</t>
        </is>
      </c>
      <c r="O5" s="30" t="inlineStr">
        <is>
          <t>Entropy Root</t>
        </is>
      </c>
      <c r="P5" s="27">
        <f>-(IFERROR(Q2*LOG(Q2,2),0)+IFERROR(Q3*LOG(Q3,2),0)+IFERROR(Q4*LOG(Q4,2),0))</f>
        <v/>
      </c>
    </row>
    <row r="6" s="1">
      <c r="A6" s="22">
        <f>RANDBETWEEN(2,164)</f>
        <v/>
      </c>
      <c r="B6" s="22">
        <f t="array" ref="B6"/>
        <v/>
      </c>
      <c r="C6" s="22">
        <f t="array" ref="C6"/>
        <v/>
      </c>
      <c r="D6" s="22">
        <f t="array" ref="D6"/>
        <v/>
      </c>
      <c r="E6" s="22">
        <f t="array" ref="E6"/>
        <v/>
      </c>
      <c r="H6" s="38" t="n">
        <v>76</v>
      </c>
      <c r="I6" s="38" t="n">
        <v>70</v>
      </c>
      <c r="J6" s="38" t="n">
        <v>2</v>
      </c>
      <c r="K6" s="38" t="n">
        <v>0</v>
      </c>
      <c r="L6" s="38" t="inlineStr">
        <is>
          <t>Sedang</t>
        </is>
      </c>
    </row>
    <row r="7" s="1">
      <c r="A7" s="22">
        <f>RANDBETWEEN(2,164)</f>
        <v/>
      </c>
      <c r="B7" s="22">
        <f t="array" ref="B7"/>
        <v/>
      </c>
      <c r="C7" s="22">
        <f t="array" ref="C7"/>
        <v/>
      </c>
      <c r="D7" s="22">
        <f t="array" ref="D7"/>
        <v/>
      </c>
      <c r="E7" s="22">
        <f t="array" ref="E7"/>
        <v/>
      </c>
      <c r="H7" s="38" t="n">
        <v>157</v>
      </c>
      <c r="I7" s="38" t="n">
        <v>15</v>
      </c>
      <c r="J7" s="38" t="n">
        <v>4</v>
      </c>
      <c r="K7" s="38" t="n">
        <v>1</v>
      </c>
      <c r="L7" s="38" t="inlineStr">
        <is>
          <t>Tinggi</t>
        </is>
      </c>
    </row>
    <row r="8" s="1">
      <c r="A8" s="22">
        <f>RANDBETWEEN(2,164)</f>
        <v/>
      </c>
      <c r="B8" s="22">
        <f t="array" ref="B8"/>
        <v/>
      </c>
      <c r="C8" s="22">
        <f t="array" ref="C8"/>
        <v/>
      </c>
      <c r="D8" s="22">
        <f t="array" ref="D8"/>
        <v/>
      </c>
      <c r="E8" s="22">
        <f t="array" ref="E8"/>
        <v/>
      </c>
      <c r="H8" s="38" t="n">
        <v>48</v>
      </c>
      <c r="I8" s="38" t="n">
        <v>50</v>
      </c>
      <c r="J8" s="38" t="n">
        <v>5</v>
      </c>
      <c r="K8" s="38" t="n">
        <v>1</v>
      </c>
      <c r="L8" s="38" t="inlineStr">
        <is>
          <t>Sedang</t>
        </is>
      </c>
    </row>
    <row r="9" s="1">
      <c r="A9" s="22">
        <f>RANDBETWEEN(2,164)</f>
        <v/>
      </c>
      <c r="B9" s="22">
        <f t="array" ref="B9"/>
        <v/>
      </c>
      <c r="C9" s="22">
        <f t="array" ref="C9"/>
        <v/>
      </c>
      <c r="D9" s="22">
        <f t="array" ref="D9"/>
        <v/>
      </c>
      <c r="E9" s="22">
        <f t="array" ref="E9"/>
        <v/>
      </c>
      <c r="H9" s="38" t="n">
        <v>60</v>
      </c>
      <c r="I9" s="38" t="n">
        <v>68</v>
      </c>
      <c r="J9" s="38" t="n">
        <v>4</v>
      </c>
      <c r="K9" s="38" t="n">
        <v>0</v>
      </c>
      <c r="L9" s="38" t="inlineStr">
        <is>
          <t>Sedang</t>
        </is>
      </c>
    </row>
    <row r="10" s="1">
      <c r="A10" s="22">
        <f>RANDBETWEEN(2,164)</f>
        <v/>
      </c>
      <c r="B10" s="22">
        <f t="array" ref="B10"/>
        <v/>
      </c>
      <c r="C10" s="22">
        <f t="array" ref="C10"/>
        <v/>
      </c>
      <c r="D10" s="22">
        <f t="array" ref="D10"/>
        <v/>
      </c>
      <c r="E10" s="22">
        <f t="array" ref="E10"/>
        <v/>
      </c>
      <c r="H10" s="38" t="n">
        <v>8</v>
      </c>
      <c r="I10" s="38" t="n">
        <v>4</v>
      </c>
      <c r="J10" s="38" t="n">
        <v>2</v>
      </c>
      <c r="K10" s="38" t="n">
        <v>0</v>
      </c>
      <c r="L10" s="38" t="inlineStr">
        <is>
          <t>Sedang</t>
        </is>
      </c>
    </row>
    <row r="11" s="1">
      <c r="A11" s="22">
        <f>RANDBETWEEN(2,164)</f>
        <v/>
      </c>
      <c r="B11" s="22">
        <f t="array" ref="B11"/>
        <v/>
      </c>
      <c r="C11" s="22">
        <f t="array" ref="C11"/>
        <v/>
      </c>
      <c r="D11" s="22">
        <f t="array" ref="D11"/>
        <v/>
      </c>
      <c r="E11" s="22">
        <f t="array" ref="E11"/>
        <v/>
      </c>
      <c r="H11" s="38" t="n">
        <v>149</v>
      </c>
      <c r="I11" s="38" t="n">
        <v>19</v>
      </c>
      <c r="J11" s="38" t="n">
        <v>5</v>
      </c>
      <c r="K11" s="38" t="n">
        <v>0</v>
      </c>
      <c r="L11" s="38" t="inlineStr">
        <is>
          <t>Tinggi</t>
        </is>
      </c>
    </row>
    <row r="12" s="1">
      <c r="A12" s="22">
        <f>RANDBETWEEN(2,164)</f>
        <v/>
      </c>
      <c r="B12" s="22">
        <f t="array" ref="B12"/>
        <v/>
      </c>
      <c r="C12" s="22">
        <f t="array" ref="C12"/>
        <v/>
      </c>
      <c r="D12" s="22">
        <f t="array" ref="D12"/>
        <v/>
      </c>
      <c r="E12" s="22">
        <f t="array" ref="E12"/>
        <v/>
      </c>
      <c r="H12" s="38" t="n">
        <v>141</v>
      </c>
      <c r="I12" s="38" t="n">
        <v>36</v>
      </c>
      <c r="J12" s="38" t="n">
        <v>2</v>
      </c>
      <c r="K12" s="38" t="n">
        <v>0</v>
      </c>
      <c r="L12" s="38" t="inlineStr">
        <is>
          <t>Tinggi</t>
        </is>
      </c>
    </row>
    <row r="13" s="1">
      <c r="A13" s="22">
        <f>RANDBETWEEN(2,164)</f>
        <v/>
      </c>
      <c r="B13" s="22">
        <f t="array" ref="B13"/>
        <v/>
      </c>
      <c r="C13" s="22">
        <f t="array" ref="C13"/>
        <v/>
      </c>
      <c r="D13" s="22">
        <f t="array" ref="D13"/>
        <v/>
      </c>
      <c r="E13" s="22">
        <f t="array" ref="E13"/>
        <v/>
      </c>
      <c r="H13" s="38" t="n">
        <v>6</v>
      </c>
      <c r="I13" s="38" t="n">
        <v>14</v>
      </c>
      <c r="J13" s="38" t="n">
        <v>4</v>
      </c>
      <c r="K13" s="38" t="n">
        <v>0</v>
      </c>
      <c r="L13" s="38" t="inlineStr">
        <is>
          <t>Sedang</t>
        </is>
      </c>
    </row>
    <row r="14" s="1">
      <c r="A14" s="22">
        <f>RANDBETWEEN(2,164)</f>
        <v/>
      </c>
      <c r="B14" s="22">
        <f t="array" ref="B14"/>
        <v/>
      </c>
      <c r="C14" s="22">
        <f t="array" ref="C14"/>
        <v/>
      </c>
      <c r="D14" s="22">
        <f t="array" ref="D14"/>
        <v/>
      </c>
      <c r="E14" s="22">
        <f t="array" ref="E14"/>
        <v/>
      </c>
      <c r="H14" s="38" t="n">
        <v>39</v>
      </c>
      <c r="I14" s="38" t="n">
        <v>12</v>
      </c>
      <c r="J14" s="38" t="n">
        <v>5</v>
      </c>
      <c r="K14" s="38" t="n">
        <v>1</v>
      </c>
      <c r="L14" s="38" t="inlineStr">
        <is>
          <t>Sedang</t>
        </is>
      </c>
    </row>
    <row r="15" s="1">
      <c r="A15" s="22">
        <f>RANDBETWEEN(2,164)</f>
        <v/>
      </c>
      <c r="B15" s="22">
        <f t="array" ref="B15"/>
        <v/>
      </c>
      <c r="C15" s="22">
        <f t="array" ref="C15"/>
        <v/>
      </c>
      <c r="D15" s="22">
        <f t="array" ref="D15"/>
        <v/>
      </c>
      <c r="E15" s="22">
        <f t="array" ref="E15"/>
        <v/>
      </c>
      <c r="H15" s="38" t="n">
        <v>54</v>
      </c>
      <c r="I15" s="38" t="n">
        <v>7</v>
      </c>
      <c r="J15" s="38" t="n">
        <v>3</v>
      </c>
      <c r="K15" s="38" t="n">
        <v>0</v>
      </c>
      <c r="L15" s="38" t="inlineStr">
        <is>
          <t>Sedang</t>
        </is>
      </c>
    </row>
    <row r="16" s="1">
      <c r="A16" s="22">
        <f>RANDBETWEEN(2,164)</f>
        <v/>
      </c>
      <c r="B16" s="22">
        <f t="array" ref="B16"/>
        <v/>
      </c>
      <c r="C16" s="22">
        <f t="array" ref="C16"/>
        <v/>
      </c>
      <c r="D16" s="22">
        <f t="array" ref="D16"/>
        <v/>
      </c>
      <c r="E16" s="22">
        <f t="array" ref="E16"/>
        <v/>
      </c>
      <c r="H16" s="38" t="n">
        <v>8</v>
      </c>
      <c r="I16" s="38" t="n">
        <v>4</v>
      </c>
      <c r="J16" s="38" t="n">
        <v>2</v>
      </c>
      <c r="K16" s="38" t="n">
        <v>0</v>
      </c>
      <c r="L16" s="38" t="inlineStr">
        <is>
          <t>Sedang</t>
        </is>
      </c>
    </row>
    <row r="17" s="1">
      <c r="A17" s="22">
        <f>RANDBETWEEN(2,164)</f>
        <v/>
      </c>
      <c r="B17" s="22">
        <f t="array" ref="B17"/>
        <v/>
      </c>
      <c r="C17" s="22">
        <f t="array" ref="C17"/>
        <v/>
      </c>
      <c r="D17" s="22">
        <f t="array" ref="D17"/>
        <v/>
      </c>
      <c r="E17" s="22">
        <f t="array" ref="E17"/>
        <v/>
      </c>
      <c r="H17" s="38" t="n">
        <v>44</v>
      </c>
      <c r="I17" s="38" t="n">
        <v>28</v>
      </c>
      <c r="J17" s="38" t="n">
        <v>5</v>
      </c>
      <c r="K17" s="38" t="n">
        <v>1</v>
      </c>
      <c r="L17" s="38" t="inlineStr">
        <is>
          <t>Sedang</t>
        </is>
      </c>
    </row>
    <row r="18" s="1">
      <c r="A18" s="22">
        <f>RANDBETWEEN(2,164)</f>
        <v/>
      </c>
      <c r="B18" s="22">
        <f t="array" ref="B18"/>
        <v/>
      </c>
      <c r="C18" s="22">
        <f t="array" ref="C18"/>
        <v/>
      </c>
      <c r="D18" s="22">
        <f t="array" ref="D18"/>
        <v/>
      </c>
      <c r="E18" s="22">
        <f t="array" ref="E18"/>
        <v/>
      </c>
      <c r="H18" s="38" t="n">
        <v>40</v>
      </c>
      <c r="I18" s="38" t="n">
        <v>65</v>
      </c>
      <c r="J18" s="38" t="n">
        <v>3</v>
      </c>
      <c r="K18" s="38" t="n">
        <v>1</v>
      </c>
      <c r="L18" s="38" t="inlineStr">
        <is>
          <t>Sedang</t>
        </is>
      </c>
    </row>
    <row r="19" s="1">
      <c r="A19" s="22">
        <f>RANDBETWEEN(2,164)</f>
        <v/>
      </c>
      <c r="B19" s="22">
        <f t="array" ref="B19"/>
        <v/>
      </c>
      <c r="C19" s="22">
        <f t="array" ref="C19"/>
        <v/>
      </c>
      <c r="D19" s="22">
        <f t="array" ref="D19"/>
        <v/>
      </c>
      <c r="E19" s="22">
        <f t="array" ref="E19"/>
        <v/>
      </c>
      <c r="H19" s="38" t="n">
        <v>93</v>
      </c>
      <c r="I19" s="38" t="n">
        <v>65</v>
      </c>
      <c r="J19" s="38" t="n">
        <v>4</v>
      </c>
      <c r="K19" s="38" t="n">
        <v>0</v>
      </c>
      <c r="L19" s="38" t="inlineStr">
        <is>
          <t>Tinggi</t>
        </is>
      </c>
    </row>
    <row r="20" s="1">
      <c r="A20" s="22">
        <f>RANDBETWEEN(2,164)</f>
        <v/>
      </c>
      <c r="B20" s="22">
        <f t="array" ref="B20"/>
        <v/>
      </c>
      <c r="C20" s="22">
        <f t="array" ref="C20"/>
        <v/>
      </c>
      <c r="D20" s="22">
        <f t="array" ref="D20"/>
        <v/>
      </c>
      <c r="E20" s="22">
        <f t="array" ref="E20"/>
        <v/>
      </c>
      <c r="H20" s="38" t="n">
        <v>129</v>
      </c>
      <c r="I20" s="38" t="n">
        <v>4</v>
      </c>
      <c r="J20" s="38" t="n">
        <v>3</v>
      </c>
      <c r="K20" s="38" t="n">
        <v>0</v>
      </c>
      <c r="L20" s="38" t="inlineStr">
        <is>
          <t>Tinggi</t>
        </is>
      </c>
    </row>
    <row r="21" s="1">
      <c r="A21" s="22">
        <f>RANDBETWEEN(2,164)</f>
        <v/>
      </c>
      <c r="B21" s="22">
        <f t="array" ref="B21"/>
        <v/>
      </c>
      <c r="C21" s="22">
        <f t="array" ref="C21"/>
        <v/>
      </c>
      <c r="D21" s="22">
        <f t="array" ref="D21"/>
        <v/>
      </c>
      <c r="E21" s="22">
        <f t="array" ref="E21"/>
        <v/>
      </c>
      <c r="H21" s="38" t="n">
        <v>162</v>
      </c>
      <c r="I21" s="38" t="n">
        <v>22</v>
      </c>
      <c r="J21" s="38" t="n">
        <v>3</v>
      </c>
      <c r="K21" s="38" t="n">
        <v>1</v>
      </c>
      <c r="L21" s="38" t="inlineStr">
        <is>
          <t>Rendah</t>
        </is>
      </c>
    </row>
    <row r="22" s="1">
      <c r="A22" s="22">
        <f>RANDBETWEEN(2,164)</f>
        <v/>
      </c>
      <c r="B22" s="22">
        <f t="array" ref="B22"/>
        <v/>
      </c>
      <c r="C22" s="22">
        <f t="array" ref="C22"/>
        <v/>
      </c>
      <c r="D22" s="22">
        <f t="array" ref="D22"/>
        <v/>
      </c>
      <c r="E22" s="22">
        <f t="array" ref="E22"/>
        <v/>
      </c>
      <c r="H22" s="38" t="n">
        <v>58</v>
      </c>
      <c r="I22" s="38" t="n">
        <v>17</v>
      </c>
      <c r="J22" s="38" t="n">
        <v>3</v>
      </c>
      <c r="K22" s="38" t="n">
        <v>0</v>
      </c>
      <c r="L22" s="38" t="inlineStr">
        <is>
          <t>Sedang</t>
        </is>
      </c>
    </row>
    <row r="23" s="1">
      <c r="A23" s="22">
        <f>RANDBETWEEN(2,164)</f>
        <v/>
      </c>
      <c r="B23" s="22">
        <f t="array" ref="B23"/>
        <v/>
      </c>
      <c r="C23" s="22">
        <f t="array" ref="C23"/>
        <v/>
      </c>
      <c r="D23" s="22">
        <f t="array" ref="D23"/>
        <v/>
      </c>
      <c r="E23" s="22">
        <f t="array" ref="E23"/>
        <v/>
      </c>
      <c r="H23" s="38" t="n">
        <v>39</v>
      </c>
      <c r="I23" s="38" t="n">
        <v>12</v>
      </c>
      <c r="J23" s="38" t="n">
        <v>5</v>
      </c>
      <c r="K23" s="38" t="n">
        <v>1</v>
      </c>
      <c r="L23" s="38" t="inlineStr">
        <is>
          <t>Sedang</t>
        </is>
      </c>
    </row>
    <row r="24" s="1">
      <c r="A24" s="22">
        <f>RANDBETWEEN(2,164)</f>
        <v/>
      </c>
      <c r="B24" s="22">
        <f t="array" ref="B24"/>
        <v/>
      </c>
      <c r="C24" s="22">
        <f t="array" ref="C24"/>
        <v/>
      </c>
      <c r="D24" s="22">
        <f t="array" ref="D24"/>
        <v/>
      </c>
      <c r="E24" s="22">
        <f t="array" ref="E24"/>
        <v/>
      </c>
      <c r="H24" s="38" t="n">
        <v>6</v>
      </c>
      <c r="I24" s="38" t="n">
        <v>14</v>
      </c>
      <c r="J24" s="38" t="n">
        <v>4</v>
      </c>
      <c r="K24" s="38" t="n">
        <v>0</v>
      </c>
      <c r="L24" s="38" t="inlineStr">
        <is>
          <t>Sedang</t>
        </is>
      </c>
    </row>
    <row r="25" s="1">
      <c r="A25" s="22">
        <f>RANDBETWEEN(2,164)</f>
        <v/>
      </c>
      <c r="B25" s="22">
        <f t="array" ref="B25"/>
        <v/>
      </c>
      <c r="C25" s="22">
        <f t="array" ref="C25"/>
        <v/>
      </c>
      <c r="D25" s="22">
        <f t="array" ref="D25"/>
        <v/>
      </c>
      <c r="E25" s="22">
        <f t="array" ref="E25"/>
        <v/>
      </c>
      <c r="H25" s="38" t="n">
        <v>153</v>
      </c>
      <c r="I25" s="38" t="n">
        <v>73</v>
      </c>
      <c r="J25" s="38" t="n">
        <v>7</v>
      </c>
      <c r="K25" s="38" t="n">
        <v>1</v>
      </c>
      <c r="L25" s="38" t="inlineStr">
        <is>
          <t>Tinggi</t>
        </is>
      </c>
    </row>
    <row r="26" s="1">
      <c r="A26" s="22">
        <f>RANDBETWEEN(2,164)</f>
        <v/>
      </c>
      <c r="B26" s="22">
        <f t="array" ref="B26"/>
        <v/>
      </c>
      <c r="C26" s="22">
        <f t="array" ref="C26"/>
        <v/>
      </c>
      <c r="D26" s="22">
        <f t="array" ref="D26"/>
        <v/>
      </c>
      <c r="E26" s="22">
        <f t="array" ref="E26"/>
        <v/>
      </c>
      <c r="H26" s="38" t="n">
        <v>37</v>
      </c>
      <c r="I26" s="38" t="n">
        <v>28</v>
      </c>
      <c r="J26" s="38" t="n">
        <v>4</v>
      </c>
      <c r="K26" s="38" t="n">
        <v>1</v>
      </c>
      <c r="L26" s="38" t="inlineStr">
        <is>
          <t>Rendah</t>
        </is>
      </c>
    </row>
    <row r="27" s="1">
      <c r="A27" s="22">
        <f>RANDBETWEEN(2,164)</f>
        <v/>
      </c>
      <c r="B27" s="22">
        <f t="array" ref="B27"/>
        <v/>
      </c>
      <c r="C27" s="22">
        <f t="array" ref="C27"/>
        <v/>
      </c>
      <c r="D27" s="22">
        <f t="array" ref="D27"/>
        <v/>
      </c>
      <c r="E27" s="22">
        <f t="array" ref="E27"/>
        <v/>
      </c>
      <c r="H27" s="38" t="n">
        <v>118</v>
      </c>
      <c r="I27" s="38" t="n">
        <v>67</v>
      </c>
      <c r="J27" s="38" t="n">
        <v>4</v>
      </c>
      <c r="K27" s="38" t="n">
        <v>1</v>
      </c>
      <c r="L27" s="38" t="inlineStr">
        <is>
          <t>Tinggi</t>
        </is>
      </c>
    </row>
    <row r="28" s="1">
      <c r="A28" s="22">
        <f>RANDBETWEEN(2,164)</f>
        <v/>
      </c>
      <c r="B28" s="22">
        <f t="array" ref="B28"/>
        <v/>
      </c>
      <c r="C28" s="22">
        <f t="array" ref="C28"/>
        <v/>
      </c>
      <c r="D28" s="22">
        <f t="array" ref="D28"/>
        <v/>
      </c>
      <c r="E28" s="22">
        <f t="array" ref="E28"/>
        <v/>
      </c>
      <c r="H28" s="38" t="n">
        <v>16</v>
      </c>
      <c r="I28" s="38" t="n">
        <v>66</v>
      </c>
      <c r="J28" s="38" t="n">
        <v>5</v>
      </c>
      <c r="K28" s="38" t="n">
        <v>1</v>
      </c>
      <c r="L28" s="38" t="inlineStr">
        <is>
          <t>Rendah</t>
        </is>
      </c>
    </row>
    <row r="29" s="1">
      <c r="A29" s="22">
        <f>RANDBETWEEN(2,164)</f>
        <v/>
      </c>
      <c r="B29" s="22">
        <f t="array" ref="B29"/>
        <v/>
      </c>
      <c r="C29" s="22">
        <f t="array" ref="C29"/>
        <v/>
      </c>
      <c r="D29" s="22">
        <f t="array" ref="D29"/>
        <v/>
      </c>
      <c r="E29" s="22">
        <f t="array" ref="E29"/>
        <v/>
      </c>
      <c r="H29" s="38" t="n">
        <v>103</v>
      </c>
      <c r="I29" s="38" t="n">
        <v>22</v>
      </c>
      <c r="J29" s="38" t="n">
        <v>5</v>
      </c>
      <c r="K29" s="38" t="n">
        <v>0</v>
      </c>
      <c r="L29" s="38" t="inlineStr">
        <is>
          <t>Tinggi</t>
        </is>
      </c>
    </row>
    <row r="30" s="1">
      <c r="A30" s="22">
        <f>RANDBETWEEN(2,164)</f>
        <v/>
      </c>
      <c r="B30" s="22">
        <f t="array" ref="B30"/>
        <v/>
      </c>
      <c r="C30" s="22">
        <f t="array" ref="C30"/>
        <v/>
      </c>
      <c r="D30" s="22">
        <f t="array" ref="D30"/>
        <v/>
      </c>
      <c r="E30" s="22">
        <f t="array" ref="E30"/>
        <v/>
      </c>
      <c r="H30" s="38" t="n">
        <v>101</v>
      </c>
      <c r="I30" s="38" t="n">
        <v>42</v>
      </c>
      <c r="J30" s="38" t="n">
        <v>5</v>
      </c>
      <c r="K30" s="38" t="n">
        <v>0</v>
      </c>
      <c r="L30" s="38" t="inlineStr">
        <is>
          <t>Tinggi</t>
        </is>
      </c>
    </row>
    <row r="31" s="1">
      <c r="A31" s="22">
        <f>RANDBETWEEN(2,164)</f>
        <v/>
      </c>
      <c r="B31" s="22">
        <f t="array" ref="B31"/>
        <v/>
      </c>
      <c r="C31" s="22">
        <f t="array" ref="C31"/>
        <v/>
      </c>
      <c r="D31" s="22">
        <f t="array" ref="D31"/>
        <v/>
      </c>
      <c r="E31" s="22">
        <f t="array" ref="E31"/>
        <v/>
      </c>
      <c r="H31" s="38" t="n">
        <v>132</v>
      </c>
      <c r="I31" s="38" t="n">
        <v>10</v>
      </c>
      <c r="J31" s="38" t="n">
        <v>3</v>
      </c>
      <c r="K31" s="38" t="n">
        <v>1</v>
      </c>
      <c r="L31" s="38" t="inlineStr">
        <is>
          <t>Tinggi</t>
        </is>
      </c>
    </row>
    <row r="32" s="1">
      <c r="A32" s="22">
        <f>RANDBETWEEN(2,164)</f>
        <v/>
      </c>
      <c r="B32" s="22">
        <f t="array" ref="B32"/>
        <v/>
      </c>
      <c r="C32" s="22">
        <f t="array" ref="C32"/>
        <v/>
      </c>
      <c r="D32" s="22">
        <f t="array" ref="D32"/>
        <v/>
      </c>
      <c r="E32" s="22">
        <f t="array" ref="E32"/>
        <v/>
      </c>
      <c r="H32" s="38" t="n">
        <v>58</v>
      </c>
      <c r="I32" s="38" t="n">
        <v>17</v>
      </c>
      <c r="J32" s="38" t="n">
        <v>3</v>
      </c>
      <c r="K32" s="38" t="n">
        <v>0</v>
      </c>
      <c r="L32" s="38" t="inlineStr">
        <is>
          <t>Sedang</t>
        </is>
      </c>
    </row>
    <row r="33" s="1">
      <c r="A33" s="22">
        <f>RANDBETWEEN(2,164)</f>
        <v/>
      </c>
      <c r="B33" s="22">
        <f t="array" ref="B33"/>
        <v/>
      </c>
      <c r="C33" s="22">
        <f t="array" ref="C33"/>
        <v/>
      </c>
      <c r="D33" s="22">
        <f t="array" ref="D33"/>
        <v/>
      </c>
      <c r="E33" s="22">
        <f t="array" ref="E33"/>
        <v/>
      </c>
      <c r="H33" s="38" t="n">
        <v>99</v>
      </c>
      <c r="I33" s="38" t="n">
        <v>4</v>
      </c>
      <c r="J33" s="38" t="n">
        <v>2</v>
      </c>
      <c r="K33" s="38" t="n">
        <v>1</v>
      </c>
      <c r="L33" s="38" t="inlineStr">
        <is>
          <t>Tinggi</t>
        </is>
      </c>
    </row>
    <row r="34" s="1">
      <c r="A34" s="22">
        <f>RANDBETWEEN(2,164)</f>
        <v/>
      </c>
      <c r="B34" s="22">
        <f t="array" ref="B34"/>
        <v/>
      </c>
      <c r="C34" s="22">
        <f t="array" ref="C34"/>
        <v/>
      </c>
      <c r="D34" s="22">
        <f t="array" ref="D34"/>
        <v/>
      </c>
      <c r="E34" s="22">
        <f t="array" ref="E34"/>
        <v/>
      </c>
      <c r="H34" s="38" t="n">
        <v>69</v>
      </c>
      <c r="I34" s="38" t="n">
        <v>24</v>
      </c>
      <c r="J34" s="38" t="n">
        <v>4</v>
      </c>
      <c r="K34" s="38" t="n">
        <v>1</v>
      </c>
      <c r="L34" s="38" t="inlineStr">
        <is>
          <t>Sedang</t>
        </is>
      </c>
    </row>
    <row r="35" s="1">
      <c r="A35" s="22">
        <f>RANDBETWEEN(2,164)</f>
        <v/>
      </c>
      <c r="B35" s="22">
        <f t="array" ref="B35"/>
        <v/>
      </c>
      <c r="C35" s="22">
        <f t="array" ref="C35"/>
        <v/>
      </c>
      <c r="D35" s="22">
        <f t="array" ref="D35"/>
        <v/>
      </c>
      <c r="E35" s="22">
        <f t="array" ref="E35"/>
        <v/>
      </c>
      <c r="H35" s="38" t="n">
        <v>18</v>
      </c>
      <c r="I35" s="38" t="n">
        <v>49</v>
      </c>
      <c r="J35" s="38" t="n">
        <v>4</v>
      </c>
      <c r="K35" s="38" t="n">
        <v>1</v>
      </c>
      <c r="L35" s="38" t="inlineStr">
        <is>
          <t>Rendah</t>
        </is>
      </c>
    </row>
    <row r="36" s="1">
      <c r="A36" s="22">
        <f>RANDBETWEEN(2,164)</f>
        <v/>
      </c>
      <c r="B36" s="22">
        <f t="array" ref="B36"/>
        <v/>
      </c>
      <c r="C36" s="22">
        <f t="array" ref="C36"/>
        <v/>
      </c>
      <c r="D36" s="22">
        <f t="array" ref="D36"/>
        <v/>
      </c>
      <c r="E36" s="22">
        <f t="array" ref="E36"/>
        <v/>
      </c>
      <c r="H36" s="38" t="n">
        <v>160</v>
      </c>
      <c r="I36" s="38" t="n">
        <v>16</v>
      </c>
      <c r="J36" s="38" t="n">
        <v>3</v>
      </c>
      <c r="K36" s="38" t="n">
        <v>0</v>
      </c>
      <c r="L36" s="38" t="inlineStr">
        <is>
          <t>Tinggi</t>
        </is>
      </c>
    </row>
    <row r="37" s="1">
      <c r="A37" s="22">
        <f>RANDBETWEEN(2,164)</f>
        <v/>
      </c>
      <c r="B37" s="22">
        <f t="array" ref="B37"/>
        <v/>
      </c>
      <c r="C37" s="22">
        <f t="array" ref="C37"/>
        <v/>
      </c>
      <c r="D37" s="22">
        <f t="array" ref="D37"/>
        <v/>
      </c>
      <c r="E37" s="22">
        <f t="array" ref="E37"/>
        <v/>
      </c>
      <c r="H37" s="38" t="n">
        <v>114</v>
      </c>
      <c r="I37" s="38" t="n">
        <v>14</v>
      </c>
      <c r="J37" s="38" t="n">
        <v>2</v>
      </c>
      <c r="K37" s="38" t="n">
        <v>1</v>
      </c>
      <c r="L37" s="38" t="inlineStr">
        <is>
          <t>Tinggi</t>
        </is>
      </c>
    </row>
    <row r="38" s="1">
      <c r="A38" s="22">
        <f>RANDBETWEEN(2,164)</f>
        <v/>
      </c>
      <c r="B38" s="22">
        <f t="array" ref="B38"/>
        <v/>
      </c>
      <c r="C38" s="22">
        <f t="array" ref="C38"/>
        <v/>
      </c>
      <c r="D38" s="22">
        <f t="array" ref="D38"/>
        <v/>
      </c>
      <c r="E38" s="22">
        <f t="array" ref="E38"/>
        <v/>
      </c>
      <c r="H38" s="38" t="n">
        <v>94</v>
      </c>
      <c r="I38" s="38" t="n">
        <v>12</v>
      </c>
      <c r="J38" s="38" t="n">
        <v>4</v>
      </c>
      <c r="K38" s="38" t="n">
        <v>0</v>
      </c>
      <c r="L38" s="38" t="inlineStr">
        <is>
          <t>Tinggi</t>
        </is>
      </c>
    </row>
    <row r="39" s="1">
      <c r="A39" s="22">
        <f>RANDBETWEEN(2,164)</f>
        <v/>
      </c>
      <c r="B39" s="22">
        <f t="array" ref="B39"/>
        <v/>
      </c>
      <c r="C39" s="22">
        <f t="array" ref="C39"/>
        <v/>
      </c>
      <c r="D39" s="22">
        <f t="array" ref="D39"/>
        <v/>
      </c>
      <c r="E39" s="22">
        <f t="array" ref="E39"/>
        <v/>
      </c>
      <c r="H39" s="38" t="n">
        <v>113</v>
      </c>
      <c r="I39" s="38" t="n">
        <v>69</v>
      </c>
      <c r="J39" s="38" t="n">
        <v>1</v>
      </c>
      <c r="K39" s="38" t="n">
        <v>1</v>
      </c>
      <c r="L39" s="38" t="inlineStr">
        <is>
          <t>Tinggi</t>
        </is>
      </c>
    </row>
    <row r="40" s="1">
      <c r="A40" s="22">
        <f>RANDBETWEEN(2,164)</f>
        <v/>
      </c>
      <c r="B40" s="22">
        <f t="array" ref="B40"/>
        <v/>
      </c>
      <c r="C40" s="22">
        <f t="array" ref="C40"/>
        <v/>
      </c>
      <c r="D40" s="22">
        <f t="array" ref="D40"/>
        <v/>
      </c>
      <c r="E40" s="22">
        <f t="array" ref="E40"/>
        <v/>
      </c>
      <c r="H40" s="38" t="n">
        <v>116</v>
      </c>
      <c r="I40" s="38" t="n">
        <v>32</v>
      </c>
      <c r="J40" s="38" t="n">
        <v>4</v>
      </c>
      <c r="K40" s="38" t="n">
        <v>1</v>
      </c>
      <c r="L40" s="38" t="inlineStr">
        <is>
          <t>Tinggi</t>
        </is>
      </c>
    </row>
    <row r="41" s="1">
      <c r="A41" s="22">
        <f>RANDBETWEEN(2,164)</f>
        <v/>
      </c>
      <c r="B41" s="22">
        <f t="array" ref="B41"/>
        <v/>
      </c>
      <c r="C41" s="22">
        <f t="array" ref="C41"/>
        <v/>
      </c>
      <c r="D41" s="22">
        <f t="array" ref="D41"/>
        <v/>
      </c>
      <c r="E41" s="22">
        <f t="array" ref="E41"/>
        <v/>
      </c>
      <c r="H41" s="38" t="n">
        <v>123</v>
      </c>
      <c r="I41" s="38" t="n">
        <v>22</v>
      </c>
      <c r="J41" s="38" t="n">
        <v>4</v>
      </c>
      <c r="K41" s="38" t="n">
        <v>0</v>
      </c>
      <c r="L41" s="38" t="inlineStr">
        <is>
          <t>Tinggi</t>
        </is>
      </c>
    </row>
    <row r="42" s="1">
      <c r="A42" s="22">
        <f>RANDBETWEEN(2,164)</f>
        <v/>
      </c>
      <c r="B42" s="22">
        <f t="array" ref="B42"/>
        <v/>
      </c>
      <c r="C42" s="22">
        <f t="array" ref="C42"/>
        <v/>
      </c>
      <c r="D42" s="22">
        <f t="array" ref="D42"/>
        <v/>
      </c>
      <c r="E42" s="22">
        <f t="array" ref="E42"/>
        <v/>
      </c>
      <c r="H42" s="38" t="n">
        <v>122</v>
      </c>
      <c r="I42" s="38" t="n">
        <v>28</v>
      </c>
      <c r="J42" s="38" t="n">
        <v>3</v>
      </c>
      <c r="K42" s="38" t="n">
        <v>1</v>
      </c>
      <c r="L42" s="38" t="inlineStr">
        <is>
          <t>Tinggi</t>
        </is>
      </c>
    </row>
    <row r="43" s="1">
      <c r="A43" s="22">
        <f>RANDBETWEEN(2,164)</f>
        <v/>
      </c>
      <c r="B43" s="22">
        <f t="array" ref="B43"/>
        <v/>
      </c>
      <c r="C43" s="22">
        <f t="array" ref="C43"/>
        <v/>
      </c>
      <c r="D43" s="22">
        <f t="array" ref="D43"/>
        <v/>
      </c>
      <c r="E43" s="22">
        <f t="array" ref="E43"/>
        <v/>
      </c>
      <c r="H43" s="38" t="n">
        <v>137</v>
      </c>
      <c r="I43" s="38" t="n">
        <v>3</v>
      </c>
      <c r="J43" s="38" t="n">
        <v>1</v>
      </c>
      <c r="K43" s="38" t="n">
        <v>1</v>
      </c>
      <c r="L43" s="38" t="inlineStr">
        <is>
          <t>Tinggi</t>
        </is>
      </c>
    </row>
    <row r="44" s="1">
      <c r="A44" s="22">
        <f>RANDBETWEEN(2,164)</f>
        <v/>
      </c>
      <c r="B44" s="22">
        <f t="array" ref="B44"/>
        <v/>
      </c>
      <c r="C44" s="22">
        <f t="array" ref="C44"/>
        <v/>
      </c>
      <c r="D44" s="22">
        <f t="array" ref="D44"/>
        <v/>
      </c>
      <c r="E44" s="22">
        <f t="array" ref="E44"/>
        <v/>
      </c>
      <c r="H44" s="38" t="n">
        <v>136</v>
      </c>
      <c r="I44" s="38" t="n">
        <v>6</v>
      </c>
      <c r="J44" s="38" t="n">
        <v>2</v>
      </c>
      <c r="K44" s="38" t="n">
        <v>0</v>
      </c>
      <c r="L44" s="38" t="inlineStr">
        <is>
          <t>Tinggi</t>
        </is>
      </c>
    </row>
    <row r="45" s="1">
      <c r="A45" s="22">
        <f>RANDBETWEEN(2,164)</f>
        <v/>
      </c>
      <c r="B45" s="22">
        <f t="array" ref="B45"/>
        <v/>
      </c>
      <c r="C45" s="22">
        <f t="array" ref="C45"/>
        <v/>
      </c>
      <c r="D45" s="22">
        <f t="array" ref="D45"/>
        <v/>
      </c>
      <c r="E45" s="22">
        <f t="array" ref="E45"/>
        <v/>
      </c>
      <c r="H45" s="38" t="n">
        <v>37</v>
      </c>
      <c r="I45" s="38" t="n">
        <v>28</v>
      </c>
      <c r="J45" s="38" t="n">
        <v>4</v>
      </c>
      <c r="K45" s="38" t="n">
        <v>1</v>
      </c>
      <c r="L45" s="38" t="inlineStr">
        <is>
          <t>Rendah</t>
        </is>
      </c>
    </row>
    <row r="46" s="1">
      <c r="A46" s="22">
        <f>RANDBETWEEN(2,164)</f>
        <v/>
      </c>
      <c r="B46" s="22">
        <f t="array" ref="B46"/>
        <v/>
      </c>
      <c r="C46" s="22">
        <f t="array" ref="C46"/>
        <v/>
      </c>
      <c r="D46" s="22">
        <f t="array" ref="D46"/>
        <v/>
      </c>
      <c r="E46" s="22">
        <f t="array" ref="E46"/>
        <v/>
      </c>
      <c r="H46" s="38" t="n">
        <v>16</v>
      </c>
      <c r="I46" s="38" t="n">
        <v>66</v>
      </c>
      <c r="J46" s="38" t="n">
        <v>5</v>
      </c>
      <c r="K46" s="38" t="n">
        <v>1</v>
      </c>
      <c r="L46" s="38" t="inlineStr">
        <is>
          <t>Rendah</t>
        </is>
      </c>
    </row>
    <row r="47" s="1">
      <c r="A47" s="22">
        <f>RANDBETWEEN(2,164)</f>
        <v/>
      </c>
      <c r="B47" s="22">
        <f t="array" ref="B47"/>
        <v/>
      </c>
      <c r="C47" s="22">
        <f t="array" ref="C47"/>
        <v/>
      </c>
      <c r="D47" s="22">
        <f t="array" ref="D47"/>
        <v/>
      </c>
      <c r="E47" s="22">
        <f t="array" ref="E47"/>
        <v/>
      </c>
      <c r="H47" s="38" t="n">
        <v>13</v>
      </c>
      <c r="I47" s="38" t="n">
        <v>47</v>
      </c>
      <c r="J47" s="38" t="n">
        <v>2</v>
      </c>
      <c r="K47" s="38" t="n">
        <v>0</v>
      </c>
      <c r="L47" s="38" t="inlineStr">
        <is>
          <t>Sedang</t>
        </is>
      </c>
    </row>
    <row r="48" s="1">
      <c r="A48" s="22">
        <f>RANDBETWEEN(2,164)</f>
        <v/>
      </c>
      <c r="B48" s="22">
        <f t="array" ref="B48"/>
        <v/>
      </c>
      <c r="C48" s="22">
        <f t="array" ref="C48"/>
        <v/>
      </c>
      <c r="D48" s="22">
        <f t="array" ref="D48"/>
        <v/>
      </c>
      <c r="E48" s="22">
        <f t="array" ref="E48"/>
        <v/>
      </c>
      <c r="H48" s="38" t="n">
        <v>157</v>
      </c>
      <c r="I48" s="38" t="n">
        <v>15</v>
      </c>
      <c r="J48" s="38" t="n">
        <v>4</v>
      </c>
      <c r="K48" s="38" t="n">
        <v>1</v>
      </c>
      <c r="L48" s="38" t="inlineStr">
        <is>
          <t>Tinggi</t>
        </is>
      </c>
    </row>
    <row r="49" s="1">
      <c r="A49" s="22">
        <f>RANDBETWEEN(2,164)</f>
        <v/>
      </c>
      <c r="B49" s="22">
        <f t="array" ref="B49"/>
        <v/>
      </c>
      <c r="C49" s="22">
        <f t="array" ref="C49"/>
        <v/>
      </c>
      <c r="D49" s="22">
        <f t="array" ref="D49"/>
        <v/>
      </c>
      <c r="E49" s="22">
        <f t="array" ref="E49"/>
        <v/>
      </c>
      <c r="H49" s="38" t="n">
        <v>43</v>
      </c>
      <c r="I49" s="38" t="n">
        <v>15</v>
      </c>
      <c r="J49" s="38" t="n">
        <v>4</v>
      </c>
      <c r="K49" s="38" t="n">
        <v>0</v>
      </c>
      <c r="L49" s="38" t="inlineStr">
        <is>
          <t>Sedang</t>
        </is>
      </c>
    </row>
    <row r="50" s="1">
      <c r="A50" s="22">
        <f>RANDBETWEEN(2,164)</f>
        <v/>
      </c>
      <c r="B50" s="22">
        <f t="array" ref="B50"/>
        <v/>
      </c>
      <c r="C50" s="22">
        <f t="array" ref="C50"/>
        <v/>
      </c>
      <c r="D50" s="22">
        <f t="array" ref="D50"/>
        <v/>
      </c>
      <c r="E50" s="22">
        <f t="array" ref="E50"/>
        <v/>
      </c>
      <c r="H50" s="38" t="n">
        <v>126</v>
      </c>
      <c r="I50" s="38" t="n">
        <v>51</v>
      </c>
      <c r="J50" s="38" t="n">
        <v>3</v>
      </c>
      <c r="K50" s="38" t="n">
        <v>1</v>
      </c>
      <c r="L50" s="38" t="inlineStr">
        <is>
          <t>Tinggi</t>
        </is>
      </c>
    </row>
    <row r="51" s="1">
      <c r="A51" s="22">
        <f>RANDBETWEEN(2,164)</f>
        <v/>
      </c>
      <c r="B51" s="22">
        <f t="array" ref="B51"/>
        <v/>
      </c>
      <c r="C51" s="22">
        <f t="array" ref="C51"/>
        <v/>
      </c>
      <c r="D51" s="22">
        <f t="array" ref="D51"/>
        <v/>
      </c>
      <c r="E51" s="22">
        <f t="array" ref="E51"/>
        <v/>
      </c>
      <c r="H51" s="38" t="n">
        <v>70</v>
      </c>
      <c r="I51" s="38" t="n">
        <v>26</v>
      </c>
      <c r="J51" s="38" t="n">
        <v>3</v>
      </c>
      <c r="K51" s="38" t="n">
        <v>1</v>
      </c>
      <c r="L51" s="38" t="inlineStr">
        <is>
          <t>Sedang</t>
        </is>
      </c>
    </row>
    <row r="52" s="1">
      <c r="A52" s="22">
        <f>RANDBETWEEN(2,164)</f>
        <v/>
      </c>
      <c r="B52" s="22">
        <f t="array" ref="B52"/>
        <v/>
      </c>
      <c r="C52" s="22">
        <f t="array" ref="C52"/>
        <v/>
      </c>
      <c r="D52" s="22">
        <f t="array" ref="D52"/>
        <v/>
      </c>
      <c r="E52" s="22">
        <f t="array" ref="E52"/>
        <v/>
      </c>
      <c r="H52" s="38" t="n">
        <v>26</v>
      </c>
      <c r="I52" s="38" t="n">
        <v>75</v>
      </c>
      <c r="J52" s="38" t="n">
        <v>4</v>
      </c>
      <c r="K52" s="38" t="n">
        <v>1</v>
      </c>
      <c r="L52" s="38" t="inlineStr">
        <is>
          <t>Sedang</t>
        </is>
      </c>
    </row>
    <row r="53" s="1">
      <c r="A53" s="22">
        <f>RANDBETWEEN(2,164)</f>
        <v/>
      </c>
      <c r="B53" s="22">
        <f t="array" ref="B53"/>
        <v/>
      </c>
      <c r="C53" s="22">
        <f t="array" ref="C53"/>
        <v/>
      </c>
      <c r="D53" s="22">
        <f t="array" ref="D53"/>
        <v/>
      </c>
      <c r="E53" s="22">
        <f t="array" ref="E53"/>
        <v/>
      </c>
      <c r="H53" s="38" t="n">
        <v>46</v>
      </c>
      <c r="I53" s="38" t="n">
        <v>62</v>
      </c>
      <c r="J53" s="38" t="n">
        <v>2</v>
      </c>
      <c r="K53" s="38" t="n">
        <v>0</v>
      </c>
      <c r="L53" s="38" t="inlineStr">
        <is>
          <t>Sedang</t>
        </is>
      </c>
    </row>
    <row r="54" s="1">
      <c r="A54" s="22">
        <f>RANDBETWEEN(2,164)</f>
        <v/>
      </c>
      <c r="B54" s="22">
        <f t="array" ref="B54"/>
        <v/>
      </c>
      <c r="C54" s="22">
        <f t="array" ref="C54"/>
        <v/>
      </c>
      <c r="D54" s="22">
        <f t="array" ref="D54"/>
        <v/>
      </c>
      <c r="E54" s="22">
        <f t="array" ref="E54"/>
        <v/>
      </c>
      <c r="H54" s="38" t="n">
        <v>82</v>
      </c>
      <c r="I54" s="38" t="n">
        <v>28</v>
      </c>
      <c r="J54" s="38" t="n">
        <v>3</v>
      </c>
      <c r="K54" s="38" t="n">
        <v>1</v>
      </c>
      <c r="L54" s="38" t="inlineStr">
        <is>
          <t>Sedang</t>
        </is>
      </c>
    </row>
    <row r="55" s="1">
      <c r="A55" s="22">
        <f>RANDBETWEEN(2,164)</f>
        <v/>
      </c>
      <c r="B55" s="22">
        <f t="array" ref="B55"/>
        <v/>
      </c>
      <c r="C55" s="22">
        <f t="array" ref="C55"/>
        <v/>
      </c>
      <c r="D55" s="22">
        <f t="array" ref="D55"/>
        <v/>
      </c>
      <c r="E55" s="22">
        <f t="array" ref="E55"/>
        <v/>
      </c>
      <c r="H55" s="38" t="n">
        <v>96</v>
      </c>
      <c r="I55" s="38" t="n">
        <v>56</v>
      </c>
      <c r="J55" s="38" t="n">
        <v>4</v>
      </c>
      <c r="K55" s="38" t="n">
        <v>0</v>
      </c>
      <c r="L55" s="38" t="inlineStr">
        <is>
          <t>Tinggi</t>
        </is>
      </c>
    </row>
    <row r="56" s="1">
      <c r="A56" s="22">
        <f>RANDBETWEEN(2,164)</f>
        <v/>
      </c>
      <c r="B56" s="22">
        <f t="array" ref="B56"/>
        <v/>
      </c>
      <c r="C56" s="22">
        <f t="array" ref="C56"/>
        <v/>
      </c>
      <c r="D56" s="22">
        <f t="array" ref="D56"/>
        <v/>
      </c>
      <c r="E56" s="22">
        <f t="array" ref="E56"/>
        <v/>
      </c>
      <c r="H56" s="38" t="n">
        <v>72</v>
      </c>
      <c r="I56" s="38" t="n">
        <v>3</v>
      </c>
      <c r="J56" s="38" t="n">
        <v>5</v>
      </c>
      <c r="K56" s="38" t="n">
        <v>1</v>
      </c>
      <c r="L56" s="38" t="inlineStr">
        <is>
          <t>Sedang</t>
        </is>
      </c>
    </row>
    <row r="57" s="1">
      <c r="A57" s="22">
        <f>RANDBETWEEN(2,164)</f>
        <v/>
      </c>
      <c r="B57" s="22">
        <f t="array" ref="B57"/>
        <v/>
      </c>
      <c r="C57" s="22">
        <f t="array" ref="C57"/>
        <v/>
      </c>
      <c r="D57" s="22">
        <f t="array" ref="D57"/>
        <v/>
      </c>
      <c r="E57" s="22">
        <f t="array" ref="E57"/>
        <v/>
      </c>
      <c r="H57" s="38" t="n">
        <v>8</v>
      </c>
      <c r="I57" s="38" t="n">
        <v>4</v>
      </c>
      <c r="J57" s="38" t="n">
        <v>2</v>
      </c>
      <c r="K57" s="38" t="n">
        <v>0</v>
      </c>
      <c r="L57" s="38" t="inlineStr">
        <is>
          <t>Sedang</t>
        </is>
      </c>
    </row>
    <row r="58" s="1">
      <c r="A58" s="22">
        <f>RANDBETWEEN(2,164)</f>
        <v/>
      </c>
      <c r="B58" s="22">
        <f t="array" ref="B58"/>
        <v/>
      </c>
      <c r="C58" s="22">
        <f t="array" ref="C58"/>
        <v/>
      </c>
      <c r="D58" s="22">
        <f t="array" ref="D58"/>
        <v/>
      </c>
      <c r="E58" s="22">
        <f t="array" ref="E58"/>
        <v/>
      </c>
      <c r="H58" s="38" t="n">
        <v>83</v>
      </c>
      <c r="I58" s="38" t="n">
        <v>50</v>
      </c>
      <c r="J58" s="38" t="n">
        <v>3</v>
      </c>
      <c r="K58" s="38" t="n">
        <v>0</v>
      </c>
      <c r="L58" s="38" t="inlineStr">
        <is>
          <t>Sedang</t>
        </is>
      </c>
    </row>
    <row r="59" s="1">
      <c r="A59" s="22">
        <f>RANDBETWEEN(2,164)</f>
        <v/>
      </c>
      <c r="B59" s="22">
        <f t="array" ref="B59"/>
        <v/>
      </c>
      <c r="C59" s="22">
        <f t="array" ref="C59"/>
        <v/>
      </c>
      <c r="D59" s="22">
        <f t="array" ref="D59"/>
        <v/>
      </c>
      <c r="E59" s="22">
        <f t="array" ref="E59"/>
        <v/>
      </c>
      <c r="H59" s="38" t="n">
        <v>147</v>
      </c>
      <c r="I59" s="38" t="n">
        <v>66</v>
      </c>
      <c r="J59" s="38" t="n">
        <v>10</v>
      </c>
      <c r="K59" s="38" t="n">
        <v>1</v>
      </c>
      <c r="L59" s="38" t="inlineStr">
        <is>
          <t>Tinggi</t>
        </is>
      </c>
    </row>
    <row r="60" s="1">
      <c r="A60" s="22">
        <f>RANDBETWEEN(2,164)</f>
        <v/>
      </c>
      <c r="B60" s="22">
        <f t="array" ref="B60"/>
        <v/>
      </c>
      <c r="C60" s="22">
        <f t="array" ref="C60"/>
        <v/>
      </c>
      <c r="D60" s="22">
        <f t="array" ref="D60"/>
        <v/>
      </c>
      <c r="E60" s="22">
        <f t="array" ref="E60"/>
        <v/>
      </c>
      <c r="H60" s="38" t="n">
        <v>125</v>
      </c>
      <c r="I60" s="38" t="n">
        <v>39</v>
      </c>
      <c r="J60" s="38" t="n">
        <v>4</v>
      </c>
      <c r="K60" s="38" t="n">
        <v>0</v>
      </c>
      <c r="L60" s="38" t="inlineStr">
        <is>
          <t>Tinggi</t>
        </is>
      </c>
    </row>
    <row r="61" s="1">
      <c r="A61" s="22">
        <f>RANDBETWEEN(2,164)</f>
        <v/>
      </c>
      <c r="B61" s="22">
        <f t="array" ref="B61"/>
        <v/>
      </c>
      <c r="C61" s="22">
        <f t="array" ref="C61"/>
        <v/>
      </c>
      <c r="D61" s="22">
        <f t="array" ref="D61"/>
        <v/>
      </c>
      <c r="E61" s="22">
        <f t="array" ref="E61"/>
        <v/>
      </c>
      <c r="H61" s="38" t="n">
        <v>108</v>
      </c>
      <c r="I61" s="38" t="n">
        <v>69</v>
      </c>
      <c r="J61" s="38" t="n">
        <v>7</v>
      </c>
      <c r="K61" s="38" t="n">
        <v>1</v>
      </c>
      <c r="L61" s="38" t="inlineStr">
        <is>
          <t>Tinggi</t>
        </is>
      </c>
    </row>
    <row r="62" s="1">
      <c r="A62" s="22">
        <f>RANDBETWEEN(2,164)</f>
        <v/>
      </c>
      <c r="B62" s="22">
        <f t="array" ref="B62"/>
        <v/>
      </c>
      <c r="C62" s="22">
        <f t="array" ref="C62"/>
        <v/>
      </c>
      <c r="D62" s="22">
        <f t="array" ref="D62"/>
        <v/>
      </c>
      <c r="E62" s="22">
        <f t="array" ref="E62"/>
        <v/>
      </c>
      <c r="H62" s="38" t="n">
        <v>115</v>
      </c>
      <c r="I62" s="38" t="n">
        <v>52</v>
      </c>
      <c r="J62" s="38" t="n">
        <v>3</v>
      </c>
      <c r="K62" s="38" t="n">
        <v>1</v>
      </c>
      <c r="L62" s="38" t="inlineStr">
        <is>
          <t>Tinggi</t>
        </is>
      </c>
    </row>
    <row r="63" s="1">
      <c r="A63" s="22">
        <f>RANDBETWEEN(2,164)</f>
        <v/>
      </c>
      <c r="B63" s="22">
        <f t="array" ref="B63"/>
        <v/>
      </c>
      <c r="C63" s="22">
        <f t="array" ref="C63"/>
        <v/>
      </c>
      <c r="D63" s="22">
        <f t="array" ref="D63"/>
        <v/>
      </c>
      <c r="E63" s="22">
        <f t="array" ref="E63"/>
        <v/>
      </c>
      <c r="H63" s="38" t="n">
        <v>7</v>
      </c>
      <c r="I63" s="38" t="n">
        <v>12</v>
      </c>
      <c r="J63" s="38" t="n">
        <v>1</v>
      </c>
      <c r="K63" s="38" t="n">
        <v>1</v>
      </c>
      <c r="L63" s="38" t="inlineStr">
        <is>
          <t>Sedang</t>
        </is>
      </c>
    </row>
    <row r="64" s="1">
      <c r="A64" s="22">
        <f>RANDBETWEEN(2,164)</f>
        <v/>
      </c>
      <c r="B64" s="22">
        <f t="array" ref="B64"/>
        <v/>
      </c>
      <c r="C64" s="22">
        <f t="array" ref="C64"/>
        <v/>
      </c>
      <c r="D64" s="22">
        <f t="array" ref="D64"/>
        <v/>
      </c>
      <c r="E64" s="22">
        <f t="array" ref="E64"/>
        <v/>
      </c>
      <c r="H64" s="38" t="n">
        <v>115</v>
      </c>
      <c r="I64" s="38" t="n">
        <v>52</v>
      </c>
      <c r="J64" s="38" t="n">
        <v>3</v>
      </c>
      <c r="K64" s="38" t="n">
        <v>1</v>
      </c>
      <c r="L64" s="38" t="inlineStr">
        <is>
          <t>Tinggi</t>
        </is>
      </c>
    </row>
    <row r="65" s="1">
      <c r="A65" s="22">
        <f>RANDBETWEEN(2,164)</f>
        <v/>
      </c>
      <c r="B65" s="22">
        <f t="array" ref="B65"/>
        <v/>
      </c>
      <c r="C65" s="22">
        <f t="array" ref="C65"/>
        <v/>
      </c>
      <c r="D65" s="22">
        <f t="array" ref="D65"/>
        <v/>
      </c>
      <c r="E65" s="22">
        <f t="array" ref="E65"/>
        <v/>
      </c>
      <c r="H65" s="38" t="n">
        <v>141</v>
      </c>
      <c r="I65" s="38" t="n">
        <v>36</v>
      </c>
      <c r="J65" s="38" t="n">
        <v>2</v>
      </c>
      <c r="K65" s="38" t="n">
        <v>0</v>
      </c>
      <c r="L65" s="38" t="inlineStr">
        <is>
          <t>Tinggi</t>
        </is>
      </c>
    </row>
    <row r="66" s="1">
      <c r="A66" s="22">
        <f>RANDBETWEEN(2,164)</f>
        <v/>
      </c>
      <c r="B66" s="22">
        <f t="array" ref="B66"/>
        <v/>
      </c>
      <c r="C66" s="22">
        <f t="array" ref="C66"/>
        <v/>
      </c>
      <c r="D66" s="22">
        <f t="array" ref="D66"/>
        <v/>
      </c>
      <c r="E66" s="22">
        <f t="array" ref="E66"/>
        <v/>
      </c>
      <c r="H66" s="38" t="n">
        <v>90</v>
      </c>
      <c r="I66" s="38" t="n">
        <v>47</v>
      </c>
      <c r="J66" s="38" t="n">
        <v>3</v>
      </c>
      <c r="K66" s="38" t="n">
        <v>0</v>
      </c>
      <c r="L66" s="38" t="inlineStr">
        <is>
          <t>Tinggi</t>
        </is>
      </c>
    </row>
    <row r="67" s="1">
      <c r="A67" s="22">
        <f>RANDBETWEEN(2,164)</f>
        <v/>
      </c>
      <c r="B67" s="22">
        <f t="array" ref="B67"/>
        <v/>
      </c>
      <c r="C67" s="22">
        <f t="array" ref="C67"/>
        <v/>
      </c>
      <c r="D67" s="22">
        <f t="array" ref="D67"/>
        <v/>
      </c>
      <c r="E67" s="22">
        <f t="array" ref="E67"/>
        <v/>
      </c>
      <c r="H67" s="38" t="n">
        <v>130</v>
      </c>
      <c r="I67" s="38" t="n">
        <v>12</v>
      </c>
      <c r="J67" s="38" t="n">
        <v>4</v>
      </c>
      <c r="K67" s="38" t="n">
        <v>0</v>
      </c>
      <c r="L67" s="38" t="inlineStr">
        <is>
          <t>Tinggi</t>
        </is>
      </c>
    </row>
    <row r="68" s="1">
      <c r="A68" s="22">
        <f>RANDBETWEEN(2,164)</f>
        <v/>
      </c>
      <c r="B68" s="22">
        <f t="array" ref="B68"/>
        <v/>
      </c>
      <c r="C68" s="22">
        <f t="array" ref="C68"/>
        <v/>
      </c>
      <c r="D68" s="22">
        <f t="array" ref="D68"/>
        <v/>
      </c>
      <c r="E68" s="22">
        <f t="array" ref="E68"/>
        <v/>
      </c>
      <c r="H68" s="38" t="n">
        <v>23</v>
      </c>
      <c r="I68" s="38" t="n">
        <v>28</v>
      </c>
      <c r="J68" s="38" t="n">
        <v>4</v>
      </c>
      <c r="K68" s="38" t="n">
        <v>1</v>
      </c>
      <c r="L68" s="38" t="inlineStr">
        <is>
          <t>Sedang</t>
        </is>
      </c>
    </row>
    <row r="69" s="1">
      <c r="A69" s="22">
        <f>RANDBETWEEN(2,164)</f>
        <v/>
      </c>
      <c r="B69" s="22">
        <f t="array" ref="B69"/>
        <v/>
      </c>
      <c r="C69" s="22">
        <f t="array" ref="C69"/>
        <v/>
      </c>
      <c r="D69" s="22">
        <f t="array" ref="D69"/>
        <v/>
      </c>
      <c r="E69" s="22">
        <f t="array" ref="E69"/>
        <v/>
      </c>
      <c r="H69" s="38" t="n">
        <v>66</v>
      </c>
      <c r="I69" s="38" t="n">
        <v>21</v>
      </c>
      <c r="J69" s="38" t="n">
        <v>5</v>
      </c>
      <c r="K69" s="38" t="n">
        <v>1</v>
      </c>
      <c r="L69" s="38" t="inlineStr">
        <is>
          <t>Sedang</t>
        </is>
      </c>
    </row>
    <row r="70" s="1">
      <c r="A70" s="22">
        <f>RANDBETWEEN(2,164)</f>
        <v/>
      </c>
      <c r="B70" s="22">
        <f t="array" ref="B70"/>
        <v/>
      </c>
      <c r="C70" s="22">
        <f t="array" ref="C70"/>
        <v/>
      </c>
      <c r="D70" s="22">
        <f t="array" ref="D70"/>
        <v/>
      </c>
      <c r="E70" s="22">
        <f t="array" ref="E70"/>
        <v/>
      </c>
      <c r="H70" s="38" t="n">
        <v>140</v>
      </c>
      <c r="I70" s="38" t="n">
        <v>74</v>
      </c>
      <c r="J70" s="38" t="n">
        <v>5</v>
      </c>
      <c r="K70" s="38" t="n">
        <v>1</v>
      </c>
      <c r="L70" s="38" t="inlineStr">
        <is>
          <t>Tinggi</t>
        </is>
      </c>
    </row>
    <row r="71" s="1">
      <c r="A71" s="22">
        <f>RANDBETWEEN(2,164)</f>
        <v/>
      </c>
      <c r="B71" s="22">
        <f t="array" ref="B71"/>
        <v/>
      </c>
      <c r="C71" s="22">
        <f t="array" ref="C71"/>
        <v/>
      </c>
      <c r="D71" s="22">
        <f t="array" ref="D71"/>
        <v/>
      </c>
      <c r="E71" s="22">
        <f t="array" ref="E71"/>
        <v/>
      </c>
      <c r="H71" s="38" t="n">
        <v>94</v>
      </c>
      <c r="I71" s="38" t="n">
        <v>12</v>
      </c>
      <c r="J71" s="38" t="n">
        <v>4</v>
      </c>
      <c r="K71" s="38" t="n">
        <v>0</v>
      </c>
      <c r="L71" s="38" t="inlineStr">
        <is>
          <t>Tinggi</t>
        </is>
      </c>
    </row>
    <row r="72" s="1">
      <c r="A72" s="22">
        <f>RANDBETWEEN(2,164)</f>
        <v/>
      </c>
      <c r="B72" s="22">
        <f t="array" ref="B72"/>
        <v/>
      </c>
      <c r="C72" s="22">
        <f t="array" ref="C72"/>
        <v/>
      </c>
      <c r="D72" s="22">
        <f t="array" ref="D72"/>
        <v/>
      </c>
      <c r="E72" s="22">
        <f t="array" ref="E72"/>
        <v/>
      </c>
      <c r="H72" s="38" t="n">
        <v>164</v>
      </c>
      <c r="I72" s="38" t="n">
        <v>10</v>
      </c>
      <c r="J72" s="38" t="n">
        <v>6</v>
      </c>
      <c r="K72" s="38" t="n">
        <v>0</v>
      </c>
      <c r="L72" s="38" t="inlineStr">
        <is>
          <t>Rendah</t>
        </is>
      </c>
    </row>
    <row r="73" s="1">
      <c r="A73" s="22">
        <f>RANDBETWEEN(2,164)</f>
        <v/>
      </c>
      <c r="B73" s="22">
        <f t="array" ref="B73"/>
        <v/>
      </c>
      <c r="C73" s="22">
        <f t="array" ref="C73"/>
        <v/>
      </c>
      <c r="D73" s="22">
        <f t="array" ref="D73"/>
        <v/>
      </c>
      <c r="E73" s="22">
        <f t="array" ref="E73"/>
        <v/>
      </c>
      <c r="H73" s="38" t="n">
        <v>27</v>
      </c>
      <c r="I73" s="38" t="n">
        <v>37</v>
      </c>
      <c r="J73" s="38" t="n">
        <v>4</v>
      </c>
      <c r="K73" s="38" t="n">
        <v>1</v>
      </c>
      <c r="L73" s="38" t="inlineStr">
        <is>
          <t>Sedang</t>
        </is>
      </c>
    </row>
    <row r="74" s="1">
      <c r="A74" s="22">
        <f>RANDBETWEEN(2,164)</f>
        <v/>
      </c>
      <c r="B74" s="22">
        <f t="array" ref="B74"/>
        <v/>
      </c>
      <c r="C74" s="22">
        <f t="array" ref="C74"/>
        <v/>
      </c>
      <c r="D74" s="22">
        <f t="array" ref="D74"/>
        <v/>
      </c>
      <c r="E74" s="22">
        <f t="array" ref="E74"/>
        <v/>
      </c>
      <c r="H74" s="38" t="n">
        <v>130</v>
      </c>
      <c r="I74" s="38" t="n">
        <v>12</v>
      </c>
      <c r="J74" s="38" t="n">
        <v>4</v>
      </c>
      <c r="K74" s="38" t="n">
        <v>0</v>
      </c>
      <c r="L74" s="38" t="inlineStr">
        <is>
          <t>Tinggi</t>
        </is>
      </c>
    </row>
    <row r="75" s="1">
      <c r="A75" s="22">
        <f>RANDBETWEEN(2,164)</f>
        <v/>
      </c>
      <c r="B75" s="22">
        <f t="array" ref="B75"/>
        <v/>
      </c>
      <c r="C75" s="22">
        <f t="array" ref="C75"/>
        <v/>
      </c>
      <c r="D75" s="22">
        <f t="array" ref="D75"/>
        <v/>
      </c>
      <c r="E75" s="22">
        <f t="array" ref="E75"/>
        <v/>
      </c>
      <c r="H75" s="38" t="n">
        <v>72</v>
      </c>
      <c r="I75" s="38" t="n">
        <v>3</v>
      </c>
      <c r="J75" s="38" t="n">
        <v>5</v>
      </c>
      <c r="K75" s="38" t="n">
        <v>1</v>
      </c>
      <c r="L75" s="38" t="inlineStr">
        <is>
          <t>Sedang</t>
        </is>
      </c>
    </row>
    <row r="76" s="1">
      <c r="A76" s="22">
        <f>RANDBETWEEN(2,164)</f>
        <v/>
      </c>
      <c r="B76" s="22">
        <f t="array" ref="B76"/>
        <v/>
      </c>
      <c r="C76" s="22">
        <f t="array" ref="C76"/>
        <v/>
      </c>
      <c r="D76" s="22">
        <f t="array" ref="D76"/>
        <v/>
      </c>
      <c r="E76" s="22">
        <f t="array" ref="E76"/>
        <v/>
      </c>
      <c r="H76" s="38" t="n">
        <v>103</v>
      </c>
      <c r="I76" s="38" t="n">
        <v>22</v>
      </c>
      <c r="J76" s="38" t="n">
        <v>5</v>
      </c>
      <c r="K76" s="38" t="n">
        <v>0</v>
      </c>
      <c r="L76" s="38" t="inlineStr">
        <is>
          <t>Tinggi</t>
        </is>
      </c>
    </row>
    <row r="77" s="1">
      <c r="A77" s="22">
        <f>RANDBETWEEN(2,164)</f>
        <v/>
      </c>
      <c r="B77" s="22">
        <f t="array" ref="B77"/>
        <v/>
      </c>
      <c r="C77" s="22">
        <f t="array" ref="C77"/>
        <v/>
      </c>
      <c r="D77" s="22">
        <f t="array" ref="D77"/>
        <v/>
      </c>
      <c r="E77" s="22">
        <f t="array" ref="E77"/>
        <v/>
      </c>
      <c r="H77" s="38" t="n">
        <v>84</v>
      </c>
      <c r="I77" s="38" t="n">
        <v>42</v>
      </c>
      <c r="J77" s="38" t="n">
        <v>4</v>
      </c>
      <c r="K77" s="38" t="n">
        <v>1</v>
      </c>
      <c r="L77" s="38" t="inlineStr">
        <is>
          <t>Sedang</t>
        </is>
      </c>
    </row>
    <row r="78" s="1">
      <c r="A78" s="22">
        <f>RANDBETWEEN(2,164)</f>
        <v/>
      </c>
      <c r="B78" s="22">
        <f t="array" ref="B78"/>
        <v/>
      </c>
      <c r="C78" s="22">
        <f t="array" ref="C78"/>
        <v/>
      </c>
      <c r="D78" s="22">
        <f t="array" ref="D78"/>
        <v/>
      </c>
      <c r="E78" s="22">
        <f t="array" ref="E78"/>
        <v/>
      </c>
      <c r="H78" s="38" t="n">
        <v>17</v>
      </c>
      <c r="I78" s="38" t="n">
        <v>2</v>
      </c>
      <c r="J78" s="38" t="n">
        <v>3</v>
      </c>
      <c r="K78" s="38" t="n">
        <v>0</v>
      </c>
      <c r="L78" s="38" t="inlineStr">
        <is>
          <t>Rendah</t>
        </is>
      </c>
    </row>
    <row r="79" s="1">
      <c r="A79" s="22">
        <f>RANDBETWEEN(2,164)</f>
        <v/>
      </c>
      <c r="B79" s="22">
        <f t="array" ref="B79"/>
        <v/>
      </c>
      <c r="C79" s="22">
        <f t="array" ref="C79"/>
        <v/>
      </c>
      <c r="D79" s="22">
        <f t="array" ref="D79"/>
        <v/>
      </c>
      <c r="E79" s="22">
        <f t="array" ref="E79"/>
        <v/>
      </c>
      <c r="H79" s="38" t="n">
        <v>12</v>
      </c>
      <c r="I79" s="38" t="n">
        <v>23</v>
      </c>
      <c r="J79" s="38" t="n">
        <v>3</v>
      </c>
      <c r="K79" s="38" t="n">
        <v>0</v>
      </c>
      <c r="L79" s="38" t="inlineStr">
        <is>
          <t>Sedang</t>
        </is>
      </c>
    </row>
    <row r="80" s="1">
      <c r="A80" s="22">
        <f>RANDBETWEEN(2,164)</f>
        <v/>
      </c>
      <c r="B80" s="22">
        <f t="array" ref="B80"/>
        <v/>
      </c>
      <c r="C80" s="22">
        <f t="array" ref="C80"/>
        <v/>
      </c>
      <c r="D80" s="22">
        <f t="array" ref="D80"/>
        <v/>
      </c>
      <c r="E80" s="22">
        <f t="array" ref="E80"/>
        <v/>
      </c>
      <c r="H80" s="38" t="n">
        <v>85</v>
      </c>
      <c r="I80" s="38" t="n">
        <v>27</v>
      </c>
      <c r="J80" s="38" t="n">
        <v>9</v>
      </c>
      <c r="K80" s="38" t="n">
        <v>0</v>
      </c>
      <c r="L80" s="38" t="inlineStr">
        <is>
          <t>Sedang</t>
        </is>
      </c>
    </row>
    <row r="81" s="1">
      <c r="A81" s="22">
        <f>RANDBETWEEN(2,164)</f>
        <v/>
      </c>
      <c r="B81" s="22">
        <f t="array" ref="B81"/>
        <v/>
      </c>
      <c r="C81" s="22">
        <f t="array" ref="C81"/>
        <v/>
      </c>
      <c r="D81" s="22">
        <f t="array" ref="D81"/>
        <v/>
      </c>
      <c r="E81" s="22">
        <f t="array" ref="E81"/>
        <v/>
      </c>
      <c r="H81" s="38" t="n">
        <v>70</v>
      </c>
      <c r="I81" s="38" t="n">
        <v>26</v>
      </c>
      <c r="J81" s="38" t="n">
        <v>3</v>
      </c>
      <c r="K81" s="38" t="n">
        <v>1</v>
      </c>
      <c r="L81" s="38" t="inlineStr">
        <is>
          <t>Sedang</t>
        </is>
      </c>
    </row>
    <row r="82" s="1">
      <c r="A82" s="22">
        <f>RANDBETWEEN(2,164)</f>
        <v/>
      </c>
      <c r="B82" s="22">
        <f t="array" ref="B82"/>
        <v/>
      </c>
      <c r="C82" s="22">
        <f t="array" ref="C82"/>
        <v/>
      </c>
      <c r="D82" s="22">
        <f t="array" ref="D82"/>
        <v/>
      </c>
      <c r="E82" s="22">
        <f t="array" ref="E82"/>
        <v/>
      </c>
      <c r="H82" s="38" t="n">
        <v>163</v>
      </c>
      <c r="I82" s="38" t="n">
        <v>34</v>
      </c>
      <c r="J82" s="38" t="n">
        <v>4</v>
      </c>
      <c r="K82" s="38" t="n">
        <v>1</v>
      </c>
      <c r="L82" s="38" t="inlineStr">
        <is>
          <t>Rendah</t>
        </is>
      </c>
    </row>
    <row r="83" s="1">
      <c r="A83" s="22">
        <f>RANDBETWEEN(2,164)</f>
        <v/>
      </c>
      <c r="B83" s="22">
        <f t="array" ref="B83"/>
        <v/>
      </c>
      <c r="C83" s="22">
        <f t="array" ref="C83"/>
        <v/>
      </c>
      <c r="D83" s="22">
        <f t="array" ref="D83"/>
        <v/>
      </c>
      <c r="E83" s="22">
        <f t="array" ref="E83"/>
        <v/>
      </c>
      <c r="H83" s="38" t="n">
        <v>114</v>
      </c>
      <c r="I83" s="38" t="n">
        <v>14</v>
      </c>
      <c r="J83" s="38" t="n">
        <v>2</v>
      </c>
      <c r="K83" s="38" t="n">
        <v>1</v>
      </c>
      <c r="L83" s="38" t="inlineStr">
        <is>
          <t>Tinggi</t>
        </is>
      </c>
    </row>
    <row r="84" s="1">
      <c r="A84" s="22">
        <f>RANDBETWEEN(2,164)</f>
        <v/>
      </c>
      <c r="B84" s="22">
        <f t="array" ref="B84"/>
        <v/>
      </c>
      <c r="C84" s="22">
        <f t="array" ref="C84"/>
        <v/>
      </c>
      <c r="D84" s="22">
        <f t="array" ref="D84"/>
        <v/>
      </c>
      <c r="E84" s="22">
        <f t="array" ref="E84"/>
        <v/>
      </c>
      <c r="H84" s="38" t="n">
        <v>133</v>
      </c>
      <c r="I84" s="38" t="n">
        <v>6</v>
      </c>
      <c r="J84" s="38" t="n">
        <v>4</v>
      </c>
      <c r="K84" s="38" t="n">
        <v>0</v>
      </c>
      <c r="L84" s="38" t="inlineStr">
        <is>
          <t>Tinggi</t>
        </is>
      </c>
    </row>
    <row r="85" s="1">
      <c r="A85" s="22">
        <f>RANDBETWEEN(2,164)</f>
        <v/>
      </c>
      <c r="B85" s="22">
        <f t="array" ref="B85"/>
        <v/>
      </c>
      <c r="C85" s="22">
        <f t="array" ref="C85"/>
        <v/>
      </c>
      <c r="D85" s="22">
        <f t="array" ref="D85"/>
        <v/>
      </c>
      <c r="E85" s="22">
        <f t="array" ref="E85"/>
        <v/>
      </c>
      <c r="H85" s="38" t="n">
        <v>40</v>
      </c>
      <c r="I85" s="38" t="n">
        <v>65</v>
      </c>
      <c r="J85" s="38" t="n">
        <v>3</v>
      </c>
      <c r="K85" s="38" t="n">
        <v>1</v>
      </c>
      <c r="L85" s="38" t="inlineStr">
        <is>
          <t>Sedang</t>
        </is>
      </c>
    </row>
    <row r="86" s="1">
      <c r="A86" s="22">
        <f>RANDBETWEEN(2,164)</f>
        <v/>
      </c>
      <c r="B86" s="22">
        <f t="array" ref="B86"/>
        <v/>
      </c>
      <c r="C86" s="22">
        <f t="array" ref="C86"/>
        <v/>
      </c>
      <c r="D86" s="22">
        <f t="array" ref="D86"/>
        <v/>
      </c>
      <c r="E86" s="22">
        <f t="array" ref="E86"/>
        <v/>
      </c>
      <c r="H86" s="38" t="n">
        <v>123</v>
      </c>
      <c r="I86" s="38" t="n">
        <v>22</v>
      </c>
      <c r="J86" s="38" t="n">
        <v>4</v>
      </c>
      <c r="K86" s="38" t="n">
        <v>0</v>
      </c>
      <c r="L86" s="38" t="inlineStr">
        <is>
          <t>Tinggi</t>
        </is>
      </c>
    </row>
    <row r="87" s="1">
      <c r="A87" s="22">
        <f>RANDBETWEEN(2,164)</f>
        <v/>
      </c>
      <c r="B87" s="22">
        <f t="array" ref="B87"/>
        <v/>
      </c>
      <c r="C87" s="22">
        <f t="array" ref="C87"/>
        <v/>
      </c>
      <c r="D87" s="22">
        <f t="array" ref="D87"/>
        <v/>
      </c>
      <c r="E87" s="22">
        <f t="array" ref="E87"/>
        <v/>
      </c>
      <c r="H87" s="38" t="n">
        <v>156</v>
      </c>
      <c r="I87" s="38" t="n">
        <v>5</v>
      </c>
      <c r="J87" s="38" t="n">
        <v>2</v>
      </c>
      <c r="K87" s="38" t="n">
        <v>0</v>
      </c>
      <c r="L87" s="38" t="inlineStr">
        <is>
          <t>Tinggi</t>
        </is>
      </c>
    </row>
    <row r="88" s="1">
      <c r="A88" s="22">
        <f>RANDBETWEEN(2,164)</f>
        <v/>
      </c>
      <c r="B88" s="22">
        <f t="array" ref="B88"/>
        <v/>
      </c>
      <c r="C88" s="22">
        <f t="array" ref="C88"/>
        <v/>
      </c>
      <c r="D88" s="22">
        <f t="array" ref="D88"/>
        <v/>
      </c>
      <c r="E88" s="22">
        <f t="array" ref="E88"/>
        <v/>
      </c>
      <c r="H88" s="38" t="n">
        <v>112</v>
      </c>
      <c r="I88" s="38" t="n">
        <v>61</v>
      </c>
      <c r="J88" s="38" t="n">
        <v>3</v>
      </c>
      <c r="K88" s="38" t="n">
        <v>1</v>
      </c>
      <c r="L88" s="38" t="inlineStr">
        <is>
          <t>Tinggi</t>
        </is>
      </c>
    </row>
    <row r="89" s="1">
      <c r="A89" s="22">
        <f>RANDBETWEEN(2,164)</f>
        <v/>
      </c>
      <c r="B89" s="22">
        <f t="array" ref="B89"/>
        <v/>
      </c>
      <c r="C89" s="22">
        <f t="array" ref="C89"/>
        <v/>
      </c>
      <c r="D89" s="22">
        <f t="array" ref="D89"/>
        <v/>
      </c>
      <c r="E89" s="22">
        <f t="array" ref="E89"/>
        <v/>
      </c>
      <c r="H89" s="38" t="n">
        <v>98</v>
      </c>
      <c r="I89" s="38" t="n">
        <v>16</v>
      </c>
      <c r="J89" s="38" t="n">
        <v>2</v>
      </c>
      <c r="K89" s="38" t="n">
        <v>1</v>
      </c>
      <c r="L89" s="38" t="inlineStr">
        <is>
          <t>Tinggi</t>
        </is>
      </c>
    </row>
    <row r="90" s="1">
      <c r="A90" s="22">
        <f>RANDBETWEEN(2,164)</f>
        <v/>
      </c>
      <c r="B90" s="22">
        <f t="array" ref="B90"/>
        <v/>
      </c>
      <c r="C90" s="22">
        <f t="array" ref="C90"/>
        <v/>
      </c>
      <c r="D90" s="22">
        <f t="array" ref="D90"/>
        <v/>
      </c>
      <c r="E90" s="22">
        <f t="array" ref="E90"/>
        <v/>
      </c>
      <c r="H90" s="38" t="n">
        <v>13</v>
      </c>
      <c r="I90" s="38" t="n">
        <v>47</v>
      </c>
      <c r="J90" s="38" t="n">
        <v>2</v>
      </c>
      <c r="K90" s="38" t="n">
        <v>0</v>
      </c>
      <c r="L90" s="38" t="inlineStr">
        <is>
          <t>Sedang</t>
        </is>
      </c>
    </row>
    <row r="91" s="1">
      <c r="A91" s="22">
        <f>RANDBETWEEN(2,164)</f>
        <v/>
      </c>
      <c r="B91" s="22">
        <f t="array" ref="B91"/>
        <v/>
      </c>
      <c r="C91" s="22">
        <f t="array" ref="C91"/>
        <v/>
      </c>
      <c r="D91" s="22">
        <f t="array" ref="D91"/>
        <v/>
      </c>
      <c r="E91" s="22">
        <f t="array" ref="E91"/>
        <v/>
      </c>
      <c r="H91" s="38" t="n">
        <v>106</v>
      </c>
      <c r="I91" s="38" t="n">
        <v>23</v>
      </c>
      <c r="J91" s="38" t="n">
        <v>3</v>
      </c>
      <c r="K91" s="38" t="n">
        <v>1</v>
      </c>
      <c r="L91" s="38" t="inlineStr">
        <is>
          <t>Tinggi</t>
        </is>
      </c>
    </row>
    <row r="92" s="1">
      <c r="A92" s="22">
        <f>RANDBETWEEN(2,164)</f>
        <v/>
      </c>
      <c r="B92" s="22">
        <f t="array" ref="B92"/>
        <v/>
      </c>
      <c r="C92" s="22">
        <f t="array" ref="C92"/>
        <v/>
      </c>
      <c r="D92" s="22">
        <f t="array" ref="D92"/>
        <v/>
      </c>
      <c r="E92" s="22">
        <f t="array" ref="E92"/>
        <v/>
      </c>
      <c r="H92" s="38" t="n">
        <v>90</v>
      </c>
      <c r="I92" s="38" t="n">
        <v>47</v>
      </c>
      <c r="J92" s="38" t="n">
        <v>3</v>
      </c>
      <c r="K92" s="38" t="n">
        <v>0</v>
      </c>
      <c r="L92" s="38" t="inlineStr">
        <is>
          <t>Tinggi</t>
        </is>
      </c>
    </row>
    <row r="93" s="1">
      <c r="A93" s="22">
        <f>RANDBETWEEN(2,164)</f>
        <v/>
      </c>
      <c r="B93" s="22">
        <f t="array" ref="B93"/>
        <v/>
      </c>
      <c r="C93" s="22">
        <f t="array" ref="C93"/>
        <v/>
      </c>
      <c r="D93" s="22">
        <f t="array" ref="D93"/>
        <v/>
      </c>
      <c r="E93" s="22">
        <f t="array" ref="E93"/>
        <v/>
      </c>
      <c r="H93" s="38" t="n">
        <v>108</v>
      </c>
      <c r="I93" s="38" t="n">
        <v>69</v>
      </c>
      <c r="J93" s="38" t="n">
        <v>7</v>
      </c>
      <c r="K93" s="38" t="n">
        <v>1</v>
      </c>
      <c r="L93" s="38" t="inlineStr">
        <is>
          <t>Tinggi</t>
        </is>
      </c>
    </row>
    <row r="94" s="1">
      <c r="A94" s="22">
        <f>RANDBETWEEN(2,164)</f>
        <v/>
      </c>
      <c r="B94" s="22">
        <f t="array" ref="B94"/>
        <v/>
      </c>
      <c r="C94" s="22">
        <f t="array" ref="C94"/>
        <v/>
      </c>
      <c r="D94" s="22">
        <f t="array" ref="D94"/>
        <v/>
      </c>
      <c r="E94" s="22">
        <f t="array" ref="E94"/>
        <v/>
      </c>
      <c r="H94" s="38" t="n">
        <v>90</v>
      </c>
      <c r="I94" s="38" t="n">
        <v>47</v>
      </c>
      <c r="J94" s="38" t="n">
        <v>3</v>
      </c>
      <c r="K94" s="38" t="n">
        <v>0</v>
      </c>
      <c r="L94" s="38" t="inlineStr">
        <is>
          <t>Tinggi</t>
        </is>
      </c>
    </row>
    <row r="95" s="1">
      <c r="A95" s="22">
        <f>RANDBETWEEN(2,164)</f>
        <v/>
      </c>
      <c r="B95" s="22">
        <f t="array" ref="B95"/>
        <v/>
      </c>
      <c r="C95" s="22">
        <f t="array" ref="C95"/>
        <v/>
      </c>
      <c r="D95" s="22">
        <f t="array" ref="D95"/>
        <v/>
      </c>
      <c r="E95" s="22">
        <f t="array" ref="E95"/>
        <v/>
      </c>
      <c r="H95" s="38" t="n">
        <v>37</v>
      </c>
      <c r="I95" s="38" t="n">
        <v>28</v>
      </c>
      <c r="J95" s="38" t="n">
        <v>4</v>
      </c>
      <c r="K95" s="38" t="n">
        <v>1</v>
      </c>
      <c r="L95" s="38" t="inlineStr">
        <is>
          <t>Rendah</t>
        </is>
      </c>
    </row>
    <row r="96" s="1">
      <c r="A96" s="22">
        <f>RANDBETWEEN(2,164)</f>
        <v/>
      </c>
      <c r="B96" s="22">
        <f t="array" ref="B96"/>
        <v/>
      </c>
      <c r="C96" s="22">
        <f t="array" ref="C96"/>
        <v/>
      </c>
      <c r="D96" s="22">
        <f t="array" ref="D96"/>
        <v/>
      </c>
      <c r="E96" s="22">
        <f t="array" ref="E96"/>
        <v/>
      </c>
      <c r="H96" s="38" t="n">
        <v>64</v>
      </c>
      <c r="I96" s="38" t="n">
        <v>35</v>
      </c>
      <c r="J96" s="38" t="n">
        <v>1</v>
      </c>
      <c r="K96" s="38" t="n">
        <v>0</v>
      </c>
      <c r="L96" s="38" t="inlineStr">
        <is>
          <t>Sedang</t>
        </is>
      </c>
    </row>
    <row r="97" s="1">
      <c r="A97" s="22">
        <f>RANDBETWEEN(2,164)</f>
        <v/>
      </c>
      <c r="B97" s="22">
        <f t="array" ref="B97"/>
        <v/>
      </c>
      <c r="C97" s="22">
        <f t="array" ref="C97"/>
        <v/>
      </c>
      <c r="D97" s="22">
        <f t="array" ref="D97"/>
        <v/>
      </c>
      <c r="E97" s="22">
        <f t="array" ref="E97"/>
        <v/>
      </c>
      <c r="H97" s="38" t="n">
        <v>9</v>
      </c>
      <c r="I97" s="38" t="n">
        <v>16</v>
      </c>
      <c r="J97" s="38" t="n">
        <v>6</v>
      </c>
      <c r="K97" s="38" t="n">
        <v>1</v>
      </c>
      <c r="L97" s="38" t="inlineStr">
        <is>
          <t>Sedang</t>
        </is>
      </c>
    </row>
    <row r="98" s="1">
      <c r="A98" s="22">
        <f>RANDBETWEEN(2,164)</f>
        <v/>
      </c>
      <c r="B98" s="22">
        <f t="array" ref="B98"/>
        <v/>
      </c>
      <c r="C98" s="22">
        <f t="array" ref="C98"/>
        <v/>
      </c>
      <c r="D98" s="22">
        <f t="array" ref="D98"/>
        <v/>
      </c>
      <c r="E98" s="22">
        <f t="array" ref="E98"/>
        <v/>
      </c>
      <c r="H98" s="38" t="n">
        <v>80</v>
      </c>
      <c r="I98" s="38" t="n">
        <v>27</v>
      </c>
      <c r="J98" s="38" t="n">
        <v>3</v>
      </c>
      <c r="K98" s="38" t="n">
        <v>1</v>
      </c>
      <c r="L98" s="38" t="inlineStr">
        <is>
          <t>Sedang</t>
        </is>
      </c>
    </row>
    <row r="99" s="1">
      <c r="A99" s="22">
        <f>RANDBETWEEN(2,164)</f>
        <v/>
      </c>
      <c r="B99" s="22">
        <f t="array" ref="B99"/>
        <v/>
      </c>
      <c r="C99" s="22">
        <f t="array" ref="C99"/>
        <v/>
      </c>
      <c r="D99" s="22">
        <f t="array" ref="D99"/>
        <v/>
      </c>
      <c r="E99" s="22">
        <f t="array" ref="E99"/>
        <v/>
      </c>
      <c r="H99" s="38" t="n">
        <v>101</v>
      </c>
      <c r="I99" s="38" t="n">
        <v>42</v>
      </c>
      <c r="J99" s="38" t="n">
        <v>5</v>
      </c>
      <c r="K99" s="38" t="n">
        <v>0</v>
      </c>
      <c r="L99" s="38" t="inlineStr">
        <is>
          <t>Tinggi</t>
        </is>
      </c>
    </row>
    <row r="100" s="1">
      <c r="A100" s="22">
        <f>RANDBETWEEN(2,164)</f>
        <v/>
      </c>
      <c r="B100" s="22">
        <f t="array" ref="B100"/>
        <v/>
      </c>
      <c r="C100" s="22">
        <f t="array" ref="C100"/>
        <v/>
      </c>
      <c r="D100" s="22">
        <f t="array" ref="D100"/>
        <v/>
      </c>
      <c r="E100" s="22">
        <f t="array" ref="E100"/>
        <v/>
      </c>
      <c r="H100" s="38" t="n">
        <v>33</v>
      </c>
      <c r="I100" s="38" t="n">
        <v>19</v>
      </c>
      <c r="J100" s="38" t="n">
        <v>4</v>
      </c>
      <c r="K100" s="38" t="n">
        <v>1</v>
      </c>
      <c r="L100" s="38" t="inlineStr">
        <is>
          <t>Sedang</t>
        </is>
      </c>
    </row>
    <row r="101" s="1">
      <c r="A101" s="22">
        <f>RANDBETWEEN(2,164)</f>
        <v/>
      </c>
      <c r="B101" s="22">
        <f t="array" ref="B101"/>
        <v/>
      </c>
      <c r="C101" s="22">
        <f t="array" ref="C101"/>
        <v/>
      </c>
      <c r="D101" s="22">
        <f t="array" ref="D101"/>
        <v/>
      </c>
      <c r="E101" s="22">
        <f t="array" ref="E101"/>
        <v/>
      </c>
      <c r="H101" s="38" t="n">
        <v>88</v>
      </c>
      <c r="I101" s="38" t="n">
        <v>20</v>
      </c>
      <c r="J101" s="38" t="n">
        <v>4</v>
      </c>
      <c r="K101" s="38" t="n">
        <v>1</v>
      </c>
      <c r="L101" s="38" t="inlineStr">
        <is>
          <t>Sedang</t>
        </is>
      </c>
    </row>
    <row r="102" s="1">
      <c r="A102" s="22">
        <f>RANDBETWEEN(2,164)</f>
        <v/>
      </c>
      <c r="B102" s="22">
        <f t="array" ref="B102"/>
        <v/>
      </c>
      <c r="C102" s="22">
        <f t="array" ref="C102"/>
        <v/>
      </c>
      <c r="D102" s="22">
        <f t="array" ref="D102"/>
        <v/>
      </c>
      <c r="E102" s="22">
        <f t="array" ref="E102"/>
        <v/>
      </c>
      <c r="H102" s="38" t="n">
        <v>25</v>
      </c>
      <c r="I102" s="38" t="n">
        <v>81</v>
      </c>
      <c r="J102" s="38" t="n">
        <v>5</v>
      </c>
      <c r="K102" s="38" t="n">
        <v>0</v>
      </c>
      <c r="L102" s="38" t="inlineStr">
        <is>
          <t>Sedang</t>
        </is>
      </c>
    </row>
    <row r="103" s="1">
      <c r="A103" s="22">
        <f>RANDBETWEEN(2,164)</f>
        <v/>
      </c>
      <c r="B103" s="22">
        <f t="array" ref="B103"/>
        <v/>
      </c>
      <c r="C103" s="22">
        <f t="array" ref="C103"/>
        <v/>
      </c>
      <c r="D103" s="22">
        <f t="array" ref="D103"/>
        <v/>
      </c>
      <c r="E103" s="22">
        <f t="array" ref="E103"/>
        <v/>
      </c>
      <c r="H103" s="38" t="n">
        <v>107</v>
      </c>
      <c r="I103" s="38" t="n">
        <v>48</v>
      </c>
      <c r="J103" s="38" t="n">
        <v>5</v>
      </c>
      <c r="K103" s="38" t="n">
        <v>0</v>
      </c>
      <c r="L103" s="38" t="inlineStr">
        <is>
          <t>Tinggi</t>
        </is>
      </c>
    </row>
    <row r="104" s="1">
      <c r="A104" s="22">
        <f>RANDBETWEEN(2,164)</f>
        <v/>
      </c>
      <c r="B104" s="22">
        <f t="array" ref="B104"/>
        <v/>
      </c>
      <c r="C104" s="22">
        <f t="array" ref="C104"/>
        <v/>
      </c>
      <c r="D104" s="22">
        <f t="array" ref="D104"/>
        <v/>
      </c>
      <c r="E104" s="22">
        <f t="array" ref="E104"/>
        <v/>
      </c>
      <c r="H104" s="38" t="n">
        <v>71</v>
      </c>
      <c r="I104" s="38" t="n">
        <v>84</v>
      </c>
      <c r="J104" s="38" t="n">
        <v>3</v>
      </c>
      <c r="K104" s="38" t="n">
        <v>0</v>
      </c>
      <c r="L104" s="38" t="inlineStr">
        <is>
          <t>Sedang</t>
        </is>
      </c>
    </row>
    <row r="105" s="1">
      <c r="A105" s="22">
        <f>RANDBETWEEN(2,164)</f>
        <v/>
      </c>
      <c r="B105" s="22">
        <f t="array" ref="B105"/>
        <v/>
      </c>
      <c r="C105" s="22">
        <f t="array" ref="C105"/>
        <v/>
      </c>
      <c r="D105" s="22">
        <f t="array" ref="D105"/>
        <v/>
      </c>
      <c r="E105" s="22">
        <f t="array" ref="E105"/>
        <v/>
      </c>
      <c r="H105" s="38" t="n">
        <v>90</v>
      </c>
      <c r="I105" s="38" t="n">
        <v>47</v>
      </c>
      <c r="J105" s="38" t="n">
        <v>3</v>
      </c>
      <c r="K105" s="38" t="n">
        <v>0</v>
      </c>
      <c r="L105" s="38" t="inlineStr">
        <is>
          <t>Tinggi</t>
        </is>
      </c>
    </row>
    <row r="106" s="1">
      <c r="A106" s="22">
        <f>RANDBETWEEN(2,164)</f>
        <v/>
      </c>
      <c r="B106" s="22">
        <f t="array" ref="B106"/>
        <v/>
      </c>
      <c r="C106" s="22">
        <f t="array" ref="C106"/>
        <v/>
      </c>
      <c r="D106" s="22">
        <f t="array" ref="D106"/>
        <v/>
      </c>
      <c r="E106" s="22">
        <f t="array" ref="E106"/>
        <v/>
      </c>
      <c r="H106" s="38" t="n">
        <v>11</v>
      </c>
      <c r="I106" s="38" t="n">
        <v>24</v>
      </c>
      <c r="J106" s="38" t="n">
        <v>5</v>
      </c>
      <c r="K106" s="38" t="n">
        <v>1</v>
      </c>
      <c r="L106" s="38" t="inlineStr">
        <is>
          <t>Sedang</t>
        </is>
      </c>
    </row>
    <row r="107" s="1">
      <c r="A107" s="22">
        <f>RANDBETWEEN(2,164)</f>
        <v/>
      </c>
      <c r="B107" s="22">
        <f t="array" ref="B107"/>
        <v/>
      </c>
      <c r="C107" s="22">
        <f t="array" ref="C107"/>
        <v/>
      </c>
      <c r="D107" s="22">
        <f t="array" ref="D107"/>
        <v/>
      </c>
      <c r="E107" s="22">
        <f t="array" ref="E107"/>
        <v/>
      </c>
      <c r="H107" s="38" t="n">
        <v>26</v>
      </c>
      <c r="I107" s="38" t="n">
        <v>75</v>
      </c>
      <c r="J107" s="38" t="n">
        <v>4</v>
      </c>
      <c r="K107" s="38" t="n">
        <v>1</v>
      </c>
      <c r="L107" s="38" t="inlineStr">
        <is>
          <t>Sedang</t>
        </is>
      </c>
    </row>
    <row r="108" s="1">
      <c r="A108" s="22">
        <f>RANDBETWEEN(2,164)</f>
        <v/>
      </c>
      <c r="B108" s="22">
        <f t="array" ref="B108"/>
        <v/>
      </c>
      <c r="C108" s="22">
        <f t="array" ref="C108"/>
        <v/>
      </c>
      <c r="D108" s="22">
        <f t="array" ref="D108"/>
        <v/>
      </c>
      <c r="E108" s="22">
        <f t="array" ref="E108"/>
        <v/>
      </c>
      <c r="H108" s="38" t="n">
        <v>133</v>
      </c>
      <c r="I108" s="38" t="n">
        <v>6</v>
      </c>
      <c r="J108" s="38" t="n">
        <v>4</v>
      </c>
      <c r="K108" s="38" t="n">
        <v>0</v>
      </c>
      <c r="L108" s="38" t="inlineStr">
        <is>
          <t>Tinggi</t>
        </is>
      </c>
    </row>
    <row r="109" s="1">
      <c r="A109" s="22">
        <f>RANDBETWEEN(2,164)</f>
        <v/>
      </c>
      <c r="B109" s="22">
        <f t="array" ref="B109"/>
        <v/>
      </c>
      <c r="C109" s="22">
        <f t="array" ref="C109"/>
        <v/>
      </c>
      <c r="D109" s="22">
        <f t="array" ref="D109"/>
        <v/>
      </c>
      <c r="E109" s="22">
        <f t="array" ref="E109"/>
        <v/>
      </c>
      <c r="H109" s="38" t="n">
        <v>26</v>
      </c>
      <c r="I109" s="38" t="n">
        <v>75</v>
      </c>
      <c r="J109" s="38" t="n">
        <v>4</v>
      </c>
      <c r="K109" s="38" t="n">
        <v>1</v>
      </c>
      <c r="L109" s="38" t="inlineStr">
        <is>
          <t>Sedang</t>
        </is>
      </c>
    </row>
    <row r="110" s="1">
      <c r="A110" s="22">
        <f>RANDBETWEEN(2,164)</f>
        <v/>
      </c>
      <c r="B110" s="22">
        <f t="array" ref="B110"/>
        <v/>
      </c>
      <c r="C110" s="22">
        <f t="array" ref="C110"/>
        <v/>
      </c>
      <c r="D110" s="22">
        <f t="array" ref="D110"/>
        <v/>
      </c>
      <c r="E110" s="22">
        <f t="array" ref="E110"/>
        <v/>
      </c>
      <c r="H110" s="38" t="n">
        <v>116</v>
      </c>
      <c r="I110" s="38" t="n">
        <v>32</v>
      </c>
      <c r="J110" s="38" t="n">
        <v>4</v>
      </c>
      <c r="K110" s="38" t="n">
        <v>1</v>
      </c>
      <c r="L110" s="38" t="inlineStr">
        <is>
          <t>Tinggi</t>
        </is>
      </c>
    </row>
    <row r="111" s="1">
      <c r="A111" s="22">
        <f>RANDBETWEEN(2,164)</f>
        <v/>
      </c>
      <c r="B111" s="22">
        <f t="array" ref="B111"/>
        <v/>
      </c>
      <c r="C111" s="22">
        <f t="array" ref="C111"/>
        <v/>
      </c>
      <c r="D111" s="22">
        <f t="array" ref="D111"/>
        <v/>
      </c>
      <c r="E111" s="22">
        <f t="array" ref="E111"/>
        <v/>
      </c>
      <c r="H111" s="38" t="n">
        <v>162</v>
      </c>
      <c r="I111" s="38" t="n">
        <v>22</v>
      </c>
      <c r="J111" s="38" t="n">
        <v>3</v>
      </c>
      <c r="K111" s="38" t="n">
        <v>1</v>
      </c>
      <c r="L111" s="38" t="inlineStr">
        <is>
          <t>Rendah</t>
        </is>
      </c>
    </row>
    <row r="112" s="1">
      <c r="A112" s="22">
        <f>RANDBETWEEN(2,164)</f>
        <v/>
      </c>
      <c r="B112" s="22">
        <f t="array" ref="B112"/>
        <v/>
      </c>
      <c r="C112" s="22">
        <f t="array" ref="C112"/>
        <v/>
      </c>
      <c r="D112" s="22">
        <f t="array" ref="D112"/>
        <v/>
      </c>
      <c r="E112" s="22">
        <f t="array" ref="E112"/>
        <v/>
      </c>
      <c r="H112" s="38" t="n">
        <v>154</v>
      </c>
      <c r="I112" s="38" t="n">
        <v>18</v>
      </c>
      <c r="J112" s="38" t="n">
        <v>5</v>
      </c>
      <c r="K112" s="38" t="n">
        <v>1</v>
      </c>
      <c r="L112" s="38" t="inlineStr">
        <is>
          <t>Tinggi</t>
        </is>
      </c>
    </row>
    <row r="113" s="1">
      <c r="A113" s="22">
        <f>RANDBETWEEN(2,164)</f>
        <v/>
      </c>
      <c r="B113" s="22">
        <f t="array" ref="B113"/>
        <v/>
      </c>
      <c r="C113" s="22">
        <f t="array" ref="C113"/>
        <v/>
      </c>
      <c r="D113" s="22">
        <f t="array" ref="D113"/>
        <v/>
      </c>
      <c r="E113" s="22">
        <f t="array" ref="E113"/>
        <v/>
      </c>
      <c r="H113" s="38" t="n">
        <v>114</v>
      </c>
      <c r="I113" s="38" t="n">
        <v>14</v>
      </c>
      <c r="J113" s="38" t="n">
        <v>2</v>
      </c>
      <c r="K113" s="38" t="n">
        <v>1</v>
      </c>
      <c r="L113" s="38" t="inlineStr">
        <is>
          <t>Tinggi</t>
        </is>
      </c>
    </row>
    <row r="114" s="1">
      <c r="A114" s="22">
        <f>RANDBETWEEN(2,164)</f>
        <v/>
      </c>
      <c r="B114" s="22">
        <f t="array" ref="B114"/>
        <v/>
      </c>
      <c r="C114" s="22">
        <f t="array" ref="C114"/>
        <v/>
      </c>
      <c r="D114" s="22">
        <f t="array" ref="D114"/>
        <v/>
      </c>
      <c r="E114" s="22">
        <f t="array" ref="E114"/>
        <v/>
      </c>
      <c r="H114" s="38" t="n">
        <v>104</v>
      </c>
      <c r="I114" s="38" t="n">
        <v>37</v>
      </c>
      <c r="J114" s="38" t="n">
        <v>4</v>
      </c>
      <c r="K114" s="38" t="n">
        <v>1</v>
      </c>
      <c r="L114" s="38" t="inlineStr">
        <is>
          <t>Tinggi</t>
        </is>
      </c>
    </row>
    <row r="115" s="1">
      <c r="A115" s="22">
        <f>RANDBETWEEN(2,164)</f>
        <v/>
      </c>
      <c r="B115" s="22">
        <f t="array" ref="B115"/>
        <v/>
      </c>
      <c r="C115" s="22">
        <f t="array" ref="C115"/>
        <v/>
      </c>
      <c r="D115" s="22">
        <f t="array" ref="D115"/>
        <v/>
      </c>
      <c r="E115" s="22">
        <f t="array" ref="E115"/>
        <v/>
      </c>
      <c r="H115" s="38" t="n">
        <v>24</v>
      </c>
      <c r="I115" s="38" t="n">
        <v>60</v>
      </c>
      <c r="J115" s="38" t="n">
        <v>4</v>
      </c>
      <c r="K115" s="38" t="n">
        <v>0</v>
      </c>
      <c r="L115" s="38" t="inlineStr">
        <is>
          <t>Sedang</t>
        </is>
      </c>
    </row>
    <row r="116" s="1">
      <c r="A116" s="22">
        <f>RANDBETWEEN(2,164)</f>
        <v/>
      </c>
      <c r="B116" s="22">
        <f t="array" ref="B116"/>
        <v/>
      </c>
      <c r="C116" s="22">
        <f t="array" ref="C116"/>
        <v/>
      </c>
      <c r="D116" s="22">
        <f t="array" ref="D116"/>
        <v/>
      </c>
      <c r="E116" s="22">
        <f t="array" ref="E116"/>
        <v/>
      </c>
      <c r="H116" s="38" t="n">
        <v>116</v>
      </c>
      <c r="I116" s="38" t="n">
        <v>32</v>
      </c>
      <c r="J116" s="38" t="n">
        <v>4</v>
      </c>
      <c r="K116" s="38" t="n">
        <v>1</v>
      </c>
      <c r="L116" s="38" t="inlineStr">
        <is>
          <t>Tinggi</t>
        </is>
      </c>
    </row>
    <row r="117" s="1">
      <c r="A117" s="22">
        <f>RANDBETWEEN(2,164)</f>
        <v/>
      </c>
      <c r="B117" s="22">
        <f t="array" ref="B117"/>
        <v/>
      </c>
      <c r="C117" s="22">
        <f t="array" ref="C117"/>
        <v/>
      </c>
      <c r="D117" s="22">
        <f t="array" ref="D117"/>
        <v/>
      </c>
      <c r="E117" s="22">
        <f t="array" ref="E117"/>
        <v/>
      </c>
      <c r="H117" s="38" t="n">
        <v>99</v>
      </c>
      <c r="I117" s="38" t="n">
        <v>4</v>
      </c>
      <c r="J117" s="38" t="n">
        <v>2</v>
      </c>
      <c r="K117" s="38" t="n">
        <v>1</v>
      </c>
      <c r="L117" s="38" t="inlineStr">
        <is>
          <t>Tinggi</t>
        </is>
      </c>
    </row>
    <row r="118" s="1">
      <c r="A118" s="22">
        <f>RANDBETWEEN(2,164)</f>
        <v/>
      </c>
      <c r="B118" s="22">
        <f t="array" ref="B118"/>
        <v/>
      </c>
      <c r="C118" s="22">
        <f t="array" ref="C118"/>
        <v/>
      </c>
      <c r="D118" s="22">
        <f t="array" ref="D118"/>
        <v/>
      </c>
      <c r="E118" s="22">
        <f t="array" ref="E118"/>
        <v/>
      </c>
      <c r="H118" s="38" t="n">
        <v>128</v>
      </c>
      <c r="I118" s="38" t="n">
        <v>38</v>
      </c>
      <c r="J118" s="38" t="n">
        <v>2</v>
      </c>
      <c r="K118" s="38" t="n">
        <v>0</v>
      </c>
      <c r="L118" s="38" t="inlineStr">
        <is>
          <t>Tinggi</t>
        </is>
      </c>
    </row>
    <row r="119" s="1">
      <c r="A119" s="22">
        <f>RANDBETWEEN(2,164)</f>
        <v/>
      </c>
      <c r="B119" s="22">
        <f t="array" ref="B119"/>
        <v/>
      </c>
      <c r="C119" s="22">
        <f t="array" ref="C119"/>
        <v/>
      </c>
      <c r="D119" s="22">
        <f t="array" ref="D119"/>
        <v/>
      </c>
      <c r="E119" s="22">
        <f t="array" ref="E119"/>
        <v/>
      </c>
      <c r="H119" s="38" t="n">
        <v>8</v>
      </c>
      <c r="I119" s="38" t="n">
        <v>4</v>
      </c>
      <c r="J119" s="38" t="n">
        <v>2</v>
      </c>
      <c r="K119" s="38" t="n">
        <v>0</v>
      </c>
      <c r="L119" s="38" t="inlineStr">
        <is>
          <t>Sedang</t>
        </is>
      </c>
    </row>
    <row r="120" s="1">
      <c r="A120" s="22">
        <f>RANDBETWEEN(2,164)</f>
        <v/>
      </c>
      <c r="B120" s="22">
        <f t="array" ref="B120"/>
        <v/>
      </c>
      <c r="C120" s="22">
        <f t="array" ref="C120"/>
        <v/>
      </c>
      <c r="D120" s="22">
        <f t="array" ref="D120"/>
        <v/>
      </c>
      <c r="E120" s="22">
        <f t="array" ref="E120"/>
        <v/>
      </c>
      <c r="H120" s="38" t="n">
        <v>103</v>
      </c>
      <c r="I120" s="38" t="n">
        <v>22</v>
      </c>
      <c r="J120" s="38" t="n">
        <v>5</v>
      </c>
      <c r="K120" s="38" t="n">
        <v>0</v>
      </c>
      <c r="L120" s="38" t="inlineStr">
        <is>
          <t>Tinggi</t>
        </is>
      </c>
    </row>
    <row r="121" s="1">
      <c r="A121" s="22">
        <f>RANDBETWEEN(2,164)</f>
        <v/>
      </c>
      <c r="B121" s="22">
        <f t="array" ref="B121"/>
        <v/>
      </c>
      <c r="C121" s="22">
        <f t="array" ref="C121"/>
        <v/>
      </c>
      <c r="D121" s="22">
        <f t="array" ref="D121"/>
        <v/>
      </c>
      <c r="E121" s="22">
        <f t="array" ref="E121"/>
        <v/>
      </c>
      <c r="H121" s="38" t="n">
        <v>126</v>
      </c>
      <c r="I121" s="38" t="n">
        <v>51</v>
      </c>
      <c r="J121" s="38" t="n">
        <v>3</v>
      </c>
      <c r="K121" s="38" t="n">
        <v>1</v>
      </c>
      <c r="L121" s="38" t="inlineStr">
        <is>
          <t>Tinggi</t>
        </is>
      </c>
    </row>
    <row r="122" s="1">
      <c r="A122" s="22">
        <f>RANDBETWEEN(2,164)</f>
        <v/>
      </c>
      <c r="B122" s="22">
        <f t="array" ref="B122"/>
        <v/>
      </c>
      <c r="C122" s="22">
        <f t="array" ref="C122"/>
        <v/>
      </c>
      <c r="D122" s="22">
        <f t="array" ref="D122"/>
        <v/>
      </c>
      <c r="E122" s="22">
        <f t="array" ref="E122"/>
        <v/>
      </c>
      <c r="H122" s="38" t="n">
        <v>48</v>
      </c>
      <c r="I122" s="38" t="n">
        <v>50</v>
      </c>
      <c r="J122" s="38" t="n">
        <v>5</v>
      </c>
      <c r="K122" s="38" t="n">
        <v>1</v>
      </c>
      <c r="L122" s="38" t="inlineStr">
        <is>
          <t>Sedang</t>
        </is>
      </c>
    </row>
    <row r="123" s="1">
      <c r="A123" s="22">
        <f>RANDBETWEEN(2,164)</f>
        <v/>
      </c>
      <c r="B123" s="22">
        <f t="array" ref="B123"/>
        <v/>
      </c>
      <c r="C123" s="22">
        <f t="array" ref="C123"/>
        <v/>
      </c>
      <c r="D123" s="22">
        <f t="array" ref="D123"/>
        <v/>
      </c>
      <c r="E123" s="22">
        <f t="array" ref="E123"/>
        <v/>
      </c>
      <c r="H123" s="38" t="n">
        <v>35</v>
      </c>
      <c r="I123" s="38" t="n">
        <v>40</v>
      </c>
      <c r="J123" s="38" t="n">
        <v>3</v>
      </c>
      <c r="K123" s="38" t="n">
        <v>1</v>
      </c>
      <c r="L123" s="38" t="inlineStr">
        <is>
          <t>Rendah</t>
        </is>
      </c>
    </row>
    <row r="124" s="1">
      <c r="A124" s="22">
        <f>RANDBETWEEN(2,164)</f>
        <v/>
      </c>
      <c r="B124" s="22">
        <f t="array" ref="B124"/>
        <v/>
      </c>
      <c r="C124" s="22">
        <f t="array" ref="C124"/>
        <v/>
      </c>
      <c r="D124" s="22">
        <f t="array" ref="D124"/>
        <v/>
      </c>
      <c r="E124" s="22">
        <f t="array" ref="E124"/>
        <v/>
      </c>
      <c r="H124" s="38" t="n">
        <v>20</v>
      </c>
      <c r="I124" s="38" t="n">
        <v>15</v>
      </c>
      <c r="J124" s="38" t="n">
        <v>5</v>
      </c>
      <c r="K124" s="38" t="n">
        <v>0</v>
      </c>
      <c r="L124" s="38" t="inlineStr">
        <is>
          <t>Rendah</t>
        </is>
      </c>
    </row>
    <row r="125" s="1">
      <c r="A125" s="22">
        <f>RANDBETWEEN(2,164)</f>
        <v/>
      </c>
      <c r="B125" s="22">
        <f t="array" ref="B125"/>
        <v/>
      </c>
      <c r="C125" s="22">
        <f t="array" ref="C125"/>
        <v/>
      </c>
      <c r="D125" s="22">
        <f t="array" ref="D125"/>
        <v/>
      </c>
      <c r="E125" s="22">
        <f t="array" ref="E125"/>
        <v/>
      </c>
      <c r="H125" s="38" t="n">
        <v>25</v>
      </c>
      <c r="I125" s="38" t="n">
        <v>81</v>
      </c>
      <c r="J125" s="38" t="n">
        <v>5</v>
      </c>
      <c r="K125" s="38" t="n">
        <v>0</v>
      </c>
      <c r="L125" s="38" t="inlineStr">
        <is>
          <t>Sedang</t>
        </is>
      </c>
    </row>
    <row r="126" s="1">
      <c r="A126" s="22">
        <f>RANDBETWEEN(2,164)</f>
        <v/>
      </c>
      <c r="B126" s="22">
        <f t="array" ref="B126"/>
        <v/>
      </c>
      <c r="C126" s="22">
        <f t="array" ref="C126"/>
        <v/>
      </c>
      <c r="D126" s="22">
        <f t="array" ref="D126"/>
        <v/>
      </c>
      <c r="E126" s="22">
        <f t="array" ref="E126"/>
        <v/>
      </c>
      <c r="H126" s="38" t="n">
        <v>109</v>
      </c>
      <c r="I126" s="38" t="n">
        <v>40</v>
      </c>
      <c r="J126" s="38" t="n">
        <v>3</v>
      </c>
      <c r="K126" s="38" t="n">
        <v>1</v>
      </c>
      <c r="L126" s="38" t="inlineStr">
        <is>
          <t>Tinggi</t>
        </is>
      </c>
    </row>
    <row r="127" s="1">
      <c r="A127" s="22">
        <f>RANDBETWEEN(2,164)</f>
        <v/>
      </c>
      <c r="B127" s="22">
        <f t="array" ref="B127"/>
        <v/>
      </c>
      <c r="C127" s="22">
        <f t="array" ref="C127"/>
        <v/>
      </c>
      <c r="D127" s="22">
        <f t="array" ref="D127"/>
        <v/>
      </c>
      <c r="E127" s="22">
        <f t="array" ref="E127"/>
        <v/>
      </c>
      <c r="H127" s="38" t="n">
        <v>63</v>
      </c>
      <c r="I127" s="38" t="n">
        <v>25</v>
      </c>
      <c r="J127" s="38" t="n">
        <v>3</v>
      </c>
      <c r="K127" s="38" t="n">
        <v>0</v>
      </c>
      <c r="L127" s="38" t="inlineStr">
        <is>
          <t>Sedang</t>
        </is>
      </c>
    </row>
    <row r="128" s="1">
      <c r="A128" s="22">
        <f>RANDBETWEEN(2,164)</f>
        <v/>
      </c>
      <c r="B128" s="22">
        <f t="array" ref="B128"/>
        <v/>
      </c>
      <c r="C128" s="22">
        <f t="array" ref="C128"/>
        <v/>
      </c>
      <c r="D128" s="22">
        <f t="array" ref="D128"/>
        <v/>
      </c>
      <c r="E128" s="22">
        <f t="array" ref="E128"/>
        <v/>
      </c>
      <c r="H128" s="38" t="n">
        <v>74</v>
      </c>
      <c r="I128" s="38" t="n">
        <v>9</v>
      </c>
      <c r="J128" s="38" t="n">
        <v>4</v>
      </c>
      <c r="K128" s="38" t="n">
        <v>0</v>
      </c>
      <c r="L128" s="38" t="inlineStr">
        <is>
          <t>Sedang</t>
        </is>
      </c>
    </row>
    <row r="129" s="1">
      <c r="A129" s="22">
        <f>RANDBETWEEN(2,164)</f>
        <v/>
      </c>
      <c r="B129" s="22">
        <f t="array" ref="B129"/>
        <v/>
      </c>
      <c r="C129" s="22">
        <f t="array" ref="C129"/>
        <v/>
      </c>
      <c r="D129" s="22">
        <f t="array" ref="D129"/>
        <v/>
      </c>
      <c r="E129" s="22">
        <f t="array" ref="E129"/>
        <v/>
      </c>
      <c r="H129" s="38" t="n">
        <v>132</v>
      </c>
      <c r="I129" s="38" t="n">
        <v>10</v>
      </c>
      <c r="J129" s="38" t="n">
        <v>3</v>
      </c>
      <c r="K129" s="38" t="n">
        <v>1</v>
      </c>
      <c r="L129" s="38" t="inlineStr">
        <is>
          <t>Tinggi</t>
        </is>
      </c>
    </row>
    <row r="130" s="1">
      <c r="A130" s="22">
        <f>RANDBETWEEN(2,164)</f>
        <v/>
      </c>
      <c r="B130" s="22">
        <f t="array" ref="B130"/>
        <v/>
      </c>
      <c r="C130" s="22">
        <f t="array" ref="C130"/>
        <v/>
      </c>
      <c r="D130" s="22">
        <f t="array" ref="D130"/>
        <v/>
      </c>
      <c r="E130" s="22">
        <f t="array" ref="E130"/>
        <v/>
      </c>
      <c r="H130" s="38" t="n">
        <v>14</v>
      </c>
      <c r="I130" s="38" t="n">
        <v>49</v>
      </c>
      <c r="J130" s="38" t="n">
        <v>4</v>
      </c>
      <c r="K130" s="38" t="n">
        <v>1</v>
      </c>
      <c r="L130" s="38" t="inlineStr">
        <is>
          <t>Rendah</t>
        </is>
      </c>
    </row>
    <row r="131" s="1">
      <c r="A131" s="22">
        <f>RANDBETWEEN(2,164)</f>
        <v/>
      </c>
      <c r="B131" s="22">
        <f t="array" ref="B131"/>
        <v/>
      </c>
      <c r="C131" s="22">
        <f t="array" ref="C131"/>
        <v/>
      </c>
      <c r="D131" s="22">
        <f t="array" ref="D131"/>
        <v/>
      </c>
      <c r="E131" s="22">
        <f t="array" ref="E131"/>
        <v/>
      </c>
      <c r="H131" s="38" t="n">
        <v>60</v>
      </c>
      <c r="I131" s="38" t="n">
        <v>68</v>
      </c>
      <c r="J131" s="38" t="n">
        <v>4</v>
      </c>
      <c r="K131" s="38" t="n">
        <v>0</v>
      </c>
      <c r="L131" s="38" t="inlineStr">
        <is>
          <t>Sedang</t>
        </is>
      </c>
    </row>
    <row r="132" s="1">
      <c r="A132" s="22">
        <f>RANDBETWEEN(2,164)</f>
        <v/>
      </c>
      <c r="B132" s="22">
        <f t="array" ref="B132"/>
        <v/>
      </c>
      <c r="C132" s="22">
        <f t="array" ref="C132"/>
        <v/>
      </c>
      <c r="D132" s="22">
        <f t="array" ref="D132"/>
        <v/>
      </c>
      <c r="E132" s="22">
        <f t="array" ref="E132"/>
        <v/>
      </c>
      <c r="H132" s="38" t="n">
        <v>82</v>
      </c>
      <c r="I132" s="38" t="n">
        <v>28</v>
      </c>
      <c r="J132" s="38" t="n">
        <v>3</v>
      </c>
      <c r="K132" s="38" t="n">
        <v>1</v>
      </c>
      <c r="L132" s="38" t="inlineStr">
        <is>
          <t>Sedang</t>
        </is>
      </c>
    </row>
    <row r="133" s="1">
      <c r="A133" s="22">
        <f>RANDBETWEEN(2,164)</f>
        <v/>
      </c>
      <c r="B133" s="22">
        <f t="array" ref="B133"/>
        <v/>
      </c>
      <c r="C133" s="22">
        <f t="array" ref="C133"/>
        <v/>
      </c>
      <c r="D133" s="22">
        <f t="array" ref="D133"/>
        <v/>
      </c>
      <c r="E133" s="22">
        <f t="array" ref="E133"/>
        <v/>
      </c>
      <c r="H133" s="38" t="n">
        <v>107</v>
      </c>
      <c r="I133" s="38" t="n">
        <v>48</v>
      </c>
      <c r="J133" s="38" t="n">
        <v>5</v>
      </c>
      <c r="K133" s="38" t="n">
        <v>0</v>
      </c>
      <c r="L133" s="38" t="inlineStr">
        <is>
          <t>Tinggi</t>
        </is>
      </c>
    </row>
    <row r="134" s="1">
      <c r="A134" s="22">
        <f>RANDBETWEEN(2,164)</f>
        <v/>
      </c>
      <c r="B134" s="22">
        <f t="array" ref="B134"/>
        <v/>
      </c>
      <c r="C134" s="22">
        <f t="array" ref="C134"/>
        <v/>
      </c>
      <c r="D134" s="22">
        <f t="array" ref="D134"/>
        <v/>
      </c>
      <c r="E134" s="22">
        <f t="array" ref="E134"/>
        <v/>
      </c>
      <c r="H134" s="38" t="n">
        <v>154</v>
      </c>
      <c r="I134" s="38" t="n">
        <v>18</v>
      </c>
      <c r="J134" s="38" t="n">
        <v>5</v>
      </c>
      <c r="K134" s="38" t="n">
        <v>1</v>
      </c>
      <c r="L134" s="38" t="inlineStr">
        <is>
          <t>Tinggi</t>
        </is>
      </c>
    </row>
    <row r="135" s="1">
      <c r="A135" s="22">
        <f>RANDBETWEEN(2,164)</f>
        <v/>
      </c>
      <c r="B135" s="22">
        <f t="array" ref="B135"/>
        <v/>
      </c>
      <c r="C135" s="22">
        <f t="array" ref="C135"/>
        <v/>
      </c>
      <c r="D135" s="22">
        <f t="array" ref="D135"/>
        <v/>
      </c>
      <c r="E135" s="22">
        <f t="array" ref="E135"/>
        <v/>
      </c>
      <c r="H135" s="38" t="n">
        <v>103</v>
      </c>
      <c r="I135" s="38" t="n">
        <v>22</v>
      </c>
      <c r="J135" s="38" t="n">
        <v>5</v>
      </c>
      <c r="K135" s="38" t="n">
        <v>0</v>
      </c>
      <c r="L135" s="38" t="inlineStr">
        <is>
          <t>Tinggi</t>
        </is>
      </c>
    </row>
    <row r="136" s="1">
      <c r="A136" s="22">
        <f>RANDBETWEEN(2,164)</f>
        <v/>
      </c>
      <c r="B136" s="22">
        <f t="array" ref="B136"/>
        <v/>
      </c>
      <c r="C136" s="22">
        <f t="array" ref="C136"/>
        <v/>
      </c>
      <c r="D136" s="22">
        <f t="array" ref="D136"/>
        <v/>
      </c>
      <c r="E136" s="22">
        <f t="array" ref="E136"/>
        <v/>
      </c>
      <c r="H136" s="38" t="n">
        <v>143</v>
      </c>
      <c r="I136" s="38" t="n">
        <v>20</v>
      </c>
      <c r="J136" s="38" t="n">
        <v>4</v>
      </c>
      <c r="K136" s="38" t="n">
        <v>1</v>
      </c>
      <c r="L136" s="38" t="inlineStr">
        <is>
          <t>Tinggi</t>
        </is>
      </c>
    </row>
    <row r="137" s="1">
      <c r="A137" s="22">
        <f>RANDBETWEEN(2,164)</f>
        <v/>
      </c>
      <c r="B137" s="22">
        <f t="array" ref="B137"/>
        <v/>
      </c>
      <c r="C137" s="22">
        <f t="array" ref="C137"/>
        <v/>
      </c>
      <c r="D137" s="22">
        <f t="array" ref="D137"/>
        <v/>
      </c>
      <c r="E137" s="22">
        <f t="array" ref="E137"/>
        <v/>
      </c>
      <c r="H137" s="38" t="n">
        <v>40</v>
      </c>
      <c r="I137" s="38" t="n">
        <v>65</v>
      </c>
      <c r="J137" s="38" t="n">
        <v>3</v>
      </c>
      <c r="K137" s="38" t="n">
        <v>1</v>
      </c>
      <c r="L137" s="38" t="inlineStr">
        <is>
          <t>Sedang</t>
        </is>
      </c>
    </row>
    <row r="138" s="1">
      <c r="A138" s="22">
        <f>RANDBETWEEN(2,164)</f>
        <v/>
      </c>
      <c r="B138" s="22">
        <f t="array" ref="B138"/>
        <v/>
      </c>
      <c r="C138" s="22">
        <f t="array" ref="C138"/>
        <v/>
      </c>
      <c r="D138" s="22">
        <f t="array" ref="D138"/>
        <v/>
      </c>
      <c r="E138" s="22">
        <f t="array" ref="E138"/>
        <v/>
      </c>
      <c r="H138" s="38" t="n">
        <v>21</v>
      </c>
      <c r="I138" s="38" t="n">
        <v>10</v>
      </c>
      <c r="J138" s="38" t="n">
        <v>5</v>
      </c>
      <c r="K138" s="38" t="n">
        <v>1</v>
      </c>
      <c r="L138" s="38" t="inlineStr">
        <is>
          <t>Sedang</t>
        </is>
      </c>
    </row>
    <row r="139" s="1">
      <c r="A139" s="22">
        <f>RANDBETWEEN(2,164)</f>
        <v/>
      </c>
      <c r="B139" s="22">
        <f t="array" ref="B139"/>
        <v/>
      </c>
      <c r="C139" s="22">
        <f t="array" ref="C139"/>
        <v/>
      </c>
      <c r="D139" s="22">
        <f t="array" ref="D139"/>
        <v/>
      </c>
      <c r="E139" s="22">
        <f t="array" ref="E139"/>
        <v/>
      </c>
      <c r="H139" s="38" t="n">
        <v>95</v>
      </c>
      <c r="I139" s="38" t="n">
        <v>11</v>
      </c>
      <c r="J139" s="38" t="n">
        <v>3</v>
      </c>
      <c r="K139" s="38" t="n">
        <v>1</v>
      </c>
      <c r="L139" s="38" t="inlineStr">
        <is>
          <t>Tinggi</t>
        </is>
      </c>
    </row>
    <row r="140" s="1">
      <c r="A140" s="22">
        <f>RANDBETWEEN(2,164)</f>
        <v/>
      </c>
      <c r="B140" s="22">
        <f t="array" ref="B140"/>
        <v/>
      </c>
      <c r="C140" s="22">
        <f t="array" ref="C140"/>
        <v/>
      </c>
      <c r="D140" s="22">
        <f t="array" ref="D140"/>
        <v/>
      </c>
      <c r="E140" s="22">
        <f t="array" ref="E140"/>
        <v/>
      </c>
      <c r="H140" s="38" t="n">
        <v>68</v>
      </c>
      <c r="I140" s="38" t="n">
        <v>44</v>
      </c>
      <c r="J140" s="38" t="n">
        <v>5</v>
      </c>
      <c r="K140" s="38" t="n">
        <v>0</v>
      </c>
      <c r="L140" s="38" t="inlineStr">
        <is>
          <t>Sedang</t>
        </is>
      </c>
    </row>
    <row r="141" s="1">
      <c r="A141" s="22">
        <f>RANDBETWEEN(2,164)</f>
        <v/>
      </c>
      <c r="B141" s="22">
        <f t="array" ref="B141"/>
        <v/>
      </c>
      <c r="C141" s="22">
        <f t="array" ref="C141"/>
        <v/>
      </c>
      <c r="D141" s="22">
        <f t="array" ref="D141"/>
        <v/>
      </c>
      <c r="E141" s="22">
        <f t="array" ref="E141"/>
        <v/>
      </c>
      <c r="H141" s="38" t="n">
        <v>14</v>
      </c>
      <c r="I141" s="38" t="n">
        <v>49</v>
      </c>
      <c r="J141" s="38" t="n">
        <v>4</v>
      </c>
      <c r="K141" s="38" t="n">
        <v>1</v>
      </c>
      <c r="L141" s="38" t="inlineStr">
        <is>
          <t>Rendah</t>
        </is>
      </c>
    </row>
    <row r="142" s="1">
      <c r="A142" s="22">
        <f>RANDBETWEEN(2,164)</f>
        <v/>
      </c>
      <c r="B142" s="22">
        <f t="array" ref="B142"/>
        <v/>
      </c>
      <c r="C142" s="22">
        <f t="array" ref="C142"/>
        <v/>
      </c>
      <c r="D142" s="22">
        <f t="array" ref="D142"/>
        <v/>
      </c>
      <c r="E142" s="22">
        <f t="array" ref="E142"/>
        <v/>
      </c>
      <c r="H142" s="38" t="n">
        <v>102</v>
      </c>
      <c r="I142" s="38" t="n">
        <v>41</v>
      </c>
      <c r="J142" s="38" t="n">
        <v>4</v>
      </c>
      <c r="K142" s="38" t="n">
        <v>0</v>
      </c>
      <c r="L142" s="38" t="inlineStr">
        <is>
          <t>Tinggi</t>
        </is>
      </c>
    </row>
    <row r="143" s="1">
      <c r="A143" s="22">
        <f>RANDBETWEEN(2,164)</f>
        <v/>
      </c>
      <c r="B143" s="22">
        <f t="array" ref="B143"/>
        <v/>
      </c>
      <c r="C143" s="22">
        <f t="array" ref="C143"/>
        <v/>
      </c>
      <c r="D143" s="22">
        <f t="array" ref="D143"/>
        <v/>
      </c>
      <c r="E143" s="22">
        <f t="array" ref="E143"/>
        <v/>
      </c>
      <c r="H143" s="38" t="n">
        <v>30</v>
      </c>
      <c r="I143" s="38" t="n">
        <v>3</v>
      </c>
      <c r="J143" s="38" t="n">
        <v>2</v>
      </c>
      <c r="K143" s="38" t="n">
        <v>1</v>
      </c>
      <c r="L143" s="38" t="inlineStr">
        <is>
          <t>Sedang</t>
        </is>
      </c>
    </row>
    <row r="144" s="1">
      <c r="A144" s="22">
        <f>RANDBETWEEN(2,164)</f>
        <v/>
      </c>
      <c r="B144" s="22">
        <f t="array" ref="B144"/>
        <v/>
      </c>
      <c r="C144" s="22">
        <f t="array" ref="C144"/>
        <v/>
      </c>
      <c r="D144" s="22">
        <f t="array" ref="D144"/>
        <v/>
      </c>
      <c r="E144" s="22">
        <f t="array" ref="E144"/>
        <v/>
      </c>
      <c r="H144" s="38" t="n">
        <v>51</v>
      </c>
      <c r="I144" s="38" t="n">
        <v>48</v>
      </c>
      <c r="J144" s="38" t="n">
        <v>4</v>
      </c>
      <c r="K144" s="38" t="n">
        <v>0</v>
      </c>
      <c r="L144" s="38" t="inlineStr">
        <is>
          <t>Sedang</t>
        </is>
      </c>
    </row>
    <row r="145" s="1">
      <c r="A145" s="22">
        <f>RANDBETWEEN(2,164)</f>
        <v/>
      </c>
      <c r="B145" s="22">
        <f t="array" ref="B145"/>
        <v/>
      </c>
      <c r="C145" s="22">
        <f t="array" ref="C145"/>
        <v/>
      </c>
      <c r="D145" s="22">
        <f t="array" ref="D145"/>
        <v/>
      </c>
      <c r="E145" s="22">
        <f t="array" ref="E145"/>
        <v/>
      </c>
      <c r="H145" s="38" t="n">
        <v>74</v>
      </c>
      <c r="I145" s="38" t="n">
        <v>9</v>
      </c>
      <c r="J145" s="38" t="n">
        <v>4</v>
      </c>
      <c r="K145" s="38" t="n">
        <v>0</v>
      </c>
      <c r="L145" s="38" t="inlineStr">
        <is>
          <t>Sedang</t>
        </is>
      </c>
    </row>
    <row r="146" s="1">
      <c r="A146" s="22">
        <f>RANDBETWEEN(2,164)</f>
        <v/>
      </c>
      <c r="B146" s="22">
        <f t="array" ref="B146"/>
        <v/>
      </c>
      <c r="C146" s="22">
        <f t="array" ref="C146"/>
        <v/>
      </c>
      <c r="D146" s="22">
        <f t="array" ref="D146"/>
        <v/>
      </c>
      <c r="E146" s="22">
        <f t="array" ref="E146"/>
        <v/>
      </c>
      <c r="H146" s="38" t="n">
        <v>26</v>
      </c>
      <c r="I146" s="38" t="n">
        <v>75</v>
      </c>
      <c r="J146" s="38" t="n">
        <v>4</v>
      </c>
      <c r="K146" s="38" t="n">
        <v>1</v>
      </c>
      <c r="L146" s="38" t="inlineStr">
        <is>
          <t>Sedang</t>
        </is>
      </c>
    </row>
    <row r="147" s="1">
      <c r="A147" s="22">
        <f>RANDBETWEEN(2,164)</f>
        <v/>
      </c>
      <c r="B147" s="22">
        <f t="array" ref="B147"/>
        <v/>
      </c>
      <c r="C147" s="22">
        <f t="array" ref="C147"/>
        <v/>
      </c>
      <c r="D147" s="22">
        <f t="array" ref="D147"/>
        <v/>
      </c>
      <c r="E147" s="22">
        <f t="array" ref="E147"/>
        <v/>
      </c>
      <c r="H147" s="38" t="n">
        <v>23</v>
      </c>
      <c r="I147" s="38" t="n">
        <v>28</v>
      </c>
      <c r="J147" s="38" t="n">
        <v>4</v>
      </c>
      <c r="K147" s="38" t="n">
        <v>1</v>
      </c>
      <c r="L147" s="38" t="inlineStr">
        <is>
          <t>Sedang</t>
        </is>
      </c>
    </row>
    <row r="148" s="1">
      <c r="A148" s="22">
        <f>RANDBETWEEN(2,164)</f>
        <v/>
      </c>
      <c r="B148" s="22">
        <f t="array" ref="B148"/>
        <v/>
      </c>
      <c r="C148" s="22">
        <f t="array" ref="C148"/>
        <v/>
      </c>
      <c r="D148" s="22">
        <f t="array" ref="D148"/>
        <v/>
      </c>
      <c r="E148" s="22">
        <f t="array" ref="E148"/>
        <v/>
      </c>
      <c r="H148" s="38" t="n">
        <v>125</v>
      </c>
      <c r="I148" s="38" t="n">
        <v>39</v>
      </c>
      <c r="J148" s="38" t="n">
        <v>4</v>
      </c>
      <c r="K148" s="38" t="n">
        <v>0</v>
      </c>
      <c r="L148" s="38" t="inlineStr">
        <is>
          <t>Tinggi</t>
        </is>
      </c>
    </row>
    <row r="149" s="1">
      <c r="A149" s="22">
        <f>RANDBETWEEN(2,164)</f>
        <v/>
      </c>
      <c r="B149" s="22">
        <f t="array" ref="B149"/>
        <v/>
      </c>
      <c r="C149" s="22">
        <f t="array" ref="C149"/>
        <v/>
      </c>
      <c r="D149" s="22">
        <f t="array" ref="D149"/>
        <v/>
      </c>
      <c r="E149" s="22">
        <f t="array" ref="E149"/>
        <v/>
      </c>
      <c r="H149" s="38" t="n">
        <v>74</v>
      </c>
      <c r="I149" s="38" t="n">
        <v>9</v>
      </c>
      <c r="J149" s="38" t="n">
        <v>4</v>
      </c>
      <c r="K149" s="38" t="n">
        <v>0</v>
      </c>
      <c r="L149" s="38" t="inlineStr">
        <is>
          <t>Sedang</t>
        </is>
      </c>
    </row>
    <row r="150" s="1">
      <c r="A150" s="22">
        <f>RANDBETWEEN(2,164)</f>
        <v/>
      </c>
      <c r="B150" s="22">
        <f t="array" ref="B150"/>
        <v/>
      </c>
      <c r="C150" s="22">
        <f t="array" ref="C150"/>
        <v/>
      </c>
      <c r="D150" s="22">
        <f t="array" ref="D150"/>
        <v/>
      </c>
      <c r="E150" s="22">
        <f t="array" ref="E150"/>
        <v/>
      </c>
      <c r="H150" s="38" t="n">
        <v>22</v>
      </c>
      <c r="I150" s="38" t="n">
        <v>6</v>
      </c>
      <c r="J150" s="38" t="n">
        <v>3</v>
      </c>
      <c r="K150" s="38" t="n">
        <v>0</v>
      </c>
      <c r="L150" s="38" t="inlineStr">
        <is>
          <t>Sedang</t>
        </is>
      </c>
    </row>
    <row r="151" s="1">
      <c r="A151" s="22">
        <f>RANDBETWEEN(2,164)</f>
        <v/>
      </c>
      <c r="B151" s="22">
        <f t="array" ref="B151"/>
        <v/>
      </c>
      <c r="C151" s="22">
        <f t="array" ref="C151"/>
        <v/>
      </c>
      <c r="D151" s="22">
        <f t="array" ref="D151"/>
        <v/>
      </c>
      <c r="E151" s="22">
        <f t="array" ref="E151"/>
        <v/>
      </c>
      <c r="H151" s="38" t="n">
        <v>69</v>
      </c>
      <c r="I151" s="38" t="n">
        <v>24</v>
      </c>
      <c r="J151" s="38" t="n">
        <v>4</v>
      </c>
      <c r="K151" s="38" t="n">
        <v>1</v>
      </c>
      <c r="L151" s="38" t="inlineStr">
        <is>
          <t>Sedang</t>
        </is>
      </c>
    </row>
    <row r="152" s="1">
      <c r="A152" s="22">
        <f>RANDBETWEEN(2,164)</f>
        <v/>
      </c>
      <c r="B152" s="22">
        <f t="array" ref="B152"/>
        <v/>
      </c>
      <c r="C152" s="22">
        <f t="array" ref="C152"/>
        <v/>
      </c>
      <c r="D152" s="22">
        <f t="array" ref="D152"/>
        <v/>
      </c>
      <c r="E152" s="22">
        <f t="array" ref="E152"/>
        <v/>
      </c>
      <c r="H152" s="38" t="n">
        <v>11</v>
      </c>
      <c r="I152" s="38" t="n">
        <v>24</v>
      </c>
      <c r="J152" s="38" t="n">
        <v>5</v>
      </c>
      <c r="K152" s="38" t="n">
        <v>1</v>
      </c>
      <c r="L152" s="38" t="inlineStr">
        <is>
          <t>Sedang</t>
        </is>
      </c>
    </row>
    <row r="153" s="1">
      <c r="A153" s="22">
        <f>RANDBETWEEN(2,164)</f>
        <v/>
      </c>
      <c r="B153" s="22">
        <f t="array" ref="B153"/>
        <v/>
      </c>
      <c r="C153" s="22">
        <f t="array" ref="C153"/>
        <v/>
      </c>
      <c r="D153" s="22">
        <f t="array" ref="D153"/>
        <v/>
      </c>
      <c r="E153" s="22">
        <f t="array" ref="E153"/>
        <v/>
      </c>
      <c r="H153" s="38" t="n">
        <v>94</v>
      </c>
      <c r="I153" s="38" t="n">
        <v>12</v>
      </c>
      <c r="J153" s="38" t="n">
        <v>4</v>
      </c>
      <c r="K153" s="38" t="n">
        <v>0</v>
      </c>
      <c r="L153" s="38" t="inlineStr">
        <is>
          <t>Tinggi</t>
        </is>
      </c>
    </row>
    <row r="154" s="1">
      <c r="A154" s="22">
        <f>RANDBETWEEN(2,164)</f>
        <v/>
      </c>
      <c r="B154" s="22">
        <f t="array" ref="B154"/>
        <v/>
      </c>
      <c r="C154" s="22">
        <f t="array" ref="C154"/>
        <v/>
      </c>
      <c r="D154" s="22">
        <f t="array" ref="D154"/>
        <v/>
      </c>
      <c r="E154" s="22">
        <f t="array" ref="E154"/>
        <v/>
      </c>
      <c r="H154" s="38" t="n">
        <v>100</v>
      </c>
      <c r="I154" s="38" t="n">
        <v>19</v>
      </c>
      <c r="J154" s="38" t="n">
        <v>6</v>
      </c>
      <c r="K154" s="38" t="n">
        <v>0</v>
      </c>
      <c r="L154" s="38" t="inlineStr">
        <is>
          <t>Tinggi</t>
        </is>
      </c>
    </row>
    <row r="155" s="1">
      <c r="A155" s="22">
        <f>RANDBETWEEN(2,164)</f>
        <v/>
      </c>
      <c r="B155" s="22">
        <f t="array" ref="B155"/>
        <v/>
      </c>
      <c r="C155" s="22">
        <f t="array" ref="C155"/>
        <v/>
      </c>
      <c r="D155" s="22">
        <f t="array" ref="D155"/>
        <v/>
      </c>
      <c r="E155" s="22">
        <f t="array" ref="E155"/>
        <v/>
      </c>
      <c r="H155" s="38" t="n">
        <v>144</v>
      </c>
      <c r="I155" s="38" t="n">
        <v>61</v>
      </c>
      <c r="J155" s="38" t="n">
        <v>4</v>
      </c>
      <c r="K155" s="38" t="n">
        <v>1</v>
      </c>
      <c r="L155" s="38" t="inlineStr">
        <is>
          <t>Tinggi</t>
        </is>
      </c>
    </row>
    <row r="156" s="1">
      <c r="A156" s="22">
        <f>RANDBETWEEN(2,164)</f>
        <v/>
      </c>
      <c r="B156" s="22">
        <f t="array" ref="B156"/>
        <v/>
      </c>
      <c r="C156" s="22">
        <f t="array" ref="C156"/>
        <v/>
      </c>
      <c r="D156" s="22">
        <f t="array" ref="D156"/>
        <v/>
      </c>
      <c r="E156" s="22">
        <f t="array" ref="E156"/>
        <v/>
      </c>
      <c r="H156" s="38" t="n">
        <v>6</v>
      </c>
      <c r="I156" s="38" t="n">
        <v>14</v>
      </c>
      <c r="J156" s="38" t="n">
        <v>4</v>
      </c>
      <c r="K156" s="38" t="n">
        <v>0</v>
      </c>
      <c r="L156" s="38" t="inlineStr">
        <is>
          <t>Sedang</t>
        </is>
      </c>
    </row>
    <row r="157" s="1">
      <c r="A157" s="22">
        <f>RANDBETWEEN(2,164)</f>
        <v/>
      </c>
      <c r="B157" s="22">
        <f t="array" ref="B157"/>
        <v/>
      </c>
      <c r="C157" s="22">
        <f t="array" ref="C157"/>
        <v/>
      </c>
      <c r="D157" s="22">
        <f t="array" ref="D157"/>
        <v/>
      </c>
      <c r="E157" s="22">
        <f t="array" ref="E157"/>
        <v/>
      </c>
      <c r="H157" s="38" t="n">
        <v>57</v>
      </c>
      <c r="I157" s="38" t="n">
        <v>2</v>
      </c>
      <c r="J157" s="38" t="n">
        <v>2</v>
      </c>
      <c r="K157" s="38" t="n">
        <v>1</v>
      </c>
      <c r="L157" s="38" t="inlineStr">
        <is>
          <t>Sedang</t>
        </is>
      </c>
    </row>
    <row r="158" s="1">
      <c r="A158" s="22">
        <f>RANDBETWEEN(2,164)</f>
        <v/>
      </c>
      <c r="B158" s="22">
        <f t="array" ref="B158"/>
        <v/>
      </c>
      <c r="C158" s="22">
        <f t="array" ref="C158"/>
        <v/>
      </c>
      <c r="D158" s="22">
        <f t="array" ref="D158"/>
        <v/>
      </c>
      <c r="E158" s="22">
        <f t="array" ref="E158"/>
        <v/>
      </c>
      <c r="H158" s="38" t="n">
        <v>7</v>
      </c>
      <c r="I158" s="38" t="n">
        <v>12</v>
      </c>
      <c r="J158" s="38" t="n">
        <v>1</v>
      </c>
      <c r="K158" s="38" t="n">
        <v>1</v>
      </c>
      <c r="L158" s="38" t="inlineStr">
        <is>
          <t>Sedang</t>
        </is>
      </c>
    </row>
    <row r="159" s="1">
      <c r="A159" s="22">
        <f>RANDBETWEEN(2,164)</f>
        <v/>
      </c>
      <c r="B159" s="22">
        <f t="array" ref="B159"/>
        <v/>
      </c>
      <c r="C159" s="22">
        <f t="array" ref="C159"/>
        <v/>
      </c>
      <c r="D159" s="22">
        <f t="array" ref="D159"/>
        <v/>
      </c>
      <c r="E159" s="22">
        <f t="array" ref="E159"/>
        <v/>
      </c>
      <c r="H159" s="38" t="n">
        <v>125</v>
      </c>
      <c r="I159" s="38" t="n">
        <v>39</v>
      </c>
      <c r="J159" s="38" t="n">
        <v>4</v>
      </c>
      <c r="K159" s="38" t="n">
        <v>0</v>
      </c>
      <c r="L159" s="38" t="inlineStr">
        <is>
          <t>Tinggi</t>
        </is>
      </c>
    </row>
    <row r="160" s="1">
      <c r="A160" s="22">
        <f>RANDBETWEEN(2,164)</f>
        <v/>
      </c>
      <c r="B160" s="22">
        <f t="array" ref="B160"/>
        <v/>
      </c>
      <c r="C160" s="22">
        <f t="array" ref="C160"/>
        <v/>
      </c>
      <c r="D160" s="22">
        <f t="array" ref="D160"/>
        <v/>
      </c>
      <c r="E160" s="22">
        <f t="array" ref="E160"/>
        <v/>
      </c>
      <c r="H160" s="38" t="n">
        <v>46</v>
      </c>
      <c r="I160" s="38" t="n">
        <v>62</v>
      </c>
      <c r="J160" s="38" t="n">
        <v>2</v>
      </c>
      <c r="K160" s="38" t="n">
        <v>0</v>
      </c>
      <c r="L160" s="38" t="inlineStr">
        <is>
          <t>Sedang</t>
        </is>
      </c>
    </row>
    <row r="161" s="1">
      <c r="A161" s="22">
        <f>RANDBETWEEN(2,164)</f>
        <v/>
      </c>
      <c r="B161" s="22">
        <f t="array" ref="B161"/>
        <v/>
      </c>
      <c r="C161" s="22">
        <f t="array" ref="C161"/>
        <v/>
      </c>
      <c r="D161" s="22">
        <f t="array" ref="D161"/>
        <v/>
      </c>
      <c r="E161" s="22">
        <f t="array" ref="E161"/>
        <v/>
      </c>
      <c r="H161" s="38" t="n">
        <v>153</v>
      </c>
      <c r="I161" s="38" t="n">
        <v>73</v>
      </c>
      <c r="J161" s="38" t="n">
        <v>7</v>
      </c>
      <c r="K161" s="38" t="n">
        <v>1</v>
      </c>
      <c r="L161" s="38" t="inlineStr">
        <is>
          <t>Tinggi</t>
        </is>
      </c>
    </row>
    <row r="162" s="1">
      <c r="A162" s="22">
        <f>RANDBETWEEN(2,164)</f>
        <v/>
      </c>
      <c r="B162" s="22">
        <f t="array" ref="B162"/>
        <v/>
      </c>
      <c r="C162" s="22">
        <f t="array" ref="C162"/>
        <v/>
      </c>
      <c r="D162" s="22">
        <f t="array" ref="D162"/>
        <v/>
      </c>
      <c r="E162" s="22">
        <f t="array" ref="E162"/>
        <v/>
      </c>
      <c r="H162" s="38" t="n">
        <v>58</v>
      </c>
      <c r="I162" s="38" t="n">
        <v>17</v>
      </c>
      <c r="J162" s="38" t="n">
        <v>3</v>
      </c>
      <c r="K162" s="38" t="n">
        <v>0</v>
      </c>
      <c r="L162" s="38" t="inlineStr">
        <is>
          <t>Sedang</t>
        </is>
      </c>
    </row>
    <row r="163" s="1">
      <c r="A163" s="22">
        <f>RANDBETWEEN(2,164)</f>
        <v/>
      </c>
      <c r="B163" s="22">
        <f t="array" ref="B163"/>
        <v/>
      </c>
      <c r="C163" s="22">
        <f t="array" ref="C163"/>
        <v/>
      </c>
      <c r="D163" s="22">
        <f t="array" ref="D163"/>
        <v/>
      </c>
      <c r="E163" s="22">
        <f t="array" ref="E163"/>
        <v/>
      </c>
      <c r="H163" s="38" t="n">
        <v>23</v>
      </c>
      <c r="I163" s="38" t="n">
        <v>28</v>
      </c>
      <c r="J163" s="38" t="n">
        <v>4</v>
      </c>
      <c r="K163" s="38" t="n">
        <v>1</v>
      </c>
      <c r="L163" s="38" t="inlineStr">
        <is>
          <t>Sedang</t>
        </is>
      </c>
    </row>
    <row r="164" s="1">
      <c r="A164" s="22">
        <f>RANDBETWEEN(2,164)</f>
        <v/>
      </c>
      <c r="B164" s="22">
        <f t="array" ref="B164"/>
        <v/>
      </c>
      <c r="C164" s="22">
        <f t="array" ref="C164"/>
        <v/>
      </c>
      <c r="D164" s="22">
        <f t="array" ref="D164"/>
        <v/>
      </c>
      <c r="E164" s="22">
        <f t="array" ref="E164"/>
        <v/>
      </c>
      <c r="H164" s="38" t="n">
        <v>139</v>
      </c>
      <c r="I164" s="38" t="n">
        <v>52</v>
      </c>
      <c r="J164" s="38" t="n">
        <v>7</v>
      </c>
      <c r="K164" s="38" t="n">
        <v>0</v>
      </c>
      <c r="L164" s="38" t="inlineStr">
        <is>
          <t>Tinggi</t>
        </is>
      </c>
    </row>
    <row r="165" s="1">
      <c r="I165" s="27">
        <f>AVERAGE(I2:I164)</f>
        <v/>
      </c>
      <c r="J165" s="27">
        <f>AVERAGE(J2:J164)</f>
        <v/>
      </c>
      <c r="K165" s="27">
        <f>AVERAGE(K2:K164)</f>
        <v/>
      </c>
    </row>
    <row r="166" s="1">
      <c r="B166" s="27" t="n">
        <v>60</v>
      </c>
    </row>
    <row r="168" s="1">
      <c r="E168" s="31" t="inlineStr">
        <is>
          <t>USIA</t>
        </is>
      </c>
      <c r="J168" s="31" t="inlineStr">
        <is>
          <t>LAMA RAWAT INAP</t>
        </is>
      </c>
      <c r="T168" s="31" t="inlineStr">
        <is>
          <t>JENIS KELAMIN</t>
        </is>
      </c>
    </row>
    <row r="169" s="1">
      <c r="E169" s="22" t="inlineStr">
        <is>
          <t>Usia</t>
        </is>
      </c>
      <c r="F169" s="22">
        <f>AVERAGEIF($I$2:$I$164,"&lt;="&amp;$I$165)</f>
        <v/>
      </c>
      <c r="G169" s="22">
        <f>AVERAGEIF($I$2:$I$164,"&gt;"&amp;$I$165)</f>
        <v/>
      </c>
      <c r="J169" s="22" t="inlineStr">
        <is>
          <t>Lama rawat inap</t>
        </is>
      </c>
      <c r="K169" s="22">
        <f>AVERAGEIF($J$2:$J$164,"&lt;="&amp;$J$165)</f>
        <v/>
      </c>
      <c r="L169" s="22">
        <f>AVERAGEIF($J$2:$J$164,"&gt;"&amp;$J$165)</f>
        <v/>
      </c>
      <c r="T169" s="22" t="inlineStr">
        <is>
          <t>Jenis kelamin</t>
        </is>
      </c>
      <c r="U169" s="22">
        <f>AVERAGEIF($K$2:$K$164,"&lt;="&amp;$K$165)</f>
        <v/>
      </c>
      <c r="V169" s="22">
        <f>AVERAGEIF($K$2:$K$164,"&gt;"&amp;$K$165)</f>
        <v/>
      </c>
    </row>
    <row r="170" s="1">
      <c r="E170" s="22">
        <f t="array" ref="E170:E332">IF($I$2:$I$164&lt;$F$169,"kiri",IF($I$2:$I$164&lt;$G$169,"tengah","kanan"))</f>
        <v/>
      </c>
      <c r="F170" s="22" t="inlineStr">
        <is>
          <t>Kanan &gt; 55.47</t>
        </is>
      </c>
      <c r="G170" s="22" t="n"/>
      <c r="J170" s="22">
        <f t="array" ref="J170:J332">IF($J$2:$J$164&lt;$K$169,"kiri",IF($J$2:$J$164&lt;$L$169,"tengah","kanan"))</f>
        <v/>
      </c>
      <c r="K170" s="22" t="inlineStr">
        <is>
          <t>Kanan &gt; 4.67</t>
        </is>
      </c>
      <c r="L170" s="22" t="n"/>
      <c r="T170" s="22">
        <f t="array" ref="T170:T332">IF($K$2:$K$164&lt;$U$169,"kiri",IF($K$2:$K$164&lt;$V$169,"tengah","kanan"))</f>
        <v/>
      </c>
      <c r="U170" s="22" t="inlineStr">
        <is>
          <t>Kanan &gt; 1</t>
        </is>
      </c>
      <c r="V170" s="22" t="n"/>
    </row>
    <row r="171" s="1">
      <c r="E171" s="22" t="inlineStr">
        <is>
          <t>kiri</t>
        </is>
      </c>
      <c r="F171" s="22">
        <f>COUNTIFS($E$170:$E$332,"Kanan",$L$2:$L$164,"Tinggi")</f>
        <v/>
      </c>
      <c r="G171" s="22">
        <f>F171/31</f>
        <v/>
      </c>
      <c r="J171" s="22" t="inlineStr">
        <is>
          <t>kiri</t>
        </is>
      </c>
      <c r="K171" s="22">
        <f>COUNTIFS($J$170:$J$332,"Kanan",$L$2:$L$164,"Tinggi")</f>
        <v/>
      </c>
      <c r="L171" s="22">
        <f>K171/41</f>
        <v/>
      </c>
      <c r="T171" s="22" t="inlineStr">
        <is>
          <t>kanan</t>
        </is>
      </c>
      <c r="U171" s="22">
        <f>COUNTIFS($T$170:$T$332,"Kanan",$L$2:$L$164,"Tinggi")</f>
        <v/>
      </c>
      <c r="V171" s="22">
        <f>U171/87</f>
        <v/>
      </c>
    </row>
    <row r="172" s="1">
      <c r="E172" s="22" t="inlineStr">
        <is>
          <t>tengah</t>
        </is>
      </c>
      <c r="F172" s="22">
        <f>COUNTIFS($E$170:$E$332,"Kanan",$L$2:$L$164,"Sedang")</f>
        <v/>
      </c>
      <c r="G172" s="22">
        <f>F172/31</f>
        <v/>
      </c>
      <c r="J172" s="22" t="inlineStr">
        <is>
          <t>kanan</t>
        </is>
      </c>
      <c r="K172" s="22">
        <f>COUNTIFS($J$170:$J$332,"Kanan",$L$2:$L$164,"Sedang")</f>
        <v/>
      </c>
      <c r="L172" s="22">
        <f>K172/41</f>
        <v/>
      </c>
      <c r="T172" s="22" t="inlineStr">
        <is>
          <t>tengah</t>
        </is>
      </c>
      <c r="U172" s="22">
        <f>COUNTIFS($T$170:$T$332,"Kanan",$L$2:$L$164,"Sedang")</f>
        <v/>
      </c>
      <c r="V172" s="22">
        <f>U172/87</f>
        <v/>
      </c>
    </row>
    <row r="173" s="1">
      <c r="E173" s="22" t="inlineStr">
        <is>
          <t>kanan</t>
        </is>
      </c>
      <c r="F173" s="22">
        <f>COUNTIFS($E$170:$E$332,"Kanan",$L$2:$L$164,"Rendah")</f>
        <v/>
      </c>
      <c r="G173" s="22">
        <f>F173/31</f>
        <v/>
      </c>
      <c r="J173" s="22" t="inlineStr">
        <is>
          <t>tengah</t>
        </is>
      </c>
      <c r="K173" s="22">
        <f>COUNTIFS($J$170:$J$332,"Kanan",$L$2:$L$164,"Rendah")</f>
        <v/>
      </c>
      <c r="L173" s="22">
        <f>K173/41</f>
        <v/>
      </c>
      <c r="T173" s="22" t="inlineStr">
        <is>
          <t>tengah</t>
        </is>
      </c>
      <c r="U173" s="22">
        <f>COUNTIFS($T$170:$T$332,"Kanan",$L$2:$L$164,"Rendah")</f>
        <v/>
      </c>
      <c r="V173" s="22">
        <f>U173/87</f>
        <v/>
      </c>
    </row>
    <row r="174" s="1">
      <c r="E174" s="22" t="inlineStr">
        <is>
          <t>kanan</t>
        </is>
      </c>
      <c r="F174" s="22" t="inlineStr">
        <is>
          <t>Entropy</t>
        </is>
      </c>
      <c r="G174" s="22">
        <f>-(IFERROR(G171*LOG(G171,2),0)+IFERROR(G172*LOG(G172,2),0)+IFERROR(G173*LOG(G173,2),0))</f>
        <v/>
      </c>
      <c r="J174" s="22" t="inlineStr">
        <is>
          <t>kiri</t>
        </is>
      </c>
      <c r="K174" s="22" t="inlineStr">
        <is>
          <t>Entropy</t>
        </is>
      </c>
      <c r="L174" s="22">
        <f>-(IFERROR(L171*LOG(L171,2),0)+IFERROR(L172*LOG(L172,2),0)+IFERROR(L173*LOG(L173,2),0))</f>
        <v/>
      </c>
      <c r="T174" s="22" t="inlineStr">
        <is>
          <t>tengah</t>
        </is>
      </c>
      <c r="U174" s="22" t="inlineStr">
        <is>
          <t>Entropy</t>
        </is>
      </c>
      <c r="V174" s="22">
        <f>-(IFERROR(V171*LOG(V171,2),0)+IFERROR(V172*LOG(V172,2),0)+IFERROR(V173*LOG(V173,2),0))</f>
        <v/>
      </c>
    </row>
    <row r="175" s="1">
      <c r="E175" s="22" t="inlineStr">
        <is>
          <t>kiri</t>
        </is>
      </c>
      <c r="F175" s="22" t="n"/>
      <c r="G175" s="22">
        <f>SUM(F171:F173)/163</f>
        <v/>
      </c>
      <c r="J175" s="22" t="inlineStr">
        <is>
          <t>tengah</t>
        </is>
      </c>
      <c r="K175" s="22" t="n"/>
      <c r="L175" s="22">
        <f>SUM(K171:K173)/163</f>
        <v/>
      </c>
      <c r="T175" s="22" t="inlineStr">
        <is>
          <t>kanan</t>
        </is>
      </c>
      <c r="U175" s="22" t="n"/>
      <c r="V175" s="22">
        <f>SUM(U171:U173)/163</f>
        <v/>
      </c>
    </row>
    <row r="176" s="1">
      <c r="E176" s="22" t="inlineStr">
        <is>
          <t>tengah</t>
        </is>
      </c>
      <c r="F176" s="22" t="n"/>
      <c r="G176" s="32">
        <f>G174*G175</f>
        <v/>
      </c>
      <c r="J176" s="22" t="inlineStr">
        <is>
          <t>kanan</t>
        </is>
      </c>
      <c r="K176" s="22" t="n"/>
      <c r="L176" s="32">
        <f>L174*L175</f>
        <v/>
      </c>
      <c r="T176" s="22" t="inlineStr">
        <is>
          <t>kanan</t>
        </is>
      </c>
      <c r="U176" s="22" t="n"/>
      <c r="V176" s="32">
        <f>V174*V175</f>
        <v/>
      </c>
    </row>
    <row r="177" s="1">
      <c r="E177" s="22" t="inlineStr">
        <is>
          <t>kanan</t>
        </is>
      </c>
      <c r="F177" s="22" t="n"/>
      <c r="G177" s="22" t="n"/>
      <c r="J177" s="22" t="inlineStr">
        <is>
          <t>tengah</t>
        </is>
      </c>
      <c r="K177" s="22" t="n"/>
      <c r="L177" s="22" t="n"/>
      <c r="T177" s="22" t="inlineStr">
        <is>
          <t>tengah</t>
        </is>
      </c>
      <c r="U177" s="22" t="n"/>
      <c r="V177" s="22" t="n"/>
    </row>
    <row r="178" s="1">
      <c r="E178" s="22" t="inlineStr">
        <is>
          <t>kiri</t>
        </is>
      </c>
      <c r="F178" s="22" t="n"/>
      <c r="G178" s="22" t="n"/>
      <c r="J178" s="22" t="inlineStr">
        <is>
          <t>kiri</t>
        </is>
      </c>
      <c r="K178" s="22" t="n"/>
      <c r="L178" s="22" t="n"/>
      <c r="T178" s="22" t="inlineStr">
        <is>
          <t>tengah</t>
        </is>
      </c>
      <c r="U178" s="22" t="n"/>
      <c r="V178" s="22" t="n"/>
    </row>
    <row r="179" s="1">
      <c r="E179" s="22" t="inlineStr">
        <is>
          <t>tengah</t>
        </is>
      </c>
      <c r="F179" s="22" t="inlineStr">
        <is>
          <t>Kiri&lt;16.08</t>
        </is>
      </c>
      <c r="G179" s="22" t="n"/>
      <c r="J179" s="22" t="inlineStr">
        <is>
          <t>kanan</t>
        </is>
      </c>
      <c r="K179" s="22" t="inlineStr">
        <is>
          <t>Kiri&lt;2.5</t>
        </is>
      </c>
      <c r="L179" s="22" t="n"/>
      <c r="T179" s="22" t="inlineStr">
        <is>
          <t>tengah</t>
        </is>
      </c>
      <c r="U179" s="22" t="inlineStr">
        <is>
          <t>Kiri&lt;0</t>
        </is>
      </c>
      <c r="V179" s="22" t="n"/>
    </row>
    <row r="180" s="1">
      <c r="E180" s="22" t="inlineStr">
        <is>
          <t>tengah</t>
        </is>
      </c>
      <c r="F180" s="22">
        <f>COUNTIFS($E$170:$E$332,"Kiri",$L$2:$L$164,"Tinggi")</f>
        <v/>
      </c>
      <c r="G180" s="22">
        <f>F180/50</f>
        <v/>
      </c>
      <c r="J180" s="22" t="inlineStr">
        <is>
          <t>kiri</t>
        </is>
      </c>
      <c r="K180" s="22">
        <f>COUNTIFS($J$170:$J$332,"Kiri",$L$2:$L$164,"Tinggi")</f>
        <v/>
      </c>
      <c r="L180" s="22">
        <f>K180/28</f>
        <v/>
      </c>
      <c r="T180" s="22" t="inlineStr">
        <is>
          <t>tengah</t>
        </is>
      </c>
      <c r="U180" s="22">
        <f>COUNTIFS($T$170:$T$332,"Kiri",$L$2:$L$164,"Tinggi")</f>
        <v/>
      </c>
      <c r="V180" s="22">
        <f>U180/87</f>
        <v/>
      </c>
    </row>
    <row r="181" s="1">
      <c r="E181" s="22" t="inlineStr">
        <is>
          <t>kiri</t>
        </is>
      </c>
      <c r="F181" s="22">
        <f>COUNTIFS($E$170:$E$332,"Kiri",$L$2:$L$164,"Sedang")</f>
        <v/>
      </c>
      <c r="G181" s="22">
        <f>F181/50</f>
        <v/>
      </c>
      <c r="J181" s="22" t="inlineStr">
        <is>
          <t>tengah</t>
        </is>
      </c>
      <c r="K181" s="22">
        <f>COUNTIFS($J$170:$J$332,"Kiri",$L$2:$L$164,"Sedang")</f>
        <v/>
      </c>
      <c r="L181" s="22">
        <f>K181/28</f>
        <v/>
      </c>
      <c r="T181" s="22" t="inlineStr">
        <is>
          <t>tengah</t>
        </is>
      </c>
      <c r="U181" s="22">
        <f>COUNTIFS($T$170:$T$332,"Kiri",$L$2:$L$164,"Sedang")</f>
        <v/>
      </c>
      <c r="V181" s="22">
        <f>U181/87</f>
        <v/>
      </c>
    </row>
    <row r="182" s="1">
      <c r="E182" s="22" t="inlineStr">
        <is>
          <t>kiri</t>
        </is>
      </c>
      <c r="F182" s="22">
        <f>COUNTIFS($E$170:$E$332,"Kiri",$L$2:$L$164,"Rendah")</f>
        <v/>
      </c>
      <c r="G182" s="22">
        <f>F182/50</f>
        <v/>
      </c>
      <c r="J182" s="22" t="inlineStr">
        <is>
          <t>kanan</t>
        </is>
      </c>
      <c r="K182" s="22">
        <f>COUNTIFS($J$170:$J$332,"Kiri",$L$2:$L$164,"Rendah")</f>
        <v/>
      </c>
      <c r="L182" s="22">
        <f>K182/28</f>
        <v/>
      </c>
      <c r="T182" s="22" t="inlineStr">
        <is>
          <t>kanan</t>
        </is>
      </c>
      <c r="U182" s="22">
        <f>COUNTIFS($T$170:$T$332,"Kiri",$L$2:$L$164,"Rendah")</f>
        <v/>
      </c>
      <c r="V182" s="22">
        <f>U182/87</f>
        <v/>
      </c>
    </row>
    <row r="183" s="1">
      <c r="E183" s="22" t="inlineStr">
        <is>
          <t>kiri</t>
        </is>
      </c>
      <c r="F183" s="22" t="inlineStr">
        <is>
          <t>Entropy</t>
        </is>
      </c>
      <c r="G183" s="22">
        <f>-(IFERROR(G180*LOG(G180,2),0)+IFERROR(G181*LOG(G181,2),0)+IFERROR(G182*LOG(G182,2),0))</f>
        <v/>
      </c>
      <c r="J183" s="22" t="inlineStr">
        <is>
          <t>tengah</t>
        </is>
      </c>
      <c r="K183" s="22" t="inlineStr">
        <is>
          <t>Entropy</t>
        </is>
      </c>
      <c r="L183" s="22">
        <f>-(IFERROR(L180*LOG(L180,2),0)+IFERROR(L181*LOG(L181,2),0)+IFERROR(L182*LOG(L182,2),0))</f>
        <v/>
      </c>
      <c r="T183" s="22" t="inlineStr">
        <is>
          <t>tengah</t>
        </is>
      </c>
      <c r="U183" s="22" t="inlineStr">
        <is>
          <t>Entropy</t>
        </is>
      </c>
      <c r="V183" s="22">
        <f>-(IFERROR(V180*LOG(V180,2),0)+IFERROR(V181*LOG(V181,2),0)+IFERROR(V182*LOG(V182,2),0))</f>
        <v/>
      </c>
    </row>
    <row r="184" s="1">
      <c r="E184" s="22" t="inlineStr">
        <is>
          <t>kiri</t>
        </is>
      </c>
      <c r="F184" s="22" t="n"/>
      <c r="G184" s="22">
        <f>SUM(F180:F182)/163</f>
        <v/>
      </c>
      <c r="J184" s="22" t="inlineStr">
        <is>
          <t>kiri</t>
        </is>
      </c>
      <c r="K184" s="22" t="n"/>
      <c r="L184" s="22">
        <f>SUM(K180:K182)/163</f>
        <v/>
      </c>
      <c r="T184" s="22" t="inlineStr">
        <is>
          <t>tengah</t>
        </is>
      </c>
      <c r="U184" s="22" t="n"/>
      <c r="V184" s="22">
        <f>SUM(U180:U182)/163</f>
        <v/>
      </c>
    </row>
    <row r="185" s="1">
      <c r="E185" s="22" t="inlineStr">
        <is>
          <t>tengah</t>
        </is>
      </c>
      <c r="F185" s="22" t="n"/>
      <c r="G185" s="32">
        <f>G183*G184</f>
        <v/>
      </c>
      <c r="J185" s="22" t="inlineStr">
        <is>
          <t>kanan</t>
        </is>
      </c>
      <c r="K185" s="22" t="n"/>
      <c r="L185" s="32">
        <f>L183*L184</f>
        <v/>
      </c>
      <c r="T185" s="22" t="inlineStr">
        <is>
          <t>kanan</t>
        </is>
      </c>
      <c r="U185" s="22" t="n"/>
      <c r="V185" s="32">
        <f>V183*V184</f>
        <v/>
      </c>
    </row>
    <row r="186" s="1">
      <c r="E186" s="22" t="inlineStr">
        <is>
          <t>kanan</t>
        </is>
      </c>
      <c r="F186" s="22" t="n"/>
      <c r="G186" s="22" t="n"/>
      <c r="J186" s="22" t="inlineStr">
        <is>
          <t>tengah</t>
        </is>
      </c>
      <c r="K186" s="22" t="n"/>
      <c r="L186" s="22" t="n"/>
      <c r="T186" s="22" t="inlineStr">
        <is>
          <t>kanan</t>
        </is>
      </c>
      <c r="U186" s="22" t="n"/>
      <c r="V186" s="22" t="n"/>
    </row>
    <row r="187" s="1">
      <c r="E187" s="22" t="inlineStr">
        <is>
          <t>kanan</t>
        </is>
      </c>
      <c r="F187" s="22" t="n"/>
      <c r="G187" s="22" t="n"/>
      <c r="J187" s="22" t="inlineStr">
        <is>
          <t>tengah</t>
        </is>
      </c>
      <c r="K187" s="22" t="n"/>
      <c r="L187" s="22" t="n"/>
      <c r="T187" s="22" t="inlineStr">
        <is>
          <t>tengah</t>
        </is>
      </c>
      <c r="U187" s="22" t="n"/>
      <c r="V187" s="22" t="n"/>
    </row>
    <row r="188" s="1">
      <c r="E188" s="22" t="inlineStr">
        <is>
          <t>kiri</t>
        </is>
      </c>
      <c r="F188" s="22" t="inlineStr">
        <is>
          <t>Tengah</t>
        </is>
      </c>
      <c r="G188" s="22" t="n"/>
      <c r="J188" s="22" t="inlineStr">
        <is>
          <t>tengah</t>
        </is>
      </c>
      <c r="K188" s="22" t="inlineStr">
        <is>
          <t>Tengah</t>
        </is>
      </c>
      <c r="L188" s="22" t="n"/>
      <c r="T188" s="22" t="inlineStr">
        <is>
          <t>tengah</t>
        </is>
      </c>
      <c r="U188" s="22" t="inlineStr">
        <is>
          <t>Tengah</t>
        </is>
      </c>
      <c r="V188" s="22" t="n"/>
    </row>
    <row r="189" s="1">
      <c r="E189" s="22" t="inlineStr">
        <is>
          <t>tengah</t>
        </is>
      </c>
      <c r="F189" s="22">
        <f>COUNTIFS($E$170:$E$332,"Tengah",$L$2:$L$164,"Tinggi")</f>
        <v/>
      </c>
      <c r="G189" s="22">
        <f>F189/82</f>
        <v/>
      </c>
      <c r="J189" s="22" t="inlineStr">
        <is>
          <t>tengah</t>
        </is>
      </c>
      <c r="K189" s="22">
        <f>COUNTIFS($J$170:$J$332,"Tengah",$L$2:$L$164,"Tinggi")</f>
        <v/>
      </c>
      <c r="L189" s="22">
        <f>K189/109</f>
        <v/>
      </c>
      <c r="T189" s="22" t="inlineStr">
        <is>
          <t>kanan</t>
        </is>
      </c>
      <c r="U189" s="22">
        <f>COUNTIFS($T$170:$T$332,"Tengah",$L$2:$L$164,"Tinggi")</f>
        <v/>
      </c>
      <c r="V189" s="22">
        <f>U189/76</f>
        <v/>
      </c>
    </row>
    <row r="190" s="1">
      <c r="E190" s="22" t="inlineStr">
        <is>
          <t>tengah</t>
        </is>
      </c>
      <c r="F190" s="22">
        <f>COUNTIFS($E$170:$E$332,"Tengah",$L$2:$L$164,"Sedang")</f>
        <v/>
      </c>
      <c r="G190" s="22">
        <f>F190/82</f>
        <v/>
      </c>
      <c r="J190" s="22" t="inlineStr">
        <is>
          <t>tengah</t>
        </is>
      </c>
      <c r="K190" s="22">
        <f>COUNTIFS($J$170:$J$332,"Tengah",$L$2:$L$164,"Sedang")</f>
        <v/>
      </c>
      <c r="L190" s="22">
        <f>K190/109</f>
        <v/>
      </c>
      <c r="T190" s="22" t="inlineStr">
        <is>
          <t>tengah</t>
        </is>
      </c>
      <c r="U190" s="22">
        <f>COUNTIFS($T$170:$T$332,"Tengah",$L$2:$L$164,"Sedang")</f>
        <v/>
      </c>
      <c r="V190" s="22">
        <f>U190/76</f>
        <v/>
      </c>
    </row>
    <row r="191" s="1">
      <c r="E191" s="22" t="inlineStr">
        <is>
          <t>kiri</t>
        </is>
      </c>
      <c r="F191" s="22">
        <f>COUNTIFS($E$170:$E$332,"Tengah",$L$2:$L$164,"Rendah")</f>
        <v/>
      </c>
      <c r="G191" s="22">
        <f>F191/82</f>
        <v/>
      </c>
      <c r="J191" s="22" t="inlineStr">
        <is>
          <t>kanan</t>
        </is>
      </c>
      <c r="K191" s="22">
        <f>COUNTIFS($J$170:$J$332,"Tengah",$L$2:$L$164,"Rendah")</f>
        <v/>
      </c>
      <c r="L191" s="22">
        <f>K191/109</f>
        <v/>
      </c>
      <c r="T191" s="22" t="inlineStr">
        <is>
          <t>kanan</t>
        </is>
      </c>
      <c r="U191" s="22">
        <f>COUNTIFS($T$170:$T$332,"Tengah",$L$2:$L$164,"Rendah")</f>
        <v/>
      </c>
      <c r="V191" s="22">
        <f>U191/76</f>
        <v/>
      </c>
    </row>
    <row r="192" s="1">
      <c r="E192" s="22" t="inlineStr">
        <is>
          <t>kiri</t>
        </is>
      </c>
      <c r="F192" s="22" t="inlineStr">
        <is>
          <t>Entropy</t>
        </is>
      </c>
      <c r="G192" s="22">
        <f>-(IFERROR(G189*LOG(G189,2),0)+IFERROR(G190*LOG(G190,2),0)+IFERROR(G191*LOG(G191,2),0))</f>
        <v/>
      </c>
      <c r="J192" s="22" t="inlineStr">
        <is>
          <t>tengah</t>
        </is>
      </c>
      <c r="K192" s="22" t="inlineStr">
        <is>
          <t>Entropy</t>
        </is>
      </c>
      <c r="L192" s="22">
        <f>-(IFERROR(L189*LOG(L189,2),0)+IFERROR(L190*LOG(L190,2),0)+IFERROR(L191*LOG(L191,2),0))</f>
        <v/>
      </c>
      <c r="T192" s="22" t="inlineStr">
        <is>
          <t>tengah</t>
        </is>
      </c>
      <c r="U192" s="22" t="inlineStr">
        <is>
          <t>Entropy</t>
        </is>
      </c>
      <c r="V192" s="22">
        <f>-(IFERROR(V189*LOG(V189,2),0)+IFERROR(V190*LOG(V190,2),0)+IFERROR(V191*LOG(V191,2),0))</f>
        <v/>
      </c>
    </row>
    <row r="193" s="1">
      <c r="E193" s="22" t="inlineStr">
        <is>
          <t>kanan</t>
        </is>
      </c>
      <c r="F193" s="22" t="n"/>
      <c r="G193" s="22">
        <f>SUM(F189:F191)/163</f>
        <v/>
      </c>
      <c r="J193" s="22" t="inlineStr">
        <is>
          <t>kanan</t>
        </is>
      </c>
      <c r="K193" s="22" t="n"/>
      <c r="L193" s="22">
        <f>SUM(K189:K191)/163</f>
        <v/>
      </c>
      <c r="T193" s="22" t="inlineStr">
        <is>
          <t>kanan</t>
        </is>
      </c>
      <c r="U193" s="22" t="n"/>
      <c r="V193" s="22">
        <f>SUM(U189:U191)/163</f>
        <v/>
      </c>
    </row>
    <row r="194" s="1">
      <c r="E194" s="22" t="inlineStr">
        <is>
          <t>tengah</t>
        </is>
      </c>
      <c r="F194" s="22" t="n"/>
      <c r="G194" s="32">
        <f>G192*G193</f>
        <v/>
      </c>
      <c r="J194" s="22" t="inlineStr">
        <is>
          <t>tengah</t>
        </is>
      </c>
      <c r="K194" s="22" t="n"/>
      <c r="L194" s="32">
        <f>L192*L193</f>
        <v/>
      </c>
      <c r="T194" s="22" t="inlineStr">
        <is>
          <t>kanan</t>
        </is>
      </c>
      <c r="U194" s="22" t="n"/>
      <c r="V194" s="32">
        <f>V192*V193</f>
        <v/>
      </c>
    </row>
    <row r="195" s="1">
      <c r="E195" s="22" t="inlineStr">
        <is>
          <t>kanan</t>
        </is>
      </c>
      <c r="F195" s="22" t="n"/>
      <c r="G195" s="22" t="n"/>
      <c r="J195" s="22" t="inlineStr">
        <is>
          <t>tengah</t>
        </is>
      </c>
      <c r="K195" s="22" t="n"/>
      <c r="L195" s="22" t="n"/>
      <c r="T195" s="22" t="inlineStr">
        <is>
          <t>kanan</t>
        </is>
      </c>
      <c r="U195" s="22" t="n"/>
      <c r="V195" s="22" t="n"/>
    </row>
    <row r="196" s="1">
      <c r="E196" s="22" t="inlineStr">
        <is>
          <t>kanan</t>
        </is>
      </c>
      <c r="F196" s="22" t="inlineStr">
        <is>
          <t>IG</t>
        </is>
      </c>
      <c r="G196" s="22" t="n"/>
      <c r="J196" s="22" t="inlineStr">
        <is>
          <t>kanan</t>
        </is>
      </c>
      <c r="K196" s="22" t="inlineStr">
        <is>
          <t>IG</t>
        </is>
      </c>
      <c r="L196" s="22" t="n"/>
      <c r="T196" s="22" t="inlineStr">
        <is>
          <t>kanan</t>
        </is>
      </c>
      <c r="U196" s="22" t="inlineStr">
        <is>
          <t>IG</t>
        </is>
      </c>
      <c r="V196" s="22" t="n"/>
    </row>
    <row r="197" s="1">
      <c r="E197" s="22" t="inlineStr">
        <is>
          <t>tengah</t>
        </is>
      </c>
      <c r="F197" s="33">
        <f>P5-(G176+G185+G194)</f>
        <v/>
      </c>
      <c r="G197" s="22" t="n"/>
      <c r="J197" s="22" t="inlineStr">
        <is>
          <t>kanan</t>
        </is>
      </c>
      <c r="K197" s="33">
        <f>P5-(L176+L185+L194)</f>
        <v/>
      </c>
      <c r="L197" s="22" t="n"/>
      <c r="T197" s="22" t="inlineStr">
        <is>
          <t>tengah</t>
        </is>
      </c>
      <c r="U197" s="33">
        <f>P5-(V176+V185+V194)</f>
        <v/>
      </c>
      <c r="V197" s="22" t="n"/>
    </row>
    <row r="198" s="1">
      <c r="E198" s="22" t="inlineStr">
        <is>
          <t>tengah</t>
        </is>
      </c>
      <c r="F198" s="22" t="n"/>
      <c r="G198" s="22" t="n"/>
      <c r="J198" s="22" t="inlineStr">
        <is>
          <t>kanan</t>
        </is>
      </c>
      <c r="K198" s="22" t="n"/>
      <c r="L198" s="22" t="n"/>
      <c r="T198" s="22" t="inlineStr">
        <is>
          <t>tengah</t>
        </is>
      </c>
      <c r="U198" s="22" t="n"/>
      <c r="V198" s="22" t="n"/>
    </row>
    <row r="199" s="1">
      <c r="E199" s="22" t="inlineStr">
        <is>
          <t>kiri</t>
        </is>
      </c>
      <c r="F199" s="22" t="n"/>
      <c r="G199" s="22" t="n"/>
      <c r="J199" s="22" t="inlineStr">
        <is>
          <t>tengah</t>
        </is>
      </c>
      <c r="K199" s="22" t="n"/>
      <c r="L199" s="22" t="n"/>
      <c r="T199" s="22" t="inlineStr">
        <is>
          <t>kanan</t>
        </is>
      </c>
      <c r="U199" s="22" t="n"/>
      <c r="V199" s="22" t="n"/>
    </row>
    <row r="200" s="1">
      <c r="E200" s="22" t="inlineStr">
        <is>
          <t>tengah</t>
        </is>
      </c>
      <c r="F200" s="22" t="n"/>
      <c r="G200" s="22" t="n"/>
      <c r="J200" s="22" t="inlineStr">
        <is>
          <t>tengah</t>
        </is>
      </c>
      <c r="K200" s="22" t="n"/>
      <c r="L200" s="22" t="n"/>
      <c r="T200" s="22" t="inlineStr">
        <is>
          <t>tengah</t>
        </is>
      </c>
      <c r="U200" s="22" t="n"/>
      <c r="V200" s="22" t="n"/>
    </row>
    <row r="201" s="1">
      <c r="E201" s="22" t="inlineStr">
        <is>
          <t>kiri</t>
        </is>
      </c>
      <c r="F201" s="22" t="n"/>
      <c r="G201" s="22" t="n"/>
      <c r="J201" s="22" t="inlineStr">
        <is>
          <t>kiri</t>
        </is>
      </c>
      <c r="K201" s="22" t="n"/>
      <c r="L201" s="22" t="n"/>
      <c r="T201" s="22" t="inlineStr">
        <is>
          <t>kanan</t>
        </is>
      </c>
      <c r="U201" s="22" t="n"/>
      <c r="V201" s="22" t="n"/>
    </row>
    <row r="202" s="1">
      <c r="E202" s="22" t="inlineStr">
        <is>
          <t>tengah</t>
        </is>
      </c>
      <c r="F202" s="22" t="n"/>
      <c r="G202" s="22" t="n"/>
      <c r="J202" s="22" t="inlineStr">
        <is>
          <t>tengah</t>
        </is>
      </c>
      <c r="K202" s="22" t="n"/>
      <c r="L202" s="22" t="n"/>
      <c r="T202" s="22" t="inlineStr">
        <is>
          <t>kanan</t>
        </is>
      </c>
      <c r="U202" s="22" t="n"/>
      <c r="V202" s="22" t="n"/>
    </row>
    <row r="203" s="1">
      <c r="E203" s="22" t="inlineStr">
        <is>
          <t>tengah</t>
        </is>
      </c>
      <c r="F203" s="22" t="n"/>
      <c r="G203" s="22" t="n"/>
      <c r="J203" s="22" t="inlineStr">
        <is>
          <t>tengah</t>
        </is>
      </c>
      <c r="K203" s="22" t="n"/>
      <c r="L203" s="22" t="n"/>
      <c r="T203" s="22" t="inlineStr">
        <is>
          <t>kanan</t>
        </is>
      </c>
      <c r="U203" s="22" t="n"/>
      <c r="V203" s="22" t="n"/>
    </row>
    <row r="204" s="1">
      <c r="E204" s="22" t="inlineStr">
        <is>
          <t>kiri</t>
        </is>
      </c>
      <c r="F204" s="22" t="n"/>
      <c r="G204" s="22" t="n"/>
      <c r="J204" s="22" t="inlineStr">
        <is>
          <t>tengah</t>
        </is>
      </c>
      <c r="K204" s="22" t="n"/>
      <c r="L204" s="22" t="n"/>
      <c r="T204" s="22" t="inlineStr">
        <is>
          <t>tengah</t>
        </is>
      </c>
      <c r="U204" s="22" t="n"/>
      <c r="V204" s="22" t="n"/>
    </row>
    <row r="205" s="1">
      <c r="E205" s="22" t="inlineStr">
        <is>
          <t>kiri</t>
        </is>
      </c>
      <c r="F205" s="22" t="n"/>
      <c r="G205" s="22" t="n"/>
      <c r="J205" s="22" t="inlineStr">
        <is>
          <t>kiri</t>
        </is>
      </c>
      <c r="K205" s="22" t="n"/>
      <c r="L205" s="22" t="n"/>
      <c r="T205" s="22" t="inlineStr">
        <is>
          <t>kanan</t>
        </is>
      </c>
      <c r="U205" s="22" t="n"/>
      <c r="V205" s="22" t="n"/>
    </row>
    <row r="206" s="1">
      <c r="E206" s="22" t="inlineStr">
        <is>
          <t>kiri</t>
        </is>
      </c>
      <c r="F206" s="22" t="n"/>
      <c r="G206" s="22" t="n"/>
      <c r="J206" s="22" t="inlineStr">
        <is>
          <t>tengah</t>
        </is>
      </c>
      <c r="K206" s="22" t="n"/>
      <c r="L206" s="22" t="n"/>
      <c r="T206" s="22" t="inlineStr">
        <is>
          <t>tengah</t>
        </is>
      </c>
      <c r="U206" s="22" t="n"/>
      <c r="V206" s="22" t="n"/>
    </row>
    <row r="207" s="1">
      <c r="E207" s="22" t="inlineStr">
        <is>
          <t>kanan</t>
        </is>
      </c>
      <c r="F207" s="22" t="n"/>
      <c r="G207" s="22" t="n"/>
      <c r="J207" s="22" t="inlineStr">
        <is>
          <t>kiri</t>
        </is>
      </c>
      <c r="K207" s="22" t="n"/>
      <c r="L207" s="22" t="n"/>
      <c r="T207" s="22" t="inlineStr">
        <is>
          <t>kanan</t>
        </is>
      </c>
      <c r="U207" s="22" t="n"/>
      <c r="V207" s="22" t="n"/>
    </row>
    <row r="208" s="1">
      <c r="E208" s="22" t="inlineStr">
        <is>
          <t>tengah</t>
        </is>
      </c>
      <c r="F208" s="22" t="n"/>
      <c r="G208" s="22" t="n"/>
      <c r="J208" s="22" t="inlineStr">
        <is>
          <t>tengah</t>
        </is>
      </c>
      <c r="K208" s="22" t="n"/>
      <c r="L208" s="22" t="n"/>
      <c r="T208" s="22" t="inlineStr">
        <is>
          <t>kanan</t>
        </is>
      </c>
      <c r="U208" s="22" t="n"/>
      <c r="V208" s="22" t="n"/>
    </row>
    <row r="209" s="1">
      <c r="E209" s="22" t="inlineStr">
        <is>
          <t>tengah</t>
        </is>
      </c>
      <c r="F209" s="22" t="n"/>
      <c r="G209" s="22" t="n"/>
      <c r="J209" s="22" t="inlineStr">
        <is>
          <t>tengah</t>
        </is>
      </c>
      <c r="K209" s="22" t="n"/>
      <c r="L209" s="22" t="n"/>
      <c r="T209" s="22" t="inlineStr">
        <is>
          <t>tengah</t>
        </is>
      </c>
      <c r="U209" s="22" t="n"/>
      <c r="V209" s="22" t="n"/>
    </row>
    <row r="210" s="1">
      <c r="E210" s="22" t="inlineStr">
        <is>
          <t>tengah</t>
        </is>
      </c>
      <c r="F210" s="22" t="n"/>
      <c r="G210" s="22" t="n"/>
      <c r="J210" s="22" t="inlineStr">
        <is>
          <t>tengah</t>
        </is>
      </c>
      <c r="K210" s="22" t="n"/>
      <c r="L210" s="22" t="n"/>
      <c r="T210" s="22" t="inlineStr">
        <is>
          <t>kanan</t>
        </is>
      </c>
      <c r="U210" s="22" t="n"/>
      <c r="V210" s="22" t="n"/>
    </row>
    <row r="211" s="1">
      <c r="E211" s="22" t="inlineStr">
        <is>
          <t>kiri</t>
        </is>
      </c>
      <c r="F211" s="22" t="n"/>
      <c r="G211" s="22" t="n"/>
      <c r="J211" s="22" t="inlineStr">
        <is>
          <t>kiri</t>
        </is>
      </c>
      <c r="K211" s="22" t="n"/>
      <c r="L211" s="22" t="n"/>
      <c r="T211" s="22" t="inlineStr">
        <is>
          <t>kanan</t>
        </is>
      </c>
      <c r="U211" s="22" t="n"/>
      <c r="V211" s="22" t="n"/>
    </row>
    <row r="212" s="1">
      <c r="E212" s="22" t="inlineStr">
        <is>
          <t>kiri</t>
        </is>
      </c>
      <c r="F212" s="22" t="n"/>
      <c r="G212" s="22" t="n"/>
      <c r="J212" s="22" t="inlineStr">
        <is>
          <t>kiri</t>
        </is>
      </c>
      <c r="K212" s="22" t="n"/>
      <c r="L212" s="22" t="n"/>
      <c r="T212" s="22" t="inlineStr">
        <is>
          <t>tengah</t>
        </is>
      </c>
      <c r="U212" s="22" t="n"/>
      <c r="V212" s="22" t="n"/>
    </row>
    <row r="213" s="1">
      <c r="E213" s="22" t="inlineStr">
        <is>
          <t>tengah</t>
        </is>
      </c>
      <c r="F213" s="22" t="n"/>
      <c r="G213" s="22" t="n"/>
      <c r="J213" s="22" t="inlineStr">
        <is>
          <t>tengah</t>
        </is>
      </c>
      <c r="K213" s="22" t="n"/>
      <c r="L213" s="22" t="n"/>
      <c r="T213" s="22" t="inlineStr">
        <is>
          <t>kanan</t>
        </is>
      </c>
      <c r="U213" s="22" t="n"/>
      <c r="V213" s="22" t="n"/>
    </row>
    <row r="214" s="1">
      <c r="E214" s="22" t="inlineStr">
        <is>
          <t>kanan</t>
        </is>
      </c>
      <c r="F214" s="22" t="n"/>
      <c r="G214" s="22" t="n"/>
      <c r="J214" s="22" t="inlineStr">
        <is>
          <t>kanan</t>
        </is>
      </c>
      <c r="K214" s="22" t="n"/>
      <c r="L214" s="22" t="n"/>
      <c r="T214" s="22" t="inlineStr">
        <is>
          <t>kanan</t>
        </is>
      </c>
      <c r="U214" s="22" t="n"/>
      <c r="V214" s="22" t="n"/>
    </row>
    <row r="215" s="1">
      <c r="E215" s="22" t="inlineStr">
        <is>
          <t>tengah</t>
        </is>
      </c>
      <c r="F215" s="22" t="n"/>
      <c r="G215" s="22" t="n"/>
      <c r="J215" s="22" t="inlineStr">
        <is>
          <t>kiri</t>
        </is>
      </c>
      <c r="K215" s="22" t="n"/>
      <c r="L215" s="22" t="n"/>
      <c r="T215" s="22" t="inlineStr">
        <is>
          <t>tengah</t>
        </is>
      </c>
      <c r="U215" s="22" t="n"/>
      <c r="V215" s="22" t="n"/>
    </row>
    <row r="216" s="1">
      <c r="E216" s="22" t="inlineStr">
        <is>
          <t>kiri</t>
        </is>
      </c>
      <c r="F216" s="22" t="n"/>
      <c r="G216" s="22" t="n"/>
      <c r="J216" s="22" t="inlineStr">
        <is>
          <t>tengah</t>
        </is>
      </c>
      <c r="K216" s="22" t="n"/>
      <c r="L216" s="22" t="n"/>
      <c r="T216" s="22" t="inlineStr">
        <is>
          <t>kanan</t>
        </is>
      </c>
      <c r="U216" s="22" t="n"/>
      <c r="V216" s="22" t="n"/>
    </row>
    <row r="217" s="1">
      <c r="E217" s="22" t="inlineStr">
        <is>
          <t>kiri</t>
        </is>
      </c>
      <c r="F217" s="22" t="n"/>
      <c r="G217" s="22" t="n"/>
      <c r="J217" s="22" t="inlineStr">
        <is>
          <t>tengah</t>
        </is>
      </c>
      <c r="K217" s="22" t="n"/>
      <c r="L217" s="22" t="n"/>
      <c r="T217" s="22" t="inlineStr">
        <is>
          <t>tengah</t>
        </is>
      </c>
      <c r="U217" s="22" t="n"/>
      <c r="V217" s="22" t="n"/>
    </row>
    <row r="218" s="1">
      <c r="E218" s="22" t="inlineStr">
        <is>
          <t>tengah</t>
        </is>
      </c>
      <c r="F218" s="22" t="n"/>
      <c r="G218" s="22" t="n"/>
      <c r="J218" s="22" t="inlineStr">
        <is>
          <t>tengah</t>
        </is>
      </c>
      <c r="K218" s="22" t="n"/>
      <c r="L218" s="22" t="n"/>
      <c r="T218" s="22" t="inlineStr">
        <is>
          <t>kanan</t>
        </is>
      </c>
      <c r="U218" s="22" t="n"/>
      <c r="V218" s="22" t="n"/>
    </row>
    <row r="219" s="1">
      <c r="E219" s="22" t="inlineStr">
        <is>
          <t>tengah</t>
        </is>
      </c>
      <c r="F219" s="22" t="n"/>
      <c r="G219" s="22" t="n"/>
      <c r="J219" s="22" t="inlineStr">
        <is>
          <t>tengah</t>
        </is>
      </c>
      <c r="K219" s="22" t="n"/>
      <c r="L219" s="22" t="n"/>
      <c r="T219" s="22" t="inlineStr">
        <is>
          <t>kanan</t>
        </is>
      </c>
      <c r="U219" s="22" t="n"/>
      <c r="V219" s="22" t="n"/>
    </row>
    <row r="220" s="1">
      <c r="E220" s="22" t="inlineStr">
        <is>
          <t>kanan</t>
        </is>
      </c>
      <c r="F220" s="22" t="n"/>
      <c r="G220" s="22" t="n"/>
      <c r="J220" s="22" t="inlineStr">
        <is>
          <t>tengah</t>
        </is>
      </c>
      <c r="K220" s="22" t="n"/>
      <c r="L220" s="22" t="n"/>
      <c r="T220" s="22" t="inlineStr">
        <is>
          <t>kanan</t>
        </is>
      </c>
      <c r="U220" s="22" t="n"/>
      <c r="V220" s="22" t="n"/>
    </row>
    <row r="221" s="1">
      <c r="E221" s="22" t="inlineStr">
        <is>
          <t>kanan</t>
        </is>
      </c>
      <c r="F221" s="22" t="n"/>
      <c r="G221" s="22" t="n"/>
      <c r="J221" s="22" t="inlineStr">
        <is>
          <t>kiri</t>
        </is>
      </c>
      <c r="K221" s="22" t="n"/>
      <c r="L221" s="22" t="n"/>
      <c r="T221" s="22" t="inlineStr">
        <is>
          <t>tengah</t>
        </is>
      </c>
      <c r="U221" s="22" t="n"/>
      <c r="V221" s="22" t="n"/>
    </row>
    <row r="222" s="1">
      <c r="E222" s="22" t="inlineStr">
        <is>
          <t>tengah</t>
        </is>
      </c>
      <c r="F222" s="22" t="n"/>
      <c r="G222" s="22" t="n"/>
      <c r="J222" s="22" t="inlineStr">
        <is>
          <t>tengah</t>
        </is>
      </c>
      <c r="K222" s="22" t="n"/>
      <c r="L222" s="22" t="n"/>
      <c r="T222" s="22" t="inlineStr">
        <is>
          <t>kanan</t>
        </is>
      </c>
      <c r="U222" s="22" t="n"/>
      <c r="V222" s="22" t="n"/>
    </row>
    <row r="223" s="1">
      <c r="E223" s="22" t="inlineStr">
        <is>
          <t>kanan</t>
        </is>
      </c>
      <c r="F223" s="22" t="n"/>
      <c r="G223" s="22" t="n"/>
      <c r="J223" s="22" t="inlineStr">
        <is>
          <t>tengah</t>
        </is>
      </c>
      <c r="K223" s="22" t="n"/>
      <c r="L223" s="22" t="n"/>
      <c r="T223" s="22" t="inlineStr">
        <is>
          <t>tengah</t>
        </is>
      </c>
      <c r="U223" s="22" t="n"/>
      <c r="V223" s="22" t="n"/>
    </row>
    <row r="224" s="1">
      <c r="E224" s="22" t="inlineStr">
        <is>
          <t>kiri</t>
        </is>
      </c>
      <c r="F224" s="22" t="n"/>
      <c r="G224" s="22" t="n"/>
      <c r="J224" s="22" t="inlineStr">
        <is>
          <t>kanan</t>
        </is>
      </c>
      <c r="K224" s="22" t="n"/>
      <c r="L224" s="22" t="n"/>
      <c r="T224" s="22" t="inlineStr">
        <is>
          <t>kanan</t>
        </is>
      </c>
      <c r="U224" s="22" t="n"/>
      <c r="V224" s="22" t="n"/>
    </row>
    <row r="225" s="1">
      <c r="E225" s="22" t="inlineStr">
        <is>
          <t>kiri</t>
        </is>
      </c>
      <c r="F225" s="22" t="n"/>
      <c r="G225" s="22" t="n"/>
      <c r="J225" s="22" t="inlineStr">
        <is>
          <t>kiri</t>
        </is>
      </c>
      <c r="K225" s="22" t="n"/>
      <c r="L225" s="22" t="n"/>
      <c r="T225" s="22" t="inlineStr">
        <is>
          <t>tengah</t>
        </is>
      </c>
      <c r="U225" s="22" t="n"/>
      <c r="V225" s="22" t="n"/>
    </row>
    <row r="226" s="1">
      <c r="E226" s="22" t="inlineStr">
        <is>
          <t>tengah</t>
        </is>
      </c>
      <c r="F226" s="22" t="n"/>
      <c r="G226" s="22" t="n"/>
      <c r="J226" s="22" t="inlineStr">
        <is>
          <t>tengah</t>
        </is>
      </c>
      <c r="K226" s="22" t="n"/>
      <c r="L226" s="22" t="n"/>
      <c r="T226" s="22" t="inlineStr">
        <is>
          <t>tengah</t>
        </is>
      </c>
      <c r="U226" s="22" t="n"/>
      <c r="V226" s="22" t="n"/>
    </row>
    <row r="227" s="1">
      <c r="E227" s="22" t="inlineStr">
        <is>
          <t>kanan</t>
        </is>
      </c>
      <c r="F227" s="22" t="n"/>
      <c r="G227" s="22" t="n"/>
      <c r="J227" s="22" t="inlineStr">
        <is>
          <t>kanan</t>
        </is>
      </c>
      <c r="K227" s="22" t="n"/>
      <c r="L227" s="22" t="n"/>
      <c r="T227" s="22" t="inlineStr">
        <is>
          <t>kanan</t>
        </is>
      </c>
      <c r="U227" s="22" t="n"/>
      <c r="V227" s="22" t="n"/>
    </row>
    <row r="228" s="1">
      <c r="E228" s="22" t="inlineStr">
        <is>
          <t>tengah</t>
        </is>
      </c>
      <c r="F228" s="22" t="n"/>
      <c r="G228" s="22" t="n"/>
      <c r="J228" s="22" t="inlineStr">
        <is>
          <t>tengah</t>
        </is>
      </c>
      <c r="K228" s="22" t="n"/>
      <c r="L228" s="22" t="n"/>
      <c r="T228" s="22" t="inlineStr">
        <is>
          <t>tengah</t>
        </is>
      </c>
      <c r="U228" s="22" t="n"/>
      <c r="V228" s="22" t="n"/>
    </row>
    <row r="229" s="1">
      <c r="E229" s="22" t="inlineStr">
        <is>
          <t>kanan</t>
        </is>
      </c>
      <c r="F229" s="22" t="n"/>
      <c r="G229" s="22" t="n"/>
      <c r="J229" s="22" t="inlineStr">
        <is>
          <t>kanan</t>
        </is>
      </c>
      <c r="K229" s="22" t="n"/>
      <c r="L229" s="22" t="n"/>
      <c r="T229" s="22" t="inlineStr">
        <is>
          <t>kanan</t>
        </is>
      </c>
      <c r="U229" s="22" t="n"/>
      <c r="V229" s="22" t="n"/>
    </row>
    <row r="230" s="1">
      <c r="E230" s="22" t="inlineStr">
        <is>
          <t>tengah</t>
        </is>
      </c>
      <c r="F230" s="22" t="n"/>
      <c r="G230" s="22" t="n"/>
      <c r="J230" s="22" t="inlineStr">
        <is>
          <t>tengah</t>
        </is>
      </c>
      <c r="K230" s="22" t="n"/>
      <c r="L230" s="22" t="n"/>
      <c r="T230" s="22" t="inlineStr">
        <is>
          <t>kanan</t>
        </is>
      </c>
      <c r="U230" s="22" t="n"/>
      <c r="V230" s="22" t="n"/>
    </row>
    <row r="231" s="1">
      <c r="E231" s="22" t="inlineStr">
        <is>
          <t>kiri</t>
        </is>
      </c>
      <c r="F231" s="22" t="n"/>
      <c r="G231" s="22" t="n"/>
      <c r="J231" s="22" t="inlineStr">
        <is>
          <t>kiri</t>
        </is>
      </c>
      <c r="K231" s="22" t="n"/>
      <c r="L231" s="22" t="n"/>
      <c r="T231" s="22" t="inlineStr">
        <is>
          <t>kanan</t>
        </is>
      </c>
      <c r="U231" s="22" t="n"/>
      <c r="V231" s="22" t="n"/>
    </row>
    <row r="232" s="1">
      <c r="E232" s="22" t="inlineStr">
        <is>
          <t>tengah</t>
        </is>
      </c>
      <c r="F232" s="22" t="n"/>
      <c r="G232" s="22" t="n"/>
      <c r="J232" s="22" t="inlineStr">
        <is>
          <t>tengah</t>
        </is>
      </c>
      <c r="K232" s="22" t="n"/>
      <c r="L232" s="22" t="n"/>
      <c r="T232" s="22" t="inlineStr">
        <is>
          <t>kanan</t>
        </is>
      </c>
      <c r="U232" s="22" t="n"/>
      <c r="V232" s="22" t="n"/>
    </row>
    <row r="233" s="1">
      <c r="E233" s="22" t="inlineStr">
        <is>
          <t>tengah</t>
        </is>
      </c>
      <c r="F233" s="22" t="n"/>
      <c r="G233" s="22" t="n"/>
      <c r="J233" s="22" t="inlineStr">
        <is>
          <t>kiri</t>
        </is>
      </c>
      <c r="K233" s="22" t="n"/>
      <c r="L233" s="22" t="n"/>
      <c r="T233" s="22" t="inlineStr">
        <is>
          <t>tengah</t>
        </is>
      </c>
      <c r="U233" s="22" t="n"/>
      <c r="V233" s="22" t="n"/>
    </row>
    <row r="234" s="1">
      <c r="E234" s="22" t="inlineStr">
        <is>
          <t>tengah</t>
        </is>
      </c>
      <c r="F234" s="22" t="n"/>
      <c r="G234" s="22" t="n"/>
      <c r="J234" s="22" t="inlineStr">
        <is>
          <t>tengah</t>
        </is>
      </c>
      <c r="K234" s="22" t="n"/>
      <c r="L234" s="22" t="n"/>
      <c r="T234" s="22" t="inlineStr">
        <is>
          <t>tengah</t>
        </is>
      </c>
      <c r="U234" s="22" t="n"/>
      <c r="V234" s="22" t="n"/>
    </row>
    <row r="235" s="1">
      <c r="E235" s="22" t="inlineStr">
        <is>
          <t>kiri</t>
        </is>
      </c>
      <c r="F235" s="22" t="n"/>
      <c r="G235" s="22" t="n"/>
      <c r="J235" s="22" t="inlineStr">
        <is>
          <t>tengah</t>
        </is>
      </c>
      <c r="K235" s="22" t="n"/>
      <c r="L235" s="22" t="n"/>
      <c r="T235" s="22" t="inlineStr">
        <is>
          <t>tengah</t>
        </is>
      </c>
      <c r="U235" s="22" t="n"/>
      <c r="V235" s="22" t="n"/>
    </row>
    <row r="236" s="1">
      <c r="E236" s="22" t="inlineStr">
        <is>
          <t>tengah</t>
        </is>
      </c>
      <c r="F236" s="22" t="n"/>
      <c r="G236" s="22" t="n"/>
      <c r="J236" s="22" t="inlineStr">
        <is>
          <t>tengah</t>
        </is>
      </c>
      <c r="K236" s="22" t="n"/>
      <c r="L236" s="22" t="n"/>
      <c r="T236" s="22" t="inlineStr">
        <is>
          <t>kanan</t>
        </is>
      </c>
      <c r="U236" s="22" t="n"/>
      <c r="V236" s="22" t="n"/>
    </row>
    <row r="237" s="1">
      <c r="E237" s="22" t="inlineStr">
        <is>
          <t>tengah</t>
        </is>
      </c>
      <c r="F237" s="22" t="n"/>
      <c r="G237" s="22" t="n"/>
      <c r="J237" s="22" t="inlineStr">
        <is>
          <t>kanan</t>
        </is>
      </c>
      <c r="K237" s="22" t="n"/>
      <c r="L237" s="22" t="n"/>
      <c r="T237" s="22" t="inlineStr">
        <is>
          <t>kanan</t>
        </is>
      </c>
      <c r="U237" s="22" t="n"/>
      <c r="V237" s="22" t="n"/>
    </row>
    <row r="238" s="1">
      <c r="E238" s="22" t="inlineStr">
        <is>
          <t>kanan</t>
        </is>
      </c>
      <c r="F238" s="22" t="n"/>
      <c r="G238" s="22" t="n"/>
      <c r="J238" s="22" t="inlineStr">
        <is>
          <t>kanan</t>
        </is>
      </c>
      <c r="K238" s="22" t="n"/>
      <c r="L238" s="22" t="n"/>
      <c r="T238" s="22" t="inlineStr">
        <is>
          <t>kanan</t>
        </is>
      </c>
      <c r="U238" s="22" t="n"/>
      <c r="V238" s="22" t="n"/>
    </row>
    <row r="239" s="1">
      <c r="E239" s="22" t="inlineStr">
        <is>
          <t>kiri</t>
        </is>
      </c>
      <c r="F239" s="22" t="n"/>
      <c r="G239" s="22" t="n"/>
      <c r="J239" s="22" t="inlineStr">
        <is>
          <t>tengah</t>
        </is>
      </c>
      <c r="K239" s="22" t="n"/>
      <c r="L239" s="22" t="n"/>
      <c r="T239" s="22" t="inlineStr">
        <is>
          <t>tengah</t>
        </is>
      </c>
      <c r="U239" s="22" t="n"/>
      <c r="V239" s="22" t="n"/>
    </row>
    <row r="240" s="1">
      <c r="E240" s="22" t="inlineStr">
        <is>
          <t>kiri</t>
        </is>
      </c>
      <c r="F240" s="22" t="n"/>
      <c r="G240" s="22" t="n"/>
      <c r="J240" s="22" t="inlineStr">
        <is>
          <t>kanan</t>
        </is>
      </c>
      <c r="K240" s="22" t="n"/>
      <c r="L240" s="22" t="n"/>
      <c r="T240" s="22" t="inlineStr">
        <is>
          <t>tengah</t>
        </is>
      </c>
      <c r="U240" s="22" t="n"/>
      <c r="V240" s="22" t="n"/>
    </row>
    <row r="241" s="1">
      <c r="E241" s="22" t="inlineStr">
        <is>
          <t>tengah</t>
        </is>
      </c>
      <c r="F241" s="22" t="n"/>
      <c r="G241" s="22" t="n"/>
      <c r="J241" s="22" t="inlineStr">
        <is>
          <t>tengah</t>
        </is>
      </c>
      <c r="K241" s="22" t="n"/>
      <c r="L241" s="22" t="n"/>
      <c r="T241" s="22" t="inlineStr">
        <is>
          <t>kanan</t>
        </is>
      </c>
      <c r="U241" s="22" t="n"/>
      <c r="V241" s="22" t="n"/>
    </row>
    <row r="242" s="1">
      <c r="E242" s="22" t="inlineStr">
        <is>
          <t>kiri</t>
        </is>
      </c>
      <c r="F242" s="22" t="n"/>
      <c r="G242" s="22" t="n"/>
      <c r="J242" s="22" t="inlineStr">
        <is>
          <t>tengah</t>
        </is>
      </c>
      <c r="K242" s="22" t="n"/>
      <c r="L242" s="22" t="n"/>
      <c r="T242" s="22" t="inlineStr">
        <is>
          <t>tengah</t>
        </is>
      </c>
      <c r="U242" s="22" t="n"/>
      <c r="V242" s="22" t="n"/>
    </row>
    <row r="243" s="1">
      <c r="E243" s="22" t="inlineStr">
        <is>
          <t>kiri</t>
        </is>
      </c>
      <c r="F243" s="22" t="n"/>
      <c r="G243" s="22" t="n"/>
      <c r="J243" s="22" t="inlineStr">
        <is>
          <t>kanan</t>
        </is>
      </c>
      <c r="K243" s="22" t="n"/>
      <c r="L243" s="22" t="n"/>
      <c r="T243" s="22" t="inlineStr">
        <is>
          <t>kanan</t>
        </is>
      </c>
      <c r="U243" s="22" t="n"/>
      <c r="V243" s="22" t="n"/>
    </row>
    <row r="244" s="1">
      <c r="E244" s="22" t="inlineStr">
        <is>
          <t>tengah</t>
        </is>
      </c>
      <c r="F244" s="22" t="n"/>
      <c r="G244" s="22" t="n"/>
      <c r="J244" s="22" t="inlineStr">
        <is>
          <t>kanan</t>
        </is>
      </c>
      <c r="K244" s="22" t="n"/>
      <c r="L244" s="22" t="n"/>
      <c r="T244" s="22" t="inlineStr">
        <is>
          <t>tengah</t>
        </is>
      </c>
      <c r="U244" s="22" t="n"/>
      <c r="V244" s="22" t="n"/>
    </row>
    <row r="245" s="1">
      <c r="E245" s="22" t="inlineStr">
        <is>
          <t>tengah</t>
        </is>
      </c>
      <c r="F245" s="22" t="n"/>
      <c r="G245" s="22" t="n"/>
      <c r="J245" s="22" t="inlineStr">
        <is>
          <t>tengah</t>
        </is>
      </c>
      <c r="K245" s="22" t="n"/>
      <c r="L245" s="22" t="n"/>
      <c r="T245" s="22" t="inlineStr">
        <is>
          <t>kanan</t>
        </is>
      </c>
      <c r="U245" s="22" t="n"/>
      <c r="V245" s="22" t="n"/>
    </row>
    <row r="246" s="1">
      <c r="E246" s="22" t="inlineStr">
        <is>
          <t>kiri</t>
        </is>
      </c>
      <c r="F246" s="22" t="n"/>
      <c r="G246" s="22" t="n"/>
      <c r="J246" s="22" t="inlineStr">
        <is>
          <t>tengah</t>
        </is>
      </c>
      <c r="K246" s="22" t="n"/>
      <c r="L246" s="22" t="n"/>
      <c r="T246" s="22" t="inlineStr">
        <is>
          <t>tengah</t>
        </is>
      </c>
      <c r="U246" s="22" t="n"/>
      <c r="V246" s="22" t="n"/>
    </row>
    <row r="247" s="1">
      <c r="E247" s="22" t="inlineStr">
        <is>
          <t>tengah</t>
        </is>
      </c>
      <c r="F247" s="22" t="n"/>
      <c r="G247" s="22" t="n"/>
      <c r="J247" s="22" t="inlineStr">
        <is>
          <t>tengah</t>
        </is>
      </c>
      <c r="K247" s="22" t="n"/>
      <c r="L247" s="22" t="n"/>
      <c r="T247" s="22" t="inlineStr">
        <is>
          <t>tengah</t>
        </is>
      </c>
      <c r="U247" s="22" t="n"/>
      <c r="V247" s="22" t="n"/>
    </row>
    <row r="248" s="1">
      <c r="E248" s="22" t="inlineStr">
        <is>
          <t>tengah</t>
        </is>
      </c>
      <c r="F248" s="22" t="n"/>
      <c r="G248" s="22" t="n"/>
      <c r="J248" s="22" t="inlineStr">
        <is>
          <t>kanan</t>
        </is>
      </c>
      <c r="K248" s="22" t="n"/>
      <c r="L248" s="22" t="n"/>
      <c r="T248" s="22" t="inlineStr">
        <is>
          <t>tengah</t>
        </is>
      </c>
      <c r="U248" s="22" t="n"/>
      <c r="V248" s="22" t="n"/>
    </row>
    <row r="249" s="1">
      <c r="E249" s="22" t="inlineStr">
        <is>
          <t>tengah</t>
        </is>
      </c>
      <c r="F249" s="22" t="n"/>
      <c r="G249" s="22" t="n"/>
      <c r="J249" s="22" t="inlineStr">
        <is>
          <t>tengah</t>
        </is>
      </c>
      <c r="K249" s="22" t="n"/>
      <c r="L249" s="22" t="n"/>
      <c r="T249" s="22" t="inlineStr">
        <is>
          <t>kanan</t>
        </is>
      </c>
      <c r="U249" s="22" t="n"/>
      <c r="V249" s="22" t="n"/>
    </row>
    <row r="250" s="1">
      <c r="E250" s="22" t="inlineStr">
        <is>
          <t>tengah</t>
        </is>
      </c>
      <c r="F250" s="22" t="n"/>
      <c r="G250" s="22" t="n"/>
      <c r="J250" s="22" t="inlineStr">
        <is>
          <t>tengah</t>
        </is>
      </c>
      <c r="K250" s="22" t="n"/>
      <c r="L250" s="22" t="n"/>
      <c r="T250" s="22" t="inlineStr">
        <is>
          <t>kanan</t>
        </is>
      </c>
      <c r="U250" s="22" t="n"/>
      <c r="V250" s="22" t="n"/>
    </row>
    <row r="251" s="1">
      <c r="E251" s="22" t="inlineStr">
        <is>
          <t>kiri</t>
        </is>
      </c>
      <c r="F251" s="22" t="n"/>
      <c r="G251" s="22" t="n"/>
      <c r="J251" s="22" t="inlineStr">
        <is>
          <t>kiri</t>
        </is>
      </c>
      <c r="K251" s="22" t="n"/>
      <c r="L251" s="22" t="n"/>
      <c r="T251" s="22" t="inlineStr">
        <is>
          <t>kanan</t>
        </is>
      </c>
      <c r="U251" s="22" t="n"/>
      <c r="V251" s="22" t="n"/>
    </row>
    <row r="252" s="1">
      <c r="E252" s="22" t="inlineStr">
        <is>
          <t>kiri</t>
        </is>
      </c>
      <c r="F252" s="22" t="n"/>
      <c r="G252" s="22" t="n"/>
      <c r="J252" s="22" t="inlineStr">
        <is>
          <t>tengah</t>
        </is>
      </c>
      <c r="K252" s="22" t="n"/>
      <c r="L252" s="22" t="n"/>
      <c r="T252" s="22" t="inlineStr">
        <is>
          <t>tengah</t>
        </is>
      </c>
      <c r="U252" s="22" t="n"/>
      <c r="V252" s="22" t="n"/>
    </row>
    <row r="253" s="1">
      <c r="E253" s="22" t="inlineStr">
        <is>
          <t>kanan</t>
        </is>
      </c>
      <c r="F253" s="22" t="n"/>
      <c r="G253" s="22" t="n"/>
      <c r="J253" s="22" t="inlineStr">
        <is>
          <t>tengah</t>
        </is>
      </c>
      <c r="K253" s="22" t="n"/>
      <c r="L253" s="22" t="n"/>
      <c r="T253" s="22" t="inlineStr">
        <is>
          <t>kanan</t>
        </is>
      </c>
      <c r="U253" s="22" t="n"/>
      <c r="V253" s="22" t="n"/>
    </row>
    <row r="254" s="1">
      <c r="E254" s="22" t="inlineStr">
        <is>
          <t>tengah</t>
        </is>
      </c>
      <c r="F254" s="22" t="n"/>
      <c r="G254" s="22" t="n"/>
      <c r="J254" s="22" t="inlineStr">
        <is>
          <t>tengah</t>
        </is>
      </c>
      <c r="K254" s="22" t="n"/>
      <c r="L254" s="22" t="n"/>
      <c r="T254" s="22" t="inlineStr">
        <is>
          <t>tengah</t>
        </is>
      </c>
      <c r="U254" s="22" t="n"/>
      <c r="V254" s="22" t="n"/>
    </row>
    <row r="255" s="1">
      <c r="E255" s="22" t="inlineStr">
        <is>
          <t>kiri</t>
        </is>
      </c>
      <c r="F255" s="22" t="n"/>
      <c r="G255" s="22" t="n"/>
      <c r="J255" s="22" t="inlineStr">
        <is>
          <t>kiri</t>
        </is>
      </c>
      <c r="K255" s="22" t="n"/>
      <c r="L255" s="22" t="n"/>
      <c r="T255" s="22" t="inlineStr">
        <is>
          <t>tengah</t>
        </is>
      </c>
      <c r="U255" s="22" t="n"/>
      <c r="V255" s="22" t="n"/>
    </row>
    <row r="256" s="1">
      <c r="E256" s="22" t="inlineStr">
        <is>
          <t>kanan</t>
        </is>
      </c>
      <c r="F256" s="22" t="n"/>
      <c r="G256" s="22" t="n"/>
      <c r="J256" s="22" t="inlineStr">
        <is>
          <t>tengah</t>
        </is>
      </c>
      <c r="K256" s="22" t="n"/>
      <c r="L256" s="22" t="n"/>
      <c r="T256" s="22" t="inlineStr">
        <is>
          <t>kanan</t>
        </is>
      </c>
      <c r="U256" s="22" t="n"/>
      <c r="V256" s="22" t="n"/>
    </row>
    <row r="257" s="1">
      <c r="E257" s="22" t="inlineStr">
        <is>
          <t>kiri</t>
        </is>
      </c>
      <c r="F257" s="22" t="n"/>
      <c r="G257" s="22" t="n"/>
      <c r="J257" s="22" t="inlineStr">
        <is>
          <t>kiri</t>
        </is>
      </c>
      <c r="K257" s="22" t="n"/>
      <c r="L257" s="22" t="n"/>
      <c r="T257" s="22" t="inlineStr">
        <is>
          <t>kanan</t>
        </is>
      </c>
      <c r="U257" s="22" t="n"/>
      <c r="V257" s="22" t="n"/>
    </row>
    <row r="258" s="1">
      <c r="E258" s="22" t="inlineStr">
        <is>
          <t>tengah</t>
        </is>
      </c>
      <c r="F258" s="22" t="n"/>
      <c r="G258" s="22" t="n"/>
      <c r="J258" s="22" t="inlineStr">
        <is>
          <t>kiri</t>
        </is>
      </c>
      <c r="K258" s="22" t="n"/>
      <c r="L258" s="22" t="n"/>
      <c r="T258" s="22" t="inlineStr">
        <is>
          <t>tengah</t>
        </is>
      </c>
      <c r="U258" s="22" t="n"/>
      <c r="V258" s="22" t="n"/>
    </row>
    <row r="259" s="1">
      <c r="E259" s="22" t="inlineStr">
        <is>
          <t>tengah</t>
        </is>
      </c>
      <c r="F259" s="22" t="n"/>
      <c r="G259" s="22" t="n"/>
      <c r="J259" s="22" t="inlineStr">
        <is>
          <t>tengah</t>
        </is>
      </c>
      <c r="K259" s="22" t="n"/>
      <c r="L259" s="22" t="n"/>
      <c r="T259" s="22" t="inlineStr">
        <is>
          <t>kanan</t>
        </is>
      </c>
      <c r="U259" s="22" t="n"/>
      <c r="V259" s="22" t="n"/>
    </row>
    <row r="260" s="1">
      <c r="E260" s="22" t="inlineStr">
        <is>
          <t>tengah</t>
        </is>
      </c>
      <c r="F260" s="22" t="n"/>
      <c r="G260" s="22" t="n"/>
      <c r="J260" s="22" t="inlineStr">
        <is>
          <t>tengah</t>
        </is>
      </c>
      <c r="K260" s="22" t="n"/>
      <c r="L260" s="22" t="n"/>
      <c r="T260" s="22" t="inlineStr">
        <is>
          <t>tengah</t>
        </is>
      </c>
      <c r="U260" s="22" t="n"/>
      <c r="V260" s="22" t="n"/>
    </row>
    <row r="261" s="1">
      <c r="E261" s="22" t="inlineStr">
        <is>
          <t>kanan</t>
        </is>
      </c>
      <c r="F261" s="22" t="n"/>
      <c r="G261" s="22" t="n"/>
      <c r="J261" s="22" t="inlineStr">
        <is>
          <t>kanan</t>
        </is>
      </c>
      <c r="K261" s="22" t="n"/>
      <c r="L261" s="22" t="n"/>
      <c r="T261" s="22" t="inlineStr">
        <is>
          <t>kanan</t>
        </is>
      </c>
      <c r="U261" s="22" t="n"/>
      <c r="V261" s="22" t="n"/>
    </row>
    <row r="262" s="1">
      <c r="E262" s="22" t="inlineStr">
        <is>
          <t>tengah</t>
        </is>
      </c>
      <c r="F262" s="22" t="n"/>
      <c r="G262" s="22" t="n"/>
      <c r="J262" s="22" t="inlineStr">
        <is>
          <t>tengah</t>
        </is>
      </c>
      <c r="K262" s="22" t="n"/>
      <c r="L262" s="22" t="n"/>
      <c r="T262" s="22" t="inlineStr">
        <is>
          <t>tengah</t>
        </is>
      </c>
      <c r="U262" s="22" t="n"/>
      <c r="V262" s="22" t="n"/>
    </row>
    <row r="263" s="1">
      <c r="E263" s="22" t="inlineStr">
        <is>
          <t>tengah</t>
        </is>
      </c>
      <c r="F263" s="22" t="n"/>
      <c r="G263" s="22" t="n"/>
      <c r="J263" s="22" t="inlineStr">
        <is>
          <t>tengah</t>
        </is>
      </c>
      <c r="K263" s="22" t="n"/>
      <c r="L263" s="22" t="n"/>
      <c r="T263" s="22" t="inlineStr">
        <is>
          <t>kanan</t>
        </is>
      </c>
      <c r="U263" s="22" t="n"/>
      <c r="V263" s="22" t="n"/>
    </row>
    <row r="264" s="1">
      <c r="E264" s="22" t="inlineStr">
        <is>
          <t>tengah</t>
        </is>
      </c>
      <c r="F264" s="22" t="n"/>
      <c r="G264" s="22" t="n"/>
      <c r="J264" s="22" t="inlineStr">
        <is>
          <t>kiri</t>
        </is>
      </c>
      <c r="K264" s="22" t="n"/>
      <c r="L264" s="22" t="n"/>
      <c r="T264" s="22" t="inlineStr">
        <is>
          <t>tengah</t>
        </is>
      </c>
      <c r="U264" s="22" t="n"/>
      <c r="V264" s="22" t="n"/>
    </row>
    <row r="265" s="1">
      <c r="E265" s="22" t="inlineStr">
        <is>
          <t>kiri</t>
        </is>
      </c>
      <c r="F265" s="22" t="n"/>
      <c r="G265" s="22" t="n"/>
      <c r="J265" s="22" t="inlineStr">
        <is>
          <t>kanan</t>
        </is>
      </c>
      <c r="K265" s="22" t="n"/>
      <c r="L265" s="22" t="n"/>
      <c r="T265" s="22" t="inlineStr">
        <is>
          <t>kanan</t>
        </is>
      </c>
      <c r="U265" s="22" t="n"/>
      <c r="V265" s="22" t="n"/>
    </row>
    <row r="266" s="1">
      <c r="E266" s="22" t="inlineStr">
        <is>
          <t>tengah</t>
        </is>
      </c>
      <c r="F266" s="22" t="n"/>
      <c r="G266" s="22" t="n"/>
      <c r="J266" s="22" t="inlineStr">
        <is>
          <t>tengah</t>
        </is>
      </c>
      <c r="K266" s="22" t="n"/>
      <c r="L266" s="22" t="n"/>
      <c r="T266" s="22" t="inlineStr">
        <is>
          <t>kanan</t>
        </is>
      </c>
      <c r="U266" s="22" t="n"/>
      <c r="V266" s="22" t="n"/>
    </row>
    <row r="267" s="1">
      <c r="E267" s="22" t="inlineStr">
        <is>
          <t>tengah</t>
        </is>
      </c>
      <c r="F267" s="22" t="n"/>
      <c r="G267" s="22" t="n"/>
      <c r="J267" s="22" t="inlineStr">
        <is>
          <t>kanan</t>
        </is>
      </c>
      <c r="K267" s="22" t="n"/>
      <c r="L267" s="22" t="n"/>
      <c r="T267" s="22" t="inlineStr">
        <is>
          <t>tengah</t>
        </is>
      </c>
      <c r="U267" s="22" t="n"/>
      <c r="V267" s="22" t="n"/>
    </row>
    <row r="268" s="1">
      <c r="E268" s="22" t="inlineStr">
        <is>
          <t>tengah</t>
        </is>
      </c>
      <c r="F268" s="22" t="n"/>
      <c r="G268" s="22" t="n"/>
      <c r="J268" s="22" t="inlineStr">
        <is>
          <t>tengah</t>
        </is>
      </c>
      <c r="K268" s="22" t="n"/>
      <c r="L268" s="22" t="n"/>
      <c r="T268" s="22" t="inlineStr">
        <is>
          <t>kanan</t>
        </is>
      </c>
      <c r="U268" s="22" t="n"/>
      <c r="V268" s="22" t="n"/>
    </row>
    <row r="269" s="1">
      <c r="E269" s="22" t="inlineStr">
        <is>
          <t>tengah</t>
        </is>
      </c>
      <c r="F269" s="22" t="n"/>
      <c r="G269" s="22" t="n"/>
      <c r="J269" s="22" t="inlineStr">
        <is>
          <t>tengah</t>
        </is>
      </c>
      <c r="K269" s="22" t="n"/>
      <c r="L269" s="22" t="n"/>
      <c r="T269" s="22" t="inlineStr">
        <is>
          <t>kanan</t>
        </is>
      </c>
      <c r="U269" s="22" t="n"/>
      <c r="V269" s="22" t="n"/>
    </row>
    <row r="270" s="1">
      <c r="E270" s="22" t="inlineStr">
        <is>
          <t>kanan</t>
        </is>
      </c>
      <c r="F270" s="22" t="n"/>
      <c r="G270" s="22" t="n"/>
      <c r="J270" s="22" t="inlineStr">
        <is>
          <t>kanan</t>
        </is>
      </c>
      <c r="K270" s="22" t="n"/>
      <c r="L270" s="22" t="n"/>
      <c r="T270" s="22" t="inlineStr">
        <is>
          <t>tengah</t>
        </is>
      </c>
      <c r="U270" s="22" t="n"/>
      <c r="V270" s="22" t="n"/>
    </row>
    <row r="271" s="1">
      <c r="E271" s="22" t="inlineStr">
        <is>
          <t>tengah</t>
        </is>
      </c>
      <c r="F271" s="22" t="n"/>
      <c r="G271" s="22" t="n"/>
      <c r="J271" s="22" t="inlineStr">
        <is>
          <t>kanan</t>
        </is>
      </c>
      <c r="K271" s="22" t="n"/>
      <c r="L271" s="22" t="n"/>
      <c r="T271" s="22" t="inlineStr">
        <is>
          <t>tengah</t>
        </is>
      </c>
      <c r="U271" s="22" t="n"/>
      <c r="V271" s="22" t="n"/>
    </row>
    <row r="272" s="1">
      <c r="E272" s="22" t="inlineStr">
        <is>
          <t>kanan</t>
        </is>
      </c>
      <c r="F272" s="22" t="n"/>
      <c r="G272" s="22" t="n"/>
      <c r="J272" s="22" t="inlineStr">
        <is>
          <t>tengah</t>
        </is>
      </c>
      <c r="K272" s="22" t="n"/>
      <c r="L272" s="22" t="n"/>
      <c r="T272" s="22" t="inlineStr">
        <is>
          <t>tengah</t>
        </is>
      </c>
      <c r="U272" s="22" t="n"/>
      <c r="V272" s="22" t="n"/>
    </row>
    <row r="273" s="1">
      <c r="E273" s="22" t="inlineStr">
        <is>
          <t>tengah</t>
        </is>
      </c>
      <c r="F273" s="22" t="n"/>
      <c r="G273" s="22" t="n"/>
      <c r="J273" s="22" t="inlineStr">
        <is>
          <t>tengah</t>
        </is>
      </c>
      <c r="K273" s="22" t="n"/>
      <c r="L273" s="22" t="n"/>
      <c r="T273" s="22" t="inlineStr">
        <is>
          <t>tengah</t>
        </is>
      </c>
      <c r="U273" s="22" t="n"/>
      <c r="V273" s="22" t="n"/>
    </row>
    <row r="274" s="1">
      <c r="E274" s="22" t="inlineStr">
        <is>
          <t>tengah</t>
        </is>
      </c>
      <c r="F274" s="22" t="n"/>
      <c r="G274" s="22" t="n"/>
      <c r="J274" s="22" t="inlineStr">
        <is>
          <t>kanan</t>
        </is>
      </c>
      <c r="K274" s="22" t="n"/>
      <c r="L274" s="22" t="n"/>
      <c r="T274" s="22" t="inlineStr">
        <is>
          <t>kanan</t>
        </is>
      </c>
      <c r="U274" s="22" t="n"/>
      <c r="V274" s="22" t="n"/>
    </row>
    <row r="275" s="1">
      <c r="E275" s="22" t="inlineStr">
        <is>
          <t>kanan</t>
        </is>
      </c>
      <c r="F275" s="22" t="n"/>
      <c r="G275" s="22" t="n"/>
      <c r="J275" s="22" t="inlineStr">
        <is>
          <t>tengah</t>
        </is>
      </c>
      <c r="K275" s="22" t="n"/>
      <c r="L275" s="22" t="n"/>
      <c r="T275" s="22" t="inlineStr">
        <is>
          <t>kanan</t>
        </is>
      </c>
      <c r="U275" s="22" t="n"/>
      <c r="V275" s="22" t="n"/>
    </row>
    <row r="276" s="1">
      <c r="E276" s="22" t="inlineStr">
        <is>
          <t>kiri</t>
        </is>
      </c>
      <c r="F276" s="22" t="n"/>
      <c r="G276" s="22" t="n"/>
      <c r="J276" s="22" t="inlineStr">
        <is>
          <t>tengah</t>
        </is>
      </c>
      <c r="K276" s="22" t="n"/>
      <c r="L276" s="22" t="n"/>
      <c r="T276" s="22" t="inlineStr">
        <is>
          <t>tengah</t>
        </is>
      </c>
      <c r="U276" s="22" t="n"/>
      <c r="V276" s="22" t="n"/>
    </row>
    <row r="277" s="1">
      <c r="E277" s="22" t="inlineStr">
        <is>
          <t>kanan</t>
        </is>
      </c>
      <c r="F277" s="22" t="n"/>
      <c r="G277" s="22" t="n"/>
      <c r="J277" s="22" t="inlineStr">
        <is>
          <t>tengah</t>
        </is>
      </c>
      <c r="K277" s="22" t="n"/>
      <c r="L277" s="22" t="n"/>
      <c r="T277" s="22" t="inlineStr">
        <is>
          <t>kanan</t>
        </is>
      </c>
      <c r="U277" s="22" t="n"/>
      <c r="V277" s="22" t="n"/>
    </row>
    <row r="278" s="1">
      <c r="E278" s="22" t="inlineStr">
        <is>
          <t>tengah</t>
        </is>
      </c>
      <c r="F278" s="22" t="n"/>
      <c r="G278" s="22" t="n"/>
      <c r="J278" s="22" t="inlineStr">
        <is>
          <t>tengah</t>
        </is>
      </c>
      <c r="K278" s="22" t="n"/>
      <c r="L278" s="22" t="n"/>
      <c r="T278" s="22" t="inlineStr">
        <is>
          <t>kanan</t>
        </is>
      </c>
      <c r="U278" s="22" t="n"/>
      <c r="V278" s="22" t="n"/>
    </row>
    <row r="279" s="1">
      <c r="E279" s="22" t="inlineStr">
        <is>
          <t>tengah</t>
        </is>
      </c>
      <c r="F279" s="22" t="n"/>
      <c r="G279" s="22" t="n"/>
      <c r="J279" s="22" t="inlineStr">
        <is>
          <t>tengah</t>
        </is>
      </c>
      <c r="K279" s="22" t="n"/>
      <c r="L279" s="22" t="n"/>
      <c r="T279" s="22" t="inlineStr">
        <is>
          <t>kanan</t>
        </is>
      </c>
      <c r="U279" s="22" t="n"/>
      <c r="V279" s="22" t="n"/>
    </row>
    <row r="280" s="1">
      <c r="E280" s="22" t="inlineStr">
        <is>
          <t>tengah</t>
        </is>
      </c>
      <c r="F280" s="22" t="n"/>
      <c r="G280" s="22" t="n"/>
      <c r="J280" s="22" t="inlineStr">
        <is>
          <t>kanan</t>
        </is>
      </c>
      <c r="K280" s="22" t="n"/>
      <c r="L280" s="22" t="n"/>
      <c r="T280" s="22" t="inlineStr">
        <is>
          <t>kanan</t>
        </is>
      </c>
      <c r="U280" s="22" t="n"/>
      <c r="V280" s="22" t="n"/>
    </row>
    <row r="281" s="1">
      <c r="E281" s="22" t="inlineStr">
        <is>
          <t>kiri</t>
        </is>
      </c>
      <c r="F281" s="22" t="n"/>
      <c r="G281" s="22" t="n"/>
      <c r="J281" s="22" t="inlineStr">
        <is>
          <t>kiri</t>
        </is>
      </c>
      <c r="K281" s="22" t="n"/>
      <c r="L281" s="22" t="n"/>
      <c r="T281" s="22" t="inlineStr">
        <is>
          <t>kanan</t>
        </is>
      </c>
      <c r="U281" s="22" t="n"/>
      <c r="V281" s="22" t="n"/>
    </row>
    <row r="282" s="1">
      <c r="E282" s="22" t="inlineStr">
        <is>
          <t>tengah</t>
        </is>
      </c>
      <c r="F282" s="22" t="n"/>
      <c r="G282" s="22" t="n"/>
      <c r="J282" s="22" t="inlineStr">
        <is>
          <t>tengah</t>
        </is>
      </c>
      <c r="K282" s="22" t="n"/>
      <c r="L282" s="22" t="n"/>
      <c r="T282" s="22" t="inlineStr">
        <is>
          <t>kanan</t>
        </is>
      </c>
      <c r="U282" s="22" t="n"/>
      <c r="V282" s="22" t="n"/>
    </row>
    <row r="283" s="1">
      <c r="E283" s="22" t="inlineStr">
        <is>
          <t>kanan</t>
        </is>
      </c>
      <c r="F283" s="22" t="n"/>
      <c r="G283" s="22" t="n"/>
      <c r="J283" s="22" t="inlineStr">
        <is>
          <t>tengah</t>
        </is>
      </c>
      <c r="K283" s="22" t="n"/>
      <c r="L283" s="22" t="n"/>
      <c r="T283" s="22" t="inlineStr">
        <is>
          <t>tengah</t>
        </is>
      </c>
      <c r="U283" s="22" t="n"/>
      <c r="V283" s="22" t="n"/>
    </row>
    <row r="284" s="1">
      <c r="E284" s="22" t="inlineStr">
        <is>
          <t>tengah</t>
        </is>
      </c>
      <c r="F284" s="22" t="n"/>
      <c r="G284" s="22" t="n"/>
      <c r="J284" s="22" t="inlineStr">
        <is>
          <t>tengah</t>
        </is>
      </c>
      <c r="K284" s="22" t="n"/>
      <c r="L284" s="22" t="n"/>
      <c r="T284" s="22" t="inlineStr">
        <is>
          <t>kanan</t>
        </is>
      </c>
      <c r="U284" s="22" t="n"/>
      <c r="V284" s="22" t="n"/>
    </row>
    <row r="285" s="1">
      <c r="E285" s="22" t="inlineStr">
        <is>
          <t>kiri</t>
        </is>
      </c>
      <c r="F285" s="22" t="n"/>
      <c r="G285" s="22" t="n"/>
      <c r="J285" s="22" t="inlineStr">
        <is>
          <t>kiri</t>
        </is>
      </c>
      <c r="K285" s="22" t="n"/>
      <c r="L285" s="22" t="n"/>
      <c r="T285" s="22" t="inlineStr">
        <is>
          <t>kanan</t>
        </is>
      </c>
      <c r="U285" s="22" t="n"/>
      <c r="V285" s="22" t="n"/>
    </row>
    <row r="286" s="1">
      <c r="E286" s="22" t="inlineStr">
        <is>
          <t>tengah</t>
        </is>
      </c>
      <c r="F286" s="22" t="n"/>
      <c r="G286" s="22" t="n"/>
      <c r="J286" s="22" t="inlineStr">
        <is>
          <t>kiri</t>
        </is>
      </c>
      <c r="K286" s="22" t="n"/>
      <c r="L286" s="22" t="n"/>
      <c r="T286" s="22" t="inlineStr">
        <is>
          <t>tengah</t>
        </is>
      </c>
      <c r="U286" s="22" t="n"/>
      <c r="V286" s="22" t="n"/>
    </row>
    <row r="287" s="1">
      <c r="E287" s="22" t="inlineStr">
        <is>
          <t>kiri</t>
        </is>
      </c>
      <c r="F287" s="22" t="n"/>
      <c r="G287" s="22" t="n"/>
      <c r="J287" s="22" t="inlineStr">
        <is>
          <t>kiri</t>
        </is>
      </c>
      <c r="K287" s="22" t="n"/>
      <c r="L287" s="22" t="n"/>
      <c r="T287" s="22" t="inlineStr">
        <is>
          <t>tengah</t>
        </is>
      </c>
      <c r="U287" s="22" t="n"/>
      <c r="V287" s="22" t="n"/>
    </row>
    <row r="288" s="1">
      <c r="E288" s="22" t="inlineStr">
        <is>
          <t>tengah</t>
        </is>
      </c>
      <c r="F288" s="22" t="n"/>
      <c r="G288" s="22" t="n"/>
      <c r="J288" s="22" t="inlineStr">
        <is>
          <t>kanan</t>
        </is>
      </c>
      <c r="K288" s="22" t="n"/>
      <c r="L288" s="22" t="n"/>
      <c r="T288" s="22" t="inlineStr">
        <is>
          <t>tengah</t>
        </is>
      </c>
      <c r="U288" s="22" t="n"/>
      <c r="V288" s="22" t="n"/>
    </row>
    <row r="289" s="1">
      <c r="E289" s="22" t="inlineStr">
        <is>
          <t>tengah</t>
        </is>
      </c>
      <c r="F289" s="22" t="n"/>
      <c r="G289" s="22" t="n"/>
      <c r="J289" s="22" t="inlineStr">
        <is>
          <t>tengah</t>
        </is>
      </c>
      <c r="K289" s="22" t="n"/>
      <c r="L289" s="22" t="n"/>
      <c r="T289" s="22" t="inlineStr">
        <is>
          <t>kanan</t>
        </is>
      </c>
      <c r="U289" s="22" t="n"/>
      <c r="V289" s="22" t="n"/>
    </row>
    <row r="290" s="1">
      <c r="E290" s="22" t="inlineStr">
        <is>
          <t>tengah</t>
        </is>
      </c>
      <c r="F290" s="22" t="n"/>
      <c r="G290" s="22" t="n"/>
      <c r="J290" s="22" t="inlineStr">
        <is>
          <t>kanan</t>
        </is>
      </c>
      <c r="K290" s="22" t="n"/>
      <c r="L290" s="22" t="n"/>
      <c r="T290" s="22" t="inlineStr">
        <is>
          <t>kanan</t>
        </is>
      </c>
      <c r="U290" s="22" t="n"/>
      <c r="V290" s="22" t="n"/>
    </row>
    <row r="291" s="1">
      <c r="E291" s="22" t="inlineStr">
        <is>
          <t>tengah</t>
        </is>
      </c>
      <c r="F291" s="22" t="n"/>
      <c r="G291" s="22" t="n"/>
      <c r="J291" s="22" t="inlineStr">
        <is>
          <t>tengah</t>
        </is>
      </c>
      <c r="K291" s="22" t="n"/>
      <c r="L291" s="22" t="n"/>
      <c r="T291" s="22" t="inlineStr">
        <is>
          <t>kanan</t>
        </is>
      </c>
      <c r="U291" s="22" t="n"/>
      <c r="V291" s="22" t="n"/>
    </row>
    <row r="292" s="1">
      <c r="E292" s="22" t="inlineStr">
        <is>
          <t>kiri</t>
        </is>
      </c>
      <c r="F292" s="22" t="n"/>
      <c r="G292" s="22" t="n"/>
      <c r="J292" s="22" t="inlineStr">
        <is>
          <t>kanan</t>
        </is>
      </c>
      <c r="K292" s="22" t="n"/>
      <c r="L292" s="22" t="n"/>
      <c r="T292" s="22" t="inlineStr">
        <is>
          <t>tengah</t>
        </is>
      </c>
      <c r="U292" s="22" t="n"/>
      <c r="V292" s="22" t="n"/>
    </row>
    <row r="293" s="1">
      <c r="E293" s="22" t="inlineStr">
        <is>
          <t>kanan</t>
        </is>
      </c>
      <c r="F293" s="22" t="n"/>
      <c r="G293" s="22" t="n"/>
      <c r="J293" s="22" t="inlineStr">
        <is>
          <t>kanan</t>
        </is>
      </c>
      <c r="K293" s="22" t="n"/>
      <c r="L293" s="22" t="n"/>
      <c r="T293" s="22" t="inlineStr">
        <is>
          <t>tengah</t>
        </is>
      </c>
      <c r="U293" s="22" t="n"/>
      <c r="V293" s="22" t="n"/>
    </row>
    <row r="294" s="1">
      <c r="E294" s="22" t="inlineStr">
        <is>
          <t>tengah</t>
        </is>
      </c>
      <c r="F294" s="22" t="n"/>
      <c r="G294" s="22" t="n"/>
      <c r="J294" s="22" t="inlineStr">
        <is>
          <t>tengah</t>
        </is>
      </c>
      <c r="K294" s="22" t="n"/>
      <c r="L294" s="22" t="n"/>
      <c r="T294" s="22" t="inlineStr">
        <is>
          <t>kanan</t>
        </is>
      </c>
      <c r="U294" s="22" t="n"/>
      <c r="V294" s="22" t="n"/>
    </row>
    <row r="295" s="1">
      <c r="E295" s="22" t="inlineStr">
        <is>
          <t>tengah</t>
        </is>
      </c>
      <c r="F295" s="22" t="n"/>
      <c r="G295" s="22" t="n"/>
      <c r="J295" s="22" t="inlineStr">
        <is>
          <t>tengah</t>
        </is>
      </c>
      <c r="K295" s="22" t="n"/>
      <c r="L295" s="22" t="n"/>
      <c r="T295" s="22" t="inlineStr">
        <is>
          <t>tengah</t>
        </is>
      </c>
      <c r="U295" s="22" t="n"/>
      <c r="V295" s="22" t="n"/>
    </row>
    <row r="296" s="1">
      <c r="E296" s="22" t="inlineStr">
        <is>
          <t>kiri</t>
        </is>
      </c>
      <c r="F296" s="22" t="n"/>
      <c r="G296" s="22" t="n"/>
      <c r="J296" s="22" t="inlineStr">
        <is>
          <t>tengah</t>
        </is>
      </c>
      <c r="K296" s="22" t="n"/>
      <c r="L296" s="22" t="n"/>
      <c r="T296" s="22" t="inlineStr">
        <is>
          <t>tengah</t>
        </is>
      </c>
      <c r="U296" s="22" t="n"/>
      <c r="V296" s="22" t="n"/>
    </row>
    <row r="297" s="1">
      <c r="E297" s="22" t="inlineStr">
        <is>
          <t>kiri</t>
        </is>
      </c>
      <c r="F297" s="22" t="n"/>
      <c r="G297" s="22" t="n"/>
      <c r="J297" s="22" t="inlineStr">
        <is>
          <t>tengah</t>
        </is>
      </c>
      <c r="K297" s="22" t="n"/>
      <c r="L297" s="22" t="n"/>
      <c r="T297" s="22" t="inlineStr">
        <is>
          <t>kanan</t>
        </is>
      </c>
      <c r="U297" s="22" t="n"/>
      <c r="V297" s="22" t="n"/>
    </row>
    <row r="298" s="1">
      <c r="E298" s="22" t="inlineStr">
        <is>
          <t>tengah</t>
        </is>
      </c>
      <c r="F298" s="22" t="n"/>
      <c r="G298" s="22" t="n"/>
      <c r="J298" s="22" t="inlineStr">
        <is>
          <t>tengah</t>
        </is>
      </c>
      <c r="K298" s="22" t="n"/>
      <c r="L298" s="22" t="n"/>
      <c r="T298" s="22" t="inlineStr">
        <is>
          <t>kanan</t>
        </is>
      </c>
      <c r="U298" s="22" t="n"/>
      <c r="V298" s="22" t="n"/>
    </row>
    <row r="299" s="1">
      <c r="E299" s="22" t="inlineStr">
        <is>
          <t>kanan</t>
        </is>
      </c>
      <c r="F299" s="22" t="n"/>
      <c r="G299" s="22" t="n"/>
      <c r="J299" s="22" t="inlineStr">
        <is>
          <t>tengah</t>
        </is>
      </c>
      <c r="K299" s="22" t="n"/>
      <c r="L299" s="22" t="n"/>
      <c r="T299" s="22" t="inlineStr">
        <is>
          <t>tengah</t>
        </is>
      </c>
      <c r="U299" s="22" t="n"/>
      <c r="V299" s="22" t="n"/>
    </row>
    <row r="300" s="1">
      <c r="E300" s="22" t="inlineStr">
        <is>
          <t>tengah</t>
        </is>
      </c>
      <c r="F300" s="22" t="n"/>
      <c r="G300" s="22" t="n"/>
      <c r="J300" s="22" t="inlineStr">
        <is>
          <t>tengah</t>
        </is>
      </c>
      <c r="K300" s="22" t="n"/>
      <c r="L300" s="22" t="n"/>
      <c r="T300" s="22" t="inlineStr">
        <is>
          <t>kanan</t>
        </is>
      </c>
      <c r="U300" s="22" t="n"/>
      <c r="V300" s="22" t="n"/>
    </row>
    <row r="301" s="1">
      <c r="E301" s="22" t="inlineStr">
        <is>
          <t>tengah</t>
        </is>
      </c>
      <c r="F301" s="22" t="n"/>
      <c r="G301" s="22" t="n"/>
      <c r="J301" s="22" t="inlineStr">
        <is>
          <t>kanan</t>
        </is>
      </c>
      <c r="K301" s="22" t="n"/>
      <c r="L301" s="22" t="n"/>
      <c r="T301" s="22" t="inlineStr">
        <is>
          <t>tengah</t>
        </is>
      </c>
      <c r="U301" s="22" t="n"/>
      <c r="V301" s="22" t="n"/>
    </row>
    <row r="302" s="1">
      <c r="E302" s="22" t="inlineStr">
        <is>
          <t>tengah</t>
        </is>
      </c>
      <c r="F302" s="22" t="n"/>
      <c r="G302" s="22" t="n"/>
      <c r="J302" s="22" t="inlineStr">
        <is>
          <t>kanan</t>
        </is>
      </c>
      <c r="K302" s="22" t="n"/>
      <c r="L302" s="22" t="n"/>
      <c r="T302" s="22" t="inlineStr">
        <is>
          <t>kanan</t>
        </is>
      </c>
      <c r="U302" s="22" t="n"/>
      <c r="V302" s="22" t="n"/>
    </row>
    <row r="303" s="1">
      <c r="E303" s="22" t="inlineStr">
        <is>
          <t>tengah</t>
        </is>
      </c>
      <c r="F303" s="22" t="n"/>
      <c r="G303" s="22" t="n"/>
      <c r="J303" s="22" t="inlineStr">
        <is>
          <t>kanan</t>
        </is>
      </c>
      <c r="K303" s="22" t="n"/>
      <c r="L303" s="22" t="n"/>
      <c r="T303" s="22" t="inlineStr">
        <is>
          <t>tengah</t>
        </is>
      </c>
      <c r="U303" s="22" t="n"/>
      <c r="V303" s="22" t="n"/>
    </row>
    <row r="304" s="1">
      <c r="E304" s="22" t="inlineStr">
        <is>
          <t>tengah</t>
        </is>
      </c>
      <c r="F304" s="22" t="n"/>
      <c r="G304" s="22" t="n"/>
      <c r="J304" s="22" t="inlineStr">
        <is>
          <t>tengah</t>
        </is>
      </c>
      <c r="K304" s="22" t="n"/>
      <c r="L304" s="22" t="n"/>
      <c r="T304" s="22" t="inlineStr">
        <is>
          <t>kanan</t>
        </is>
      </c>
      <c r="U304" s="22" t="n"/>
      <c r="V304" s="22" t="n"/>
    </row>
    <row r="305" s="1">
      <c r="E305" s="22" t="inlineStr">
        <is>
          <t>kanan</t>
        </is>
      </c>
      <c r="F305" s="22" t="n"/>
      <c r="G305" s="22" t="n"/>
      <c r="J305" s="22" t="inlineStr">
        <is>
          <t>tengah</t>
        </is>
      </c>
      <c r="K305" s="22" t="n"/>
      <c r="L305" s="22" t="n"/>
      <c r="T305" s="22" t="inlineStr">
        <is>
          <t>kanan</t>
        </is>
      </c>
      <c r="U305" s="22" t="n"/>
      <c r="V305" s="22" t="n"/>
    </row>
    <row r="306" s="1">
      <c r="E306" s="22" t="inlineStr">
        <is>
          <t>kiri</t>
        </is>
      </c>
      <c r="F306" s="22" t="n"/>
      <c r="G306" s="22" t="n"/>
      <c r="J306" s="22" t="inlineStr">
        <is>
          <t>kanan</t>
        </is>
      </c>
      <c r="K306" s="22" t="n"/>
      <c r="L306" s="22" t="n"/>
      <c r="T306" s="22" t="inlineStr">
        <is>
          <t>kanan</t>
        </is>
      </c>
      <c r="U306" s="22" t="n"/>
      <c r="V306" s="22" t="n"/>
    </row>
    <row r="307" s="1">
      <c r="E307" s="22" t="inlineStr">
        <is>
          <t>kiri</t>
        </is>
      </c>
      <c r="F307" s="22" t="n"/>
      <c r="G307" s="22" t="n"/>
      <c r="J307" s="22" t="inlineStr">
        <is>
          <t>tengah</t>
        </is>
      </c>
      <c r="K307" s="22" t="n"/>
      <c r="L307" s="22" t="n"/>
      <c r="T307" s="22" t="inlineStr">
        <is>
          <t>kanan</t>
        </is>
      </c>
      <c r="U307" s="22" t="n"/>
      <c r="V307" s="22" t="n"/>
    </row>
    <row r="308" s="1">
      <c r="E308" s="22" t="inlineStr">
        <is>
          <t>tengah</t>
        </is>
      </c>
      <c r="F308" s="22" t="n"/>
      <c r="G308" s="22" t="n"/>
      <c r="J308" s="22" t="inlineStr">
        <is>
          <t>kanan</t>
        </is>
      </c>
      <c r="K308" s="22" t="n"/>
      <c r="L308" s="22" t="n"/>
      <c r="T308" s="22" t="inlineStr">
        <is>
          <t>tengah</t>
        </is>
      </c>
      <c r="U308" s="22" t="n"/>
      <c r="V308" s="22" t="n"/>
    </row>
    <row r="309" s="1">
      <c r="E309" s="22" t="inlineStr">
        <is>
          <t>tengah</t>
        </is>
      </c>
      <c r="F309" s="22" t="n"/>
      <c r="G309" s="22" t="n"/>
      <c r="J309" s="22" t="inlineStr">
        <is>
          <t>tengah</t>
        </is>
      </c>
      <c r="K309" s="22" t="n"/>
      <c r="L309" s="22" t="n"/>
      <c r="T309" s="22" t="inlineStr">
        <is>
          <t>kanan</t>
        </is>
      </c>
      <c r="U309" s="22" t="n"/>
      <c r="V309" s="22" t="n"/>
    </row>
    <row r="310" s="1">
      <c r="E310" s="22" t="inlineStr">
        <is>
          <t>tengah</t>
        </is>
      </c>
      <c r="F310" s="22" t="n"/>
      <c r="G310" s="22" t="n"/>
      <c r="J310" s="22" t="inlineStr">
        <is>
          <t>tengah</t>
        </is>
      </c>
      <c r="K310" s="22" t="n"/>
      <c r="L310" s="22" t="n"/>
      <c r="T310" s="22" t="inlineStr">
        <is>
          <t>tengah</t>
        </is>
      </c>
      <c r="U310" s="22" t="n"/>
      <c r="V310" s="22" t="n"/>
    </row>
    <row r="311" s="1">
      <c r="E311" s="22" t="inlineStr">
        <is>
          <t>kiri</t>
        </is>
      </c>
      <c r="F311" s="22" t="n"/>
      <c r="G311" s="22" t="n"/>
      <c r="J311" s="22" t="inlineStr">
        <is>
          <t>kiri</t>
        </is>
      </c>
      <c r="K311" s="22" t="n"/>
      <c r="L311" s="22" t="n"/>
      <c r="T311" s="22" t="inlineStr">
        <is>
          <t>kanan</t>
        </is>
      </c>
      <c r="U311" s="22" t="n"/>
      <c r="V311" s="22" t="n"/>
    </row>
    <row r="312" s="1">
      <c r="E312" s="22" t="inlineStr">
        <is>
          <t>tengah</t>
        </is>
      </c>
      <c r="F312" s="22" t="n"/>
      <c r="G312" s="22" t="n"/>
      <c r="J312" s="22" t="inlineStr">
        <is>
          <t>tengah</t>
        </is>
      </c>
      <c r="K312" s="22" t="n"/>
      <c r="L312" s="22" t="n"/>
      <c r="T312" s="22" t="inlineStr">
        <is>
          <t>tengah</t>
        </is>
      </c>
      <c r="U312" s="22" t="n"/>
      <c r="V312" s="22" t="n"/>
    </row>
    <row r="313" s="1">
      <c r="E313" s="22" t="inlineStr">
        <is>
          <t>kiri</t>
        </is>
      </c>
      <c r="F313" s="22" t="n"/>
      <c r="G313" s="22" t="n"/>
      <c r="J313" s="22" t="inlineStr">
        <is>
          <t>tengah</t>
        </is>
      </c>
      <c r="K313" s="22" t="n"/>
      <c r="L313" s="22" t="n"/>
      <c r="T313" s="22" t="inlineStr">
        <is>
          <t>tengah</t>
        </is>
      </c>
      <c r="U313" s="22" t="n"/>
      <c r="V313" s="22" t="n"/>
    </row>
    <row r="314" s="1">
      <c r="E314" s="22" t="inlineStr">
        <is>
          <t>kanan</t>
        </is>
      </c>
      <c r="F314" s="22" t="n"/>
      <c r="G314" s="22" t="n"/>
      <c r="J314" s="22" t="inlineStr">
        <is>
          <t>tengah</t>
        </is>
      </c>
      <c r="K314" s="22" t="n"/>
      <c r="L314" s="22" t="n"/>
      <c r="T314" s="22" t="inlineStr">
        <is>
          <t>kanan</t>
        </is>
      </c>
      <c r="U314" s="22" t="n"/>
      <c r="V314" s="22" t="n"/>
    </row>
    <row r="315" s="1">
      <c r="E315" s="22" t="inlineStr">
        <is>
          <t>tengah</t>
        </is>
      </c>
      <c r="F315" s="22" t="n"/>
      <c r="G315" s="22" t="n"/>
      <c r="J315" s="22" t="inlineStr">
        <is>
          <t>tengah</t>
        </is>
      </c>
      <c r="K315" s="22" t="n"/>
      <c r="L315" s="22" t="n"/>
      <c r="T315" s="22" t="inlineStr">
        <is>
          <t>kanan</t>
        </is>
      </c>
      <c r="U315" s="22" t="n"/>
      <c r="V315" s="22" t="n"/>
    </row>
    <row r="316" s="1">
      <c r="E316" s="22" t="inlineStr">
        <is>
          <t>tengah</t>
        </is>
      </c>
      <c r="F316" s="22" t="n"/>
      <c r="G316" s="22" t="n"/>
      <c r="J316" s="22" t="inlineStr">
        <is>
          <t>tengah</t>
        </is>
      </c>
      <c r="K316" s="22" t="n"/>
      <c r="L316" s="22" t="n"/>
      <c r="T316" s="22" t="inlineStr">
        <is>
          <t>tengah</t>
        </is>
      </c>
      <c r="U316" s="22" t="n"/>
      <c r="V316" s="22" t="n"/>
    </row>
    <row r="317" s="1">
      <c r="E317" s="22" t="inlineStr">
        <is>
          <t>kiri</t>
        </is>
      </c>
      <c r="F317" s="22" t="n"/>
      <c r="G317" s="22" t="n"/>
      <c r="J317" s="22" t="inlineStr">
        <is>
          <t>tengah</t>
        </is>
      </c>
      <c r="K317" s="22" t="n"/>
      <c r="L317" s="22" t="n"/>
      <c r="T317" s="22" t="inlineStr">
        <is>
          <t>tengah</t>
        </is>
      </c>
      <c r="U317" s="22" t="n"/>
      <c r="V317" s="22" t="n"/>
    </row>
    <row r="318" s="1">
      <c r="E318" s="22" t="inlineStr">
        <is>
          <t>kiri</t>
        </is>
      </c>
      <c r="F318" s="22" t="n"/>
      <c r="G318" s="22" t="n"/>
      <c r="J318" s="22" t="inlineStr">
        <is>
          <t>tengah</t>
        </is>
      </c>
      <c r="K318" s="22" t="n"/>
      <c r="L318" s="22" t="n"/>
      <c r="T318" s="22" t="inlineStr">
        <is>
          <t>tengah</t>
        </is>
      </c>
      <c r="U318" s="22" t="n"/>
      <c r="V318" s="22" t="n"/>
    </row>
    <row r="319" s="1">
      <c r="E319" s="22" t="inlineStr">
        <is>
          <t>tengah</t>
        </is>
      </c>
      <c r="F319" s="22" t="n"/>
      <c r="G319" s="22" t="n"/>
      <c r="J319" s="22" t="inlineStr">
        <is>
          <t>tengah</t>
        </is>
      </c>
      <c r="K319" s="22" t="n"/>
      <c r="L319" s="22" t="n"/>
      <c r="T319" s="22" t="inlineStr">
        <is>
          <t>kanan</t>
        </is>
      </c>
      <c r="U319" s="22" t="n"/>
      <c r="V319" s="22" t="n"/>
    </row>
    <row r="320" s="1">
      <c r="E320" s="22" t="inlineStr">
        <is>
          <t>tengah</t>
        </is>
      </c>
      <c r="F320" s="22" t="n"/>
      <c r="G320" s="22" t="n"/>
      <c r="J320" s="22" t="inlineStr">
        <is>
          <t>kanan</t>
        </is>
      </c>
      <c r="K320" s="22" t="n"/>
      <c r="L320" s="22" t="n"/>
      <c r="T320" s="22" t="inlineStr">
        <is>
          <t>kanan</t>
        </is>
      </c>
      <c r="U320" s="22" t="n"/>
      <c r="V320" s="22" t="n"/>
    </row>
    <row r="321" s="1">
      <c r="E321" s="22" t="inlineStr">
        <is>
          <t>kiri</t>
        </is>
      </c>
      <c r="F321" s="22" t="n"/>
      <c r="G321" s="22" t="n"/>
      <c r="J321" s="22" t="inlineStr">
        <is>
          <t>tengah</t>
        </is>
      </c>
      <c r="K321" s="22" t="n"/>
      <c r="L321" s="22" t="n"/>
      <c r="T321" s="22" t="inlineStr">
        <is>
          <t>tengah</t>
        </is>
      </c>
      <c r="U321" s="22" t="n"/>
      <c r="V321" s="22" t="n"/>
    </row>
    <row r="322" s="1">
      <c r="E322" s="22" t="inlineStr">
        <is>
          <t>tengah</t>
        </is>
      </c>
      <c r="F322" s="22" t="n"/>
      <c r="G322" s="22" t="n"/>
      <c r="J322" s="22" t="inlineStr">
        <is>
          <t>kanan</t>
        </is>
      </c>
      <c r="K322" s="22" t="n"/>
      <c r="L322" s="22" t="n"/>
      <c r="T322" s="22" t="inlineStr">
        <is>
          <t>tengah</t>
        </is>
      </c>
      <c r="U322" s="22" t="n"/>
      <c r="V322" s="22" t="n"/>
    </row>
    <row r="323" s="1">
      <c r="E323" s="22" t="inlineStr">
        <is>
          <t>kanan</t>
        </is>
      </c>
      <c r="F323" s="22" t="n"/>
      <c r="G323" s="22" t="n"/>
      <c r="J323" s="22" t="inlineStr">
        <is>
          <t>tengah</t>
        </is>
      </c>
      <c r="K323" s="22" t="n"/>
      <c r="L323" s="22" t="n"/>
      <c r="T323" s="22" t="inlineStr">
        <is>
          <t>kanan</t>
        </is>
      </c>
      <c r="U323" s="22" t="n"/>
      <c r="V323" s="22" t="n"/>
    </row>
    <row r="324" s="1">
      <c r="E324" s="22" t="inlineStr">
        <is>
          <t>kiri</t>
        </is>
      </c>
      <c r="F324" s="22" t="n"/>
      <c r="G324" s="22" t="n"/>
      <c r="J324" s="22" t="inlineStr">
        <is>
          <t>tengah</t>
        </is>
      </c>
      <c r="K324" s="22" t="n"/>
      <c r="L324" s="22" t="n"/>
      <c r="T324" s="22" t="inlineStr">
        <is>
          <t>tengah</t>
        </is>
      </c>
      <c r="U324" s="22" t="n"/>
      <c r="V324" s="22" t="n"/>
    </row>
    <row r="325" s="1">
      <c r="E325" s="22" t="inlineStr">
        <is>
          <t>kiri</t>
        </is>
      </c>
      <c r="F325" s="22" t="n"/>
      <c r="G325" s="22" t="n"/>
      <c r="J325" s="22" t="inlineStr">
        <is>
          <t>kiri</t>
        </is>
      </c>
      <c r="K325" s="22" t="n"/>
      <c r="L325" s="22" t="n"/>
      <c r="T325" s="22" t="inlineStr">
        <is>
          <t>kanan</t>
        </is>
      </c>
      <c r="U325" s="22" t="n"/>
      <c r="V325" s="22" t="n"/>
    </row>
    <row r="326" s="1">
      <c r="E326" s="22" t="inlineStr">
        <is>
          <t>kiri</t>
        </is>
      </c>
      <c r="F326" s="22" t="n"/>
      <c r="G326" s="22" t="n"/>
      <c r="J326" s="22" t="inlineStr">
        <is>
          <t>kiri</t>
        </is>
      </c>
      <c r="K326" s="22" t="n"/>
      <c r="L326" s="22" t="n"/>
      <c r="T326" s="22" t="inlineStr">
        <is>
          <t>kanan</t>
        </is>
      </c>
      <c r="U326" s="22" t="n"/>
      <c r="V326" s="22" t="n"/>
    </row>
    <row r="327" s="1">
      <c r="E327" s="22" t="inlineStr">
        <is>
          <t>tengah</t>
        </is>
      </c>
      <c r="F327" s="22" t="n"/>
      <c r="G327" s="22" t="n"/>
      <c r="J327" s="22" t="inlineStr">
        <is>
          <t>tengah</t>
        </is>
      </c>
      <c r="K327" s="22" t="n"/>
      <c r="L327" s="22" t="n"/>
      <c r="T327" s="22" t="inlineStr">
        <is>
          <t>tengah</t>
        </is>
      </c>
      <c r="U327" s="22" t="n"/>
      <c r="V327" s="22" t="n"/>
    </row>
    <row r="328" s="1">
      <c r="E328" s="22" t="inlineStr">
        <is>
          <t>kanan</t>
        </is>
      </c>
      <c r="F328" s="22" t="n"/>
      <c r="G328" s="22" t="n"/>
      <c r="J328" s="22" t="inlineStr">
        <is>
          <t>kiri</t>
        </is>
      </c>
      <c r="K328" s="22" t="n"/>
      <c r="L328" s="22" t="n"/>
      <c r="T328" s="22" t="inlineStr">
        <is>
          <t>tengah</t>
        </is>
      </c>
      <c r="U328" s="22" t="n"/>
      <c r="V328" s="22" t="n"/>
    </row>
    <row r="329" s="1">
      <c r="E329" s="22" t="inlineStr">
        <is>
          <t>kanan</t>
        </is>
      </c>
      <c r="F329" s="22" t="n"/>
      <c r="G329" s="22" t="n"/>
      <c r="J329" s="22" t="inlineStr">
        <is>
          <t>kanan</t>
        </is>
      </c>
      <c r="K329" s="22" t="n"/>
      <c r="L329" s="22" t="n"/>
      <c r="T329" s="22" t="inlineStr">
        <is>
          <t>kanan</t>
        </is>
      </c>
      <c r="U329" s="22" t="n"/>
      <c r="V329" s="22" t="n"/>
    </row>
    <row r="330" s="1">
      <c r="E330" s="22" t="inlineStr">
        <is>
          <t>tengah</t>
        </is>
      </c>
      <c r="F330" s="22" t="n"/>
      <c r="G330" s="22" t="n"/>
      <c r="J330" s="22" t="inlineStr">
        <is>
          <t>tengah</t>
        </is>
      </c>
      <c r="K330" s="22" t="n"/>
      <c r="L330" s="22" t="n"/>
      <c r="T330" s="22" t="inlineStr">
        <is>
          <t>tengah</t>
        </is>
      </c>
      <c r="U330" s="22" t="n"/>
      <c r="V330" s="22" t="n"/>
    </row>
    <row r="331" s="1">
      <c r="E331" s="22" t="inlineStr">
        <is>
          <t>tengah</t>
        </is>
      </c>
      <c r="F331" s="22" t="n"/>
      <c r="G331" s="22" t="n"/>
      <c r="J331" s="22" t="inlineStr">
        <is>
          <t>tengah</t>
        </is>
      </c>
      <c r="K331" s="22" t="n"/>
      <c r="L331" s="22" t="n"/>
      <c r="T331" s="22" t="inlineStr">
        <is>
          <t>kanan</t>
        </is>
      </c>
      <c r="U331" s="22" t="n"/>
      <c r="V331" s="22" t="n"/>
    </row>
    <row r="332" s="1">
      <c r="E332" s="22" t="inlineStr">
        <is>
          <t>tengah</t>
        </is>
      </c>
      <c r="F332" s="22" t="n"/>
      <c r="G332" s="22" t="n"/>
      <c r="J332" s="22" t="inlineStr">
        <is>
          <t>kanan</t>
        </is>
      </c>
      <c r="K332" s="22" t="n"/>
      <c r="L332" s="22" t="n"/>
      <c r="T332" s="22" t="inlineStr">
        <is>
          <t>tengah</t>
        </is>
      </c>
      <c r="U332" s="22" t="n"/>
      <c r="V332" s="22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32"/>
  <sheetViews>
    <sheetView topLeftCell="E1" workbookViewId="0">
      <selection activeCell="S169" sqref="S169"/>
    </sheetView>
  </sheetViews>
  <sheetFormatPr baseColWidth="8" defaultColWidth="9.148148148148151" defaultRowHeight="15"/>
  <cols>
    <col width="9.140740740740741" customWidth="1" style="27" min="1" max="2"/>
    <col width="13.2888888888889" customWidth="1" style="27" min="3" max="3"/>
    <col width="13.8592592592593" customWidth="1" style="27" min="4" max="4"/>
    <col width="9.140740740740741" customWidth="1" style="27" min="5" max="5"/>
    <col width="16.1407407407407" customWidth="1" style="27" min="6" max="6"/>
    <col width="9.140740740740741" customWidth="1" style="27" min="7" max="9"/>
    <col width="13.2888888888889" customWidth="1" style="27" min="10" max="10"/>
    <col width="13.8592592592593" customWidth="1" style="27" min="11" max="11"/>
    <col width="9.140740740740741" customWidth="1" style="27" min="12" max="13"/>
    <col width="15" customWidth="1" style="27" min="14" max="14"/>
    <col width="16.1407407407407" customWidth="1" style="27" min="15" max="15"/>
    <col width="9.140740740740741" customWidth="1" style="27" min="16" max="16384"/>
  </cols>
  <sheetData>
    <row r="1" s="1">
      <c r="A1" s="15" t="inlineStr">
        <is>
          <t>No</t>
        </is>
      </c>
      <c r="B1" s="15" t="inlineStr">
        <is>
          <t>Usia</t>
        </is>
      </c>
      <c r="C1" s="15" t="inlineStr">
        <is>
          <t>Jenis Kelamin</t>
        </is>
      </c>
      <c r="D1" s="15" t="inlineStr">
        <is>
          <t>Tingkat Resiko</t>
        </is>
      </c>
      <c r="E1" s="34" t="n"/>
      <c r="H1" s="15" t="inlineStr">
        <is>
          <t>No</t>
        </is>
      </c>
      <c r="I1" s="15" t="inlineStr">
        <is>
          <t>Usia</t>
        </is>
      </c>
      <c r="J1" s="15" t="inlineStr">
        <is>
          <t>Jenis Kelamin</t>
        </is>
      </c>
      <c r="K1" s="15" t="inlineStr">
        <is>
          <t>Tingkat Resiko</t>
        </is>
      </c>
      <c r="O1" s="15" t="inlineStr">
        <is>
          <t>Perhitungan root</t>
        </is>
      </c>
      <c r="P1" s="29" t="n"/>
      <c r="Q1" s="29" t="n"/>
    </row>
    <row r="2" s="1">
      <c r="A2" s="22">
        <f>RANDBETWEEN(2,164)</f>
        <v/>
      </c>
      <c r="B2" s="22">
        <f t="array" ref="B2"/>
        <v/>
      </c>
      <c r="C2" s="22">
        <f t="array" ref="C2"/>
        <v/>
      </c>
      <c r="D2" s="22">
        <f t="array" ref="D2"/>
        <v/>
      </c>
      <c r="E2" s="35" t="n"/>
      <c r="H2" s="22" t="n">
        <v>105</v>
      </c>
      <c r="I2" s="22" t="n">
        <v>61</v>
      </c>
      <c r="J2" s="22" t="n">
        <v>1</v>
      </c>
      <c r="K2" s="22" t="inlineStr">
        <is>
          <t>Tinggi</t>
        </is>
      </c>
      <c r="O2" s="29" t="inlineStr">
        <is>
          <t>Tinggi</t>
        </is>
      </c>
      <c r="P2" s="29">
        <f>COUNTIF(K2:K164,"Tinggi")</f>
        <v/>
      </c>
      <c r="Q2" s="29">
        <f>P2/163</f>
        <v/>
      </c>
    </row>
    <row r="3" s="1">
      <c r="A3" s="22">
        <f>RANDBETWEEN(2,164)</f>
        <v/>
      </c>
      <c r="B3" s="22">
        <f t="array" ref="B3"/>
        <v/>
      </c>
      <c r="C3" s="22">
        <f t="array" ref="C3"/>
        <v/>
      </c>
      <c r="D3" s="22">
        <f t="array" ref="D3"/>
        <v/>
      </c>
      <c r="E3" s="35" t="n"/>
      <c r="H3" s="22" t="n">
        <v>71</v>
      </c>
      <c r="I3" s="22" t="n">
        <v>84</v>
      </c>
      <c r="J3" s="22" t="n">
        <v>0</v>
      </c>
      <c r="K3" s="22" t="inlineStr">
        <is>
          <t>Sedang</t>
        </is>
      </c>
      <c r="O3" s="29" t="inlineStr">
        <is>
          <t>Sedang</t>
        </is>
      </c>
      <c r="P3" s="29">
        <f>COUNTIF(K2:K164,"Sedang")</f>
        <v/>
      </c>
      <c r="Q3" s="29">
        <f>P3/163</f>
        <v/>
      </c>
    </row>
    <row r="4" s="1">
      <c r="A4" s="22">
        <f>RANDBETWEEN(2,164)</f>
        <v/>
      </c>
      <c r="B4" s="22">
        <f t="array" ref="B4"/>
        <v/>
      </c>
      <c r="C4" s="22">
        <f t="array" ref="C4"/>
        <v/>
      </c>
      <c r="D4" s="22">
        <f t="array" ref="D4"/>
        <v/>
      </c>
      <c r="E4" s="35" t="n"/>
      <c r="H4" s="22" t="n">
        <v>73</v>
      </c>
      <c r="I4" s="22" t="n">
        <v>15</v>
      </c>
      <c r="J4" s="22" t="n">
        <v>1</v>
      </c>
      <c r="K4" s="22" t="inlineStr">
        <is>
          <t>Sedang</t>
        </is>
      </c>
      <c r="O4" s="29" t="inlineStr">
        <is>
          <t>Rendah</t>
        </is>
      </c>
      <c r="P4" s="29">
        <f>COUNTIF(K2:K164,"Rendah")</f>
        <v/>
      </c>
      <c r="Q4" s="29">
        <f>P4/163</f>
        <v/>
      </c>
    </row>
    <row r="5" s="1">
      <c r="A5" s="22">
        <f>RANDBETWEEN(2,164)</f>
        <v/>
      </c>
      <c r="B5" s="22">
        <f t="array" ref="B5"/>
        <v/>
      </c>
      <c r="C5" s="22">
        <f t="array" ref="C5"/>
        <v/>
      </c>
      <c r="D5" s="22">
        <f t="array" ref="D5"/>
        <v/>
      </c>
      <c r="E5" s="35" t="n"/>
      <c r="H5" s="22" t="n">
        <v>36</v>
      </c>
      <c r="I5" s="22" t="n">
        <v>27</v>
      </c>
      <c r="J5" s="22" t="n">
        <v>1</v>
      </c>
      <c r="K5" s="22" t="inlineStr">
        <is>
          <t>Rendah</t>
        </is>
      </c>
      <c r="O5" s="30" t="inlineStr">
        <is>
          <t>Entropy Root</t>
        </is>
      </c>
      <c r="P5" s="27">
        <f>-(IFERROR(Q2*LOG(Q2,2),0)+IFERROR(Q3*LOG(Q3,2),0)+IFERROR(Q4*LOG(Q4,2),0))</f>
        <v/>
      </c>
    </row>
    <row r="6" s="1">
      <c r="A6" s="22">
        <f>RANDBETWEEN(2,164)</f>
        <v/>
      </c>
      <c r="B6" s="22">
        <f t="array" ref="B6"/>
        <v/>
      </c>
      <c r="C6" s="22">
        <f t="array" ref="C6"/>
        <v/>
      </c>
      <c r="D6" s="22">
        <f t="array" ref="D6"/>
        <v/>
      </c>
      <c r="E6" s="35" t="n"/>
      <c r="H6" s="22" t="n">
        <v>15</v>
      </c>
      <c r="I6" s="22" t="n">
        <v>21</v>
      </c>
      <c r="J6" s="22" t="n">
        <v>0</v>
      </c>
      <c r="K6" s="22" t="inlineStr">
        <is>
          <t>Rendah</t>
        </is>
      </c>
    </row>
    <row r="7" s="1">
      <c r="A7" s="22">
        <f>RANDBETWEEN(2,164)</f>
        <v/>
      </c>
      <c r="B7" s="22">
        <f t="array" ref="B7"/>
        <v/>
      </c>
      <c r="C7" s="22">
        <f t="array" ref="C7"/>
        <v/>
      </c>
      <c r="D7" s="22">
        <f t="array" ref="D7"/>
        <v/>
      </c>
      <c r="E7" s="35" t="n"/>
      <c r="H7" s="22" t="n">
        <v>49</v>
      </c>
      <c r="I7" s="22" t="n">
        <v>64</v>
      </c>
      <c r="J7" s="22" t="n">
        <v>0</v>
      </c>
      <c r="K7" s="22" t="inlineStr">
        <is>
          <t>Sedang</t>
        </is>
      </c>
    </row>
    <row r="8" s="1">
      <c r="A8" s="22">
        <f>RANDBETWEEN(2,164)</f>
        <v/>
      </c>
      <c r="B8" s="22">
        <f t="array" ref="B8"/>
        <v/>
      </c>
      <c r="C8" s="22">
        <f t="array" ref="C8"/>
        <v/>
      </c>
      <c r="D8" s="22">
        <f t="array" ref="D8"/>
        <v/>
      </c>
      <c r="E8" s="35" t="n"/>
      <c r="H8" s="22" t="n">
        <v>106</v>
      </c>
      <c r="I8" s="22" t="n">
        <v>23</v>
      </c>
      <c r="J8" s="22" t="n">
        <v>1</v>
      </c>
      <c r="K8" s="22" t="inlineStr">
        <is>
          <t>Tinggi</t>
        </is>
      </c>
    </row>
    <row r="9" s="1">
      <c r="A9" s="22">
        <f>RANDBETWEEN(2,164)</f>
        <v/>
      </c>
      <c r="B9" s="22">
        <f t="array" ref="B9"/>
        <v/>
      </c>
      <c r="C9" s="22">
        <f t="array" ref="C9"/>
        <v/>
      </c>
      <c r="D9" s="22">
        <f t="array" ref="D9"/>
        <v/>
      </c>
      <c r="E9" s="35" t="n"/>
      <c r="H9" s="22" t="n">
        <v>96</v>
      </c>
      <c r="I9" s="22" t="n">
        <v>56</v>
      </c>
      <c r="J9" s="22" t="n">
        <v>0</v>
      </c>
      <c r="K9" s="22" t="inlineStr">
        <is>
          <t>Tinggi</t>
        </is>
      </c>
    </row>
    <row r="10" s="1">
      <c r="A10" s="22">
        <f>RANDBETWEEN(2,164)</f>
        <v/>
      </c>
      <c r="B10" s="22">
        <f t="array" ref="B10"/>
        <v/>
      </c>
      <c r="C10" s="22">
        <f t="array" ref="C10"/>
        <v/>
      </c>
      <c r="D10" s="22">
        <f t="array" ref="D10"/>
        <v/>
      </c>
      <c r="E10" s="35" t="n"/>
      <c r="H10" s="22" t="n">
        <v>137</v>
      </c>
      <c r="I10" s="22" t="n">
        <v>3</v>
      </c>
      <c r="J10" s="22" t="n">
        <v>1</v>
      </c>
      <c r="K10" s="22" t="inlineStr">
        <is>
          <t>Tinggi</t>
        </is>
      </c>
    </row>
    <row r="11" s="1">
      <c r="A11" s="22">
        <f>RANDBETWEEN(2,164)</f>
        <v/>
      </c>
      <c r="B11" s="22">
        <f t="array" ref="B11"/>
        <v/>
      </c>
      <c r="C11" s="22">
        <f t="array" ref="C11"/>
        <v/>
      </c>
      <c r="D11" s="22">
        <f t="array" ref="D11"/>
        <v/>
      </c>
      <c r="E11" s="35" t="n"/>
      <c r="H11" s="22" t="n">
        <v>33</v>
      </c>
      <c r="I11" s="22" t="n">
        <v>19</v>
      </c>
      <c r="J11" s="22" t="n">
        <v>1</v>
      </c>
      <c r="K11" s="22" t="inlineStr">
        <is>
          <t>Sedang</t>
        </is>
      </c>
    </row>
    <row r="12" s="1">
      <c r="A12" s="22">
        <f>RANDBETWEEN(2,164)</f>
        <v/>
      </c>
      <c r="B12" s="22">
        <f t="array" ref="B12"/>
        <v/>
      </c>
      <c r="C12" s="22">
        <f t="array" ref="C12"/>
        <v/>
      </c>
      <c r="D12" s="22">
        <f t="array" ref="D12"/>
        <v/>
      </c>
      <c r="E12" s="35" t="n"/>
      <c r="H12" s="22" t="n">
        <v>74</v>
      </c>
      <c r="I12" s="22" t="n">
        <v>9</v>
      </c>
      <c r="J12" s="22" t="n">
        <v>0</v>
      </c>
      <c r="K12" s="22" t="inlineStr">
        <is>
          <t>Sedang</t>
        </is>
      </c>
    </row>
    <row r="13" s="1">
      <c r="A13" s="22">
        <f>RANDBETWEEN(2,164)</f>
        <v/>
      </c>
      <c r="B13" s="22">
        <f t="array" ref="B13"/>
        <v/>
      </c>
      <c r="C13" s="22">
        <f t="array" ref="C13"/>
        <v/>
      </c>
      <c r="D13" s="22">
        <f t="array" ref="D13"/>
        <v/>
      </c>
      <c r="E13" s="35" t="n"/>
      <c r="H13" s="22" t="n">
        <v>164</v>
      </c>
      <c r="I13" s="22" t="n">
        <v>10</v>
      </c>
      <c r="J13" s="22" t="n">
        <v>0</v>
      </c>
      <c r="K13" s="22" t="inlineStr">
        <is>
          <t>Rendah</t>
        </is>
      </c>
    </row>
    <row r="14" s="1">
      <c r="A14" s="22">
        <f>RANDBETWEEN(2,164)</f>
        <v/>
      </c>
      <c r="B14" s="22">
        <f t="array" ref="B14"/>
        <v/>
      </c>
      <c r="C14" s="22">
        <f t="array" ref="C14"/>
        <v/>
      </c>
      <c r="D14" s="22">
        <f t="array" ref="D14"/>
        <v/>
      </c>
      <c r="E14" s="35" t="n"/>
      <c r="H14" s="22" t="n">
        <v>89</v>
      </c>
      <c r="I14" s="22" t="n">
        <v>32</v>
      </c>
      <c r="J14" s="22" t="n">
        <v>0</v>
      </c>
      <c r="K14" s="22" t="inlineStr">
        <is>
          <t>Sedang</t>
        </is>
      </c>
    </row>
    <row r="15" s="1">
      <c r="A15" s="22">
        <f>RANDBETWEEN(2,164)</f>
        <v/>
      </c>
      <c r="B15" s="22">
        <f t="array" ref="B15"/>
        <v/>
      </c>
      <c r="C15" s="22">
        <f t="array" ref="C15"/>
        <v/>
      </c>
      <c r="D15" s="22">
        <f t="array" ref="D15"/>
        <v/>
      </c>
      <c r="E15" s="35" t="n"/>
      <c r="H15" s="22" t="n">
        <v>15</v>
      </c>
      <c r="I15" s="22" t="n">
        <v>21</v>
      </c>
      <c r="J15" s="22" t="n">
        <v>0</v>
      </c>
      <c r="K15" s="22" t="inlineStr">
        <is>
          <t>Rendah</t>
        </is>
      </c>
    </row>
    <row r="16" s="1">
      <c r="A16" s="22">
        <f>RANDBETWEEN(2,164)</f>
        <v/>
      </c>
      <c r="B16" s="22">
        <f t="array" ref="B16"/>
        <v/>
      </c>
      <c r="C16" s="22">
        <f t="array" ref="C16"/>
        <v/>
      </c>
      <c r="D16" s="22">
        <f t="array" ref="D16"/>
        <v/>
      </c>
      <c r="E16" s="35" t="n"/>
      <c r="H16" s="22" t="n">
        <v>75</v>
      </c>
      <c r="I16" s="22" t="n">
        <v>2</v>
      </c>
      <c r="J16" s="22" t="n">
        <v>1</v>
      </c>
      <c r="K16" s="22" t="inlineStr">
        <is>
          <t>Sedang</t>
        </is>
      </c>
    </row>
    <row r="17" s="1">
      <c r="A17" s="22">
        <f>RANDBETWEEN(2,164)</f>
        <v/>
      </c>
      <c r="B17" s="22">
        <f t="array" ref="B17"/>
        <v/>
      </c>
      <c r="C17" s="22">
        <f t="array" ref="C17"/>
        <v/>
      </c>
      <c r="D17" s="22">
        <f t="array" ref="D17"/>
        <v/>
      </c>
      <c r="E17" s="35" t="n"/>
      <c r="H17" s="22" t="n">
        <v>24</v>
      </c>
      <c r="I17" s="22" t="n">
        <v>60</v>
      </c>
      <c r="J17" s="22" t="n">
        <v>0</v>
      </c>
      <c r="K17" s="22" t="inlineStr">
        <is>
          <t>Sedang</t>
        </is>
      </c>
    </row>
    <row r="18" s="1">
      <c r="A18" s="22">
        <f>RANDBETWEEN(2,164)</f>
        <v/>
      </c>
      <c r="B18" s="22">
        <f t="array" ref="B18"/>
        <v/>
      </c>
      <c r="C18" s="22">
        <f t="array" ref="C18"/>
        <v/>
      </c>
      <c r="D18" s="22">
        <f t="array" ref="D18"/>
        <v/>
      </c>
      <c r="E18" s="35" t="n"/>
      <c r="H18" s="22" t="n">
        <v>42</v>
      </c>
      <c r="I18" s="22" t="n">
        <v>21</v>
      </c>
      <c r="J18" s="22" t="n">
        <v>1</v>
      </c>
      <c r="K18" s="22" t="inlineStr">
        <is>
          <t>Sedang</t>
        </is>
      </c>
    </row>
    <row r="19" s="1">
      <c r="A19" s="22">
        <f>RANDBETWEEN(2,164)</f>
        <v/>
      </c>
      <c r="B19" s="22">
        <f t="array" ref="B19"/>
        <v/>
      </c>
      <c r="C19" s="22">
        <f t="array" ref="C19"/>
        <v/>
      </c>
      <c r="D19" s="22">
        <f t="array" ref="D19"/>
        <v/>
      </c>
      <c r="E19" s="35" t="n"/>
      <c r="H19" s="22" t="n">
        <v>80</v>
      </c>
      <c r="I19" s="22" t="n">
        <v>27</v>
      </c>
      <c r="J19" s="22" t="n">
        <v>1</v>
      </c>
      <c r="K19" s="22" t="inlineStr">
        <is>
          <t>Sedang</t>
        </is>
      </c>
    </row>
    <row r="20" s="1">
      <c r="A20" s="22">
        <f>RANDBETWEEN(2,164)</f>
        <v/>
      </c>
      <c r="B20" s="22">
        <f t="array" ref="B20"/>
        <v/>
      </c>
      <c r="C20" s="22">
        <f t="array" ref="C20"/>
        <v/>
      </c>
      <c r="D20" s="22">
        <f t="array" ref="D20"/>
        <v/>
      </c>
      <c r="E20" s="35" t="n"/>
      <c r="H20" s="22" t="n">
        <v>103</v>
      </c>
      <c r="I20" s="22" t="n">
        <v>22</v>
      </c>
      <c r="J20" s="22" t="n">
        <v>0</v>
      </c>
      <c r="K20" s="22" t="inlineStr">
        <is>
          <t>Tinggi</t>
        </is>
      </c>
    </row>
    <row r="21" s="1">
      <c r="A21" s="22">
        <f>RANDBETWEEN(2,164)</f>
        <v/>
      </c>
      <c r="B21" s="22">
        <f t="array" ref="B21"/>
        <v/>
      </c>
      <c r="C21" s="22">
        <f t="array" ref="C21"/>
        <v/>
      </c>
      <c r="D21" s="22">
        <f t="array" ref="D21"/>
        <v/>
      </c>
      <c r="E21" s="35" t="n"/>
      <c r="H21" s="22" t="n">
        <v>136</v>
      </c>
      <c r="I21" s="22" t="n">
        <v>6</v>
      </c>
      <c r="J21" s="22" t="n">
        <v>0</v>
      </c>
      <c r="K21" s="22" t="inlineStr">
        <is>
          <t>Tinggi</t>
        </is>
      </c>
    </row>
    <row r="22" s="1">
      <c r="A22" s="22">
        <f>RANDBETWEEN(2,164)</f>
        <v/>
      </c>
      <c r="B22" s="22">
        <f t="array" ref="B22"/>
        <v/>
      </c>
      <c r="C22" s="22">
        <f t="array" ref="C22"/>
        <v/>
      </c>
      <c r="D22" s="22">
        <f t="array" ref="D22"/>
        <v/>
      </c>
      <c r="E22" s="35" t="n"/>
      <c r="H22" s="22" t="n">
        <v>129</v>
      </c>
      <c r="I22" s="22" t="n">
        <v>4</v>
      </c>
      <c r="J22" s="22" t="n">
        <v>0</v>
      </c>
      <c r="K22" s="22" t="inlineStr">
        <is>
          <t>Tinggi</t>
        </is>
      </c>
    </row>
    <row r="23" s="1">
      <c r="A23" s="22">
        <f>RANDBETWEEN(2,164)</f>
        <v/>
      </c>
      <c r="B23" s="22">
        <f t="array" ref="B23"/>
        <v/>
      </c>
      <c r="C23" s="22">
        <f t="array" ref="C23"/>
        <v/>
      </c>
      <c r="D23" s="22">
        <f t="array" ref="D23"/>
        <v/>
      </c>
      <c r="E23" s="35" t="n"/>
      <c r="H23" s="22" t="n">
        <v>5</v>
      </c>
      <c r="I23" s="22" t="n">
        <v>18</v>
      </c>
      <c r="J23" s="22" t="n">
        <v>1</v>
      </c>
      <c r="K23" s="22" t="inlineStr">
        <is>
          <t>Sedang</t>
        </is>
      </c>
    </row>
    <row r="24" s="1">
      <c r="A24" s="22">
        <f>RANDBETWEEN(2,164)</f>
        <v/>
      </c>
      <c r="B24" s="22">
        <f t="array" ref="B24"/>
        <v/>
      </c>
      <c r="C24" s="22">
        <f t="array" ref="C24"/>
        <v/>
      </c>
      <c r="D24" s="22">
        <f t="array" ref="D24"/>
        <v/>
      </c>
      <c r="E24" s="35" t="n"/>
      <c r="H24" s="22" t="n">
        <v>16</v>
      </c>
      <c r="I24" s="22" t="n">
        <v>66</v>
      </c>
      <c r="J24" s="22" t="n">
        <v>1</v>
      </c>
      <c r="K24" s="22" t="inlineStr">
        <is>
          <t>Rendah</t>
        </is>
      </c>
    </row>
    <row r="25" s="1">
      <c r="A25" s="22">
        <f>RANDBETWEEN(2,164)</f>
        <v/>
      </c>
      <c r="B25" s="22">
        <f t="array" ref="B25"/>
        <v/>
      </c>
      <c r="C25" s="22">
        <f t="array" ref="C25"/>
        <v/>
      </c>
      <c r="D25" s="22">
        <f t="array" ref="D25"/>
        <v/>
      </c>
      <c r="E25" s="35" t="n"/>
      <c r="H25" s="22" t="n">
        <v>20</v>
      </c>
      <c r="I25" s="22" t="n">
        <v>15</v>
      </c>
      <c r="J25" s="22" t="n">
        <v>0</v>
      </c>
      <c r="K25" s="22" t="inlineStr">
        <is>
          <t>Rendah</t>
        </is>
      </c>
    </row>
    <row r="26" s="1">
      <c r="A26" s="22">
        <f>RANDBETWEEN(2,164)</f>
        <v/>
      </c>
      <c r="B26" s="22">
        <f t="array" ref="B26"/>
        <v/>
      </c>
      <c r="C26" s="22">
        <f t="array" ref="C26"/>
        <v/>
      </c>
      <c r="D26" s="22">
        <f t="array" ref="D26"/>
        <v/>
      </c>
      <c r="E26" s="35" t="n"/>
      <c r="H26" s="22" t="n">
        <v>133</v>
      </c>
      <c r="I26" s="22" t="n">
        <v>6</v>
      </c>
      <c r="J26" s="22" t="n">
        <v>0</v>
      </c>
      <c r="K26" s="22" t="inlineStr">
        <is>
          <t>Tinggi</t>
        </is>
      </c>
    </row>
    <row r="27" s="1">
      <c r="A27" s="22">
        <f>RANDBETWEEN(2,164)</f>
        <v/>
      </c>
      <c r="B27" s="22">
        <f t="array" ref="B27"/>
        <v/>
      </c>
      <c r="C27" s="22">
        <f t="array" ref="C27"/>
        <v/>
      </c>
      <c r="D27" s="22">
        <f t="array" ref="D27"/>
        <v/>
      </c>
      <c r="E27" s="35" t="n"/>
      <c r="H27" s="22" t="n">
        <v>98</v>
      </c>
      <c r="I27" s="22" t="n">
        <v>16</v>
      </c>
      <c r="J27" s="22" t="n">
        <v>1</v>
      </c>
      <c r="K27" s="22" t="inlineStr">
        <is>
          <t>Tinggi</t>
        </is>
      </c>
    </row>
    <row r="28" s="1">
      <c r="A28" s="22">
        <f>RANDBETWEEN(2,164)</f>
        <v/>
      </c>
      <c r="B28" s="22">
        <f t="array" ref="B28"/>
        <v/>
      </c>
      <c r="C28" s="22">
        <f t="array" ref="C28"/>
        <v/>
      </c>
      <c r="D28" s="22">
        <f t="array" ref="D28"/>
        <v/>
      </c>
      <c r="E28" s="35" t="n"/>
      <c r="H28" s="22" t="n">
        <v>71</v>
      </c>
      <c r="I28" s="22" t="n">
        <v>84</v>
      </c>
      <c r="J28" s="22" t="n">
        <v>0</v>
      </c>
      <c r="K28" s="22" t="inlineStr">
        <is>
          <t>Sedang</t>
        </is>
      </c>
    </row>
    <row r="29" s="1">
      <c r="A29" s="22">
        <f>RANDBETWEEN(2,164)</f>
        <v/>
      </c>
      <c r="B29" s="22">
        <f t="array" ref="B29"/>
        <v/>
      </c>
      <c r="C29" s="22">
        <f t="array" ref="C29"/>
        <v/>
      </c>
      <c r="D29" s="22">
        <f t="array" ref="D29"/>
        <v/>
      </c>
      <c r="E29" s="35" t="n"/>
      <c r="H29" s="22" t="n">
        <v>72</v>
      </c>
      <c r="I29" s="22" t="n">
        <v>3</v>
      </c>
      <c r="J29" s="22" t="n">
        <v>1</v>
      </c>
      <c r="K29" s="22" t="inlineStr">
        <is>
          <t>Sedang</t>
        </is>
      </c>
    </row>
    <row r="30" s="1">
      <c r="A30" s="22">
        <f>RANDBETWEEN(2,164)</f>
        <v/>
      </c>
      <c r="B30" s="22">
        <f t="array" ref="B30"/>
        <v/>
      </c>
      <c r="C30" s="22">
        <f t="array" ref="C30"/>
        <v/>
      </c>
      <c r="D30" s="22">
        <f t="array" ref="D30"/>
        <v/>
      </c>
      <c r="E30" s="35" t="n"/>
      <c r="H30" s="22" t="n">
        <v>33</v>
      </c>
      <c r="I30" s="22" t="n">
        <v>19</v>
      </c>
      <c r="J30" s="22" t="n">
        <v>1</v>
      </c>
      <c r="K30" s="22" t="inlineStr">
        <is>
          <t>Sedang</t>
        </is>
      </c>
    </row>
    <row r="31" s="1">
      <c r="A31" s="22">
        <f>RANDBETWEEN(2,164)</f>
        <v/>
      </c>
      <c r="B31" s="22">
        <f t="array" ref="B31"/>
        <v/>
      </c>
      <c r="C31" s="22">
        <f t="array" ref="C31"/>
        <v/>
      </c>
      <c r="D31" s="22">
        <f t="array" ref="D31"/>
        <v/>
      </c>
      <c r="E31" s="35" t="n"/>
      <c r="H31" s="22" t="n">
        <v>153</v>
      </c>
      <c r="I31" s="22" t="n">
        <v>73</v>
      </c>
      <c r="J31" s="22" t="n">
        <v>1</v>
      </c>
      <c r="K31" s="22" t="inlineStr">
        <is>
          <t>Tinggi</t>
        </is>
      </c>
    </row>
    <row r="32" s="1">
      <c r="A32" s="22">
        <f>RANDBETWEEN(2,164)</f>
        <v/>
      </c>
      <c r="B32" s="22">
        <f t="array" ref="B32"/>
        <v/>
      </c>
      <c r="C32" s="22">
        <f t="array" ref="C32"/>
        <v/>
      </c>
      <c r="D32" s="22">
        <f t="array" ref="D32"/>
        <v/>
      </c>
      <c r="E32" s="35" t="n"/>
      <c r="H32" s="22" t="n">
        <v>122</v>
      </c>
      <c r="I32" s="22" t="n">
        <v>28</v>
      </c>
      <c r="J32" s="22" t="n">
        <v>1</v>
      </c>
      <c r="K32" s="22" t="inlineStr">
        <is>
          <t>Tinggi</t>
        </is>
      </c>
    </row>
    <row r="33" s="1">
      <c r="A33" s="22">
        <f>RANDBETWEEN(2,164)</f>
        <v/>
      </c>
      <c r="B33" s="22">
        <f t="array" ref="B33"/>
        <v/>
      </c>
      <c r="C33" s="22">
        <f t="array" ref="C33"/>
        <v/>
      </c>
      <c r="D33" s="22">
        <f t="array" ref="D33"/>
        <v/>
      </c>
      <c r="E33" s="35" t="n"/>
      <c r="H33" s="22" t="n">
        <v>85</v>
      </c>
      <c r="I33" s="22" t="n">
        <v>27</v>
      </c>
      <c r="J33" s="22" t="n">
        <v>0</v>
      </c>
      <c r="K33" s="22" t="inlineStr">
        <is>
          <t>Sedang</t>
        </is>
      </c>
    </row>
    <row r="34" s="1">
      <c r="A34" s="22">
        <f>RANDBETWEEN(2,164)</f>
        <v/>
      </c>
      <c r="B34" s="22">
        <f t="array" ref="B34"/>
        <v/>
      </c>
      <c r="C34" s="22">
        <f t="array" ref="C34"/>
        <v/>
      </c>
      <c r="D34" s="22">
        <f t="array" ref="D34"/>
        <v/>
      </c>
      <c r="E34" s="35" t="n"/>
      <c r="H34" s="22" t="n">
        <v>94</v>
      </c>
      <c r="I34" s="22" t="n">
        <v>12</v>
      </c>
      <c r="J34" s="22" t="n">
        <v>0</v>
      </c>
      <c r="K34" s="22" t="inlineStr">
        <is>
          <t>Tinggi</t>
        </is>
      </c>
    </row>
    <row r="35" s="1">
      <c r="A35" s="22">
        <f>RANDBETWEEN(2,164)</f>
        <v/>
      </c>
      <c r="B35" s="22">
        <f t="array" ref="B35"/>
        <v/>
      </c>
      <c r="C35" s="22">
        <f t="array" ref="C35"/>
        <v/>
      </c>
      <c r="D35" s="22">
        <f t="array" ref="D35"/>
        <v/>
      </c>
      <c r="E35" s="35" t="n"/>
      <c r="H35" s="22" t="n">
        <v>16</v>
      </c>
      <c r="I35" s="22" t="n">
        <v>66</v>
      </c>
      <c r="J35" s="22" t="n">
        <v>1</v>
      </c>
      <c r="K35" s="22" t="inlineStr">
        <is>
          <t>Rendah</t>
        </is>
      </c>
    </row>
    <row r="36" s="1">
      <c r="A36" s="22">
        <f>RANDBETWEEN(2,164)</f>
        <v/>
      </c>
      <c r="B36" s="22">
        <f t="array" ref="B36"/>
        <v/>
      </c>
      <c r="C36" s="22">
        <f t="array" ref="C36"/>
        <v/>
      </c>
      <c r="D36" s="22">
        <f t="array" ref="D36"/>
        <v/>
      </c>
      <c r="E36" s="35" t="n"/>
      <c r="H36" s="22" t="n">
        <v>144</v>
      </c>
      <c r="I36" s="22" t="n">
        <v>61</v>
      </c>
      <c r="J36" s="22" t="n">
        <v>1</v>
      </c>
      <c r="K36" s="22" t="inlineStr">
        <is>
          <t>Tinggi</t>
        </is>
      </c>
    </row>
    <row r="37" s="1">
      <c r="A37" s="22">
        <f>RANDBETWEEN(2,164)</f>
        <v/>
      </c>
      <c r="B37" s="22">
        <f t="array" ref="B37"/>
        <v/>
      </c>
      <c r="C37" s="22">
        <f t="array" ref="C37"/>
        <v/>
      </c>
      <c r="D37" s="22">
        <f t="array" ref="D37"/>
        <v/>
      </c>
      <c r="E37" s="35" t="n"/>
      <c r="H37" s="22" t="n">
        <v>30</v>
      </c>
      <c r="I37" s="22" t="n">
        <v>3</v>
      </c>
      <c r="J37" s="22" t="n">
        <v>1</v>
      </c>
      <c r="K37" s="22" t="inlineStr">
        <is>
          <t>Sedang</t>
        </is>
      </c>
    </row>
    <row r="38" s="1">
      <c r="A38" s="22">
        <f>RANDBETWEEN(2,164)</f>
        <v/>
      </c>
      <c r="B38" s="22">
        <f t="array" ref="B38"/>
        <v/>
      </c>
      <c r="C38" s="22">
        <f t="array" ref="C38"/>
        <v/>
      </c>
      <c r="D38" s="22">
        <f t="array" ref="D38"/>
        <v/>
      </c>
      <c r="E38" s="35" t="n"/>
      <c r="H38" s="22" t="n">
        <v>69</v>
      </c>
      <c r="I38" s="22" t="n">
        <v>24</v>
      </c>
      <c r="J38" s="22" t="n">
        <v>1</v>
      </c>
      <c r="K38" s="22" t="inlineStr">
        <is>
          <t>Sedang</t>
        </is>
      </c>
    </row>
    <row r="39" s="1">
      <c r="A39" s="22">
        <f>RANDBETWEEN(2,164)</f>
        <v/>
      </c>
      <c r="B39" s="22">
        <f t="array" ref="B39"/>
        <v/>
      </c>
      <c r="C39" s="22">
        <f t="array" ref="C39"/>
        <v/>
      </c>
      <c r="D39" s="22">
        <f t="array" ref="D39"/>
        <v/>
      </c>
      <c r="E39" s="35" t="n"/>
      <c r="H39" s="22" t="n">
        <v>60</v>
      </c>
      <c r="I39" s="22" t="n">
        <v>68</v>
      </c>
      <c r="J39" s="22" t="n">
        <v>0</v>
      </c>
      <c r="K39" s="22" t="inlineStr">
        <is>
          <t>Sedang</t>
        </is>
      </c>
    </row>
    <row r="40" s="1">
      <c r="A40" s="22">
        <f>RANDBETWEEN(2,164)</f>
        <v/>
      </c>
      <c r="B40" s="22">
        <f t="array" ref="B40"/>
        <v/>
      </c>
      <c r="C40" s="22">
        <f t="array" ref="C40"/>
        <v/>
      </c>
      <c r="D40" s="22">
        <f t="array" ref="D40"/>
        <v/>
      </c>
      <c r="E40" s="35" t="n"/>
      <c r="H40" s="22" t="n">
        <v>17</v>
      </c>
      <c r="I40" s="22" t="n">
        <v>2</v>
      </c>
      <c r="J40" s="22" t="n">
        <v>0</v>
      </c>
      <c r="K40" s="22" t="inlineStr">
        <is>
          <t>Rendah</t>
        </is>
      </c>
    </row>
    <row r="41" s="1">
      <c r="A41" s="22">
        <f>RANDBETWEEN(2,164)</f>
        <v/>
      </c>
      <c r="B41" s="22">
        <f t="array" ref="B41"/>
        <v/>
      </c>
      <c r="C41" s="22">
        <f t="array" ref="C41"/>
        <v/>
      </c>
      <c r="D41" s="22">
        <f t="array" ref="D41"/>
        <v/>
      </c>
      <c r="E41" s="35" t="n"/>
      <c r="H41" s="22" t="n">
        <v>47</v>
      </c>
      <c r="I41" s="22" t="n">
        <v>19</v>
      </c>
      <c r="J41" s="22" t="n">
        <v>0</v>
      </c>
      <c r="K41" s="22" t="inlineStr">
        <is>
          <t>Sedang</t>
        </is>
      </c>
    </row>
    <row r="42" s="1">
      <c r="A42" s="22">
        <f>RANDBETWEEN(2,164)</f>
        <v/>
      </c>
      <c r="B42" s="22">
        <f t="array" ref="B42"/>
        <v/>
      </c>
      <c r="C42" s="22">
        <f t="array" ref="C42"/>
        <v/>
      </c>
      <c r="D42" s="22">
        <f t="array" ref="D42"/>
        <v/>
      </c>
      <c r="E42" s="35" t="n"/>
      <c r="H42" s="22" t="n">
        <v>130</v>
      </c>
      <c r="I42" s="22" t="n">
        <v>12</v>
      </c>
      <c r="J42" s="22" t="n">
        <v>0</v>
      </c>
      <c r="K42" s="22" t="inlineStr">
        <is>
          <t>Tinggi</t>
        </is>
      </c>
    </row>
    <row r="43" s="1">
      <c r="A43" s="22">
        <f>RANDBETWEEN(2,164)</f>
        <v/>
      </c>
      <c r="B43" s="22">
        <f t="array" ref="B43"/>
        <v/>
      </c>
      <c r="C43" s="22">
        <f t="array" ref="C43"/>
        <v/>
      </c>
      <c r="D43" s="22">
        <f t="array" ref="D43"/>
        <v/>
      </c>
      <c r="E43" s="35" t="n"/>
      <c r="H43" s="22" t="n">
        <v>146</v>
      </c>
      <c r="I43" s="22" t="n">
        <v>34</v>
      </c>
      <c r="J43" s="22" t="n">
        <v>1</v>
      </c>
      <c r="K43" s="22" t="inlineStr">
        <is>
          <t>Tinggi</t>
        </is>
      </c>
    </row>
    <row r="44" s="1">
      <c r="A44" s="22">
        <f>RANDBETWEEN(2,164)</f>
        <v/>
      </c>
      <c r="B44" s="22">
        <f t="array" ref="B44"/>
        <v/>
      </c>
      <c r="C44" s="22">
        <f t="array" ref="C44"/>
        <v/>
      </c>
      <c r="D44" s="22">
        <f t="array" ref="D44"/>
        <v/>
      </c>
      <c r="E44" s="35" t="n"/>
      <c r="H44" s="22" t="n">
        <v>149</v>
      </c>
      <c r="I44" s="22" t="n">
        <v>19</v>
      </c>
      <c r="J44" s="22" t="n">
        <v>0</v>
      </c>
      <c r="K44" s="22" t="inlineStr">
        <is>
          <t>Tinggi</t>
        </is>
      </c>
    </row>
    <row r="45" s="1">
      <c r="A45" s="22">
        <f>RANDBETWEEN(2,164)</f>
        <v/>
      </c>
      <c r="B45" s="22">
        <f t="array" ref="B45"/>
        <v/>
      </c>
      <c r="C45" s="22">
        <f t="array" ref="C45"/>
        <v/>
      </c>
      <c r="D45" s="22">
        <f t="array" ref="D45"/>
        <v/>
      </c>
      <c r="E45" s="35" t="n"/>
      <c r="H45" s="22" t="n">
        <v>50</v>
      </c>
      <c r="I45" s="22" t="n">
        <v>19</v>
      </c>
      <c r="J45" s="22" t="n">
        <v>0</v>
      </c>
      <c r="K45" s="22" t="inlineStr">
        <is>
          <t>Sedang</t>
        </is>
      </c>
    </row>
    <row r="46" s="1">
      <c r="A46" s="22">
        <f>RANDBETWEEN(2,164)</f>
        <v/>
      </c>
      <c r="B46" s="22">
        <f t="array" ref="B46"/>
        <v/>
      </c>
      <c r="C46" s="22">
        <f t="array" ref="C46"/>
        <v/>
      </c>
      <c r="D46" s="22">
        <f t="array" ref="D46"/>
        <v/>
      </c>
      <c r="E46" s="35" t="n"/>
      <c r="H46" s="22" t="n">
        <v>53</v>
      </c>
      <c r="I46" s="22" t="n">
        <v>35</v>
      </c>
      <c r="J46" s="22" t="n">
        <v>1</v>
      </c>
      <c r="K46" s="22" t="inlineStr">
        <is>
          <t>Sedang</t>
        </is>
      </c>
    </row>
    <row r="47" s="1">
      <c r="A47" s="22">
        <f>RANDBETWEEN(2,164)</f>
        <v/>
      </c>
      <c r="B47" s="22">
        <f t="array" ref="B47"/>
        <v/>
      </c>
      <c r="C47" s="22">
        <f t="array" ref="C47"/>
        <v/>
      </c>
      <c r="D47" s="22">
        <f t="array" ref="D47"/>
        <v/>
      </c>
      <c r="E47" s="35" t="n"/>
      <c r="H47" s="22" t="n">
        <v>153</v>
      </c>
      <c r="I47" s="22" t="n">
        <v>73</v>
      </c>
      <c r="J47" s="22" t="n">
        <v>1</v>
      </c>
      <c r="K47" s="22" t="inlineStr">
        <is>
          <t>Tinggi</t>
        </is>
      </c>
    </row>
    <row r="48" s="1">
      <c r="A48" s="22">
        <f>RANDBETWEEN(2,164)</f>
        <v/>
      </c>
      <c r="B48" s="22">
        <f t="array" ref="B48"/>
        <v/>
      </c>
      <c r="C48" s="22">
        <f t="array" ref="C48"/>
        <v/>
      </c>
      <c r="D48" s="22">
        <f t="array" ref="D48"/>
        <v/>
      </c>
      <c r="E48" s="35" t="n"/>
      <c r="H48" s="22" t="n">
        <v>93</v>
      </c>
      <c r="I48" s="22" t="n">
        <v>65</v>
      </c>
      <c r="J48" s="22" t="n">
        <v>0</v>
      </c>
      <c r="K48" s="22" t="inlineStr">
        <is>
          <t>Tinggi</t>
        </is>
      </c>
    </row>
    <row r="49" s="1">
      <c r="A49" s="22">
        <f>RANDBETWEEN(2,164)</f>
        <v/>
      </c>
      <c r="B49" s="22">
        <f t="array" ref="B49"/>
        <v/>
      </c>
      <c r="C49" s="22">
        <f t="array" ref="C49"/>
        <v/>
      </c>
      <c r="D49" s="22">
        <f t="array" ref="D49"/>
        <v/>
      </c>
      <c r="E49" s="35" t="n"/>
      <c r="H49" s="22" t="n">
        <v>119</v>
      </c>
      <c r="I49" s="22" t="n">
        <v>30</v>
      </c>
      <c r="J49" s="22" t="n">
        <v>0</v>
      </c>
      <c r="K49" s="22" t="inlineStr">
        <is>
          <t>Tinggi</t>
        </is>
      </c>
    </row>
    <row r="50" s="1">
      <c r="A50" s="22">
        <f>RANDBETWEEN(2,164)</f>
        <v/>
      </c>
      <c r="B50" s="22">
        <f t="array" ref="B50"/>
        <v/>
      </c>
      <c r="C50" s="22">
        <f t="array" ref="C50"/>
        <v/>
      </c>
      <c r="D50" s="22">
        <f t="array" ref="D50"/>
        <v/>
      </c>
      <c r="E50" s="35" t="n"/>
      <c r="H50" s="22" t="n">
        <v>130</v>
      </c>
      <c r="I50" s="22" t="n">
        <v>12</v>
      </c>
      <c r="J50" s="22" t="n">
        <v>0</v>
      </c>
      <c r="K50" s="22" t="inlineStr">
        <is>
          <t>Tinggi</t>
        </is>
      </c>
    </row>
    <row r="51" s="1">
      <c r="A51" s="22">
        <f>RANDBETWEEN(2,164)</f>
        <v/>
      </c>
      <c r="B51" s="22">
        <f t="array" ref="B51"/>
        <v/>
      </c>
      <c r="C51" s="22">
        <f t="array" ref="C51"/>
        <v/>
      </c>
      <c r="D51" s="22">
        <f t="array" ref="D51"/>
        <v/>
      </c>
      <c r="E51" s="35" t="n"/>
      <c r="H51" s="22" t="n">
        <v>18</v>
      </c>
      <c r="I51" s="22" t="n">
        <v>49</v>
      </c>
      <c r="J51" s="22" t="n">
        <v>1</v>
      </c>
      <c r="K51" s="22" t="inlineStr">
        <is>
          <t>Rendah</t>
        </is>
      </c>
    </row>
    <row r="52" s="1">
      <c r="A52" s="22">
        <f>RANDBETWEEN(2,164)</f>
        <v/>
      </c>
      <c r="B52" s="22">
        <f t="array" ref="B52"/>
        <v/>
      </c>
      <c r="C52" s="22">
        <f t="array" ref="C52"/>
        <v/>
      </c>
      <c r="D52" s="22">
        <f t="array" ref="D52"/>
        <v/>
      </c>
      <c r="E52" s="35" t="n"/>
      <c r="H52" s="22" t="n">
        <v>37</v>
      </c>
      <c r="I52" s="22" t="n">
        <v>28</v>
      </c>
      <c r="J52" s="22" t="n">
        <v>1</v>
      </c>
      <c r="K52" s="22" t="inlineStr">
        <is>
          <t>Rendah</t>
        </is>
      </c>
    </row>
    <row r="53" s="1">
      <c r="A53" s="22">
        <f>RANDBETWEEN(2,164)</f>
        <v/>
      </c>
      <c r="B53" s="22">
        <f t="array" ref="B53"/>
        <v/>
      </c>
      <c r="C53" s="22">
        <f t="array" ref="C53"/>
        <v/>
      </c>
      <c r="D53" s="22">
        <f t="array" ref="D53"/>
        <v/>
      </c>
      <c r="E53" s="35" t="n"/>
      <c r="H53" s="22" t="n">
        <v>126</v>
      </c>
      <c r="I53" s="22" t="n">
        <v>51</v>
      </c>
      <c r="J53" s="22" t="n">
        <v>1</v>
      </c>
      <c r="K53" s="22" t="inlineStr">
        <is>
          <t>Tinggi</t>
        </is>
      </c>
    </row>
    <row r="54" s="1">
      <c r="A54" s="22">
        <f>RANDBETWEEN(2,164)</f>
        <v/>
      </c>
      <c r="B54" s="22">
        <f t="array" ref="B54"/>
        <v/>
      </c>
      <c r="C54" s="22">
        <f t="array" ref="C54"/>
        <v/>
      </c>
      <c r="D54" s="22">
        <f t="array" ref="D54"/>
        <v/>
      </c>
      <c r="E54" s="35" t="n"/>
      <c r="H54" s="22" t="n">
        <v>104</v>
      </c>
      <c r="I54" s="22" t="n">
        <v>37</v>
      </c>
      <c r="J54" s="22" t="n">
        <v>1</v>
      </c>
      <c r="K54" s="22" t="inlineStr">
        <is>
          <t>Tinggi</t>
        </is>
      </c>
    </row>
    <row r="55" s="1">
      <c r="A55" s="22">
        <f>RANDBETWEEN(2,164)</f>
        <v/>
      </c>
      <c r="B55" s="22">
        <f t="array" ref="B55"/>
        <v/>
      </c>
      <c r="C55" s="22">
        <f t="array" ref="C55"/>
        <v/>
      </c>
      <c r="D55" s="22">
        <f t="array" ref="D55"/>
        <v/>
      </c>
      <c r="E55" s="35" t="n"/>
      <c r="H55" s="22" t="n">
        <v>12</v>
      </c>
      <c r="I55" s="22" t="n">
        <v>23</v>
      </c>
      <c r="J55" s="22" t="n">
        <v>0</v>
      </c>
      <c r="K55" s="22" t="inlineStr">
        <is>
          <t>Sedang</t>
        </is>
      </c>
    </row>
    <row r="56" s="1">
      <c r="A56" s="22">
        <f>RANDBETWEEN(2,164)</f>
        <v/>
      </c>
      <c r="B56" s="22">
        <f t="array" ref="B56"/>
        <v/>
      </c>
      <c r="C56" s="22">
        <f t="array" ref="C56"/>
        <v/>
      </c>
      <c r="D56" s="22">
        <f t="array" ref="D56"/>
        <v/>
      </c>
      <c r="E56" s="35" t="n"/>
      <c r="H56" s="22" t="n">
        <v>89</v>
      </c>
      <c r="I56" s="22" t="n">
        <v>32</v>
      </c>
      <c r="J56" s="22" t="n">
        <v>0</v>
      </c>
      <c r="K56" s="22" t="inlineStr">
        <is>
          <t>Sedang</t>
        </is>
      </c>
    </row>
    <row r="57" s="1">
      <c r="A57" s="22">
        <f>RANDBETWEEN(2,164)</f>
        <v/>
      </c>
      <c r="B57" s="22">
        <f t="array" ref="B57"/>
        <v/>
      </c>
      <c r="C57" s="22">
        <f t="array" ref="C57"/>
        <v/>
      </c>
      <c r="D57" s="22">
        <f t="array" ref="D57"/>
        <v/>
      </c>
      <c r="E57" s="35" t="n"/>
      <c r="H57" s="22" t="n">
        <v>94</v>
      </c>
      <c r="I57" s="22" t="n">
        <v>12</v>
      </c>
      <c r="J57" s="22" t="n">
        <v>0</v>
      </c>
      <c r="K57" s="22" t="inlineStr">
        <is>
          <t>Tinggi</t>
        </is>
      </c>
    </row>
    <row r="58" s="1">
      <c r="A58" s="22">
        <f>RANDBETWEEN(2,164)</f>
        <v/>
      </c>
      <c r="B58" s="22">
        <f t="array" ref="B58"/>
        <v/>
      </c>
      <c r="C58" s="22">
        <f t="array" ref="C58"/>
        <v/>
      </c>
      <c r="D58" s="22">
        <f t="array" ref="D58"/>
        <v/>
      </c>
      <c r="E58" s="35" t="n"/>
      <c r="H58" s="22" t="n">
        <v>40</v>
      </c>
      <c r="I58" s="22" t="n">
        <v>65</v>
      </c>
      <c r="J58" s="22" t="n">
        <v>1</v>
      </c>
      <c r="K58" s="22" t="inlineStr">
        <is>
          <t>Sedang</t>
        </is>
      </c>
    </row>
    <row r="59" s="1">
      <c r="A59" s="22">
        <f>RANDBETWEEN(2,164)</f>
        <v/>
      </c>
      <c r="B59" s="22">
        <f t="array" ref="B59"/>
        <v/>
      </c>
      <c r="C59" s="22">
        <f t="array" ref="C59"/>
        <v/>
      </c>
      <c r="D59" s="22">
        <f t="array" ref="D59"/>
        <v/>
      </c>
      <c r="E59" s="35" t="n"/>
      <c r="H59" s="22" t="n">
        <v>89</v>
      </c>
      <c r="I59" s="22" t="n">
        <v>32</v>
      </c>
      <c r="J59" s="22" t="n">
        <v>0</v>
      </c>
      <c r="K59" s="22" t="inlineStr">
        <is>
          <t>Sedang</t>
        </is>
      </c>
    </row>
    <row r="60" s="1">
      <c r="A60" s="22">
        <f>RANDBETWEEN(2,164)</f>
        <v/>
      </c>
      <c r="B60" s="22">
        <f t="array" ref="B60"/>
        <v/>
      </c>
      <c r="C60" s="22">
        <f t="array" ref="C60"/>
        <v/>
      </c>
      <c r="D60" s="22">
        <f t="array" ref="D60"/>
        <v/>
      </c>
      <c r="E60" s="35" t="n"/>
      <c r="H60" s="22" t="n">
        <v>88</v>
      </c>
      <c r="I60" s="22" t="n">
        <v>20</v>
      </c>
      <c r="J60" s="22" t="n">
        <v>1</v>
      </c>
      <c r="K60" s="22" t="inlineStr">
        <is>
          <t>Sedang</t>
        </is>
      </c>
    </row>
    <row r="61" s="1">
      <c r="A61" s="22">
        <f>RANDBETWEEN(2,164)</f>
        <v/>
      </c>
      <c r="B61" s="22">
        <f t="array" ref="B61"/>
        <v/>
      </c>
      <c r="C61" s="22">
        <f t="array" ref="C61"/>
        <v/>
      </c>
      <c r="D61" s="22">
        <f t="array" ref="D61"/>
        <v/>
      </c>
      <c r="E61" s="35" t="n"/>
      <c r="H61" s="22" t="n">
        <v>155</v>
      </c>
      <c r="I61" s="22" t="n">
        <v>19</v>
      </c>
      <c r="J61" s="22" t="n">
        <v>1</v>
      </c>
      <c r="K61" s="22" t="inlineStr">
        <is>
          <t>Tinggi</t>
        </is>
      </c>
    </row>
    <row r="62" s="1">
      <c r="A62" s="22">
        <f>RANDBETWEEN(2,164)</f>
        <v/>
      </c>
      <c r="B62" s="22">
        <f t="array" ref="B62"/>
        <v/>
      </c>
      <c r="C62" s="22">
        <f t="array" ref="C62"/>
        <v/>
      </c>
      <c r="D62" s="22">
        <f t="array" ref="D62"/>
        <v/>
      </c>
      <c r="E62" s="35" t="n"/>
      <c r="H62" s="22" t="n">
        <v>27</v>
      </c>
      <c r="I62" s="22" t="n">
        <v>37</v>
      </c>
      <c r="J62" s="22" t="n">
        <v>1</v>
      </c>
      <c r="K62" s="22" t="inlineStr">
        <is>
          <t>Sedang</t>
        </is>
      </c>
    </row>
    <row r="63" s="1">
      <c r="A63" s="22">
        <f>RANDBETWEEN(2,164)</f>
        <v/>
      </c>
      <c r="B63" s="22">
        <f t="array" ref="B63"/>
        <v/>
      </c>
      <c r="C63" s="22">
        <f t="array" ref="C63"/>
        <v/>
      </c>
      <c r="D63" s="22">
        <f t="array" ref="D63"/>
        <v/>
      </c>
      <c r="E63" s="35" t="n"/>
      <c r="H63" s="22" t="n">
        <v>57</v>
      </c>
      <c r="I63" s="22" t="n">
        <v>2</v>
      </c>
      <c r="J63" s="22" t="n">
        <v>1</v>
      </c>
      <c r="K63" s="22" t="inlineStr">
        <is>
          <t>Sedang</t>
        </is>
      </c>
    </row>
    <row r="64" s="1">
      <c r="A64" s="22">
        <f>RANDBETWEEN(2,164)</f>
        <v/>
      </c>
      <c r="B64" s="22">
        <f t="array" ref="B64"/>
        <v/>
      </c>
      <c r="C64" s="22">
        <f t="array" ref="C64"/>
        <v/>
      </c>
      <c r="D64" s="22">
        <f t="array" ref="D64"/>
        <v/>
      </c>
      <c r="E64" s="35" t="n"/>
      <c r="H64" s="22" t="n">
        <v>53</v>
      </c>
      <c r="I64" s="22" t="n">
        <v>35</v>
      </c>
      <c r="J64" s="22" t="n">
        <v>1</v>
      </c>
      <c r="K64" s="22" t="inlineStr">
        <is>
          <t>Sedang</t>
        </is>
      </c>
    </row>
    <row r="65" s="1">
      <c r="A65" s="22">
        <f>RANDBETWEEN(2,164)</f>
        <v/>
      </c>
      <c r="B65" s="22">
        <f t="array" ref="B65"/>
        <v/>
      </c>
      <c r="C65" s="22">
        <f t="array" ref="C65"/>
        <v/>
      </c>
      <c r="D65" s="22">
        <f t="array" ref="D65"/>
        <v/>
      </c>
      <c r="E65" s="35" t="n"/>
      <c r="H65" s="22" t="n">
        <v>154</v>
      </c>
      <c r="I65" s="22" t="n">
        <v>18</v>
      </c>
      <c r="J65" s="22" t="n">
        <v>1</v>
      </c>
      <c r="K65" s="22" t="inlineStr">
        <is>
          <t>Tinggi</t>
        </is>
      </c>
    </row>
    <row r="66" s="1">
      <c r="A66" s="22">
        <f>RANDBETWEEN(2,164)</f>
        <v/>
      </c>
      <c r="B66" s="22">
        <f t="array" ref="B66"/>
        <v/>
      </c>
      <c r="C66" s="22">
        <f t="array" ref="C66"/>
        <v/>
      </c>
      <c r="D66" s="22">
        <f t="array" ref="D66"/>
        <v/>
      </c>
      <c r="E66" s="35" t="n"/>
      <c r="H66" s="22" t="n">
        <v>57</v>
      </c>
      <c r="I66" s="22" t="n">
        <v>2</v>
      </c>
      <c r="J66" s="22" t="n">
        <v>1</v>
      </c>
      <c r="K66" s="22" t="inlineStr">
        <is>
          <t>Sedang</t>
        </is>
      </c>
    </row>
    <row r="67" s="1">
      <c r="A67" s="22">
        <f>RANDBETWEEN(2,164)</f>
        <v/>
      </c>
      <c r="B67" s="22">
        <f t="array" ref="B67"/>
        <v/>
      </c>
      <c r="C67" s="22">
        <f t="array" ref="C67"/>
        <v/>
      </c>
      <c r="D67" s="22">
        <f t="array" ref="D67"/>
        <v/>
      </c>
      <c r="E67" s="35" t="n"/>
      <c r="H67" s="22" t="n">
        <v>142</v>
      </c>
      <c r="I67" s="22" t="n">
        <v>39</v>
      </c>
      <c r="J67" s="22" t="n">
        <v>1</v>
      </c>
      <c r="K67" s="22" t="inlineStr">
        <is>
          <t>Tinggi</t>
        </is>
      </c>
    </row>
    <row r="68" s="1">
      <c r="A68" s="22">
        <f>RANDBETWEEN(2,164)</f>
        <v/>
      </c>
      <c r="B68" s="22">
        <f t="array" ref="B68"/>
        <v/>
      </c>
      <c r="C68" s="22">
        <f t="array" ref="C68"/>
        <v/>
      </c>
      <c r="D68" s="22">
        <f t="array" ref="D68"/>
        <v/>
      </c>
      <c r="E68" s="35" t="n"/>
      <c r="H68" s="22" t="n">
        <v>17</v>
      </c>
      <c r="I68" s="22" t="n">
        <v>2</v>
      </c>
      <c r="J68" s="22" t="n">
        <v>0</v>
      </c>
      <c r="K68" s="22" t="inlineStr">
        <is>
          <t>Rendah</t>
        </is>
      </c>
    </row>
    <row r="69" s="1">
      <c r="A69" s="22">
        <f>RANDBETWEEN(2,164)</f>
        <v/>
      </c>
      <c r="B69" s="22">
        <f t="array" ref="B69"/>
        <v/>
      </c>
      <c r="C69" s="22">
        <f t="array" ref="C69"/>
        <v/>
      </c>
      <c r="D69" s="22">
        <f t="array" ref="D69"/>
        <v/>
      </c>
      <c r="E69" s="35" t="n"/>
      <c r="H69" s="22" t="n">
        <v>116</v>
      </c>
      <c r="I69" s="22" t="n">
        <v>32</v>
      </c>
      <c r="J69" s="22" t="n">
        <v>1</v>
      </c>
      <c r="K69" s="22" t="inlineStr">
        <is>
          <t>Tinggi</t>
        </is>
      </c>
    </row>
    <row r="70" s="1">
      <c r="A70" s="22">
        <f>RANDBETWEEN(2,164)</f>
        <v/>
      </c>
      <c r="B70" s="22">
        <f t="array" ref="B70"/>
        <v/>
      </c>
      <c r="C70" s="22">
        <f t="array" ref="C70"/>
        <v/>
      </c>
      <c r="D70" s="22">
        <f t="array" ref="D70"/>
        <v/>
      </c>
      <c r="E70" s="35" t="n"/>
      <c r="H70" s="22" t="n">
        <v>52</v>
      </c>
      <c r="I70" s="22" t="n">
        <v>59</v>
      </c>
      <c r="J70" s="22" t="n">
        <v>1</v>
      </c>
      <c r="K70" s="22" t="inlineStr">
        <is>
          <t>Sedang</t>
        </is>
      </c>
    </row>
    <row r="71" s="1">
      <c r="A71" s="22">
        <f>RANDBETWEEN(2,164)</f>
        <v/>
      </c>
      <c r="B71" s="22">
        <f t="array" ref="B71"/>
        <v/>
      </c>
      <c r="C71" s="22">
        <f t="array" ref="C71"/>
        <v/>
      </c>
      <c r="D71" s="22">
        <f t="array" ref="D71"/>
        <v/>
      </c>
      <c r="E71" s="35" t="n"/>
      <c r="H71" s="22" t="n">
        <v>20</v>
      </c>
      <c r="I71" s="22" t="n">
        <v>15</v>
      </c>
      <c r="J71" s="22" t="n">
        <v>0</v>
      </c>
      <c r="K71" s="22" t="inlineStr">
        <is>
          <t>Rendah</t>
        </is>
      </c>
    </row>
    <row r="72" s="1">
      <c r="A72" s="22">
        <f>RANDBETWEEN(2,164)</f>
        <v/>
      </c>
      <c r="B72" s="22">
        <f t="array" ref="B72"/>
        <v/>
      </c>
      <c r="C72" s="22">
        <f t="array" ref="C72"/>
        <v/>
      </c>
      <c r="D72" s="22">
        <f t="array" ref="D72"/>
        <v/>
      </c>
      <c r="E72" s="35" t="n"/>
      <c r="H72" s="22" t="n">
        <v>160</v>
      </c>
      <c r="I72" s="22" t="n">
        <v>16</v>
      </c>
      <c r="J72" s="22" t="n">
        <v>0</v>
      </c>
      <c r="K72" s="22" t="inlineStr">
        <is>
          <t>Tinggi</t>
        </is>
      </c>
    </row>
    <row r="73" s="1">
      <c r="A73" s="22">
        <f>RANDBETWEEN(2,164)</f>
        <v/>
      </c>
      <c r="B73" s="22">
        <f t="array" ref="B73"/>
        <v/>
      </c>
      <c r="C73" s="22">
        <f t="array" ref="C73"/>
        <v/>
      </c>
      <c r="D73" s="22">
        <f t="array" ref="D73"/>
        <v/>
      </c>
      <c r="E73" s="35" t="n"/>
      <c r="H73" s="22" t="n">
        <v>30</v>
      </c>
      <c r="I73" s="22" t="n">
        <v>3</v>
      </c>
      <c r="J73" s="22" t="n">
        <v>1</v>
      </c>
      <c r="K73" s="22" t="inlineStr">
        <is>
          <t>Sedang</t>
        </is>
      </c>
    </row>
    <row r="74" s="1">
      <c r="A74" s="22">
        <f>RANDBETWEEN(2,164)</f>
        <v/>
      </c>
      <c r="B74" s="22">
        <f t="array" ref="B74"/>
        <v/>
      </c>
      <c r="C74" s="22">
        <f t="array" ref="C74"/>
        <v/>
      </c>
      <c r="D74" s="22">
        <f t="array" ref="D74"/>
        <v/>
      </c>
      <c r="E74" s="35" t="n"/>
      <c r="H74" s="22" t="n">
        <v>121</v>
      </c>
      <c r="I74" s="22" t="n">
        <v>82</v>
      </c>
      <c r="J74" s="22" t="n">
        <v>1</v>
      </c>
      <c r="K74" s="22" t="inlineStr">
        <is>
          <t>Tinggi</t>
        </is>
      </c>
    </row>
    <row r="75" s="1">
      <c r="A75" s="22">
        <f>RANDBETWEEN(2,164)</f>
        <v/>
      </c>
      <c r="B75" s="22">
        <f t="array" ref="B75"/>
        <v/>
      </c>
      <c r="C75" s="22">
        <f t="array" ref="C75"/>
        <v/>
      </c>
      <c r="D75" s="22">
        <f t="array" ref="D75"/>
        <v/>
      </c>
      <c r="E75" s="35" t="n"/>
      <c r="H75" s="22" t="n">
        <v>113</v>
      </c>
      <c r="I75" s="22" t="n">
        <v>69</v>
      </c>
      <c r="J75" s="22" t="n">
        <v>1</v>
      </c>
      <c r="K75" s="22" t="inlineStr">
        <is>
          <t>Tinggi</t>
        </is>
      </c>
    </row>
    <row r="76" s="1">
      <c r="A76" s="22">
        <f>RANDBETWEEN(2,164)</f>
        <v/>
      </c>
      <c r="B76" s="22">
        <f t="array" ref="B76"/>
        <v/>
      </c>
      <c r="C76" s="22">
        <f t="array" ref="C76"/>
        <v/>
      </c>
      <c r="D76" s="22">
        <f t="array" ref="D76"/>
        <v/>
      </c>
      <c r="E76" s="35" t="n"/>
      <c r="H76" s="22" t="n">
        <v>157</v>
      </c>
      <c r="I76" s="22" t="n">
        <v>15</v>
      </c>
      <c r="J76" s="22" t="n">
        <v>1</v>
      </c>
      <c r="K76" s="22" t="inlineStr">
        <is>
          <t>Tinggi</t>
        </is>
      </c>
    </row>
    <row r="77" s="1">
      <c r="A77" s="22">
        <f>RANDBETWEEN(2,164)</f>
        <v/>
      </c>
      <c r="B77" s="22">
        <f t="array" ref="B77"/>
        <v/>
      </c>
      <c r="C77" s="22">
        <f t="array" ref="C77"/>
        <v/>
      </c>
      <c r="D77" s="22">
        <f t="array" ref="D77"/>
        <v/>
      </c>
      <c r="E77" s="35" t="n"/>
      <c r="H77" s="22" t="n">
        <v>97</v>
      </c>
      <c r="I77" s="22" t="n">
        <v>16</v>
      </c>
      <c r="J77" s="22" t="n">
        <v>1</v>
      </c>
      <c r="K77" s="22" t="inlineStr">
        <is>
          <t>Tinggi</t>
        </is>
      </c>
    </row>
    <row r="78" s="1">
      <c r="A78" s="22">
        <f>RANDBETWEEN(2,164)</f>
        <v/>
      </c>
      <c r="B78" s="22">
        <f t="array" ref="B78"/>
        <v/>
      </c>
      <c r="C78" s="22">
        <f t="array" ref="C78"/>
        <v/>
      </c>
      <c r="D78" s="22">
        <f t="array" ref="D78"/>
        <v/>
      </c>
      <c r="E78" s="35" t="n"/>
      <c r="H78" s="22" t="n">
        <v>164</v>
      </c>
      <c r="I78" s="22" t="n">
        <v>10</v>
      </c>
      <c r="J78" s="22" t="n">
        <v>0</v>
      </c>
      <c r="K78" s="22" t="inlineStr">
        <is>
          <t>Rendah</t>
        </is>
      </c>
    </row>
    <row r="79" s="1">
      <c r="A79" s="22">
        <f>RANDBETWEEN(2,164)</f>
        <v/>
      </c>
      <c r="B79" s="22">
        <f t="array" ref="B79"/>
        <v/>
      </c>
      <c r="C79" s="22">
        <f t="array" ref="C79"/>
        <v/>
      </c>
      <c r="D79" s="22">
        <f t="array" ref="D79"/>
        <v/>
      </c>
      <c r="E79" s="35" t="n"/>
      <c r="H79" s="22" t="n">
        <v>36</v>
      </c>
      <c r="I79" s="22" t="n">
        <v>27</v>
      </c>
      <c r="J79" s="22" t="n">
        <v>1</v>
      </c>
      <c r="K79" s="22" t="inlineStr">
        <is>
          <t>Rendah</t>
        </is>
      </c>
    </row>
    <row r="80" s="1">
      <c r="A80" s="22">
        <f>RANDBETWEEN(2,164)</f>
        <v/>
      </c>
      <c r="B80" s="22">
        <f t="array" ref="B80"/>
        <v/>
      </c>
      <c r="C80" s="22">
        <f t="array" ref="C80"/>
        <v/>
      </c>
      <c r="D80" s="22">
        <f t="array" ref="D80"/>
        <v/>
      </c>
      <c r="E80" s="35" t="n"/>
      <c r="H80" s="22" t="n">
        <v>7</v>
      </c>
      <c r="I80" s="22" t="n">
        <v>12</v>
      </c>
      <c r="J80" s="22" t="n">
        <v>1</v>
      </c>
      <c r="K80" s="22" t="inlineStr">
        <is>
          <t>Sedang</t>
        </is>
      </c>
    </row>
    <row r="81" s="1">
      <c r="A81" s="22">
        <f>RANDBETWEEN(2,164)</f>
        <v/>
      </c>
      <c r="B81" s="22">
        <f t="array" ref="B81"/>
        <v/>
      </c>
      <c r="C81" s="22">
        <f t="array" ref="C81"/>
        <v/>
      </c>
      <c r="D81" s="22">
        <f t="array" ref="D81"/>
        <v/>
      </c>
      <c r="E81" s="35" t="n"/>
      <c r="H81" s="22" t="n">
        <v>77</v>
      </c>
      <c r="I81" s="22" t="n">
        <v>16</v>
      </c>
      <c r="J81" s="22" t="n">
        <v>1</v>
      </c>
      <c r="K81" s="22" t="inlineStr">
        <is>
          <t>Sedang</t>
        </is>
      </c>
    </row>
    <row r="82" s="1">
      <c r="A82" s="22">
        <f>RANDBETWEEN(2,164)</f>
        <v/>
      </c>
      <c r="B82" s="22">
        <f t="array" ref="B82"/>
        <v/>
      </c>
      <c r="C82" s="22">
        <f t="array" ref="C82"/>
        <v/>
      </c>
      <c r="D82" s="22">
        <f t="array" ref="D82"/>
        <v/>
      </c>
      <c r="E82" s="35" t="n"/>
      <c r="H82" s="22" t="n">
        <v>59</v>
      </c>
      <c r="I82" s="22" t="n">
        <v>28</v>
      </c>
      <c r="J82" s="22" t="n">
        <v>0</v>
      </c>
      <c r="K82" s="22" t="inlineStr">
        <is>
          <t>Sedang</t>
        </is>
      </c>
    </row>
    <row r="83" s="1">
      <c r="A83" s="22">
        <f>RANDBETWEEN(2,164)</f>
        <v/>
      </c>
      <c r="B83" s="22">
        <f t="array" ref="B83"/>
        <v/>
      </c>
      <c r="C83" s="22">
        <f t="array" ref="C83"/>
        <v/>
      </c>
      <c r="D83" s="22">
        <f t="array" ref="D83"/>
        <v/>
      </c>
      <c r="E83" s="35" t="n"/>
      <c r="H83" s="22" t="n">
        <v>48</v>
      </c>
      <c r="I83" s="22" t="n">
        <v>50</v>
      </c>
      <c r="J83" s="22" t="n">
        <v>1</v>
      </c>
      <c r="K83" s="22" t="inlineStr">
        <is>
          <t>Sedang</t>
        </is>
      </c>
    </row>
    <row r="84" s="1">
      <c r="A84" s="22">
        <f>RANDBETWEEN(2,164)</f>
        <v/>
      </c>
      <c r="B84" s="22">
        <f t="array" ref="B84"/>
        <v/>
      </c>
      <c r="C84" s="22">
        <f t="array" ref="C84"/>
        <v/>
      </c>
      <c r="D84" s="22">
        <f t="array" ref="D84"/>
        <v/>
      </c>
      <c r="E84" s="35" t="n"/>
      <c r="H84" s="22" t="n">
        <v>42</v>
      </c>
      <c r="I84" s="22" t="n">
        <v>21</v>
      </c>
      <c r="J84" s="22" t="n">
        <v>1</v>
      </c>
      <c r="K84" s="22" t="inlineStr">
        <is>
          <t>Sedang</t>
        </is>
      </c>
    </row>
    <row r="85" s="1">
      <c r="A85" s="22">
        <f>RANDBETWEEN(2,164)</f>
        <v/>
      </c>
      <c r="B85" s="22">
        <f t="array" ref="B85"/>
        <v/>
      </c>
      <c r="C85" s="22">
        <f t="array" ref="C85"/>
        <v/>
      </c>
      <c r="D85" s="22">
        <f t="array" ref="D85"/>
        <v/>
      </c>
      <c r="E85" s="35" t="n"/>
      <c r="H85" s="22" t="n">
        <v>32</v>
      </c>
      <c r="I85" s="22" t="n">
        <v>54</v>
      </c>
      <c r="J85" s="22" t="n">
        <v>0</v>
      </c>
      <c r="K85" s="22" t="inlineStr">
        <is>
          <t>Sedang</t>
        </is>
      </c>
    </row>
    <row r="86" s="1">
      <c r="A86" s="22">
        <f>RANDBETWEEN(2,164)</f>
        <v/>
      </c>
      <c r="B86" s="22">
        <f t="array" ref="B86"/>
        <v/>
      </c>
      <c r="C86" s="22">
        <f t="array" ref="C86"/>
        <v/>
      </c>
      <c r="D86" s="22">
        <f t="array" ref="D86"/>
        <v/>
      </c>
      <c r="E86" s="35" t="n"/>
      <c r="H86" s="22" t="n">
        <v>16</v>
      </c>
      <c r="I86" s="22" t="n">
        <v>66</v>
      </c>
      <c r="J86" s="22" t="n">
        <v>1</v>
      </c>
      <c r="K86" s="22" t="inlineStr">
        <is>
          <t>Rendah</t>
        </is>
      </c>
    </row>
    <row r="87" s="1">
      <c r="A87" s="22">
        <f>RANDBETWEEN(2,164)</f>
        <v/>
      </c>
      <c r="B87" s="22">
        <f t="array" ref="B87"/>
        <v/>
      </c>
      <c r="C87" s="22">
        <f t="array" ref="C87"/>
        <v/>
      </c>
      <c r="D87" s="22">
        <f t="array" ref="D87"/>
        <v/>
      </c>
      <c r="E87" s="35" t="n"/>
      <c r="H87" s="22" t="n">
        <v>120</v>
      </c>
      <c r="I87" s="22" t="n">
        <v>26</v>
      </c>
      <c r="J87" s="22" t="n">
        <v>1</v>
      </c>
      <c r="K87" s="22" t="inlineStr">
        <is>
          <t>Tinggi</t>
        </is>
      </c>
    </row>
    <row r="88" s="1">
      <c r="A88" s="22">
        <f>RANDBETWEEN(2,164)</f>
        <v/>
      </c>
      <c r="B88" s="22">
        <f t="array" ref="B88"/>
        <v/>
      </c>
      <c r="C88" s="22">
        <f t="array" ref="C88"/>
        <v/>
      </c>
      <c r="D88" s="22">
        <f t="array" ref="D88"/>
        <v/>
      </c>
      <c r="E88" s="35" t="n"/>
      <c r="H88" s="22" t="n">
        <v>64</v>
      </c>
      <c r="I88" s="22" t="n">
        <v>35</v>
      </c>
      <c r="J88" s="22" t="n">
        <v>0</v>
      </c>
      <c r="K88" s="22" t="inlineStr">
        <is>
          <t>Sedang</t>
        </is>
      </c>
    </row>
    <row r="89" s="1">
      <c r="A89" s="22">
        <f>RANDBETWEEN(2,164)</f>
        <v/>
      </c>
      <c r="B89" s="22">
        <f t="array" ref="B89"/>
        <v/>
      </c>
      <c r="C89" s="22">
        <f t="array" ref="C89"/>
        <v/>
      </c>
      <c r="D89" s="22">
        <f t="array" ref="D89"/>
        <v/>
      </c>
      <c r="E89" s="35" t="n"/>
      <c r="H89" s="22" t="n">
        <v>71</v>
      </c>
      <c r="I89" s="22" t="n">
        <v>84</v>
      </c>
      <c r="J89" s="22" t="n">
        <v>0</v>
      </c>
      <c r="K89" s="22" t="inlineStr">
        <is>
          <t>Sedang</t>
        </is>
      </c>
    </row>
    <row r="90" s="1">
      <c r="A90" s="22">
        <f>RANDBETWEEN(2,164)</f>
        <v/>
      </c>
      <c r="B90" s="22">
        <f t="array" ref="B90"/>
        <v/>
      </c>
      <c r="C90" s="22">
        <f t="array" ref="C90"/>
        <v/>
      </c>
      <c r="D90" s="22">
        <f t="array" ref="D90"/>
        <v/>
      </c>
      <c r="E90" s="35" t="n"/>
      <c r="H90" s="22" t="n">
        <v>137</v>
      </c>
      <c r="I90" s="22" t="n">
        <v>3</v>
      </c>
      <c r="J90" s="22" t="n">
        <v>1</v>
      </c>
      <c r="K90" s="22" t="inlineStr">
        <is>
          <t>Tinggi</t>
        </is>
      </c>
    </row>
    <row r="91" s="1">
      <c r="A91" s="22">
        <f>RANDBETWEEN(2,164)</f>
        <v/>
      </c>
      <c r="B91" s="22">
        <f t="array" ref="B91"/>
        <v/>
      </c>
      <c r="C91" s="22">
        <f t="array" ref="C91"/>
        <v/>
      </c>
      <c r="D91" s="22">
        <f t="array" ref="D91"/>
        <v/>
      </c>
      <c r="E91" s="35" t="n"/>
      <c r="H91" s="22" t="n">
        <v>57</v>
      </c>
      <c r="I91" s="22" t="n">
        <v>2</v>
      </c>
      <c r="J91" s="22" t="n">
        <v>1</v>
      </c>
      <c r="K91" s="22" t="inlineStr">
        <is>
          <t>Sedang</t>
        </is>
      </c>
    </row>
    <row r="92" s="1">
      <c r="A92" s="22">
        <f>RANDBETWEEN(2,164)</f>
        <v/>
      </c>
      <c r="B92" s="22">
        <f t="array" ref="B92"/>
        <v/>
      </c>
      <c r="C92" s="22">
        <f t="array" ref="C92"/>
        <v/>
      </c>
      <c r="D92" s="22">
        <f t="array" ref="D92"/>
        <v/>
      </c>
      <c r="E92" s="35" t="n"/>
      <c r="H92" s="22" t="n">
        <v>132</v>
      </c>
      <c r="I92" s="22" t="n">
        <v>10</v>
      </c>
      <c r="J92" s="22" t="n">
        <v>1</v>
      </c>
      <c r="K92" s="22" t="inlineStr">
        <is>
          <t>Tinggi</t>
        </is>
      </c>
    </row>
    <row r="93" s="1">
      <c r="A93" s="22">
        <f>RANDBETWEEN(2,164)</f>
        <v/>
      </c>
      <c r="B93" s="22">
        <f t="array" ref="B93"/>
        <v/>
      </c>
      <c r="C93" s="22">
        <f t="array" ref="C93"/>
        <v/>
      </c>
      <c r="D93" s="22">
        <f t="array" ref="D93"/>
        <v/>
      </c>
      <c r="E93" s="35" t="n"/>
      <c r="H93" s="22" t="n">
        <v>106</v>
      </c>
      <c r="I93" s="22" t="n">
        <v>23</v>
      </c>
      <c r="J93" s="22" t="n">
        <v>1</v>
      </c>
      <c r="K93" s="22" t="inlineStr">
        <is>
          <t>Tinggi</t>
        </is>
      </c>
    </row>
    <row r="94" s="1">
      <c r="A94" s="22">
        <f>RANDBETWEEN(2,164)</f>
        <v/>
      </c>
      <c r="B94" s="22">
        <f t="array" ref="B94"/>
        <v/>
      </c>
      <c r="C94" s="22">
        <f t="array" ref="C94"/>
        <v/>
      </c>
      <c r="D94" s="22">
        <f t="array" ref="D94"/>
        <v/>
      </c>
      <c r="E94" s="35" t="n"/>
      <c r="H94" s="22" t="n">
        <v>106</v>
      </c>
      <c r="I94" s="22" t="n">
        <v>23</v>
      </c>
      <c r="J94" s="22" t="n">
        <v>1</v>
      </c>
      <c r="K94" s="22" t="inlineStr">
        <is>
          <t>Tinggi</t>
        </is>
      </c>
    </row>
    <row r="95" s="1">
      <c r="A95" s="22">
        <f>RANDBETWEEN(2,164)</f>
        <v/>
      </c>
      <c r="B95" s="22">
        <f t="array" ref="B95"/>
        <v/>
      </c>
      <c r="C95" s="22">
        <f t="array" ref="C95"/>
        <v/>
      </c>
      <c r="D95" s="22">
        <f t="array" ref="D95"/>
        <v/>
      </c>
      <c r="E95" s="35" t="n"/>
      <c r="H95" s="22" t="n">
        <v>111</v>
      </c>
      <c r="I95" s="22" t="n">
        <v>25</v>
      </c>
      <c r="J95" s="22" t="n">
        <v>0</v>
      </c>
      <c r="K95" s="22" t="inlineStr">
        <is>
          <t>Tinggi</t>
        </is>
      </c>
    </row>
    <row r="96" s="1">
      <c r="A96" s="22">
        <f>RANDBETWEEN(2,164)</f>
        <v/>
      </c>
      <c r="B96" s="22">
        <f t="array" ref="B96"/>
        <v/>
      </c>
      <c r="C96" s="22">
        <f t="array" ref="C96"/>
        <v/>
      </c>
      <c r="D96" s="22">
        <f t="array" ref="D96"/>
        <v/>
      </c>
      <c r="E96" s="35" t="n"/>
      <c r="H96" s="22" t="n">
        <v>22</v>
      </c>
      <c r="I96" s="22" t="n">
        <v>6</v>
      </c>
      <c r="J96" s="22" t="n">
        <v>0</v>
      </c>
      <c r="K96" s="22" t="inlineStr">
        <is>
          <t>Sedang</t>
        </is>
      </c>
    </row>
    <row r="97" s="1">
      <c r="A97" s="22">
        <f>RANDBETWEEN(2,164)</f>
        <v/>
      </c>
      <c r="B97" s="22">
        <f t="array" ref="B97"/>
        <v/>
      </c>
      <c r="C97" s="22">
        <f t="array" ref="C97"/>
        <v/>
      </c>
      <c r="D97" s="22">
        <f t="array" ref="D97"/>
        <v/>
      </c>
      <c r="E97" s="35" t="n"/>
      <c r="H97" s="22" t="n">
        <v>63</v>
      </c>
      <c r="I97" s="22" t="n">
        <v>25</v>
      </c>
      <c r="J97" s="22" t="n">
        <v>0</v>
      </c>
      <c r="K97" s="22" t="inlineStr">
        <is>
          <t>Sedang</t>
        </is>
      </c>
    </row>
    <row r="98" s="1">
      <c r="A98" s="22">
        <f>RANDBETWEEN(2,164)</f>
        <v/>
      </c>
      <c r="B98" s="22">
        <f t="array" ref="B98"/>
        <v/>
      </c>
      <c r="C98" s="22">
        <f t="array" ref="C98"/>
        <v/>
      </c>
      <c r="D98" s="22">
        <f t="array" ref="D98"/>
        <v/>
      </c>
      <c r="E98" s="35" t="n"/>
      <c r="H98" s="22" t="n">
        <v>164</v>
      </c>
      <c r="I98" s="22" t="n">
        <v>10</v>
      </c>
      <c r="J98" s="22" t="n">
        <v>0</v>
      </c>
      <c r="K98" s="22" t="inlineStr">
        <is>
          <t>Rendah</t>
        </is>
      </c>
    </row>
    <row r="99" s="1">
      <c r="A99" s="22">
        <f>RANDBETWEEN(2,164)</f>
        <v/>
      </c>
      <c r="B99" s="22">
        <f t="array" ref="B99"/>
        <v/>
      </c>
      <c r="C99" s="22">
        <f t="array" ref="C99"/>
        <v/>
      </c>
      <c r="D99" s="22">
        <f t="array" ref="D99"/>
        <v/>
      </c>
      <c r="E99" s="35" t="n"/>
      <c r="H99" s="22" t="n">
        <v>2</v>
      </c>
      <c r="I99" s="22" t="n">
        <v>34</v>
      </c>
      <c r="J99" s="22" t="n">
        <v>0</v>
      </c>
      <c r="K99" s="22" t="inlineStr">
        <is>
          <t>Sedang</t>
        </is>
      </c>
    </row>
    <row r="100" s="1">
      <c r="A100" s="22">
        <f>RANDBETWEEN(2,164)</f>
        <v/>
      </c>
      <c r="B100" s="22">
        <f t="array" ref="B100"/>
        <v/>
      </c>
      <c r="C100" s="22">
        <f t="array" ref="C100"/>
        <v/>
      </c>
      <c r="D100" s="22">
        <f t="array" ref="D100"/>
        <v/>
      </c>
      <c r="E100" s="35" t="n"/>
      <c r="H100" s="22" t="n">
        <v>18</v>
      </c>
      <c r="I100" s="22" t="n">
        <v>49</v>
      </c>
      <c r="J100" s="22" t="n">
        <v>1</v>
      </c>
      <c r="K100" s="22" t="inlineStr">
        <is>
          <t>Rendah</t>
        </is>
      </c>
    </row>
    <row r="101" s="1">
      <c r="A101" s="22">
        <f>RANDBETWEEN(2,164)</f>
        <v/>
      </c>
      <c r="B101" s="22">
        <f t="array" ref="B101"/>
        <v/>
      </c>
      <c r="C101" s="22">
        <f t="array" ref="C101"/>
        <v/>
      </c>
      <c r="D101" s="22">
        <f t="array" ref="D101"/>
        <v/>
      </c>
      <c r="E101" s="35" t="n"/>
      <c r="H101" s="22" t="n">
        <v>43</v>
      </c>
      <c r="I101" s="22" t="n">
        <v>15</v>
      </c>
      <c r="J101" s="22" t="n">
        <v>0</v>
      </c>
      <c r="K101" s="22" t="inlineStr">
        <is>
          <t>Sedang</t>
        </is>
      </c>
    </row>
    <row r="102" s="1">
      <c r="A102" s="22">
        <f>RANDBETWEEN(2,164)</f>
        <v/>
      </c>
      <c r="B102" s="22">
        <f t="array" ref="B102"/>
        <v/>
      </c>
      <c r="C102" s="22">
        <f t="array" ref="C102"/>
        <v/>
      </c>
      <c r="D102" s="22">
        <f t="array" ref="D102"/>
        <v/>
      </c>
      <c r="E102" s="35" t="n"/>
      <c r="H102" s="22" t="n">
        <v>147</v>
      </c>
      <c r="I102" s="22" t="n">
        <v>66</v>
      </c>
      <c r="J102" s="22" t="n">
        <v>1</v>
      </c>
      <c r="K102" s="22" t="inlineStr">
        <is>
          <t>Tinggi</t>
        </is>
      </c>
    </row>
    <row r="103" s="1">
      <c r="A103" s="22">
        <f>RANDBETWEEN(2,164)</f>
        <v/>
      </c>
      <c r="B103" s="22">
        <f t="array" ref="B103"/>
        <v/>
      </c>
      <c r="C103" s="22">
        <f t="array" ref="C103"/>
        <v/>
      </c>
      <c r="D103" s="22">
        <f t="array" ref="D103"/>
        <v/>
      </c>
      <c r="E103" s="35" t="n"/>
      <c r="H103" s="22" t="n">
        <v>143</v>
      </c>
      <c r="I103" s="22" t="n">
        <v>20</v>
      </c>
      <c r="J103" s="22" t="n">
        <v>1</v>
      </c>
      <c r="K103" s="22" t="inlineStr">
        <is>
          <t>Tinggi</t>
        </is>
      </c>
    </row>
    <row r="104" s="1">
      <c r="A104" s="22">
        <f>RANDBETWEEN(2,164)</f>
        <v/>
      </c>
      <c r="B104" s="22">
        <f t="array" ref="B104"/>
        <v/>
      </c>
      <c r="C104" s="22">
        <f t="array" ref="C104"/>
        <v/>
      </c>
      <c r="D104" s="22">
        <f t="array" ref="D104"/>
        <v/>
      </c>
      <c r="E104" s="35" t="n"/>
      <c r="H104" s="22" t="n">
        <v>142</v>
      </c>
      <c r="I104" s="22" t="n">
        <v>39</v>
      </c>
      <c r="J104" s="22" t="n">
        <v>1</v>
      </c>
      <c r="K104" s="22" t="inlineStr">
        <is>
          <t>Tinggi</t>
        </is>
      </c>
    </row>
    <row r="105" s="1">
      <c r="A105" s="22">
        <f>RANDBETWEEN(2,164)</f>
        <v/>
      </c>
      <c r="B105" s="22">
        <f t="array" ref="B105"/>
        <v/>
      </c>
      <c r="C105" s="22">
        <f t="array" ref="C105"/>
        <v/>
      </c>
      <c r="D105" s="22">
        <f t="array" ref="D105"/>
        <v/>
      </c>
      <c r="E105" s="35" t="n"/>
      <c r="H105" s="22" t="n">
        <v>63</v>
      </c>
      <c r="I105" s="22" t="n">
        <v>25</v>
      </c>
      <c r="J105" s="22" t="n">
        <v>0</v>
      </c>
      <c r="K105" s="22" t="inlineStr">
        <is>
          <t>Sedang</t>
        </is>
      </c>
    </row>
    <row r="106" s="1">
      <c r="A106" s="22">
        <f>RANDBETWEEN(2,164)</f>
        <v/>
      </c>
      <c r="B106" s="22">
        <f t="array" ref="B106"/>
        <v/>
      </c>
      <c r="C106" s="22">
        <f t="array" ref="C106"/>
        <v/>
      </c>
      <c r="D106" s="22">
        <f t="array" ref="D106"/>
        <v/>
      </c>
      <c r="E106" s="35" t="n"/>
      <c r="H106" s="22" t="n">
        <v>138</v>
      </c>
      <c r="I106" s="22" t="n">
        <v>13</v>
      </c>
      <c r="J106" s="22" t="n">
        <v>1</v>
      </c>
      <c r="K106" s="22" t="inlineStr">
        <is>
          <t>Tinggi</t>
        </is>
      </c>
    </row>
    <row r="107" s="1">
      <c r="A107" s="22">
        <f>RANDBETWEEN(2,164)</f>
        <v/>
      </c>
      <c r="B107" s="22">
        <f t="array" ref="B107"/>
        <v/>
      </c>
      <c r="C107" s="22">
        <f t="array" ref="C107"/>
        <v/>
      </c>
      <c r="D107" s="22">
        <f t="array" ref="D107"/>
        <v/>
      </c>
      <c r="E107" s="35" t="n"/>
      <c r="H107" s="22" t="n">
        <v>60</v>
      </c>
      <c r="I107" s="22" t="n">
        <v>68</v>
      </c>
      <c r="J107" s="22" t="n">
        <v>0</v>
      </c>
      <c r="K107" s="22" t="inlineStr">
        <is>
          <t>Sedang</t>
        </is>
      </c>
    </row>
    <row r="108" s="1">
      <c r="A108" s="22">
        <f>RANDBETWEEN(2,164)</f>
        <v/>
      </c>
      <c r="B108" s="22">
        <f t="array" ref="B108"/>
        <v/>
      </c>
      <c r="C108" s="22">
        <f t="array" ref="C108"/>
        <v/>
      </c>
      <c r="D108" s="22">
        <f t="array" ref="D108"/>
        <v/>
      </c>
      <c r="E108" s="35" t="n"/>
      <c r="H108" s="22" t="n">
        <v>10</v>
      </c>
      <c r="I108" s="22" t="n">
        <v>18</v>
      </c>
      <c r="J108" s="22" t="n">
        <v>0</v>
      </c>
      <c r="K108" s="22" t="inlineStr">
        <is>
          <t>Sedang</t>
        </is>
      </c>
    </row>
    <row r="109" s="1">
      <c r="A109" s="22">
        <f>RANDBETWEEN(2,164)</f>
        <v/>
      </c>
      <c r="B109" s="22">
        <f t="array" ref="B109"/>
        <v/>
      </c>
      <c r="C109" s="22">
        <f t="array" ref="C109"/>
        <v/>
      </c>
      <c r="D109" s="22">
        <f t="array" ref="D109"/>
        <v/>
      </c>
      <c r="E109" s="35" t="n"/>
      <c r="H109" s="22" t="n">
        <v>142</v>
      </c>
      <c r="I109" s="22" t="n">
        <v>39</v>
      </c>
      <c r="J109" s="22" t="n">
        <v>1</v>
      </c>
      <c r="K109" s="22" t="inlineStr">
        <is>
          <t>Tinggi</t>
        </is>
      </c>
    </row>
    <row r="110" s="1">
      <c r="A110" s="22">
        <f>RANDBETWEEN(2,164)</f>
        <v/>
      </c>
      <c r="B110" s="22">
        <f t="array" ref="B110"/>
        <v/>
      </c>
      <c r="C110" s="22">
        <f t="array" ref="C110"/>
        <v/>
      </c>
      <c r="D110" s="22">
        <f t="array" ref="D110"/>
        <v/>
      </c>
      <c r="E110" s="35" t="n"/>
      <c r="H110" s="22" t="n">
        <v>7</v>
      </c>
      <c r="I110" s="22" t="n">
        <v>12</v>
      </c>
      <c r="J110" s="22" t="n">
        <v>1</v>
      </c>
      <c r="K110" s="22" t="inlineStr">
        <is>
          <t>Sedang</t>
        </is>
      </c>
    </row>
    <row r="111" s="1">
      <c r="A111" s="22">
        <f>RANDBETWEEN(2,164)</f>
        <v/>
      </c>
      <c r="B111" s="22">
        <f t="array" ref="B111"/>
        <v/>
      </c>
      <c r="C111" s="22">
        <f t="array" ref="C111"/>
        <v/>
      </c>
      <c r="D111" s="22">
        <f t="array" ref="D111"/>
        <v/>
      </c>
      <c r="E111" s="35" t="n"/>
      <c r="H111" s="22" t="n">
        <v>137</v>
      </c>
      <c r="I111" s="22" t="n">
        <v>3</v>
      </c>
      <c r="J111" s="22" t="n">
        <v>1</v>
      </c>
      <c r="K111" s="22" t="inlineStr">
        <is>
          <t>Tinggi</t>
        </is>
      </c>
    </row>
    <row r="112" s="1">
      <c r="A112" s="22">
        <f>RANDBETWEEN(2,164)</f>
        <v/>
      </c>
      <c r="B112" s="22">
        <f t="array" ref="B112"/>
        <v/>
      </c>
      <c r="C112" s="22">
        <f t="array" ref="C112"/>
        <v/>
      </c>
      <c r="D112" s="22">
        <f t="array" ref="D112"/>
        <v/>
      </c>
      <c r="E112" s="35" t="n"/>
      <c r="H112" s="22" t="n">
        <v>128</v>
      </c>
      <c r="I112" s="22" t="n">
        <v>38</v>
      </c>
      <c r="J112" s="22" t="n">
        <v>0</v>
      </c>
      <c r="K112" s="22" t="inlineStr">
        <is>
          <t>Tinggi</t>
        </is>
      </c>
    </row>
    <row r="113" s="1">
      <c r="A113" s="22">
        <f>RANDBETWEEN(2,164)</f>
        <v/>
      </c>
      <c r="B113" s="22">
        <f t="array" ref="B113"/>
        <v/>
      </c>
      <c r="C113" s="22">
        <f t="array" ref="C113"/>
        <v/>
      </c>
      <c r="D113" s="22">
        <f t="array" ref="D113"/>
        <v/>
      </c>
      <c r="E113" s="35" t="n"/>
      <c r="H113" s="22" t="n">
        <v>130</v>
      </c>
      <c r="I113" s="22" t="n">
        <v>12</v>
      </c>
      <c r="J113" s="22" t="n">
        <v>0</v>
      </c>
      <c r="K113" s="22" t="inlineStr">
        <is>
          <t>Tinggi</t>
        </is>
      </c>
    </row>
    <row r="114" s="1">
      <c r="A114" s="22">
        <f>RANDBETWEEN(2,164)</f>
        <v/>
      </c>
      <c r="B114" s="22">
        <f t="array" ref="B114"/>
        <v/>
      </c>
      <c r="C114" s="22">
        <f t="array" ref="C114"/>
        <v/>
      </c>
      <c r="D114" s="22">
        <f t="array" ref="D114"/>
        <v/>
      </c>
      <c r="E114" s="35" t="n"/>
      <c r="H114" s="22" t="n">
        <v>146</v>
      </c>
      <c r="I114" s="22" t="n">
        <v>34</v>
      </c>
      <c r="J114" s="22" t="n">
        <v>1</v>
      </c>
      <c r="K114" s="22" t="inlineStr">
        <is>
          <t>Tinggi</t>
        </is>
      </c>
    </row>
    <row r="115" s="1">
      <c r="A115" s="22">
        <f>RANDBETWEEN(2,164)</f>
        <v/>
      </c>
      <c r="B115" s="22">
        <f t="array" ref="B115"/>
        <v/>
      </c>
      <c r="C115" s="22">
        <f t="array" ref="C115"/>
        <v/>
      </c>
      <c r="D115" s="22">
        <f t="array" ref="D115"/>
        <v/>
      </c>
      <c r="E115" s="35" t="n"/>
      <c r="H115" s="22" t="n">
        <v>29</v>
      </c>
      <c r="I115" s="22" t="n">
        <v>19</v>
      </c>
      <c r="J115" s="22" t="n">
        <v>1</v>
      </c>
      <c r="K115" s="22" t="inlineStr">
        <is>
          <t>Sedang</t>
        </is>
      </c>
    </row>
    <row r="116" s="1">
      <c r="A116" s="22">
        <f>RANDBETWEEN(2,164)</f>
        <v/>
      </c>
      <c r="B116" s="22">
        <f t="array" ref="B116"/>
        <v/>
      </c>
      <c r="C116" s="22">
        <f t="array" ref="C116"/>
        <v/>
      </c>
      <c r="D116" s="22">
        <f t="array" ref="D116"/>
        <v/>
      </c>
      <c r="E116" s="35" t="n"/>
      <c r="H116" s="22" t="n">
        <v>38</v>
      </c>
      <c r="I116" s="22" t="n">
        <v>52</v>
      </c>
      <c r="J116" s="22" t="n">
        <v>1</v>
      </c>
      <c r="K116" s="22" t="inlineStr">
        <is>
          <t>Rendah</t>
        </is>
      </c>
    </row>
    <row r="117" s="1">
      <c r="A117" s="22">
        <f>RANDBETWEEN(2,164)</f>
        <v/>
      </c>
      <c r="B117" s="22">
        <f t="array" ref="B117"/>
        <v/>
      </c>
      <c r="C117" s="22">
        <f t="array" ref="C117"/>
        <v/>
      </c>
      <c r="D117" s="22">
        <f t="array" ref="D117"/>
        <v/>
      </c>
      <c r="E117" s="35" t="n"/>
      <c r="H117" s="22" t="n">
        <v>125</v>
      </c>
      <c r="I117" s="22" t="n">
        <v>39</v>
      </c>
      <c r="J117" s="22" t="n">
        <v>0</v>
      </c>
      <c r="K117" s="22" t="inlineStr">
        <is>
          <t>Tinggi</t>
        </is>
      </c>
    </row>
    <row r="118" s="1">
      <c r="A118" s="22">
        <f>RANDBETWEEN(2,164)</f>
        <v/>
      </c>
      <c r="B118" s="22">
        <f t="array" ref="B118"/>
        <v/>
      </c>
      <c r="C118" s="22">
        <f t="array" ref="C118"/>
        <v/>
      </c>
      <c r="D118" s="22">
        <f t="array" ref="D118"/>
        <v/>
      </c>
      <c r="E118" s="35" t="n"/>
      <c r="H118" s="22" t="n">
        <v>7</v>
      </c>
      <c r="I118" s="22" t="n">
        <v>12</v>
      </c>
      <c r="J118" s="22" t="n">
        <v>1</v>
      </c>
      <c r="K118" s="22" t="inlineStr">
        <is>
          <t>Sedang</t>
        </is>
      </c>
    </row>
    <row r="119" s="1">
      <c r="A119" s="22">
        <f>RANDBETWEEN(2,164)</f>
        <v/>
      </c>
      <c r="B119" s="22">
        <f t="array" ref="B119"/>
        <v/>
      </c>
      <c r="C119" s="22">
        <f t="array" ref="C119"/>
        <v/>
      </c>
      <c r="D119" s="22">
        <f t="array" ref="D119"/>
        <v/>
      </c>
      <c r="E119" s="35" t="n"/>
      <c r="H119" s="22" t="n">
        <v>141</v>
      </c>
      <c r="I119" s="22" t="n">
        <v>36</v>
      </c>
      <c r="J119" s="22" t="n">
        <v>0</v>
      </c>
      <c r="K119" s="22" t="inlineStr">
        <is>
          <t>Tinggi</t>
        </is>
      </c>
    </row>
    <row r="120" s="1">
      <c r="A120" s="22">
        <f>RANDBETWEEN(2,164)</f>
        <v/>
      </c>
      <c r="B120" s="22">
        <f t="array" ref="B120"/>
        <v/>
      </c>
      <c r="C120" s="22">
        <f t="array" ref="C120"/>
        <v/>
      </c>
      <c r="D120" s="22">
        <f t="array" ref="D120"/>
        <v/>
      </c>
      <c r="E120" s="35" t="n"/>
      <c r="H120" s="22" t="n">
        <v>29</v>
      </c>
      <c r="I120" s="22" t="n">
        <v>19</v>
      </c>
      <c r="J120" s="22" t="n">
        <v>1</v>
      </c>
      <c r="K120" s="22" t="inlineStr">
        <is>
          <t>Sedang</t>
        </is>
      </c>
    </row>
    <row r="121" s="1">
      <c r="A121" s="22">
        <f>RANDBETWEEN(2,164)</f>
        <v/>
      </c>
      <c r="B121" s="22">
        <f t="array" ref="B121"/>
        <v/>
      </c>
      <c r="C121" s="22">
        <f t="array" ref="C121"/>
        <v/>
      </c>
      <c r="D121" s="22">
        <f t="array" ref="D121"/>
        <v/>
      </c>
      <c r="E121" s="35" t="n"/>
      <c r="H121" s="22" t="n">
        <v>77</v>
      </c>
      <c r="I121" s="22" t="n">
        <v>16</v>
      </c>
      <c r="J121" s="22" t="n">
        <v>1</v>
      </c>
      <c r="K121" s="22" t="inlineStr">
        <is>
          <t>Sedang</t>
        </is>
      </c>
    </row>
    <row r="122" s="1">
      <c r="A122" s="22">
        <f>RANDBETWEEN(2,164)</f>
        <v/>
      </c>
      <c r="B122" s="22">
        <f t="array" ref="B122"/>
        <v/>
      </c>
      <c r="C122" s="22">
        <f t="array" ref="C122"/>
        <v/>
      </c>
      <c r="D122" s="22">
        <f t="array" ref="D122"/>
        <v/>
      </c>
      <c r="E122" s="35" t="n"/>
      <c r="H122" s="22" t="n">
        <v>145</v>
      </c>
      <c r="I122" s="22" t="n">
        <v>28</v>
      </c>
      <c r="J122" s="22" t="n">
        <v>1</v>
      </c>
      <c r="K122" s="22" t="inlineStr">
        <is>
          <t>Tinggi</t>
        </is>
      </c>
    </row>
    <row r="123" s="1">
      <c r="A123" s="22">
        <f>RANDBETWEEN(2,164)</f>
        <v/>
      </c>
      <c r="B123" s="22">
        <f t="array" ref="B123"/>
        <v/>
      </c>
      <c r="C123" s="22">
        <f t="array" ref="C123"/>
        <v/>
      </c>
      <c r="D123" s="22">
        <f t="array" ref="D123"/>
        <v/>
      </c>
      <c r="E123" s="35" t="n"/>
      <c r="H123" s="22" t="n">
        <v>108</v>
      </c>
      <c r="I123" s="22" t="n">
        <v>69</v>
      </c>
      <c r="J123" s="22" t="n">
        <v>1</v>
      </c>
      <c r="K123" s="22" t="inlineStr">
        <is>
          <t>Tinggi</t>
        </is>
      </c>
    </row>
    <row r="124" s="1">
      <c r="A124" s="22">
        <f>RANDBETWEEN(2,164)</f>
        <v/>
      </c>
      <c r="B124" s="22">
        <f t="array" ref="B124"/>
        <v/>
      </c>
      <c r="C124" s="22">
        <f t="array" ref="C124"/>
        <v/>
      </c>
      <c r="D124" s="22">
        <f t="array" ref="D124"/>
        <v/>
      </c>
      <c r="E124" s="35" t="n"/>
      <c r="H124" s="22" t="n">
        <v>161</v>
      </c>
      <c r="I124" s="22" t="n">
        <v>12</v>
      </c>
      <c r="J124" s="22" t="n">
        <v>1</v>
      </c>
      <c r="K124" s="22" t="inlineStr">
        <is>
          <t>Tinggi</t>
        </is>
      </c>
    </row>
    <row r="125" s="1">
      <c r="A125" s="22">
        <f>RANDBETWEEN(2,164)</f>
        <v/>
      </c>
      <c r="B125" s="22">
        <f t="array" ref="B125"/>
        <v/>
      </c>
      <c r="C125" s="22">
        <f t="array" ref="C125"/>
        <v/>
      </c>
      <c r="D125" s="22">
        <f t="array" ref="D125"/>
        <v/>
      </c>
      <c r="E125" s="35" t="n"/>
      <c r="H125" s="22" t="n">
        <v>65</v>
      </c>
      <c r="I125" s="22" t="n">
        <v>49</v>
      </c>
      <c r="J125" s="22" t="n">
        <v>0</v>
      </c>
      <c r="K125" s="22" t="inlineStr">
        <is>
          <t>Sedang</t>
        </is>
      </c>
    </row>
    <row r="126" s="1">
      <c r="A126" s="22">
        <f>RANDBETWEEN(2,164)</f>
        <v/>
      </c>
      <c r="B126" s="22">
        <f t="array" ref="B126"/>
        <v/>
      </c>
      <c r="C126" s="22">
        <f t="array" ref="C126"/>
        <v/>
      </c>
      <c r="D126" s="22">
        <f t="array" ref="D126"/>
        <v/>
      </c>
      <c r="E126" s="35" t="n"/>
      <c r="H126" s="22" t="n">
        <v>157</v>
      </c>
      <c r="I126" s="22" t="n">
        <v>15</v>
      </c>
      <c r="J126" s="22" t="n">
        <v>1</v>
      </c>
      <c r="K126" s="22" t="inlineStr">
        <is>
          <t>Tinggi</t>
        </is>
      </c>
    </row>
    <row r="127" s="1">
      <c r="A127" s="22">
        <f>RANDBETWEEN(2,164)</f>
        <v/>
      </c>
      <c r="B127" s="22">
        <f t="array" ref="B127"/>
        <v/>
      </c>
      <c r="C127" s="22">
        <f t="array" ref="C127"/>
        <v/>
      </c>
      <c r="D127" s="22">
        <f t="array" ref="D127"/>
        <v/>
      </c>
      <c r="E127" s="35" t="n"/>
      <c r="H127" s="22" t="n">
        <v>23</v>
      </c>
      <c r="I127" s="22" t="n">
        <v>28</v>
      </c>
      <c r="J127" s="22" t="n">
        <v>1</v>
      </c>
      <c r="K127" s="22" t="inlineStr">
        <is>
          <t>Sedang</t>
        </is>
      </c>
    </row>
    <row r="128" s="1">
      <c r="A128" s="22">
        <f>RANDBETWEEN(2,164)</f>
        <v/>
      </c>
      <c r="B128" s="22">
        <f t="array" ref="B128"/>
        <v/>
      </c>
      <c r="C128" s="22">
        <f t="array" ref="C128"/>
        <v/>
      </c>
      <c r="D128" s="22">
        <f t="array" ref="D128"/>
        <v/>
      </c>
      <c r="E128" s="35" t="n"/>
      <c r="H128" s="22" t="n">
        <v>46</v>
      </c>
      <c r="I128" s="22" t="n">
        <v>62</v>
      </c>
      <c r="J128" s="22" t="n">
        <v>0</v>
      </c>
      <c r="K128" s="22" t="inlineStr">
        <is>
          <t>Sedang</t>
        </is>
      </c>
    </row>
    <row r="129" s="1">
      <c r="A129" s="22">
        <f>RANDBETWEEN(2,164)</f>
        <v/>
      </c>
      <c r="B129" s="22">
        <f t="array" ref="B129"/>
        <v/>
      </c>
      <c r="C129" s="22">
        <f t="array" ref="C129"/>
        <v/>
      </c>
      <c r="D129" s="22">
        <f t="array" ref="D129"/>
        <v/>
      </c>
      <c r="E129" s="35" t="n"/>
      <c r="H129" s="22" t="n">
        <v>4</v>
      </c>
      <c r="I129" s="22" t="n">
        <v>23</v>
      </c>
      <c r="J129" s="22" t="n">
        <v>0</v>
      </c>
      <c r="K129" s="22" t="inlineStr">
        <is>
          <t>Sedang</t>
        </is>
      </c>
    </row>
    <row r="130" s="1">
      <c r="A130" s="22">
        <f>RANDBETWEEN(2,164)</f>
        <v/>
      </c>
      <c r="B130" s="22">
        <f t="array" ref="B130"/>
        <v/>
      </c>
      <c r="C130" s="22">
        <f t="array" ref="C130"/>
        <v/>
      </c>
      <c r="D130" s="22">
        <f t="array" ref="D130"/>
        <v/>
      </c>
      <c r="E130" s="35" t="n"/>
      <c r="H130" s="22" t="n">
        <v>43</v>
      </c>
      <c r="I130" s="22" t="n">
        <v>15</v>
      </c>
      <c r="J130" s="22" t="n">
        <v>0</v>
      </c>
      <c r="K130" s="22" t="inlineStr">
        <is>
          <t>Sedang</t>
        </is>
      </c>
    </row>
    <row r="131" s="1">
      <c r="A131" s="22">
        <f>RANDBETWEEN(2,164)</f>
        <v/>
      </c>
      <c r="B131" s="22">
        <f t="array" ref="B131"/>
        <v/>
      </c>
      <c r="C131" s="22">
        <f t="array" ref="C131"/>
        <v/>
      </c>
      <c r="D131" s="22">
        <f t="array" ref="D131"/>
        <v/>
      </c>
      <c r="E131" s="35" t="n"/>
      <c r="H131" s="22" t="n">
        <v>97</v>
      </c>
      <c r="I131" s="22" t="n">
        <v>16</v>
      </c>
      <c r="J131" s="22" t="n">
        <v>1</v>
      </c>
      <c r="K131" s="22" t="inlineStr">
        <is>
          <t>Tinggi</t>
        </is>
      </c>
    </row>
    <row r="132" s="1">
      <c r="A132" s="22">
        <f>RANDBETWEEN(2,164)</f>
        <v/>
      </c>
      <c r="B132" s="22">
        <f t="array" ref="B132"/>
        <v/>
      </c>
      <c r="C132" s="22">
        <f t="array" ref="C132"/>
        <v/>
      </c>
      <c r="D132" s="22">
        <f t="array" ref="D132"/>
        <v/>
      </c>
      <c r="E132" s="35" t="n"/>
      <c r="H132" s="22" t="n">
        <v>104</v>
      </c>
      <c r="I132" s="22" t="n">
        <v>37</v>
      </c>
      <c r="J132" s="22" t="n">
        <v>1</v>
      </c>
      <c r="K132" s="22" t="inlineStr">
        <is>
          <t>Tinggi</t>
        </is>
      </c>
    </row>
    <row r="133" s="1">
      <c r="A133" s="22">
        <f>RANDBETWEEN(2,164)</f>
        <v/>
      </c>
      <c r="B133" s="22">
        <f t="array" ref="B133"/>
        <v/>
      </c>
      <c r="C133" s="22">
        <f t="array" ref="C133"/>
        <v/>
      </c>
      <c r="D133" s="22">
        <f t="array" ref="D133"/>
        <v/>
      </c>
      <c r="E133" s="35" t="n"/>
      <c r="H133" s="22" t="n">
        <v>3</v>
      </c>
      <c r="I133" s="22" t="n">
        <v>43</v>
      </c>
      <c r="J133" s="22" t="n">
        <v>1</v>
      </c>
      <c r="K133" s="22" t="inlineStr">
        <is>
          <t>Sedang</t>
        </is>
      </c>
    </row>
    <row r="134" s="1">
      <c r="A134" s="22">
        <f>RANDBETWEEN(2,164)</f>
        <v/>
      </c>
      <c r="B134" s="22">
        <f t="array" ref="B134"/>
        <v/>
      </c>
      <c r="C134" s="22">
        <f t="array" ref="C134"/>
        <v/>
      </c>
      <c r="D134" s="22">
        <f t="array" ref="D134"/>
        <v/>
      </c>
      <c r="E134" s="35" t="n"/>
      <c r="H134" s="22" t="n">
        <v>130</v>
      </c>
      <c r="I134" s="22" t="n">
        <v>12</v>
      </c>
      <c r="J134" s="22" t="n">
        <v>0</v>
      </c>
      <c r="K134" s="22" t="inlineStr">
        <is>
          <t>Tinggi</t>
        </is>
      </c>
    </row>
    <row r="135" s="1">
      <c r="A135" s="22">
        <f>RANDBETWEEN(2,164)</f>
        <v/>
      </c>
      <c r="B135" s="22">
        <f t="array" ref="B135"/>
        <v/>
      </c>
      <c r="C135" s="22">
        <f t="array" ref="C135"/>
        <v/>
      </c>
      <c r="D135" s="22">
        <f t="array" ref="D135"/>
        <v/>
      </c>
      <c r="E135" s="35" t="n"/>
      <c r="H135" s="22" t="n">
        <v>31</v>
      </c>
      <c r="I135" s="22" t="n">
        <v>64</v>
      </c>
      <c r="J135" s="22" t="n">
        <v>1</v>
      </c>
      <c r="K135" s="22" t="inlineStr">
        <is>
          <t>Sedang</t>
        </is>
      </c>
    </row>
    <row r="136" s="1">
      <c r="A136" s="22">
        <f>RANDBETWEEN(2,164)</f>
        <v/>
      </c>
      <c r="B136" s="22">
        <f t="array" ref="B136"/>
        <v/>
      </c>
      <c r="C136" s="22">
        <f t="array" ref="C136"/>
        <v/>
      </c>
      <c r="D136" s="22">
        <f t="array" ref="D136"/>
        <v/>
      </c>
      <c r="E136" s="35" t="n"/>
      <c r="H136" s="22" t="n">
        <v>99</v>
      </c>
      <c r="I136" s="22" t="n">
        <v>4</v>
      </c>
      <c r="J136" s="22" t="n">
        <v>1</v>
      </c>
      <c r="K136" s="22" t="inlineStr">
        <is>
          <t>Tinggi</t>
        </is>
      </c>
    </row>
    <row r="137" s="1">
      <c r="A137" s="22">
        <f>RANDBETWEEN(2,164)</f>
        <v/>
      </c>
      <c r="B137" s="22">
        <f t="array" ref="B137"/>
        <v/>
      </c>
      <c r="C137" s="22">
        <f t="array" ref="C137"/>
        <v/>
      </c>
      <c r="D137" s="22">
        <f t="array" ref="D137"/>
        <v/>
      </c>
      <c r="E137" s="35" t="n"/>
      <c r="H137" s="22" t="n">
        <v>55</v>
      </c>
      <c r="I137" s="22" t="n">
        <v>7</v>
      </c>
      <c r="J137" s="22" t="n">
        <v>1</v>
      </c>
      <c r="K137" s="22" t="inlineStr">
        <is>
          <t>Sedang</t>
        </is>
      </c>
    </row>
    <row r="138" s="1">
      <c r="A138" s="22">
        <f>RANDBETWEEN(2,164)</f>
        <v/>
      </c>
      <c r="B138" s="22">
        <f t="array" ref="B138"/>
        <v/>
      </c>
      <c r="C138" s="22">
        <f t="array" ref="C138"/>
        <v/>
      </c>
      <c r="D138" s="22">
        <f t="array" ref="D138"/>
        <v/>
      </c>
      <c r="E138" s="35" t="n"/>
      <c r="H138" s="22" t="n">
        <v>35</v>
      </c>
      <c r="I138" s="22" t="n">
        <v>40</v>
      </c>
      <c r="J138" s="22" t="n">
        <v>1</v>
      </c>
      <c r="K138" s="22" t="inlineStr">
        <is>
          <t>Rendah</t>
        </is>
      </c>
    </row>
    <row r="139" s="1">
      <c r="A139" s="22">
        <f>RANDBETWEEN(2,164)</f>
        <v/>
      </c>
      <c r="B139" s="22">
        <f t="array" ref="B139"/>
        <v/>
      </c>
      <c r="C139" s="22">
        <f t="array" ref="C139"/>
        <v/>
      </c>
      <c r="D139" s="22">
        <f t="array" ref="D139"/>
        <v/>
      </c>
      <c r="E139" s="35" t="n"/>
      <c r="H139" s="22" t="n">
        <v>128</v>
      </c>
      <c r="I139" s="22" t="n">
        <v>38</v>
      </c>
      <c r="J139" s="22" t="n">
        <v>0</v>
      </c>
      <c r="K139" s="22" t="inlineStr">
        <is>
          <t>Tinggi</t>
        </is>
      </c>
    </row>
    <row r="140" s="1">
      <c r="A140" s="22">
        <f>RANDBETWEEN(2,164)</f>
        <v/>
      </c>
      <c r="B140" s="22">
        <f t="array" ref="B140"/>
        <v/>
      </c>
      <c r="C140" s="22">
        <f t="array" ref="C140"/>
        <v/>
      </c>
      <c r="D140" s="22">
        <f t="array" ref="D140"/>
        <v/>
      </c>
      <c r="E140" s="35" t="n"/>
      <c r="H140" s="22" t="n">
        <v>18</v>
      </c>
      <c r="I140" s="22" t="n">
        <v>49</v>
      </c>
      <c r="J140" s="22" t="n">
        <v>1</v>
      </c>
      <c r="K140" s="22" t="inlineStr">
        <is>
          <t>Rendah</t>
        </is>
      </c>
    </row>
    <row r="141" s="1">
      <c r="A141" s="22">
        <f>RANDBETWEEN(2,164)</f>
        <v/>
      </c>
      <c r="B141" s="22">
        <f t="array" ref="B141"/>
        <v/>
      </c>
      <c r="C141" s="22">
        <f t="array" ref="C141"/>
        <v/>
      </c>
      <c r="D141" s="22">
        <f t="array" ref="D141"/>
        <v/>
      </c>
      <c r="E141" s="35" t="n"/>
      <c r="H141" s="22" t="n">
        <v>28</v>
      </c>
      <c r="I141" s="22" t="n">
        <v>22</v>
      </c>
      <c r="J141" s="22" t="n">
        <v>1</v>
      </c>
      <c r="K141" s="22" t="inlineStr">
        <is>
          <t>Sedang</t>
        </is>
      </c>
    </row>
    <row r="142" s="1">
      <c r="A142" s="22">
        <f>RANDBETWEEN(2,164)</f>
        <v/>
      </c>
      <c r="B142" s="22">
        <f t="array" ref="B142"/>
        <v/>
      </c>
      <c r="C142" s="22">
        <f t="array" ref="C142"/>
        <v/>
      </c>
      <c r="D142" s="22">
        <f t="array" ref="D142"/>
        <v/>
      </c>
      <c r="E142" s="35" t="n"/>
      <c r="H142" s="22" t="n">
        <v>62</v>
      </c>
      <c r="I142" s="22" t="n">
        <v>43</v>
      </c>
      <c r="J142" s="22" t="n">
        <v>1</v>
      </c>
      <c r="K142" s="22" t="inlineStr">
        <is>
          <t>Sedang</t>
        </is>
      </c>
    </row>
    <row r="143" s="1">
      <c r="A143" s="22">
        <f>RANDBETWEEN(2,164)</f>
        <v/>
      </c>
      <c r="B143" s="22">
        <f t="array" ref="B143"/>
        <v/>
      </c>
      <c r="C143" s="22">
        <f t="array" ref="C143"/>
        <v/>
      </c>
      <c r="D143" s="22">
        <f t="array" ref="D143"/>
        <v/>
      </c>
      <c r="E143" s="35" t="n"/>
      <c r="H143" s="22" t="n">
        <v>145</v>
      </c>
      <c r="I143" s="22" t="n">
        <v>28</v>
      </c>
      <c r="J143" s="22" t="n">
        <v>1</v>
      </c>
      <c r="K143" s="22" t="inlineStr">
        <is>
          <t>Tinggi</t>
        </is>
      </c>
    </row>
    <row r="144" s="1">
      <c r="A144" s="22">
        <f>RANDBETWEEN(2,164)</f>
        <v/>
      </c>
      <c r="B144" s="22">
        <f t="array" ref="B144"/>
        <v/>
      </c>
      <c r="C144" s="22">
        <f t="array" ref="C144"/>
        <v/>
      </c>
      <c r="D144" s="22">
        <f t="array" ref="D144"/>
        <v/>
      </c>
      <c r="E144" s="35" t="n"/>
      <c r="H144" s="22" t="n">
        <v>132</v>
      </c>
      <c r="I144" s="22" t="n">
        <v>10</v>
      </c>
      <c r="J144" s="22" t="n">
        <v>1</v>
      </c>
      <c r="K144" s="22" t="inlineStr">
        <is>
          <t>Tinggi</t>
        </is>
      </c>
    </row>
    <row r="145" s="1">
      <c r="A145" s="22">
        <f>RANDBETWEEN(2,164)</f>
        <v/>
      </c>
      <c r="B145" s="22">
        <f t="array" ref="B145"/>
        <v/>
      </c>
      <c r="C145" s="22">
        <f t="array" ref="C145"/>
        <v/>
      </c>
      <c r="D145" s="22">
        <f t="array" ref="D145"/>
        <v/>
      </c>
      <c r="E145" s="35" t="n"/>
      <c r="H145" s="22" t="n">
        <v>120</v>
      </c>
      <c r="I145" s="22" t="n">
        <v>26</v>
      </c>
      <c r="J145" s="22" t="n">
        <v>1</v>
      </c>
      <c r="K145" s="22" t="inlineStr">
        <is>
          <t>Tinggi</t>
        </is>
      </c>
    </row>
    <row r="146" s="1">
      <c r="A146" s="22">
        <f>RANDBETWEEN(2,164)</f>
        <v/>
      </c>
      <c r="B146" s="22">
        <f t="array" ref="B146"/>
        <v/>
      </c>
      <c r="C146" s="22">
        <f t="array" ref="C146"/>
        <v/>
      </c>
      <c r="D146" s="22">
        <f t="array" ref="D146"/>
        <v/>
      </c>
      <c r="E146" s="35" t="n"/>
      <c r="H146" s="22" t="n">
        <v>132</v>
      </c>
      <c r="I146" s="22" t="n">
        <v>10</v>
      </c>
      <c r="J146" s="22" t="n">
        <v>1</v>
      </c>
      <c r="K146" s="22" t="inlineStr">
        <is>
          <t>Tinggi</t>
        </is>
      </c>
    </row>
    <row r="147" s="1">
      <c r="A147" s="22">
        <f>RANDBETWEEN(2,164)</f>
        <v/>
      </c>
      <c r="B147" s="22">
        <f t="array" ref="B147"/>
        <v/>
      </c>
      <c r="C147" s="22">
        <f t="array" ref="C147"/>
        <v/>
      </c>
      <c r="D147" s="22">
        <f t="array" ref="D147"/>
        <v/>
      </c>
      <c r="E147" s="35" t="n"/>
      <c r="H147" s="22" t="n">
        <v>125</v>
      </c>
      <c r="I147" s="22" t="n">
        <v>39</v>
      </c>
      <c r="J147" s="22" t="n">
        <v>0</v>
      </c>
      <c r="K147" s="22" t="inlineStr">
        <is>
          <t>Tinggi</t>
        </is>
      </c>
    </row>
    <row r="148" s="1">
      <c r="A148" s="22">
        <f>RANDBETWEEN(2,164)</f>
        <v/>
      </c>
      <c r="B148" s="22">
        <f t="array" ref="B148"/>
        <v/>
      </c>
      <c r="C148" s="22">
        <f t="array" ref="C148"/>
        <v/>
      </c>
      <c r="D148" s="22">
        <f t="array" ref="D148"/>
        <v/>
      </c>
      <c r="E148" s="35" t="n"/>
      <c r="H148" s="22" t="n">
        <v>68</v>
      </c>
      <c r="I148" s="22" t="n">
        <v>44</v>
      </c>
      <c r="J148" s="22" t="n">
        <v>0</v>
      </c>
      <c r="K148" s="22" t="inlineStr">
        <is>
          <t>Sedang</t>
        </is>
      </c>
    </row>
    <row r="149" s="1">
      <c r="A149" s="22">
        <f>RANDBETWEEN(2,164)</f>
        <v/>
      </c>
      <c r="B149" s="22">
        <f t="array" ref="B149"/>
        <v/>
      </c>
      <c r="C149" s="22">
        <f t="array" ref="C149"/>
        <v/>
      </c>
      <c r="D149" s="22">
        <f t="array" ref="D149"/>
        <v/>
      </c>
      <c r="E149" s="35" t="n"/>
      <c r="H149" s="22" t="n">
        <v>70</v>
      </c>
      <c r="I149" s="22" t="n">
        <v>26</v>
      </c>
      <c r="J149" s="22" t="n">
        <v>1</v>
      </c>
      <c r="K149" s="22" t="inlineStr">
        <is>
          <t>Sedang</t>
        </is>
      </c>
    </row>
    <row r="150" s="1">
      <c r="A150" s="22">
        <f>RANDBETWEEN(2,164)</f>
        <v/>
      </c>
      <c r="B150" s="22">
        <f t="array" ref="B150"/>
        <v/>
      </c>
      <c r="C150" s="22">
        <f t="array" ref="C150"/>
        <v/>
      </c>
      <c r="D150" s="22">
        <f t="array" ref="D150"/>
        <v/>
      </c>
      <c r="E150" s="35" t="n"/>
      <c r="H150" s="22" t="n">
        <v>46</v>
      </c>
      <c r="I150" s="22" t="n">
        <v>62</v>
      </c>
      <c r="J150" s="22" t="n">
        <v>0</v>
      </c>
      <c r="K150" s="22" t="inlineStr">
        <is>
          <t>Sedang</t>
        </is>
      </c>
    </row>
    <row r="151" s="1">
      <c r="A151" s="22">
        <f>RANDBETWEEN(2,164)</f>
        <v/>
      </c>
      <c r="B151" s="22">
        <f t="array" ref="B151"/>
        <v/>
      </c>
      <c r="C151" s="22">
        <f t="array" ref="C151"/>
        <v/>
      </c>
      <c r="D151" s="22">
        <f t="array" ref="D151"/>
        <v/>
      </c>
      <c r="E151" s="35" t="n"/>
      <c r="H151" s="22" t="n">
        <v>153</v>
      </c>
      <c r="I151" s="22" t="n">
        <v>73</v>
      </c>
      <c r="J151" s="22" t="n">
        <v>1</v>
      </c>
      <c r="K151" s="22" t="inlineStr">
        <is>
          <t>Tinggi</t>
        </is>
      </c>
    </row>
    <row r="152" s="1">
      <c r="A152" s="22">
        <f>RANDBETWEEN(2,164)</f>
        <v/>
      </c>
      <c r="B152" s="22">
        <f t="array" ref="B152"/>
        <v/>
      </c>
      <c r="C152" s="22">
        <f t="array" ref="C152"/>
        <v/>
      </c>
      <c r="D152" s="22">
        <f t="array" ref="D152"/>
        <v/>
      </c>
      <c r="E152" s="35" t="n"/>
      <c r="H152" s="22" t="n">
        <v>45</v>
      </c>
      <c r="I152" s="22" t="n">
        <v>75</v>
      </c>
      <c r="J152" s="22" t="n">
        <v>1</v>
      </c>
      <c r="K152" s="22" t="inlineStr">
        <is>
          <t>Sedang</t>
        </is>
      </c>
    </row>
    <row r="153" s="1">
      <c r="A153" s="22">
        <f>RANDBETWEEN(2,164)</f>
        <v/>
      </c>
      <c r="B153" s="22">
        <f t="array" ref="B153"/>
        <v/>
      </c>
      <c r="C153" s="22">
        <f t="array" ref="C153"/>
        <v/>
      </c>
      <c r="D153" s="22">
        <f t="array" ref="D153"/>
        <v/>
      </c>
      <c r="E153" s="35" t="n"/>
      <c r="H153" s="22" t="n">
        <v>39</v>
      </c>
      <c r="I153" s="22" t="n">
        <v>12</v>
      </c>
      <c r="J153" s="22" t="n">
        <v>1</v>
      </c>
      <c r="K153" s="22" t="inlineStr">
        <is>
          <t>Sedang</t>
        </is>
      </c>
    </row>
    <row r="154" s="1">
      <c r="A154" s="22">
        <f>RANDBETWEEN(2,164)</f>
        <v/>
      </c>
      <c r="B154" s="22">
        <f t="array" ref="B154"/>
        <v/>
      </c>
      <c r="C154" s="22">
        <f t="array" ref="C154"/>
        <v/>
      </c>
      <c r="D154" s="22">
        <f t="array" ref="D154"/>
        <v/>
      </c>
      <c r="E154" s="35" t="n"/>
      <c r="H154" s="22" t="n">
        <v>110</v>
      </c>
      <c r="I154" s="22" t="n">
        <v>42</v>
      </c>
      <c r="J154" s="22" t="n">
        <v>1</v>
      </c>
      <c r="K154" s="22" t="inlineStr">
        <is>
          <t>Tinggi</t>
        </is>
      </c>
    </row>
    <row r="155" s="1">
      <c r="A155" s="22">
        <f>RANDBETWEEN(2,164)</f>
        <v/>
      </c>
      <c r="B155" s="22">
        <f t="array" ref="B155"/>
        <v/>
      </c>
      <c r="C155" s="22">
        <f t="array" ref="C155"/>
        <v/>
      </c>
      <c r="D155" s="22">
        <f t="array" ref="D155"/>
        <v/>
      </c>
      <c r="E155" s="35" t="n"/>
      <c r="H155" s="22" t="n">
        <v>100</v>
      </c>
      <c r="I155" s="22" t="n">
        <v>19</v>
      </c>
      <c r="J155" s="22" t="n">
        <v>0</v>
      </c>
      <c r="K155" s="22" t="inlineStr">
        <is>
          <t>Tinggi</t>
        </is>
      </c>
    </row>
    <row r="156" s="1">
      <c r="A156" s="22">
        <f>RANDBETWEEN(2,164)</f>
        <v/>
      </c>
      <c r="B156" s="22">
        <f t="array" ref="B156"/>
        <v/>
      </c>
      <c r="C156" s="22">
        <f t="array" ref="C156"/>
        <v/>
      </c>
      <c r="D156" s="22">
        <f t="array" ref="D156"/>
        <v/>
      </c>
      <c r="E156" s="35" t="n"/>
      <c r="H156" s="22" t="n">
        <v>151</v>
      </c>
      <c r="I156" s="22" t="n">
        <v>24</v>
      </c>
      <c r="J156" s="22" t="n">
        <v>0</v>
      </c>
      <c r="K156" s="22" t="inlineStr">
        <is>
          <t>Tinggi</t>
        </is>
      </c>
    </row>
    <row r="157" s="1">
      <c r="A157" s="22">
        <f>RANDBETWEEN(2,164)</f>
        <v/>
      </c>
      <c r="B157" s="22">
        <f t="array" ref="B157"/>
        <v/>
      </c>
      <c r="C157" s="22">
        <f t="array" ref="C157"/>
        <v/>
      </c>
      <c r="D157" s="22">
        <f t="array" ref="D157"/>
        <v/>
      </c>
      <c r="E157" s="35" t="n"/>
      <c r="H157" s="22" t="n">
        <v>27</v>
      </c>
      <c r="I157" s="22" t="n">
        <v>37</v>
      </c>
      <c r="J157" s="22" t="n">
        <v>1</v>
      </c>
      <c r="K157" s="22" t="inlineStr">
        <is>
          <t>Sedang</t>
        </is>
      </c>
    </row>
    <row r="158" s="1">
      <c r="A158" s="22">
        <f>RANDBETWEEN(2,164)</f>
        <v/>
      </c>
      <c r="B158" s="22">
        <f t="array" ref="B158"/>
        <v/>
      </c>
      <c r="C158" s="22">
        <f t="array" ref="C158"/>
        <v/>
      </c>
      <c r="D158" s="22">
        <f t="array" ref="D158"/>
        <v/>
      </c>
      <c r="E158" s="35" t="n"/>
      <c r="H158" s="22" t="n">
        <v>56</v>
      </c>
      <c r="I158" s="22" t="n">
        <v>4</v>
      </c>
      <c r="J158" s="22" t="n">
        <v>0</v>
      </c>
      <c r="K158" s="22" t="inlineStr">
        <is>
          <t>Sedang</t>
        </is>
      </c>
    </row>
    <row r="159" s="1">
      <c r="A159" s="22">
        <f>RANDBETWEEN(2,164)</f>
        <v/>
      </c>
      <c r="B159" s="22">
        <f t="array" ref="B159"/>
        <v/>
      </c>
      <c r="C159" s="22">
        <f t="array" ref="C159"/>
        <v/>
      </c>
      <c r="D159" s="22">
        <f t="array" ref="D159"/>
        <v/>
      </c>
      <c r="E159" s="35" t="n"/>
      <c r="H159" s="22" t="n">
        <v>157</v>
      </c>
      <c r="I159" s="22" t="n">
        <v>15</v>
      </c>
      <c r="J159" s="22" t="n">
        <v>1</v>
      </c>
      <c r="K159" s="22" t="inlineStr">
        <is>
          <t>Tinggi</t>
        </is>
      </c>
    </row>
    <row r="160" s="1">
      <c r="A160" s="22">
        <f>RANDBETWEEN(2,164)</f>
        <v/>
      </c>
      <c r="B160" s="22">
        <f t="array" ref="B160"/>
        <v/>
      </c>
      <c r="C160" s="22">
        <f t="array" ref="C160"/>
        <v/>
      </c>
      <c r="D160" s="22">
        <f t="array" ref="D160"/>
        <v/>
      </c>
      <c r="E160" s="35" t="n"/>
      <c r="H160" s="22" t="n">
        <v>139</v>
      </c>
      <c r="I160" s="22" t="n">
        <v>52</v>
      </c>
      <c r="J160" s="22" t="n">
        <v>0</v>
      </c>
      <c r="K160" s="22" t="inlineStr">
        <is>
          <t>Tinggi</t>
        </is>
      </c>
    </row>
    <row r="161" s="1">
      <c r="A161" s="22">
        <f>RANDBETWEEN(2,164)</f>
        <v/>
      </c>
      <c r="B161" s="22">
        <f t="array" ref="B161"/>
        <v/>
      </c>
      <c r="C161" s="22">
        <f t="array" ref="C161"/>
        <v/>
      </c>
      <c r="D161" s="22">
        <f t="array" ref="D161"/>
        <v/>
      </c>
      <c r="E161" s="35" t="n"/>
      <c r="H161" s="22" t="n">
        <v>4</v>
      </c>
      <c r="I161" s="22" t="n">
        <v>23</v>
      </c>
      <c r="J161" s="22" t="n">
        <v>0</v>
      </c>
      <c r="K161" s="22" t="inlineStr">
        <is>
          <t>Sedang</t>
        </is>
      </c>
    </row>
    <row r="162" s="1">
      <c r="A162" s="22">
        <f>RANDBETWEEN(2,164)</f>
        <v/>
      </c>
      <c r="B162" s="22">
        <f t="array" ref="B162"/>
        <v/>
      </c>
      <c r="C162" s="22">
        <f t="array" ref="C162"/>
        <v/>
      </c>
      <c r="D162" s="22">
        <f t="array" ref="D162"/>
        <v/>
      </c>
      <c r="E162" s="35" t="n"/>
      <c r="H162" s="22" t="n">
        <v>76</v>
      </c>
      <c r="I162" s="22" t="n">
        <v>70</v>
      </c>
      <c r="J162" s="22" t="n">
        <v>0</v>
      </c>
      <c r="K162" s="22" t="inlineStr">
        <is>
          <t>Sedang</t>
        </is>
      </c>
    </row>
    <row r="163" s="1">
      <c r="A163" s="22">
        <f>RANDBETWEEN(2,164)</f>
        <v/>
      </c>
      <c r="B163" s="22">
        <f t="array" ref="B163"/>
        <v/>
      </c>
      <c r="C163" s="22">
        <f t="array" ref="C163"/>
        <v/>
      </c>
      <c r="D163" s="22">
        <f t="array" ref="D163"/>
        <v/>
      </c>
      <c r="E163" s="35" t="n"/>
      <c r="H163" s="22" t="n">
        <v>77</v>
      </c>
      <c r="I163" s="22" t="n">
        <v>16</v>
      </c>
      <c r="J163" s="22" t="n">
        <v>1</v>
      </c>
      <c r="K163" s="22" t="inlineStr">
        <is>
          <t>Sedang</t>
        </is>
      </c>
    </row>
    <row r="164" s="1">
      <c r="A164" s="22">
        <f>RANDBETWEEN(2,164)</f>
        <v/>
      </c>
      <c r="B164" s="22">
        <f t="array" ref="B164"/>
        <v/>
      </c>
      <c r="C164" s="22">
        <f t="array" ref="C164"/>
        <v/>
      </c>
      <c r="D164" s="22">
        <f t="array" ref="D164"/>
        <v/>
      </c>
      <c r="E164" s="35" t="n"/>
      <c r="H164" s="22" t="n">
        <v>81</v>
      </c>
      <c r="I164" s="22" t="n">
        <v>23</v>
      </c>
      <c r="J164" s="22" t="n">
        <v>1</v>
      </c>
      <c r="K164" s="22" t="inlineStr">
        <is>
          <t>Sedang</t>
        </is>
      </c>
    </row>
    <row r="165" s="1">
      <c r="H165" s="29" t="n"/>
      <c r="I165" s="22">
        <f>AVERAGE(I2:I164)</f>
        <v/>
      </c>
      <c r="J165" s="22">
        <f>AVERAGE(J2:J164)</f>
        <v/>
      </c>
      <c r="K165" s="29" t="n"/>
    </row>
    <row r="166" s="1">
      <c r="B166" s="27" t="n">
        <v>63</v>
      </c>
    </row>
    <row r="167" s="1">
      <c r="E167" s="36" t="n"/>
    </row>
    <row r="168" s="1">
      <c r="E168" s="31" t="inlineStr">
        <is>
          <t>USIA</t>
        </is>
      </c>
      <c r="N168" s="31" t="inlineStr">
        <is>
          <t>JENIS KELAMIN</t>
        </is>
      </c>
    </row>
    <row r="169" s="1">
      <c r="E169" s="22" t="inlineStr">
        <is>
          <t>Usia</t>
        </is>
      </c>
      <c r="F169" s="22">
        <f>AVERAGEIF($I$2:$I$164,"&lt;="&amp;$I$165)</f>
        <v/>
      </c>
      <c r="G169" s="22">
        <f>AVERAGEIF($I$2:$I$164,"&gt;"&amp;$I$165)</f>
        <v/>
      </c>
      <c r="N169" s="22" t="inlineStr">
        <is>
          <t>Jenis kelamin</t>
        </is>
      </c>
      <c r="O169" s="22">
        <f>AVERAGEIF($J$2:$J$164,"&lt;="&amp;$J$165)</f>
        <v/>
      </c>
      <c r="P169" s="22">
        <f>AVERAGEIF($J$2:$J$164,"&gt;"&amp;$J$165)</f>
        <v/>
      </c>
    </row>
    <row r="170" s="1">
      <c r="E170" s="22">
        <f t="array" ref="E170:E332">IF($I$2:$I$164&lt;$F$169,"kiri",IF($I$2:$I$164&lt;$G$169,"tengah","kanan"))</f>
        <v/>
      </c>
      <c r="F170" s="22" t="inlineStr">
        <is>
          <t>Kanan &gt; 52.6</t>
        </is>
      </c>
      <c r="G170" s="22" t="n"/>
      <c r="N170" s="22">
        <f t="array" ref="N170:N332">IF($J$2:$J$164&lt;$O$169,"kiri",IF($J$2:$J$164&lt;$P$169,"tengah","kanan"))</f>
        <v/>
      </c>
      <c r="O170" s="22" t="inlineStr">
        <is>
          <t>Kanan &gt; 1</t>
        </is>
      </c>
      <c r="P170" s="22" t="n"/>
    </row>
    <row r="171" s="1">
      <c r="E171" s="22" t="inlineStr">
        <is>
          <t>kanan</t>
        </is>
      </c>
      <c r="F171" s="22">
        <f>COUNTIFS($E$170:$E$332,"Kanan",$K$2:$K$164,"Tinggi")</f>
        <v/>
      </c>
      <c r="G171" s="22">
        <f>F171/29</f>
        <v/>
      </c>
      <c r="N171" s="22" t="inlineStr">
        <is>
          <t>tengah</t>
        </is>
      </c>
      <c r="O171" s="22">
        <f>COUNTIFS($N$170:$N$332,"Kanan",$K$2:$K$164,"Tinggi")</f>
        <v/>
      </c>
      <c r="P171" s="22">
        <f>O171/97</f>
        <v/>
      </c>
    </row>
    <row r="172" s="1">
      <c r="E172" s="22" t="inlineStr">
        <is>
          <t>kiri</t>
        </is>
      </c>
      <c r="F172" s="22">
        <f>COUNTIFS($E$170:$E$332,"Kanan",$K$2:$K$164,"Sedang")</f>
        <v/>
      </c>
      <c r="G172" s="22">
        <f>F172/29</f>
        <v/>
      </c>
      <c r="N172" s="22" t="inlineStr">
        <is>
          <t>kanan</t>
        </is>
      </c>
      <c r="O172" s="22">
        <f>COUNTIFS($N$170:$N$332,"Kanan",$K$2:$K$164,"Sedang")</f>
        <v/>
      </c>
      <c r="P172" s="22">
        <f>O172/97</f>
        <v/>
      </c>
    </row>
    <row r="173" s="1">
      <c r="E173" s="22" t="inlineStr">
        <is>
          <t>tengah</t>
        </is>
      </c>
      <c r="F173" s="22">
        <f>COUNTIFS($E$170:$E$332,"Kanan",$K$2:$K$164,"Rendah")</f>
        <v/>
      </c>
      <c r="G173" s="22">
        <f>F173/29</f>
        <v/>
      </c>
      <c r="N173" s="22" t="inlineStr">
        <is>
          <t>kanan</t>
        </is>
      </c>
      <c r="O173" s="22">
        <f>COUNTIFS($N$170:$N$332,"Kanan",$K$2:$K$164,"Rendah")</f>
        <v/>
      </c>
      <c r="P173" s="22">
        <f>O173/97</f>
        <v/>
      </c>
    </row>
    <row r="174" s="1">
      <c r="E174" s="22" t="inlineStr">
        <is>
          <t>tengah</t>
        </is>
      </c>
      <c r="F174" s="22" t="inlineStr">
        <is>
          <t>Entropy</t>
        </is>
      </c>
      <c r="G174" s="22">
        <f>-(IFERROR(G171*LOG(G171,2),0)+IFERROR(G172*LOG(G172,2),0)+IFERROR(G173*LOG(G173,2),0))</f>
        <v/>
      </c>
      <c r="N174" s="22" t="inlineStr">
        <is>
          <t>tengah</t>
        </is>
      </c>
      <c r="O174" s="22" t="inlineStr">
        <is>
          <t>Entropy</t>
        </is>
      </c>
      <c r="P174" s="22">
        <f>-(IFERROR(P171*LOG(P171,2),0)+IFERROR(P172*LOG(P172,2),0)+IFERROR(P173*LOG(P173,2),0))</f>
        <v/>
      </c>
    </row>
    <row r="175" s="1">
      <c r="E175" s="22" t="inlineStr">
        <is>
          <t>kanan</t>
        </is>
      </c>
      <c r="F175" s="22" t="n"/>
      <c r="G175" s="22">
        <f>SUM(F171:F173)/163</f>
        <v/>
      </c>
      <c r="N175" s="22" t="inlineStr">
        <is>
          <t>tengah</t>
        </is>
      </c>
      <c r="O175" s="22" t="n"/>
      <c r="P175" s="22">
        <f>SUM(O171:O173)/163</f>
        <v/>
      </c>
    </row>
    <row r="176" s="1">
      <c r="E176" s="22" t="inlineStr">
        <is>
          <t>tengah</t>
        </is>
      </c>
      <c r="F176" s="22" t="n"/>
      <c r="G176" s="32">
        <f>G174*G175</f>
        <v/>
      </c>
      <c r="N176" s="22" t="inlineStr">
        <is>
          <t>kanan</t>
        </is>
      </c>
      <c r="O176" s="22" t="n"/>
      <c r="P176" s="32">
        <f>P174*P175</f>
        <v/>
      </c>
    </row>
    <row r="177" s="1">
      <c r="E177" s="22" t="inlineStr">
        <is>
          <t>kanan</t>
        </is>
      </c>
      <c r="F177" s="22" t="n"/>
      <c r="G177" s="22" t="n"/>
      <c r="N177" s="22" t="inlineStr">
        <is>
          <t>tengah</t>
        </is>
      </c>
      <c r="O177" s="22" t="n"/>
      <c r="P177" s="22" t="n"/>
    </row>
    <row r="178" s="1">
      <c r="E178" s="22" t="inlineStr">
        <is>
          <t>kiri</t>
        </is>
      </c>
      <c r="F178" s="22" t="n"/>
      <c r="G178" s="22" t="n"/>
      <c r="N178" s="22" t="inlineStr">
        <is>
          <t>kanan</t>
        </is>
      </c>
      <c r="O178" s="22" t="n"/>
      <c r="P178" s="22" t="n"/>
    </row>
    <row r="179" s="1">
      <c r="E179" s="22" t="inlineStr">
        <is>
          <t>tengah</t>
        </is>
      </c>
      <c r="F179" s="22" t="inlineStr">
        <is>
          <t>Kiri&lt;15.89</t>
        </is>
      </c>
      <c r="G179" s="22" t="n"/>
      <c r="N179" s="22" t="inlineStr">
        <is>
          <t>kanan</t>
        </is>
      </c>
      <c r="O179" s="22" t="inlineStr">
        <is>
          <t>Kiri&lt;0</t>
        </is>
      </c>
      <c r="P179" s="22" t="n"/>
    </row>
    <row r="180" s="1">
      <c r="E180" s="22" t="inlineStr">
        <is>
          <t>kiri</t>
        </is>
      </c>
      <c r="F180" s="22">
        <f>COUNTIFS($E$170:$E$332,"Kiri",$K$2:$K$164,"Tinggi")</f>
        <v/>
      </c>
      <c r="G180" s="22">
        <f>F180/46</f>
        <v/>
      </c>
      <c r="N180" s="22" t="inlineStr">
        <is>
          <t>tengah</t>
        </is>
      </c>
      <c r="O180" s="22">
        <f>COUNTIFS($N$170:$N$332,"Kiri",$K$2:$K$164,"Tinggi")</f>
        <v/>
      </c>
      <c r="P180" s="22">
        <f>O180/97</f>
        <v/>
      </c>
    </row>
    <row r="181" s="1">
      <c r="E181" s="22" t="inlineStr">
        <is>
          <t>kiri</t>
        </is>
      </c>
      <c r="F181" s="22">
        <f>COUNTIFS($E$170:$E$332,"Kiri",$K$2:$K$164,"Sedang")</f>
        <v/>
      </c>
      <c r="G181" s="22">
        <f>F181/46</f>
        <v/>
      </c>
      <c r="N181" s="22" t="inlineStr">
        <is>
          <t>tengah</t>
        </is>
      </c>
      <c r="O181" s="22">
        <f>COUNTIFS($N$170:$N$332,"Kiri",$K$2:$K$164,"Sedang")</f>
        <v/>
      </c>
      <c r="P181" s="22">
        <f>O181/97</f>
        <v/>
      </c>
    </row>
    <row r="182" s="1">
      <c r="E182" s="22" t="inlineStr">
        <is>
          <t>tengah</t>
        </is>
      </c>
      <c r="F182" s="22">
        <f>COUNTIFS($E$170:$E$332,"Kiri",$K$2:$K$164,"Rendah")</f>
        <v/>
      </c>
      <c r="G182" s="22">
        <f>F182/46</f>
        <v/>
      </c>
      <c r="N182" s="22" t="inlineStr">
        <is>
          <t>tengah</t>
        </is>
      </c>
      <c r="O182" s="22">
        <f>COUNTIFS($N$170:$N$332,"Kiri",$K$2:$K$164,"Rendah")</f>
        <v/>
      </c>
      <c r="P182" s="22">
        <f>O182/97</f>
        <v/>
      </c>
    </row>
    <row r="183" s="1">
      <c r="E183" s="22" t="inlineStr">
        <is>
          <t>tengah</t>
        </is>
      </c>
      <c r="F183" s="22" t="inlineStr">
        <is>
          <t>Entropy</t>
        </is>
      </c>
      <c r="G183" s="22">
        <f>-(IFERROR(G180*LOG(G180,2),0)+IFERROR(G181*LOG(G181,2),0)+IFERROR(G182*LOG(G182,2),0))</f>
        <v/>
      </c>
      <c r="N183" s="22" t="inlineStr">
        <is>
          <t>tengah</t>
        </is>
      </c>
      <c r="O183" s="22" t="inlineStr">
        <is>
          <t>Entropy</t>
        </is>
      </c>
      <c r="P183" s="22">
        <f>-(IFERROR(P180*LOG(P180,2),0)+IFERROR(P181*LOG(P181,2),0)+IFERROR(P182*LOG(P182,2),0))</f>
        <v/>
      </c>
    </row>
    <row r="184" s="1">
      <c r="E184" s="22" t="inlineStr">
        <is>
          <t>kiri</t>
        </is>
      </c>
      <c r="F184" s="22" t="n"/>
      <c r="G184" s="22">
        <f>SUM(F180:F182)/163</f>
        <v/>
      </c>
      <c r="N184" s="22" t="inlineStr">
        <is>
          <t>kanan</t>
        </is>
      </c>
      <c r="O184" s="22" t="n"/>
      <c r="P184" s="22">
        <f>SUM(O180:O182)/163</f>
        <v/>
      </c>
    </row>
    <row r="185" s="1">
      <c r="E185" s="22" t="inlineStr">
        <is>
          <t>kanan</t>
        </is>
      </c>
      <c r="F185" s="22" t="n"/>
      <c r="G185" s="32">
        <f>G183*G184</f>
        <v/>
      </c>
      <c r="N185" s="22" t="inlineStr">
        <is>
          <t>tengah</t>
        </is>
      </c>
      <c r="O185" s="22" t="n"/>
      <c r="P185" s="32">
        <f>P183*P184</f>
        <v/>
      </c>
    </row>
    <row r="186" s="1">
      <c r="E186" s="22" t="inlineStr">
        <is>
          <t>tengah</t>
        </is>
      </c>
      <c r="F186" s="22" t="n"/>
      <c r="G186" s="22" t="n"/>
      <c r="N186" s="22" t="inlineStr">
        <is>
          <t>kanan</t>
        </is>
      </c>
      <c r="O186" s="22" t="n"/>
      <c r="P186" s="22" t="n"/>
    </row>
    <row r="187" s="1">
      <c r="E187" s="22" t="inlineStr">
        <is>
          <t>tengah</t>
        </is>
      </c>
      <c r="F187" s="22" t="n"/>
      <c r="G187" s="22" t="n"/>
      <c r="N187" s="22" t="inlineStr">
        <is>
          <t>kanan</t>
        </is>
      </c>
      <c r="O187" s="22" t="n"/>
      <c r="P187" s="22" t="n"/>
    </row>
    <row r="188" s="1">
      <c r="E188" s="22" t="inlineStr">
        <is>
          <t>tengah</t>
        </is>
      </c>
      <c r="F188" s="22" t="inlineStr">
        <is>
          <t>Tengah</t>
        </is>
      </c>
      <c r="G188" s="22" t="n"/>
      <c r="N188" s="22" t="inlineStr">
        <is>
          <t>tengah</t>
        </is>
      </c>
      <c r="O188" s="22" t="inlineStr">
        <is>
          <t>Tengah</t>
        </is>
      </c>
      <c r="P188" s="22" t="n"/>
    </row>
    <row r="189" s="1">
      <c r="E189" s="22" t="inlineStr">
        <is>
          <t>kiri</t>
        </is>
      </c>
      <c r="F189" s="22">
        <f>COUNTIFS($E$170:$E$332,"Tengah",$K$2:$K$164,"Tinggi")</f>
        <v/>
      </c>
      <c r="G189" s="22">
        <f>F189/88</f>
        <v/>
      </c>
      <c r="N189" s="22" t="inlineStr">
        <is>
          <t>tengah</t>
        </is>
      </c>
      <c r="O189" s="22">
        <f>COUNTIFS($N$170:$N$332,"Tengah",$K$2:$K$164,"Tinggi")</f>
        <v/>
      </c>
      <c r="P189" s="22">
        <f>O189/66</f>
        <v/>
      </c>
    </row>
    <row r="190" s="1">
      <c r="E190" s="22" t="inlineStr">
        <is>
          <t>kiri</t>
        </is>
      </c>
      <c r="F190" s="22">
        <f>COUNTIFS($E$170:$E$332,"Tengah",$K$2:$K$164,"Sedang")</f>
        <v/>
      </c>
      <c r="G190" s="22">
        <f>F190/88</f>
        <v/>
      </c>
      <c r="N190" s="22" t="inlineStr">
        <is>
          <t>tengah</t>
        </is>
      </c>
      <c r="O190" s="22">
        <f>COUNTIFS($N$170:$N$332,"Tengah",$K$2:$K$164,"Sedang")</f>
        <v/>
      </c>
      <c r="P190" s="22">
        <f>O190/66</f>
        <v/>
      </c>
    </row>
    <row r="191" s="1">
      <c r="E191" s="22" t="inlineStr">
        <is>
          <t>tengah</t>
        </is>
      </c>
      <c r="F191" s="22">
        <f>COUNTIFS($E$170:$E$332,"Tengah",$K$2:$K$164,"Rendah")</f>
        <v/>
      </c>
      <c r="G191" s="22">
        <f>F191/88</f>
        <v/>
      </c>
      <c r="N191" s="22" t="inlineStr">
        <is>
          <t>kanan</t>
        </is>
      </c>
      <c r="O191" s="22">
        <f>COUNTIFS($N$170:$N$332,"Tengah",$K$2:$K$164,"Rendah")</f>
        <v/>
      </c>
      <c r="P191" s="22">
        <f>O191/66</f>
        <v/>
      </c>
    </row>
    <row r="192" s="1">
      <c r="E192" s="22" t="inlineStr">
        <is>
          <t>kanan</t>
        </is>
      </c>
      <c r="F192" s="22" t="inlineStr">
        <is>
          <t>Entropy</t>
        </is>
      </c>
      <c r="G192" s="22">
        <f>-(IFERROR(G189*LOG(G189,2),0)+IFERROR(G190*LOG(G190,2),0)+IFERROR(G191*LOG(G191,2),0))</f>
        <v/>
      </c>
      <c r="N192" s="22" t="inlineStr">
        <is>
          <t>kanan</t>
        </is>
      </c>
      <c r="O192" s="22" t="inlineStr">
        <is>
          <t>Entropy</t>
        </is>
      </c>
      <c r="P192" s="22">
        <f>-(IFERROR(P189*LOG(P189,2),0)+IFERROR(P190*LOG(P190,2),0)+IFERROR(P191*LOG(P191,2),0))</f>
        <v/>
      </c>
    </row>
    <row r="193" s="1">
      <c r="E193" s="22" t="inlineStr">
        <is>
          <t>kiri</t>
        </is>
      </c>
      <c r="F193" s="22" t="n"/>
      <c r="G193" s="22">
        <f>SUM(F189:F191)/163</f>
        <v/>
      </c>
      <c r="N193" s="22" t="inlineStr">
        <is>
          <t>tengah</t>
        </is>
      </c>
      <c r="O193" s="22" t="n"/>
      <c r="P193" s="22">
        <f>SUM(O189:O191)/163</f>
        <v/>
      </c>
    </row>
    <row r="194" s="1">
      <c r="E194" s="22" t="inlineStr">
        <is>
          <t>kiri</t>
        </is>
      </c>
      <c r="F194" s="22" t="n"/>
      <c r="G194" s="32">
        <f>G192*G193</f>
        <v/>
      </c>
      <c r="N194" s="22" t="inlineStr">
        <is>
          <t>tengah</t>
        </is>
      </c>
      <c r="O194" s="22" t="n"/>
      <c r="P194" s="32">
        <f>P192*P193</f>
        <v/>
      </c>
    </row>
    <row r="195" s="1">
      <c r="E195" s="22" t="inlineStr">
        <is>
          <t>tengah</t>
        </is>
      </c>
      <c r="F195" s="22" t="n"/>
      <c r="G195" s="22" t="n"/>
      <c r="N195" s="22" t="inlineStr">
        <is>
          <t>kanan</t>
        </is>
      </c>
      <c r="O195" s="22" t="n"/>
      <c r="P195" s="22" t="n"/>
    </row>
    <row r="196" s="1">
      <c r="E196" s="22" t="inlineStr">
        <is>
          <t>kanan</t>
        </is>
      </c>
      <c r="F196" s="22" t="inlineStr">
        <is>
          <t>IG</t>
        </is>
      </c>
      <c r="G196" s="22" t="n"/>
      <c r="N196" s="22" t="inlineStr">
        <is>
          <t>tengah</t>
        </is>
      </c>
      <c r="O196" s="22" t="inlineStr">
        <is>
          <t>IG</t>
        </is>
      </c>
      <c r="P196" s="22" t="n"/>
    </row>
    <row r="197" s="1">
      <c r="E197" s="22" t="inlineStr">
        <is>
          <t>kiri</t>
        </is>
      </c>
      <c r="F197" s="33">
        <f>P5-(G176+G185+G194)</f>
        <v/>
      </c>
      <c r="G197" s="22" t="n"/>
      <c r="N197" s="22" t="inlineStr">
        <is>
          <t>kanan</t>
        </is>
      </c>
      <c r="O197" s="33">
        <f>P5-(P176+P185+P194)</f>
        <v/>
      </c>
      <c r="P197" s="22" t="n"/>
    </row>
    <row r="198" s="1">
      <c r="E198" s="22" t="inlineStr">
        <is>
          <t>tengah</t>
        </is>
      </c>
      <c r="F198" s="22" t="n"/>
      <c r="G198" s="22" t="n"/>
      <c r="N198" s="22" t="inlineStr">
        <is>
          <t>kanan</t>
        </is>
      </c>
      <c r="O198" s="22" t="n"/>
      <c r="P198" s="22" t="n"/>
    </row>
    <row r="199" s="1">
      <c r="E199" s="22" t="inlineStr">
        <is>
          <t>kanan</t>
        </is>
      </c>
      <c r="F199" s="22" t="n"/>
      <c r="G199" s="22" t="n"/>
      <c r="N199" s="22" t="inlineStr">
        <is>
          <t>kanan</t>
        </is>
      </c>
      <c r="O199" s="22" t="n"/>
      <c r="P199" s="22" t="n"/>
    </row>
    <row r="200" s="1">
      <c r="E200" s="22" t="inlineStr">
        <is>
          <t>tengah</t>
        </is>
      </c>
      <c r="F200" s="22" t="n"/>
      <c r="G200" s="22" t="n"/>
      <c r="N200" s="22" t="inlineStr">
        <is>
          <t>kanan</t>
        </is>
      </c>
      <c r="O200" s="22" t="n"/>
      <c r="P200" s="22" t="n"/>
    </row>
    <row r="201" s="1">
      <c r="E201" s="22" t="inlineStr">
        <is>
          <t>tengah</t>
        </is>
      </c>
      <c r="F201" s="22" t="n"/>
      <c r="G201" s="22" t="n"/>
      <c r="N201" s="22" t="inlineStr">
        <is>
          <t>tengah</t>
        </is>
      </c>
      <c r="O201" s="22" t="n"/>
      <c r="P201" s="22" t="n"/>
    </row>
    <row r="202" s="1">
      <c r="E202" s="22" t="inlineStr">
        <is>
          <t>kiri</t>
        </is>
      </c>
      <c r="F202" s="22" t="n"/>
      <c r="G202" s="22" t="n"/>
      <c r="N202" s="22" t="inlineStr">
        <is>
          <t>tengah</t>
        </is>
      </c>
      <c r="O202" s="22" t="n"/>
      <c r="P202" s="22" t="n"/>
    </row>
    <row r="203" s="1">
      <c r="E203" s="22" t="inlineStr">
        <is>
          <t>kanan</t>
        </is>
      </c>
      <c r="F203" s="22" t="n"/>
      <c r="G203" s="22" t="n"/>
      <c r="N203" s="22" t="inlineStr">
        <is>
          <t>kanan</t>
        </is>
      </c>
      <c r="O203" s="22" t="n"/>
      <c r="P203" s="22" t="n"/>
    </row>
    <row r="204" s="1">
      <c r="E204" s="22" t="inlineStr">
        <is>
          <t>kanan</t>
        </is>
      </c>
      <c r="F204" s="22" t="n"/>
      <c r="G204" s="22" t="n"/>
      <c r="N204" s="22" t="inlineStr">
        <is>
          <t>kanan</t>
        </is>
      </c>
      <c r="O204" s="22" t="n"/>
      <c r="P204" s="22" t="n"/>
    </row>
    <row r="205" s="1">
      <c r="E205" s="22" t="inlineStr">
        <is>
          <t>kiri</t>
        </is>
      </c>
      <c r="F205" s="22" t="n"/>
      <c r="G205" s="22" t="n"/>
      <c r="N205" s="22" t="inlineStr">
        <is>
          <t>kanan</t>
        </is>
      </c>
      <c r="O205" s="22" t="n"/>
      <c r="P205" s="22" t="n"/>
    </row>
    <row r="206" s="1">
      <c r="E206" s="22" t="inlineStr">
        <is>
          <t>tengah</t>
        </is>
      </c>
      <c r="F206" s="22" t="n"/>
      <c r="G206" s="22" t="n"/>
      <c r="N206" s="22" t="inlineStr">
        <is>
          <t>kanan</t>
        </is>
      </c>
      <c r="O206" s="22" t="n"/>
      <c r="P206" s="22" t="n"/>
    </row>
    <row r="207" s="1">
      <c r="E207" s="22" t="inlineStr">
        <is>
          <t>kanan</t>
        </is>
      </c>
      <c r="F207" s="22" t="n"/>
      <c r="G207" s="22" t="n"/>
      <c r="N207" s="22" t="inlineStr">
        <is>
          <t>tengah</t>
        </is>
      </c>
      <c r="O207" s="22" t="n"/>
      <c r="P207" s="22" t="n"/>
    </row>
    <row r="208" s="1">
      <c r="E208" s="22" t="inlineStr">
        <is>
          <t>kiri</t>
        </is>
      </c>
      <c r="F208" s="22" t="n"/>
      <c r="G208" s="22" t="n"/>
      <c r="N208" s="22" t="inlineStr">
        <is>
          <t>tengah</t>
        </is>
      </c>
      <c r="O208" s="22" t="n"/>
      <c r="P208" s="22" t="n"/>
    </row>
    <row r="209" s="1">
      <c r="E209" s="22" t="inlineStr">
        <is>
          <t>tengah</t>
        </is>
      </c>
      <c r="F209" s="22" t="n"/>
      <c r="G209" s="22" t="n"/>
      <c r="N209" s="22" t="inlineStr">
        <is>
          <t>tengah</t>
        </is>
      </c>
      <c r="O209" s="22" t="n"/>
      <c r="P209" s="22" t="n"/>
    </row>
    <row r="210" s="1">
      <c r="E210" s="22" t="inlineStr">
        <is>
          <t>kiri</t>
        </is>
      </c>
      <c r="F210" s="22" t="n"/>
      <c r="G210" s="22" t="n"/>
      <c r="N210" s="22" t="inlineStr">
        <is>
          <t>tengah</t>
        </is>
      </c>
      <c r="O210" s="22" t="n"/>
      <c r="P210" s="22" t="n"/>
    </row>
    <row r="211" s="1">
      <c r="E211" s="22" t="inlineStr">
        <is>
          <t>tengah</t>
        </is>
      </c>
      <c r="F211" s="22" t="n"/>
      <c r="G211" s="22" t="n"/>
      <c r="N211" s="22" t="inlineStr">
        <is>
          <t>kanan</t>
        </is>
      </c>
      <c r="O211" s="22" t="n"/>
      <c r="P211" s="22" t="n"/>
    </row>
    <row r="212" s="1">
      <c r="E212" s="22" t="inlineStr">
        <is>
          <t>tengah</t>
        </is>
      </c>
      <c r="F212" s="22" t="n"/>
      <c r="G212" s="22" t="n"/>
      <c r="N212" s="22" t="inlineStr">
        <is>
          <t>tengah</t>
        </is>
      </c>
      <c r="O212" s="22" t="n"/>
      <c r="P212" s="22" t="n"/>
    </row>
    <row r="213" s="1">
      <c r="E213" s="22" t="inlineStr">
        <is>
          <t>tengah</t>
        </is>
      </c>
      <c r="F213" s="22" t="n"/>
      <c r="G213" s="22" t="n"/>
      <c r="N213" s="22" t="inlineStr">
        <is>
          <t>tengah</t>
        </is>
      </c>
      <c r="O213" s="22" t="n"/>
      <c r="P213" s="22" t="n"/>
    </row>
    <row r="214" s="1">
      <c r="E214" s="22" t="inlineStr">
        <is>
          <t>tengah</t>
        </is>
      </c>
      <c r="F214" s="22" t="n"/>
      <c r="G214" s="22" t="n"/>
      <c r="N214" s="22" t="inlineStr">
        <is>
          <t>kanan</t>
        </is>
      </c>
      <c r="O214" s="22" t="n"/>
      <c r="P214" s="22" t="n"/>
    </row>
    <row r="215" s="1">
      <c r="E215" s="22" t="inlineStr">
        <is>
          <t>kanan</t>
        </is>
      </c>
      <c r="F215" s="22" t="n"/>
      <c r="G215" s="22" t="n"/>
      <c r="N215" s="22" t="inlineStr">
        <is>
          <t>kanan</t>
        </is>
      </c>
      <c r="O215" s="22" t="n"/>
      <c r="P215" s="22" t="n"/>
    </row>
    <row r="216" s="1">
      <c r="E216" s="22" t="inlineStr">
        <is>
          <t>kanan</t>
        </is>
      </c>
      <c r="F216" s="22" t="n"/>
      <c r="G216" s="22" t="n"/>
      <c r="N216" s="22" t="inlineStr">
        <is>
          <t>tengah</t>
        </is>
      </c>
      <c r="O216" s="22" t="n"/>
      <c r="P216" s="22" t="n"/>
    </row>
    <row r="217" s="1">
      <c r="E217" s="22" t="inlineStr">
        <is>
          <t>tengah</t>
        </is>
      </c>
      <c r="F217" s="22" t="n"/>
      <c r="G217" s="22" t="n"/>
      <c r="N217" s="22" t="inlineStr">
        <is>
          <t>tengah</t>
        </is>
      </c>
      <c r="O217" s="22" t="n"/>
      <c r="P217" s="22" t="n"/>
    </row>
    <row r="218" s="1">
      <c r="E218" s="22" t="inlineStr">
        <is>
          <t>kiri</t>
        </is>
      </c>
      <c r="F218" s="22" t="n"/>
      <c r="G218" s="22" t="n"/>
      <c r="N218" s="22" t="inlineStr">
        <is>
          <t>tengah</t>
        </is>
      </c>
      <c r="O218" s="22" t="n"/>
      <c r="P218" s="22" t="n"/>
    </row>
    <row r="219" s="1">
      <c r="E219" s="22" t="inlineStr">
        <is>
          <t>tengah</t>
        </is>
      </c>
      <c r="F219" s="22" t="n"/>
      <c r="G219" s="22" t="n"/>
      <c r="N219" s="22" t="inlineStr">
        <is>
          <t>kanan</t>
        </is>
      </c>
      <c r="O219" s="22" t="n"/>
      <c r="P219" s="22" t="n"/>
    </row>
    <row r="220" s="1">
      <c r="E220" s="22" t="inlineStr">
        <is>
          <t>tengah</t>
        </is>
      </c>
      <c r="F220" s="22" t="n"/>
      <c r="G220" s="22" t="n"/>
      <c r="N220" s="22" t="inlineStr">
        <is>
          <t>kanan</t>
        </is>
      </c>
      <c r="O220" s="22" t="n"/>
      <c r="P220" s="22" t="n"/>
    </row>
    <row r="221" s="1">
      <c r="E221" s="22" t="inlineStr">
        <is>
          <t>tengah</t>
        </is>
      </c>
      <c r="F221" s="22" t="n"/>
      <c r="G221" s="22" t="n"/>
      <c r="N221" s="22" t="inlineStr">
        <is>
          <t>kanan</t>
        </is>
      </c>
      <c r="O221" s="22" t="n"/>
      <c r="P221" s="22" t="n"/>
    </row>
    <row r="222" s="1">
      <c r="E222" s="22" t="inlineStr">
        <is>
          <t>tengah</t>
        </is>
      </c>
      <c r="F222" s="22" t="n"/>
      <c r="G222" s="22" t="n"/>
      <c r="N222" s="22" t="inlineStr">
        <is>
          <t>kanan</t>
        </is>
      </c>
      <c r="O222" s="22" t="n"/>
      <c r="P222" s="22" t="n"/>
    </row>
    <row r="223" s="1">
      <c r="E223" s="22" t="inlineStr">
        <is>
          <t>tengah</t>
        </is>
      </c>
      <c r="F223" s="22" t="n"/>
      <c r="G223" s="22" t="n"/>
      <c r="N223" s="22" t="inlineStr">
        <is>
          <t>tengah</t>
        </is>
      </c>
      <c r="O223" s="22" t="n"/>
      <c r="P223" s="22" t="n"/>
    </row>
    <row r="224" s="1">
      <c r="E224" s="22" t="inlineStr">
        <is>
          <t>tengah</t>
        </is>
      </c>
      <c r="F224" s="22" t="n"/>
      <c r="G224" s="22" t="n"/>
      <c r="N224" s="22" t="inlineStr">
        <is>
          <t>tengah</t>
        </is>
      </c>
      <c r="O224" s="22" t="n"/>
      <c r="P224" s="22" t="n"/>
    </row>
    <row r="225" s="1">
      <c r="E225" s="22" t="inlineStr">
        <is>
          <t>kiri</t>
        </is>
      </c>
      <c r="F225" s="22" t="n"/>
      <c r="G225" s="22" t="n"/>
      <c r="N225" s="22" t="inlineStr">
        <is>
          <t>tengah</t>
        </is>
      </c>
      <c r="O225" s="22" t="n"/>
      <c r="P225" s="22" t="n"/>
    </row>
    <row r="226" s="1">
      <c r="E226" s="22" t="inlineStr">
        <is>
          <t>kanan</t>
        </is>
      </c>
      <c r="F226" s="22" t="n"/>
      <c r="G226" s="22" t="n"/>
      <c r="N226" s="22" t="inlineStr">
        <is>
          <t>kanan</t>
        </is>
      </c>
      <c r="O226" s="22" t="n"/>
      <c r="P226" s="22" t="n"/>
    </row>
    <row r="227" s="1">
      <c r="E227" s="22" t="inlineStr">
        <is>
          <t>tengah</t>
        </is>
      </c>
      <c r="F227" s="22" t="n"/>
      <c r="G227" s="22" t="n"/>
      <c r="N227" s="22" t="inlineStr">
        <is>
          <t>tengah</t>
        </is>
      </c>
      <c r="O227" s="22" t="n"/>
      <c r="P227" s="22" t="n"/>
    </row>
    <row r="228" s="1">
      <c r="E228" s="22" t="inlineStr">
        <is>
          <t>tengah</t>
        </is>
      </c>
      <c r="F228" s="22" t="n"/>
      <c r="G228" s="22" t="n"/>
      <c r="N228" s="22" t="inlineStr">
        <is>
          <t>kanan</t>
        </is>
      </c>
      <c r="O228" s="22" t="n"/>
      <c r="P228" s="22" t="n"/>
    </row>
    <row r="229" s="1">
      <c r="E229" s="22" t="inlineStr">
        <is>
          <t>tengah</t>
        </is>
      </c>
      <c r="F229" s="22" t="n"/>
      <c r="G229" s="22" t="n"/>
      <c r="N229" s="22" t="inlineStr">
        <is>
          <t>kanan</t>
        </is>
      </c>
      <c r="O229" s="22" t="n"/>
      <c r="P229" s="22" t="n"/>
    </row>
    <row r="230" s="1">
      <c r="E230" s="22" t="inlineStr">
        <is>
          <t>tengah</t>
        </is>
      </c>
      <c r="F230" s="22" t="n"/>
      <c r="G230" s="22" t="n"/>
      <c r="N230" s="22" t="inlineStr">
        <is>
          <t>kanan</t>
        </is>
      </c>
      <c r="O230" s="22" t="n"/>
      <c r="P230" s="22" t="n"/>
    </row>
    <row r="231" s="1">
      <c r="E231" s="22" t="inlineStr">
        <is>
          <t>kiri</t>
        </is>
      </c>
      <c r="F231" s="22" t="n"/>
      <c r="G231" s="22" t="n"/>
      <c r="N231" s="22" t="inlineStr">
        <is>
          <t>kanan</t>
        </is>
      </c>
      <c r="O231" s="22" t="n"/>
      <c r="P231" s="22" t="n"/>
    </row>
    <row r="232" s="1">
      <c r="E232" s="22" t="inlineStr">
        <is>
          <t>tengah</t>
        </is>
      </c>
      <c r="F232" s="22" t="n"/>
      <c r="G232" s="22" t="n"/>
      <c r="N232" s="22" t="inlineStr">
        <is>
          <t>kanan</t>
        </is>
      </c>
      <c r="O232" s="22" t="n"/>
      <c r="P232" s="22" t="n"/>
    </row>
    <row r="233" s="1">
      <c r="E233" s="22" t="inlineStr">
        <is>
          <t>tengah</t>
        </is>
      </c>
      <c r="F233" s="22" t="n"/>
      <c r="G233" s="22" t="n"/>
      <c r="N233" s="22" t="inlineStr">
        <is>
          <t>kanan</t>
        </is>
      </c>
      <c r="O233" s="22" t="n"/>
      <c r="P233" s="22" t="n"/>
    </row>
    <row r="234" s="1">
      <c r="E234" s="22" t="inlineStr">
        <is>
          <t>kiri</t>
        </is>
      </c>
      <c r="F234" s="22" t="n"/>
      <c r="G234" s="22" t="n"/>
      <c r="N234" s="22" t="inlineStr">
        <is>
          <t>kanan</t>
        </is>
      </c>
      <c r="O234" s="22" t="n"/>
      <c r="P234" s="22" t="n"/>
    </row>
    <row r="235" s="1">
      <c r="E235" s="22" t="inlineStr">
        <is>
          <t>tengah</t>
        </is>
      </c>
      <c r="F235" s="22" t="n"/>
      <c r="G235" s="22" t="n"/>
      <c r="N235" s="22" t="inlineStr">
        <is>
          <t>kanan</t>
        </is>
      </c>
      <c r="O235" s="22" t="n"/>
      <c r="P235" s="22" t="n"/>
    </row>
    <row r="236" s="1">
      <c r="E236" s="22" t="inlineStr">
        <is>
          <t>kiri</t>
        </is>
      </c>
      <c r="F236" s="22" t="n"/>
      <c r="G236" s="22" t="n"/>
      <c r="N236" s="22" t="inlineStr">
        <is>
          <t>tengah</t>
        </is>
      </c>
      <c r="O236" s="22" t="n"/>
      <c r="P236" s="22" t="n"/>
    </row>
    <row r="237" s="1">
      <c r="E237" s="22" t="inlineStr">
        <is>
          <t>tengah</t>
        </is>
      </c>
      <c r="F237" s="22" t="n"/>
      <c r="G237" s="22" t="n"/>
      <c r="N237" s="22" t="inlineStr">
        <is>
          <t>kanan</t>
        </is>
      </c>
      <c r="O237" s="22" t="n"/>
      <c r="P237" s="22" t="n"/>
    </row>
    <row r="238" s="1">
      <c r="E238" s="22" t="inlineStr">
        <is>
          <t>kanan</t>
        </is>
      </c>
      <c r="F238" s="22" t="n"/>
      <c r="G238" s="22" t="n"/>
      <c r="N238" s="22" t="inlineStr">
        <is>
          <t>kanan</t>
        </is>
      </c>
      <c r="O238" s="22" t="n"/>
      <c r="P238" s="22" t="n"/>
    </row>
    <row r="239" s="1">
      <c r="E239" s="22" t="inlineStr">
        <is>
          <t>kiri</t>
        </is>
      </c>
      <c r="F239" s="22" t="n"/>
      <c r="G239" s="22" t="n"/>
      <c r="N239" s="22" t="inlineStr">
        <is>
          <t>tengah</t>
        </is>
      </c>
      <c r="O239" s="22" t="n"/>
      <c r="P239" s="22" t="n"/>
    </row>
    <row r="240" s="1">
      <c r="E240" s="22" t="inlineStr">
        <is>
          <t>tengah</t>
        </is>
      </c>
      <c r="F240" s="22" t="n"/>
      <c r="G240" s="22" t="n"/>
      <c r="N240" s="22" t="inlineStr">
        <is>
          <t>tengah</t>
        </is>
      </c>
      <c r="O240" s="22" t="n"/>
      <c r="P240" s="22" t="n"/>
    </row>
    <row r="241" s="1">
      <c r="E241" s="22" t="inlineStr">
        <is>
          <t>kiri</t>
        </is>
      </c>
      <c r="F241" s="22" t="n"/>
      <c r="G241" s="22" t="n"/>
      <c r="N241" s="22" t="inlineStr">
        <is>
          <t>kanan</t>
        </is>
      </c>
      <c r="O241" s="22" t="n"/>
      <c r="P241" s="22" t="n"/>
    </row>
    <row r="242" s="1">
      <c r="E242" s="22" t="inlineStr">
        <is>
          <t>kanan</t>
        </is>
      </c>
      <c r="F242" s="22" t="n"/>
      <c r="G242" s="22" t="n"/>
      <c r="N242" s="22" t="inlineStr">
        <is>
          <t>kanan</t>
        </is>
      </c>
      <c r="O242" s="22" t="n"/>
      <c r="P242" s="22" t="n"/>
    </row>
    <row r="243" s="1">
      <c r="E243" s="22" t="inlineStr">
        <is>
          <t>kanan</t>
        </is>
      </c>
      <c r="F243" s="22" t="n"/>
      <c r="G243" s="22" t="n"/>
      <c r="N243" s="22" t="inlineStr">
        <is>
          <t>kanan</t>
        </is>
      </c>
      <c r="O243" s="22" t="n"/>
      <c r="P243" s="22" t="n"/>
    </row>
    <row r="244" s="1">
      <c r="E244" s="22" t="inlineStr">
        <is>
          <t>kiri</t>
        </is>
      </c>
      <c r="F244" s="22" t="n"/>
      <c r="G244" s="22" t="n"/>
      <c r="N244" s="22" t="inlineStr">
        <is>
          <t>kanan</t>
        </is>
      </c>
      <c r="O244" s="22" t="n"/>
      <c r="P244" s="22" t="n"/>
    </row>
    <row r="245" s="1">
      <c r="E245" s="22" t="inlineStr">
        <is>
          <t>tengah</t>
        </is>
      </c>
      <c r="F245" s="22" t="n"/>
      <c r="G245" s="22" t="n"/>
      <c r="N245" s="22" t="inlineStr">
        <is>
          <t>kanan</t>
        </is>
      </c>
      <c r="O245" s="22" t="n"/>
      <c r="P245" s="22" t="n"/>
    </row>
    <row r="246" s="1">
      <c r="E246" s="22" t="inlineStr">
        <is>
          <t>kiri</t>
        </is>
      </c>
      <c r="F246" s="22" t="n"/>
      <c r="G246" s="22" t="n"/>
      <c r="N246" s="22" t="inlineStr">
        <is>
          <t>tengah</t>
        </is>
      </c>
      <c r="O246" s="22" t="n"/>
      <c r="P246" s="22" t="n"/>
    </row>
    <row r="247" s="1">
      <c r="E247" s="22" t="inlineStr">
        <is>
          <t>tengah</t>
        </is>
      </c>
      <c r="F247" s="22" t="n"/>
      <c r="G247" s="22" t="n"/>
      <c r="N247" s="22" t="inlineStr">
        <is>
          <t>kanan</t>
        </is>
      </c>
      <c r="O247" s="22" t="n"/>
      <c r="P247" s="22" t="n"/>
    </row>
    <row r="248" s="1">
      <c r="E248" s="22" t="inlineStr">
        <is>
          <t>kiri</t>
        </is>
      </c>
      <c r="F248" s="22" t="n"/>
      <c r="G248" s="22" t="n"/>
      <c r="N248" s="22" t="inlineStr">
        <is>
          <t>kanan</t>
        </is>
      </c>
      <c r="O248" s="22" t="n"/>
      <c r="P248" s="22" t="n"/>
    </row>
    <row r="249" s="1">
      <c r="E249" s="22" t="inlineStr">
        <is>
          <t>tengah</t>
        </is>
      </c>
      <c r="F249" s="22" t="n"/>
      <c r="G249" s="22" t="n"/>
      <c r="N249" s="22" t="inlineStr">
        <is>
          <t>kanan</t>
        </is>
      </c>
      <c r="O249" s="22" t="n"/>
      <c r="P249" s="22" t="n"/>
    </row>
    <row r="250" s="1">
      <c r="E250" s="22" t="inlineStr">
        <is>
          <t>tengah</t>
        </is>
      </c>
      <c r="F250" s="22" t="n"/>
      <c r="G250" s="22" t="n"/>
      <c r="N250" s="22" t="inlineStr">
        <is>
          <t>tengah</t>
        </is>
      </c>
      <c r="O250" s="22" t="n"/>
      <c r="P250" s="22" t="n"/>
    </row>
    <row r="251" s="1">
      <c r="E251" s="22" t="inlineStr">
        <is>
          <t>tengah</t>
        </is>
      </c>
      <c r="F251" s="22" t="n"/>
      <c r="G251" s="22" t="n"/>
      <c r="N251" s="22" t="inlineStr">
        <is>
          <t>kanan</t>
        </is>
      </c>
      <c r="O251" s="22" t="n"/>
      <c r="P251" s="22" t="n"/>
    </row>
    <row r="252" s="1">
      <c r="E252" s="22" t="inlineStr">
        <is>
          <t>tengah</t>
        </is>
      </c>
      <c r="F252" s="22" t="n"/>
      <c r="G252" s="22" t="n"/>
      <c r="N252" s="22" t="inlineStr">
        <is>
          <t>kanan</t>
        </is>
      </c>
      <c r="O252" s="22" t="n"/>
      <c r="P252" s="22" t="n"/>
    </row>
    <row r="253" s="1">
      <c r="E253" s="22" t="inlineStr">
        <is>
          <t>kanan</t>
        </is>
      </c>
      <c r="F253" s="22" t="n"/>
      <c r="G253" s="22" t="n"/>
      <c r="N253" s="22" t="inlineStr">
        <is>
          <t>tengah</t>
        </is>
      </c>
      <c r="O253" s="22" t="n"/>
      <c r="P253" s="22" t="n"/>
    </row>
    <row r="254" s="1">
      <c r="E254" s="22" t="inlineStr">
        <is>
          <t>kanan</t>
        </is>
      </c>
      <c r="F254" s="22" t="n"/>
      <c r="G254" s="22" t="n"/>
      <c r="N254" s="22" t="inlineStr">
        <is>
          <t>kanan</t>
        </is>
      </c>
      <c r="O254" s="22" t="n"/>
      <c r="P254" s="22" t="n"/>
    </row>
    <row r="255" s="1">
      <c r="E255" s="22" t="inlineStr">
        <is>
          <t>tengah</t>
        </is>
      </c>
      <c r="F255" s="22" t="n"/>
      <c r="G255" s="22" t="n"/>
      <c r="N255" s="22" t="inlineStr">
        <is>
          <t>kanan</t>
        </is>
      </c>
      <c r="O255" s="22" t="n"/>
      <c r="P255" s="22" t="n"/>
    </row>
    <row r="256" s="1">
      <c r="E256" s="22" t="inlineStr">
        <is>
          <t>tengah</t>
        </is>
      </c>
      <c r="F256" s="22" t="n"/>
      <c r="G256" s="22" t="n"/>
      <c r="N256" s="22" t="inlineStr">
        <is>
          <t>tengah</t>
        </is>
      </c>
      <c r="O256" s="22" t="n"/>
      <c r="P256" s="22" t="n"/>
    </row>
    <row r="257" s="1">
      <c r="E257" s="22" t="inlineStr">
        <is>
          <t>kanan</t>
        </is>
      </c>
      <c r="F257" s="22" t="n"/>
      <c r="G257" s="22" t="n"/>
      <c r="N257" s="22" t="inlineStr">
        <is>
          <t>tengah</t>
        </is>
      </c>
      <c r="O257" s="22" t="n"/>
      <c r="P257" s="22" t="n"/>
    </row>
    <row r="258" s="1">
      <c r="E258" s="22" t="inlineStr">
        <is>
          <t>kiri</t>
        </is>
      </c>
      <c r="F258" s="22" t="n"/>
      <c r="G258" s="22" t="n"/>
      <c r="N258" s="22" t="inlineStr">
        <is>
          <t>kanan</t>
        </is>
      </c>
      <c r="O258" s="22" t="n"/>
      <c r="P258" s="22" t="n"/>
    </row>
    <row r="259" s="1">
      <c r="E259" s="22" t="inlineStr">
        <is>
          <t>kiri</t>
        </is>
      </c>
      <c r="F259" s="22" t="n"/>
      <c r="G259" s="22" t="n"/>
      <c r="N259" s="22" t="inlineStr">
        <is>
          <t>kanan</t>
        </is>
      </c>
      <c r="O259" s="22" t="n"/>
      <c r="P259" s="22" t="n"/>
    </row>
    <row r="260" s="1">
      <c r="E260" s="22" t="inlineStr">
        <is>
          <t>kiri</t>
        </is>
      </c>
      <c r="F260" s="22" t="n"/>
      <c r="G260" s="22" t="n"/>
      <c r="N260" s="22" t="inlineStr">
        <is>
          <t>kanan</t>
        </is>
      </c>
      <c r="O260" s="22" t="n"/>
      <c r="P260" s="22" t="n"/>
    </row>
    <row r="261" s="1">
      <c r="E261" s="22" t="inlineStr">
        <is>
          <t>tengah</t>
        </is>
      </c>
      <c r="F261" s="22" t="n"/>
      <c r="G261" s="22" t="n"/>
      <c r="N261" s="22" t="inlineStr">
        <is>
          <t>kanan</t>
        </is>
      </c>
      <c r="O261" s="22" t="n"/>
      <c r="P261" s="22" t="n"/>
    </row>
    <row r="262" s="1">
      <c r="E262" s="22" t="inlineStr">
        <is>
          <t>tengah</t>
        </is>
      </c>
      <c r="F262" s="22" t="n"/>
      <c r="G262" s="22" t="n"/>
      <c r="N262" s="22" t="inlineStr">
        <is>
          <t>kanan</t>
        </is>
      </c>
      <c r="O262" s="22" t="n"/>
      <c r="P262" s="22" t="n"/>
    </row>
    <row r="263" s="1">
      <c r="E263" s="22" t="inlineStr">
        <is>
          <t>tengah</t>
        </is>
      </c>
      <c r="F263" s="22" t="n"/>
      <c r="G263" s="22" t="n"/>
      <c r="N263" s="22" t="inlineStr">
        <is>
          <t>tengah</t>
        </is>
      </c>
      <c r="O263" s="22" t="n"/>
      <c r="P263" s="22" t="n"/>
    </row>
    <row r="264" s="1">
      <c r="E264" s="22" t="inlineStr">
        <is>
          <t>kiri</t>
        </is>
      </c>
      <c r="F264" s="22" t="n"/>
      <c r="G264" s="22" t="n"/>
      <c r="N264" s="22" t="inlineStr">
        <is>
          <t>tengah</t>
        </is>
      </c>
      <c r="O264" s="22" t="n"/>
      <c r="P264" s="22" t="n"/>
    </row>
    <row r="265" s="1">
      <c r="E265" s="22" t="inlineStr">
        <is>
          <t>tengah</t>
        </is>
      </c>
      <c r="F265" s="22" t="n"/>
      <c r="G265" s="22" t="n"/>
      <c r="N265" s="22" t="inlineStr">
        <is>
          <t>tengah</t>
        </is>
      </c>
      <c r="O265" s="22" t="n"/>
      <c r="P265" s="22" t="n"/>
    </row>
    <row r="266" s="1">
      <c r="E266" s="22" t="inlineStr">
        <is>
          <t>kiri</t>
        </is>
      </c>
      <c r="F266" s="22" t="n"/>
      <c r="G266" s="22" t="n"/>
      <c r="N266" s="22" t="inlineStr">
        <is>
          <t>tengah</t>
        </is>
      </c>
      <c r="O266" s="22" t="n"/>
      <c r="P266" s="22" t="n"/>
    </row>
    <row r="267" s="1">
      <c r="E267" s="22" t="inlineStr">
        <is>
          <t>tengah</t>
        </is>
      </c>
      <c r="F267" s="22" t="n"/>
      <c r="G267" s="22" t="n"/>
      <c r="N267" s="22" t="inlineStr">
        <is>
          <t>tengah</t>
        </is>
      </c>
      <c r="O267" s="22" t="n"/>
      <c r="P267" s="22" t="n"/>
    </row>
    <row r="268" s="1">
      <c r="E268" s="22" t="inlineStr">
        <is>
          <t>tengah</t>
        </is>
      </c>
      <c r="F268" s="22" t="n"/>
      <c r="G268" s="22" t="n"/>
      <c r="N268" s="22" t="inlineStr">
        <is>
          <t>kanan</t>
        </is>
      </c>
      <c r="O268" s="22" t="n"/>
      <c r="P268" s="22" t="n"/>
    </row>
    <row r="269" s="1">
      <c r="E269" s="22" t="inlineStr">
        <is>
          <t>kiri</t>
        </is>
      </c>
      <c r="F269" s="22" t="n"/>
      <c r="G269" s="22" t="n"/>
      <c r="N269" s="22" t="inlineStr">
        <is>
          <t>tengah</t>
        </is>
      </c>
      <c r="O269" s="22" t="n"/>
      <c r="P269" s="22" t="n"/>
    </row>
    <row r="270" s="1">
      <c r="E270" s="22" t="inlineStr">
        <is>
          <t>kanan</t>
        </is>
      </c>
      <c r="F270" s="22" t="n"/>
      <c r="G270" s="22" t="n"/>
      <c r="N270" s="22" t="inlineStr">
        <is>
          <t>kanan</t>
        </is>
      </c>
      <c r="O270" s="22" t="n"/>
      <c r="P270" s="22" t="n"/>
    </row>
    <row r="271" s="1">
      <c r="E271" s="22" t="inlineStr">
        <is>
          <t>tengah</t>
        </is>
      </c>
      <c r="F271" s="22" t="n"/>
      <c r="G271" s="22" t="n"/>
      <c r="N271" s="22" t="inlineStr">
        <is>
          <t>kanan</t>
        </is>
      </c>
      <c r="O271" s="22" t="n"/>
      <c r="P271" s="22" t="n"/>
    </row>
    <row r="272" s="1">
      <c r="E272" s="22" t="inlineStr">
        <is>
          <t>tengah</t>
        </is>
      </c>
      <c r="F272" s="22" t="n"/>
      <c r="G272" s="22" t="n"/>
      <c r="N272" s="22" t="inlineStr">
        <is>
          <t>kanan</t>
        </is>
      </c>
      <c r="O272" s="22" t="n"/>
      <c r="P272" s="22" t="n"/>
    </row>
    <row r="273" s="1">
      <c r="E273" s="22" t="inlineStr">
        <is>
          <t>tengah</t>
        </is>
      </c>
      <c r="F273" s="22" t="n"/>
      <c r="G273" s="22" t="n"/>
      <c r="N273" s="22" t="inlineStr">
        <is>
          <t>tengah</t>
        </is>
      </c>
      <c r="O273" s="22" t="n"/>
      <c r="P273" s="22" t="n"/>
    </row>
    <row r="274" s="1">
      <c r="E274" s="22" t="inlineStr">
        <is>
          <t>kiri</t>
        </is>
      </c>
      <c r="F274" s="22" t="n"/>
      <c r="G274" s="22" t="n"/>
      <c r="N274" s="22" t="inlineStr">
        <is>
          <t>kanan</t>
        </is>
      </c>
      <c r="O274" s="22" t="n"/>
      <c r="P274" s="22" t="n"/>
    </row>
    <row r="275" s="1">
      <c r="E275" s="22" t="inlineStr">
        <is>
          <t>kanan</t>
        </is>
      </c>
      <c r="F275" s="22" t="n"/>
      <c r="G275" s="22" t="n"/>
      <c r="N275" s="22" t="inlineStr">
        <is>
          <t>tengah</t>
        </is>
      </c>
      <c r="O275" s="22" t="n"/>
      <c r="P275" s="22" t="n"/>
    </row>
    <row r="276" s="1">
      <c r="E276" s="22" t="inlineStr">
        <is>
          <t>tengah</t>
        </is>
      </c>
      <c r="F276" s="22" t="n"/>
      <c r="G276" s="22" t="n"/>
      <c r="N276" s="22" t="inlineStr">
        <is>
          <t>tengah</t>
        </is>
      </c>
      <c r="O276" s="22" t="n"/>
      <c r="P276" s="22" t="n"/>
    </row>
    <row r="277" s="1">
      <c r="E277" s="22" t="inlineStr">
        <is>
          <t>tengah</t>
        </is>
      </c>
      <c r="F277" s="22" t="n"/>
      <c r="G277" s="22" t="n"/>
      <c r="N277" s="22" t="inlineStr">
        <is>
          <t>kanan</t>
        </is>
      </c>
      <c r="O277" s="22" t="n"/>
      <c r="P277" s="22" t="n"/>
    </row>
    <row r="278" s="1">
      <c r="E278" s="22" t="inlineStr">
        <is>
          <t>kiri</t>
        </is>
      </c>
      <c r="F278" s="22" t="n"/>
      <c r="G278" s="22" t="n"/>
      <c r="N278" s="22" t="inlineStr">
        <is>
          <t>kanan</t>
        </is>
      </c>
      <c r="O278" s="22" t="n"/>
      <c r="P278" s="22" t="n"/>
    </row>
    <row r="279" s="1">
      <c r="E279" s="22" t="inlineStr">
        <is>
          <t>kiri</t>
        </is>
      </c>
      <c r="F279" s="22" t="n"/>
      <c r="G279" s="22" t="n"/>
      <c r="N279" s="22" t="inlineStr">
        <is>
          <t>kanan</t>
        </is>
      </c>
      <c r="O279" s="22" t="n"/>
      <c r="P279" s="22" t="n"/>
    </row>
    <row r="280" s="1">
      <c r="E280" s="22" t="inlineStr">
        <is>
          <t>tengah</t>
        </is>
      </c>
      <c r="F280" s="22" t="n"/>
      <c r="G280" s="22" t="n"/>
      <c r="N280" s="22" t="inlineStr">
        <is>
          <t>tengah</t>
        </is>
      </c>
      <c r="O280" s="22" t="n"/>
      <c r="P280" s="22" t="n"/>
    </row>
    <row r="281" s="1">
      <c r="E281" s="22" t="inlineStr">
        <is>
          <t>kiri</t>
        </is>
      </c>
      <c r="F281" s="22" t="n"/>
      <c r="G281" s="22" t="n"/>
      <c r="N281" s="22" t="inlineStr">
        <is>
          <t>tengah</t>
        </is>
      </c>
      <c r="O281" s="22" t="n"/>
      <c r="P281" s="22" t="n"/>
    </row>
    <row r="282" s="1">
      <c r="E282" s="22" t="inlineStr">
        <is>
          <t>tengah</t>
        </is>
      </c>
      <c r="F282" s="22" t="n"/>
      <c r="G282" s="22" t="n"/>
      <c r="N282" s="22" t="inlineStr">
        <is>
          <t>kanan</t>
        </is>
      </c>
      <c r="O282" s="22" t="n"/>
      <c r="P282" s="22" t="n"/>
    </row>
    <row r="283" s="1">
      <c r="E283" s="22" t="inlineStr">
        <is>
          <t>tengah</t>
        </is>
      </c>
      <c r="F283" s="22" t="n"/>
      <c r="G283" s="22" t="n"/>
      <c r="N283" s="22" t="inlineStr">
        <is>
          <t>kanan</t>
        </is>
      </c>
      <c r="O283" s="22" t="n"/>
      <c r="P283" s="22" t="n"/>
    </row>
    <row r="284" s="1">
      <c r="E284" s="22" t="inlineStr">
        <is>
          <t>tengah</t>
        </is>
      </c>
      <c r="F284" s="22" t="n"/>
      <c r="G284" s="22" t="n"/>
      <c r="N284" s="22" t="inlineStr">
        <is>
          <t>kanan</t>
        </is>
      </c>
      <c r="O284" s="22" t="n"/>
      <c r="P284" s="22" t="n"/>
    </row>
    <row r="285" s="1">
      <c r="E285" s="22" t="inlineStr">
        <is>
          <t>tengah</t>
        </is>
      </c>
      <c r="F285" s="22" t="n"/>
      <c r="G285" s="22" t="n"/>
      <c r="N285" s="22" t="inlineStr">
        <is>
          <t>tengah</t>
        </is>
      </c>
      <c r="O285" s="22" t="n"/>
      <c r="P285" s="22" t="n"/>
    </row>
    <row r="286" s="1">
      <c r="E286" s="22" t="inlineStr">
        <is>
          <t>kiri</t>
        </is>
      </c>
      <c r="F286" s="22" t="n"/>
      <c r="G286" s="22" t="n"/>
      <c r="N286" s="22" t="inlineStr">
        <is>
          <t>kanan</t>
        </is>
      </c>
      <c r="O286" s="22" t="n"/>
      <c r="P286" s="22" t="n"/>
    </row>
    <row r="287" s="1">
      <c r="E287" s="22" t="inlineStr">
        <is>
          <t>tengah</t>
        </is>
      </c>
      <c r="F287" s="22" t="n"/>
      <c r="G287" s="22" t="n"/>
      <c r="N287" s="22" t="inlineStr">
        <is>
          <t>tengah</t>
        </is>
      </c>
      <c r="O287" s="22" t="n"/>
      <c r="P287" s="22" t="n"/>
    </row>
    <row r="288" s="1">
      <c r="E288" s="22" t="inlineStr">
        <is>
          <t>tengah</t>
        </is>
      </c>
      <c r="F288" s="22" t="n"/>
      <c r="G288" s="22" t="n"/>
      <c r="N288" s="22" t="inlineStr">
        <is>
          <t>kanan</t>
        </is>
      </c>
      <c r="O288" s="22" t="n"/>
      <c r="P288" s="22" t="n"/>
    </row>
    <row r="289" s="1">
      <c r="E289" s="22" t="inlineStr">
        <is>
          <t>tengah</t>
        </is>
      </c>
      <c r="F289" s="22" t="n"/>
      <c r="G289" s="22" t="n"/>
      <c r="N289" s="22" t="inlineStr">
        <is>
          <t>kanan</t>
        </is>
      </c>
      <c r="O289" s="22" t="n"/>
      <c r="P289" s="22" t="n"/>
    </row>
    <row r="290" s="1">
      <c r="E290" s="22" t="inlineStr">
        <is>
          <t>tengah</t>
        </is>
      </c>
      <c r="F290" s="22" t="n"/>
      <c r="G290" s="22" t="n"/>
      <c r="N290" s="22" t="inlineStr">
        <is>
          <t>kanan</t>
        </is>
      </c>
      <c r="O290" s="22" t="n"/>
      <c r="P290" s="22" t="n"/>
    </row>
    <row r="291" s="1">
      <c r="E291" s="22" t="inlineStr">
        <is>
          <t>kanan</t>
        </is>
      </c>
      <c r="F291" s="22" t="n"/>
      <c r="G291" s="22" t="n"/>
      <c r="N291" s="22" t="inlineStr">
        <is>
          <t>kanan</t>
        </is>
      </c>
      <c r="O291" s="22" t="n"/>
      <c r="P291" s="22" t="n"/>
    </row>
    <row r="292" s="1">
      <c r="E292" s="22" t="inlineStr">
        <is>
          <t>kiri</t>
        </is>
      </c>
      <c r="F292" s="22" t="n"/>
      <c r="G292" s="22" t="n"/>
      <c r="N292" s="22" t="inlineStr">
        <is>
          <t>kanan</t>
        </is>
      </c>
      <c r="O292" s="22" t="n"/>
      <c r="P292" s="22" t="n"/>
    </row>
    <row r="293" s="1">
      <c r="E293" s="22" t="inlineStr">
        <is>
          <t>tengah</t>
        </is>
      </c>
      <c r="F293" s="22" t="n"/>
      <c r="G293" s="22" t="n"/>
      <c r="N293" s="22" t="inlineStr">
        <is>
          <t>tengah</t>
        </is>
      </c>
      <c r="O293" s="22" t="n"/>
      <c r="P293" s="22" t="n"/>
    </row>
    <row r="294" s="1">
      <c r="E294" s="22" t="inlineStr">
        <is>
          <t>kiri</t>
        </is>
      </c>
      <c r="F294" s="22" t="n"/>
      <c r="G294" s="22" t="n"/>
      <c r="N294" s="22" t="inlineStr">
        <is>
          <t>kanan</t>
        </is>
      </c>
      <c r="O294" s="22" t="n"/>
      <c r="P294" s="22" t="n"/>
    </row>
    <row r="295" s="1">
      <c r="E295" s="22" t="inlineStr">
        <is>
          <t>tengah</t>
        </is>
      </c>
      <c r="F295" s="22" t="n"/>
      <c r="G295" s="22" t="n"/>
      <c r="N295" s="22" t="inlineStr">
        <is>
          <t>kanan</t>
        </is>
      </c>
      <c r="O295" s="22" t="n"/>
      <c r="P295" s="22" t="n"/>
    </row>
    <row r="296" s="1">
      <c r="E296" s="22" t="inlineStr">
        <is>
          <t>kanan</t>
        </is>
      </c>
      <c r="F296" s="22" t="n"/>
      <c r="G296" s="22" t="n"/>
      <c r="N296" s="22" t="inlineStr">
        <is>
          <t>tengah</t>
        </is>
      </c>
      <c r="O296" s="22" t="n"/>
      <c r="P296" s="22" t="n"/>
    </row>
    <row r="297" s="1">
      <c r="E297" s="22" t="inlineStr">
        <is>
          <t>tengah</t>
        </is>
      </c>
      <c r="F297" s="22" t="n"/>
      <c r="G297" s="22" t="n"/>
      <c r="N297" s="22" t="inlineStr">
        <is>
          <t>tengah</t>
        </is>
      </c>
      <c r="O297" s="22" t="n"/>
      <c r="P297" s="22" t="n"/>
    </row>
    <row r="298" s="1">
      <c r="E298" s="22" t="inlineStr">
        <is>
          <t>kiri</t>
        </is>
      </c>
      <c r="F298" s="22" t="n"/>
      <c r="G298" s="22" t="n"/>
      <c r="N298" s="22" t="inlineStr">
        <is>
          <t>tengah</t>
        </is>
      </c>
      <c r="O298" s="22" t="n"/>
      <c r="P298" s="22" t="n"/>
    </row>
    <row r="299" s="1">
      <c r="E299" s="22" t="inlineStr">
        <is>
          <t>tengah</t>
        </is>
      </c>
      <c r="F299" s="22" t="n"/>
      <c r="G299" s="22" t="n"/>
      <c r="N299" s="22" t="inlineStr">
        <is>
          <t>kanan</t>
        </is>
      </c>
      <c r="O299" s="22" t="n"/>
      <c r="P299" s="22" t="n"/>
    </row>
    <row r="300" s="1">
      <c r="E300" s="22" t="inlineStr">
        <is>
          <t>tengah</t>
        </is>
      </c>
      <c r="F300" s="22" t="n"/>
      <c r="G300" s="22" t="n"/>
      <c r="N300" s="22" t="inlineStr">
        <is>
          <t>kanan</t>
        </is>
      </c>
      <c r="O300" s="22" t="n"/>
      <c r="P300" s="22" t="n"/>
    </row>
    <row r="301" s="1">
      <c r="E301" s="22" t="inlineStr">
        <is>
          <t>tengah</t>
        </is>
      </c>
      <c r="F301" s="22" t="n"/>
      <c r="G301" s="22" t="n"/>
      <c r="N301" s="22" t="inlineStr">
        <is>
          <t>kanan</t>
        </is>
      </c>
      <c r="O301" s="22" t="n"/>
      <c r="P301" s="22" t="n"/>
    </row>
    <row r="302" s="1">
      <c r="E302" s="22" t="inlineStr">
        <is>
          <t>kiri</t>
        </is>
      </c>
      <c r="F302" s="22" t="n"/>
      <c r="G302" s="22" t="n"/>
      <c r="N302" s="22" t="inlineStr">
        <is>
          <t>tengah</t>
        </is>
      </c>
      <c r="O302" s="22" t="n"/>
      <c r="P302" s="22" t="n"/>
    </row>
    <row r="303" s="1">
      <c r="E303" s="22" t="inlineStr">
        <is>
          <t>kanan</t>
        </is>
      </c>
      <c r="F303" s="22" t="n"/>
      <c r="G303" s="22" t="n"/>
      <c r="N303" s="22" t="inlineStr">
        <is>
          <t>kanan</t>
        </is>
      </c>
      <c r="O303" s="22" t="n"/>
      <c r="P303" s="22" t="n"/>
    </row>
    <row r="304" s="1">
      <c r="E304" s="22" t="inlineStr">
        <is>
          <t>kiri</t>
        </is>
      </c>
      <c r="F304" s="22" t="n"/>
      <c r="G304" s="22" t="n"/>
      <c r="N304" s="22" t="inlineStr">
        <is>
          <t>kanan</t>
        </is>
      </c>
      <c r="O304" s="22" t="n"/>
      <c r="P304" s="22" t="n"/>
    </row>
    <row r="305" s="1">
      <c r="E305" s="22" t="inlineStr">
        <is>
          <t>kiri</t>
        </is>
      </c>
      <c r="F305" s="22" t="n"/>
      <c r="G305" s="22" t="n"/>
      <c r="N305" s="22" t="inlineStr">
        <is>
          <t>kanan</t>
        </is>
      </c>
      <c r="O305" s="22" t="n"/>
      <c r="P305" s="22" t="n"/>
    </row>
    <row r="306" s="1">
      <c r="E306" s="22" t="inlineStr">
        <is>
          <t>tengah</t>
        </is>
      </c>
      <c r="F306" s="22" t="n"/>
      <c r="G306" s="22" t="n"/>
      <c r="N306" s="22" t="inlineStr">
        <is>
          <t>kanan</t>
        </is>
      </c>
      <c r="O306" s="22" t="n"/>
      <c r="P306" s="22" t="n"/>
    </row>
    <row r="307" s="1">
      <c r="E307" s="22" t="inlineStr">
        <is>
          <t>tengah</t>
        </is>
      </c>
      <c r="F307" s="22" t="n"/>
      <c r="G307" s="22" t="n"/>
      <c r="N307" s="22" t="inlineStr">
        <is>
          <t>tengah</t>
        </is>
      </c>
      <c r="O307" s="22" t="n"/>
      <c r="P307" s="22" t="n"/>
    </row>
    <row r="308" s="1">
      <c r="E308" s="22" t="inlineStr">
        <is>
          <t>tengah</t>
        </is>
      </c>
      <c r="F308" s="22" t="n"/>
      <c r="G308" s="22" t="n"/>
      <c r="N308" s="22" t="inlineStr">
        <is>
          <t>kanan</t>
        </is>
      </c>
      <c r="O308" s="22" t="n"/>
      <c r="P308" s="22" t="n"/>
    </row>
    <row r="309" s="1">
      <c r="E309" s="22" t="inlineStr">
        <is>
          <t>tengah</t>
        </is>
      </c>
      <c r="F309" s="22" t="n"/>
      <c r="G309" s="22" t="n"/>
      <c r="N309" s="22" t="inlineStr">
        <is>
          <t>kanan</t>
        </is>
      </c>
      <c r="O309" s="22" t="n"/>
      <c r="P309" s="22" t="n"/>
    </row>
    <row r="310" s="1">
      <c r="E310" s="22" t="inlineStr">
        <is>
          <t>tengah</t>
        </is>
      </c>
      <c r="F310" s="22" t="n"/>
      <c r="G310" s="22" t="n"/>
      <c r="N310" s="22" t="inlineStr">
        <is>
          <t>kanan</t>
        </is>
      </c>
      <c r="O310" s="22" t="n"/>
      <c r="P310" s="22" t="n"/>
    </row>
    <row r="311" s="1">
      <c r="E311" s="22" t="inlineStr">
        <is>
          <t>tengah</t>
        </is>
      </c>
      <c r="F311" s="22" t="n"/>
      <c r="G311" s="22" t="n"/>
      <c r="N311" s="22" t="inlineStr">
        <is>
          <t>kanan</t>
        </is>
      </c>
      <c r="O311" s="22" t="n"/>
      <c r="P311" s="22" t="n"/>
    </row>
    <row r="312" s="1">
      <c r="E312" s="22" t="inlineStr">
        <is>
          <t>kiri</t>
        </is>
      </c>
      <c r="F312" s="22" t="n"/>
      <c r="G312" s="22" t="n"/>
      <c r="N312" s="22" t="inlineStr">
        <is>
          <t>kanan</t>
        </is>
      </c>
      <c r="O312" s="22" t="n"/>
      <c r="P312" s="22" t="n"/>
    </row>
    <row r="313" s="1">
      <c r="E313" s="22" t="inlineStr">
        <is>
          <t>tengah</t>
        </is>
      </c>
      <c r="F313" s="22" t="n"/>
      <c r="G313" s="22" t="n"/>
      <c r="N313" s="22" t="inlineStr">
        <is>
          <t>kanan</t>
        </is>
      </c>
      <c r="O313" s="22" t="n"/>
      <c r="P313" s="22" t="n"/>
    </row>
    <row r="314" s="1">
      <c r="E314" s="22" t="inlineStr">
        <is>
          <t>kiri</t>
        </is>
      </c>
      <c r="F314" s="22" t="n"/>
      <c r="G314" s="22" t="n"/>
      <c r="N314" s="22" t="inlineStr">
        <is>
          <t>kanan</t>
        </is>
      </c>
      <c r="O314" s="22" t="n"/>
      <c r="P314" s="22" t="n"/>
    </row>
    <row r="315" s="1">
      <c r="E315" s="22" t="inlineStr">
        <is>
          <t>tengah</t>
        </is>
      </c>
      <c r="F315" s="22" t="n"/>
      <c r="G315" s="22" t="n"/>
      <c r="N315" s="22" t="inlineStr">
        <is>
          <t>tengah</t>
        </is>
      </c>
      <c r="O315" s="22" t="n"/>
      <c r="P315" s="22" t="n"/>
    </row>
    <row r="316" s="1">
      <c r="E316" s="22" t="inlineStr">
        <is>
          <t>tengah</t>
        </is>
      </c>
      <c r="F316" s="22" t="n"/>
      <c r="G316" s="22" t="n"/>
      <c r="N316" s="22" t="inlineStr">
        <is>
          <t>tengah</t>
        </is>
      </c>
      <c r="O316" s="22" t="n"/>
      <c r="P316" s="22" t="n"/>
    </row>
    <row r="317" s="1">
      <c r="E317" s="22" t="inlineStr">
        <is>
          <t>tengah</t>
        </is>
      </c>
      <c r="F317" s="22" t="n"/>
      <c r="G317" s="22" t="n"/>
      <c r="N317" s="22" t="inlineStr">
        <is>
          <t>kanan</t>
        </is>
      </c>
      <c r="O317" s="22" t="n"/>
      <c r="P317" s="22" t="n"/>
    </row>
    <row r="318" s="1">
      <c r="E318" s="22" t="inlineStr">
        <is>
          <t>kanan</t>
        </is>
      </c>
      <c r="F318" s="22" t="n"/>
      <c r="G318" s="22" t="n"/>
      <c r="N318" s="22" t="inlineStr">
        <is>
          <t>tengah</t>
        </is>
      </c>
      <c r="O318" s="22" t="n"/>
      <c r="P318" s="22" t="n"/>
    </row>
    <row r="319" s="1">
      <c r="E319" s="22" t="inlineStr">
        <is>
          <t>kanan</t>
        </is>
      </c>
      <c r="F319" s="22" t="n"/>
      <c r="G319" s="22" t="n"/>
      <c r="N319" s="22" t="inlineStr">
        <is>
          <t>kanan</t>
        </is>
      </c>
      <c r="O319" s="22" t="n"/>
      <c r="P319" s="22" t="n"/>
    </row>
    <row r="320" s="1">
      <c r="E320" s="22" t="inlineStr">
        <is>
          <t>kanan</t>
        </is>
      </c>
      <c r="F320" s="22" t="n"/>
      <c r="G320" s="22" t="n"/>
      <c r="N320" s="22" t="inlineStr">
        <is>
          <t>kanan</t>
        </is>
      </c>
      <c r="O320" s="22" t="n"/>
      <c r="P320" s="22" t="n"/>
    </row>
    <row r="321" s="1">
      <c r="E321" s="22" t="inlineStr">
        <is>
          <t>kiri</t>
        </is>
      </c>
      <c r="F321" s="22" t="n"/>
      <c r="G321" s="22" t="n"/>
      <c r="N321" s="22" t="inlineStr">
        <is>
          <t>kanan</t>
        </is>
      </c>
      <c r="O321" s="22" t="n"/>
      <c r="P321" s="22" t="n"/>
    </row>
    <row r="322" s="1">
      <c r="E322" s="22" t="inlineStr">
        <is>
          <t>tengah</t>
        </is>
      </c>
      <c r="F322" s="22" t="n"/>
      <c r="G322" s="22" t="n"/>
      <c r="N322" s="22" t="inlineStr">
        <is>
          <t>kanan</t>
        </is>
      </c>
      <c r="O322" s="22" t="n"/>
      <c r="P322" s="22" t="n"/>
    </row>
    <row r="323" s="1">
      <c r="E323" s="22" t="inlineStr">
        <is>
          <t>tengah</t>
        </is>
      </c>
      <c r="F323" s="22" t="n"/>
      <c r="G323" s="22" t="n"/>
      <c r="N323" s="22" t="inlineStr">
        <is>
          <t>tengah</t>
        </is>
      </c>
      <c r="O323" s="22" t="n"/>
      <c r="P323" s="22" t="n"/>
    </row>
    <row r="324" s="1">
      <c r="E324" s="22" t="inlineStr">
        <is>
          <t>tengah</t>
        </is>
      </c>
      <c r="F324" s="22" t="n"/>
      <c r="G324" s="22" t="n"/>
      <c r="N324" s="22" t="inlineStr">
        <is>
          <t>tengah</t>
        </is>
      </c>
      <c r="O324" s="22" t="n"/>
      <c r="P324" s="22" t="n"/>
    </row>
    <row r="325" s="1">
      <c r="E325" s="22" t="inlineStr">
        <is>
          <t>tengah</t>
        </is>
      </c>
      <c r="F325" s="22" t="n"/>
      <c r="G325" s="22" t="n"/>
      <c r="N325" s="22" t="inlineStr">
        <is>
          <t>kanan</t>
        </is>
      </c>
      <c r="O325" s="22" t="n"/>
      <c r="P325" s="22" t="n"/>
    </row>
    <row r="326" s="1">
      <c r="E326" s="22" t="inlineStr">
        <is>
          <t>kiri</t>
        </is>
      </c>
      <c r="F326" s="22" t="n"/>
      <c r="G326" s="22" t="n"/>
      <c r="N326" s="22" t="inlineStr">
        <is>
          <t>tengah</t>
        </is>
      </c>
      <c r="O326" s="22" t="n"/>
      <c r="P326" s="22" t="n"/>
    </row>
    <row r="327" s="1">
      <c r="E327" s="22" t="inlineStr">
        <is>
          <t>kiri</t>
        </is>
      </c>
      <c r="F327" s="22" t="n"/>
      <c r="G327" s="22" t="n"/>
      <c r="N327" s="22" t="inlineStr">
        <is>
          <t>kanan</t>
        </is>
      </c>
      <c r="O327" s="22" t="n"/>
      <c r="P327" s="22" t="n"/>
    </row>
    <row r="328" s="1">
      <c r="E328" s="22" t="inlineStr">
        <is>
          <t>tengah</t>
        </is>
      </c>
      <c r="F328" s="22" t="n"/>
      <c r="G328" s="22" t="n"/>
      <c r="N328" s="22" t="inlineStr">
        <is>
          <t>tengah</t>
        </is>
      </c>
      <c r="O328" s="22" t="n"/>
      <c r="P328" s="22" t="n"/>
    </row>
    <row r="329" s="1">
      <c r="E329" s="22" t="inlineStr">
        <is>
          <t>tengah</t>
        </is>
      </c>
      <c r="F329" s="22" t="n"/>
      <c r="G329" s="22" t="n"/>
      <c r="N329" s="22" t="inlineStr">
        <is>
          <t>tengah</t>
        </is>
      </c>
      <c r="O329" s="22" t="n"/>
      <c r="P329" s="22" t="n"/>
    </row>
    <row r="330" s="1">
      <c r="E330" s="22" t="inlineStr">
        <is>
          <t>kanan</t>
        </is>
      </c>
      <c r="F330" s="22" t="n"/>
      <c r="G330" s="22" t="n"/>
      <c r="N330" s="22" t="inlineStr">
        <is>
          <t>tengah</t>
        </is>
      </c>
      <c r="O330" s="22" t="n"/>
      <c r="P330" s="22" t="n"/>
    </row>
    <row r="331" s="1">
      <c r="E331" s="22" t="inlineStr">
        <is>
          <t>tengah</t>
        </is>
      </c>
      <c r="F331" s="22" t="n"/>
      <c r="G331" s="22" t="n"/>
      <c r="N331" s="22" t="inlineStr">
        <is>
          <t>kanan</t>
        </is>
      </c>
      <c r="O331" s="22" t="n"/>
      <c r="P331" s="22" t="n"/>
    </row>
    <row r="332" s="1">
      <c r="E332" s="22" t="inlineStr">
        <is>
          <t>tengah</t>
        </is>
      </c>
      <c r="F332" s="22" t="n"/>
      <c r="G332" s="22" t="n"/>
      <c r="N332" s="22" t="inlineStr">
        <is>
          <t>kanan</t>
        </is>
      </c>
      <c r="O332" s="22" t="n"/>
      <c r="P332" s="22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32"/>
  <sheetViews>
    <sheetView topLeftCell="D1" workbookViewId="0">
      <selection activeCell="O182" sqref="O182"/>
    </sheetView>
  </sheetViews>
  <sheetFormatPr baseColWidth="8" defaultColWidth="9.148148148148151" defaultRowHeight="15"/>
  <cols>
    <col width="9.140740740740741" customWidth="1" style="27" min="1" max="2"/>
    <col width="13.8592592592593" customWidth="1" style="27" min="3" max="3"/>
    <col width="9.140740740740741" customWidth="1" style="27" min="4" max="5"/>
    <col width="11.5703703703704" customWidth="1" style="27" min="6" max="6"/>
    <col width="9.140740740740741" customWidth="1" style="27" min="7" max="9"/>
    <col width="13.8592592592593" customWidth="1" style="27" min="10" max="10"/>
    <col width="9.140740740740741" customWidth="1" style="27" min="11" max="14"/>
    <col width="16.1407407407407" customWidth="1" style="27" min="15" max="15"/>
    <col width="9.140740740740741" customWidth="1" style="27" min="16" max="16384"/>
  </cols>
  <sheetData>
    <row r="1" s="1">
      <c r="A1" s="15" t="inlineStr">
        <is>
          <t>No</t>
        </is>
      </c>
      <c r="B1" s="15" t="inlineStr">
        <is>
          <t>Usia</t>
        </is>
      </c>
      <c r="C1" s="15" t="inlineStr">
        <is>
          <t>Tingkat Resiko</t>
        </is>
      </c>
      <c r="H1" s="28" t="inlineStr">
        <is>
          <t>No</t>
        </is>
      </c>
      <c r="I1" s="28" t="inlineStr">
        <is>
          <t>Usia</t>
        </is>
      </c>
      <c r="J1" s="28" t="inlineStr">
        <is>
          <t>Tingkat Resiko</t>
        </is>
      </c>
      <c r="O1" s="15" t="inlineStr">
        <is>
          <t>Perhitungan root</t>
        </is>
      </c>
      <c r="P1" s="29" t="n"/>
      <c r="Q1" s="29" t="n"/>
    </row>
    <row r="2" s="1">
      <c r="A2" s="22">
        <f>RANDBETWEEN(2,164)</f>
        <v/>
      </c>
      <c r="B2" s="22">
        <f t="array" ref="B2"/>
        <v/>
      </c>
      <c r="C2" s="22">
        <f t="array" ref="C2"/>
        <v/>
      </c>
      <c r="H2" s="28" t="n">
        <v>102</v>
      </c>
      <c r="I2" s="28" t="n">
        <v>41</v>
      </c>
      <c r="J2" s="28" t="inlineStr">
        <is>
          <t>Tinggi</t>
        </is>
      </c>
      <c r="O2" s="29" t="inlineStr">
        <is>
          <t>Tinggi</t>
        </is>
      </c>
      <c r="P2" s="29">
        <f>COUNTIF(J2:J164,"Tinggi")</f>
        <v/>
      </c>
      <c r="Q2" s="29">
        <f>P2/163</f>
        <v/>
      </c>
    </row>
    <row r="3" s="1">
      <c r="A3" s="22">
        <f>RANDBETWEEN(2,164)</f>
        <v/>
      </c>
      <c r="B3" s="22">
        <f t="array" ref="B3"/>
        <v/>
      </c>
      <c r="C3" s="22">
        <f t="array" ref="C3"/>
        <v/>
      </c>
      <c r="H3" s="28" t="n">
        <v>76</v>
      </c>
      <c r="I3" s="28" t="n">
        <v>70</v>
      </c>
      <c r="J3" s="28" t="inlineStr">
        <is>
          <t>Sedang</t>
        </is>
      </c>
      <c r="O3" s="29" t="inlineStr">
        <is>
          <t>Sedang</t>
        </is>
      </c>
      <c r="P3" s="29">
        <f>COUNTIF(J2:J164,"Sedang")</f>
        <v/>
      </c>
      <c r="Q3" s="29">
        <f>P3/163</f>
        <v/>
      </c>
    </row>
    <row r="4" s="1">
      <c r="A4" s="22">
        <f>RANDBETWEEN(2,164)</f>
        <v/>
      </c>
      <c r="B4" s="22">
        <f t="array" ref="B4"/>
        <v/>
      </c>
      <c r="C4" s="22">
        <f t="array" ref="C4"/>
        <v/>
      </c>
      <c r="H4" s="28" t="n">
        <v>163</v>
      </c>
      <c r="I4" s="28" t="n">
        <v>34</v>
      </c>
      <c r="J4" s="28" t="inlineStr">
        <is>
          <t>Rendah</t>
        </is>
      </c>
      <c r="O4" s="29" t="inlineStr">
        <is>
          <t>Rendah</t>
        </is>
      </c>
      <c r="P4" s="29">
        <f>COUNTIF(J2:J164,"Rendah")</f>
        <v/>
      </c>
      <c r="Q4" s="29">
        <f>P4/163</f>
        <v/>
      </c>
    </row>
    <row r="5" s="1">
      <c r="A5" s="22">
        <f>RANDBETWEEN(2,164)</f>
        <v/>
      </c>
      <c r="B5" s="22">
        <f t="array" ref="B5"/>
        <v/>
      </c>
      <c r="C5" s="22">
        <f t="array" ref="C5"/>
        <v/>
      </c>
      <c r="H5" s="28" t="n">
        <v>28</v>
      </c>
      <c r="I5" s="28" t="n">
        <v>22</v>
      </c>
      <c r="J5" s="28" t="inlineStr">
        <is>
          <t>Sedang</t>
        </is>
      </c>
      <c r="O5" s="30" t="inlineStr">
        <is>
          <t>Entropy Root</t>
        </is>
      </c>
      <c r="P5" s="27">
        <f>-(IFERROR(Q2*LOG(Q2,2),0)+IFERROR(Q3*LOG(Q3,2),0)+IFERROR(Q4*LOG(Q4,2),0))</f>
        <v/>
      </c>
    </row>
    <row r="6" s="1">
      <c r="A6" s="22">
        <f>RANDBETWEEN(2,164)</f>
        <v/>
      </c>
      <c r="B6" s="22">
        <f t="array" ref="B6"/>
        <v/>
      </c>
      <c r="C6" s="22">
        <f t="array" ref="C6"/>
        <v/>
      </c>
      <c r="H6" s="28" t="n">
        <v>161</v>
      </c>
      <c r="I6" s="28" t="n">
        <v>12</v>
      </c>
      <c r="J6" s="28" t="inlineStr">
        <is>
          <t>Tinggi</t>
        </is>
      </c>
    </row>
    <row r="7" s="1">
      <c r="A7" s="22">
        <f>RANDBETWEEN(2,164)</f>
        <v/>
      </c>
      <c r="B7" s="22">
        <f t="array" ref="B7"/>
        <v/>
      </c>
      <c r="C7" s="22">
        <f t="array" ref="C7"/>
        <v/>
      </c>
      <c r="H7" s="28" t="n">
        <v>148</v>
      </c>
      <c r="I7" s="28" t="n">
        <v>55</v>
      </c>
      <c r="J7" s="28" t="inlineStr">
        <is>
          <t>Tinggi</t>
        </is>
      </c>
    </row>
    <row r="8" s="1">
      <c r="A8" s="22">
        <f>RANDBETWEEN(2,164)</f>
        <v/>
      </c>
      <c r="B8" s="22">
        <f t="array" ref="B8"/>
        <v/>
      </c>
      <c r="C8" s="22">
        <f t="array" ref="C8"/>
        <v/>
      </c>
      <c r="H8" s="28" t="n">
        <v>81</v>
      </c>
      <c r="I8" s="28" t="n">
        <v>23</v>
      </c>
      <c r="J8" s="28" t="inlineStr">
        <is>
          <t>Sedang</t>
        </is>
      </c>
    </row>
    <row r="9" s="1">
      <c r="A9" s="22">
        <f>RANDBETWEEN(2,164)</f>
        <v/>
      </c>
      <c r="B9" s="22">
        <f t="array" ref="B9"/>
        <v/>
      </c>
      <c r="C9" s="22">
        <f t="array" ref="C9"/>
        <v/>
      </c>
      <c r="H9" s="28" t="n">
        <v>8</v>
      </c>
      <c r="I9" s="28" t="n">
        <v>4</v>
      </c>
      <c r="J9" s="28" t="inlineStr">
        <is>
          <t>Sedang</t>
        </is>
      </c>
    </row>
    <row r="10" s="1">
      <c r="A10" s="22">
        <f>RANDBETWEEN(2,164)</f>
        <v/>
      </c>
      <c r="B10" s="22">
        <f t="array" ref="B10"/>
        <v/>
      </c>
      <c r="C10" s="22">
        <f t="array" ref="C10"/>
        <v/>
      </c>
      <c r="H10" s="28" t="n">
        <v>116</v>
      </c>
      <c r="I10" s="28" t="n">
        <v>32</v>
      </c>
      <c r="J10" s="28" t="inlineStr">
        <is>
          <t>Tinggi</t>
        </is>
      </c>
    </row>
    <row r="11" s="1">
      <c r="A11" s="22">
        <f>RANDBETWEEN(2,164)</f>
        <v/>
      </c>
      <c r="B11" s="22">
        <f t="array" ref="B11"/>
        <v/>
      </c>
      <c r="C11" s="22">
        <f t="array" ref="C11"/>
        <v/>
      </c>
      <c r="H11" s="28" t="n">
        <v>17</v>
      </c>
      <c r="I11" s="28" t="n">
        <v>2</v>
      </c>
      <c r="J11" s="28" t="inlineStr">
        <is>
          <t>Rendah</t>
        </is>
      </c>
    </row>
    <row r="12" s="1">
      <c r="A12" s="22">
        <f>RANDBETWEEN(2,164)</f>
        <v/>
      </c>
      <c r="B12" s="22">
        <f t="array" ref="B12"/>
        <v/>
      </c>
      <c r="C12" s="22">
        <f t="array" ref="C12"/>
        <v/>
      </c>
      <c r="H12" s="28" t="n">
        <v>162</v>
      </c>
      <c r="I12" s="28" t="n">
        <v>22</v>
      </c>
      <c r="J12" s="28" t="inlineStr">
        <is>
          <t>Rendah</t>
        </is>
      </c>
    </row>
    <row r="13" s="1">
      <c r="A13" s="22">
        <f>RANDBETWEEN(2,164)</f>
        <v/>
      </c>
      <c r="B13" s="22">
        <f t="array" ref="B13"/>
        <v/>
      </c>
      <c r="C13" s="22">
        <f t="array" ref="C13"/>
        <v/>
      </c>
      <c r="H13" s="28" t="n">
        <v>7</v>
      </c>
      <c r="I13" s="28" t="n">
        <v>12</v>
      </c>
      <c r="J13" s="28" t="inlineStr">
        <is>
          <t>Sedang</t>
        </is>
      </c>
    </row>
    <row r="14" s="1">
      <c r="A14" s="22">
        <f>RANDBETWEEN(2,164)</f>
        <v/>
      </c>
      <c r="B14" s="22">
        <f t="array" ref="B14"/>
        <v/>
      </c>
      <c r="C14" s="22">
        <f t="array" ref="C14"/>
        <v/>
      </c>
      <c r="H14" s="28" t="n">
        <v>25</v>
      </c>
      <c r="I14" s="28" t="n">
        <v>81</v>
      </c>
      <c r="J14" s="28" t="inlineStr">
        <is>
          <t>Sedang</t>
        </is>
      </c>
    </row>
    <row r="15" s="1">
      <c r="A15" s="22">
        <f>RANDBETWEEN(2,164)</f>
        <v/>
      </c>
      <c r="B15" s="22">
        <f t="array" ref="B15"/>
        <v/>
      </c>
      <c r="C15" s="22">
        <f t="array" ref="C15"/>
        <v/>
      </c>
      <c r="H15" s="28" t="n">
        <v>143</v>
      </c>
      <c r="I15" s="28" t="n">
        <v>20</v>
      </c>
      <c r="J15" s="28" t="inlineStr">
        <is>
          <t>Tinggi</t>
        </is>
      </c>
    </row>
    <row r="16" s="1">
      <c r="A16" s="22">
        <f>RANDBETWEEN(2,164)</f>
        <v/>
      </c>
      <c r="B16" s="22">
        <f t="array" ref="B16"/>
        <v/>
      </c>
      <c r="C16" s="22">
        <f t="array" ref="C16"/>
        <v/>
      </c>
      <c r="H16" s="28" t="n">
        <v>22</v>
      </c>
      <c r="I16" s="28" t="n">
        <v>6</v>
      </c>
      <c r="J16" s="28" t="inlineStr">
        <is>
          <t>Sedang</t>
        </is>
      </c>
    </row>
    <row r="17" s="1">
      <c r="A17" s="22">
        <f>RANDBETWEEN(2,164)</f>
        <v/>
      </c>
      <c r="B17" s="22">
        <f t="array" ref="B17"/>
        <v/>
      </c>
      <c r="C17" s="22">
        <f t="array" ref="C17"/>
        <v/>
      </c>
      <c r="H17" s="28" t="n">
        <v>86</v>
      </c>
      <c r="I17" s="28" t="n">
        <v>23</v>
      </c>
      <c r="J17" s="28" t="inlineStr">
        <is>
          <t>Sedang</t>
        </is>
      </c>
    </row>
    <row r="18" s="1">
      <c r="A18" s="22">
        <f>RANDBETWEEN(2,164)</f>
        <v/>
      </c>
      <c r="B18" s="22">
        <f t="array" ref="B18"/>
        <v/>
      </c>
      <c r="C18" s="22">
        <f t="array" ref="C18"/>
        <v/>
      </c>
      <c r="H18" s="28" t="n">
        <v>92</v>
      </c>
      <c r="I18" s="28" t="n">
        <v>55</v>
      </c>
      <c r="J18" s="28" t="inlineStr">
        <is>
          <t>Tinggi</t>
        </is>
      </c>
    </row>
    <row r="19" s="1">
      <c r="A19" s="22">
        <f>RANDBETWEEN(2,164)</f>
        <v/>
      </c>
      <c r="B19" s="22">
        <f t="array" ref="B19"/>
        <v/>
      </c>
      <c r="C19" s="22">
        <f t="array" ref="C19"/>
        <v/>
      </c>
      <c r="H19" s="28" t="n">
        <v>136</v>
      </c>
      <c r="I19" s="28" t="n">
        <v>6</v>
      </c>
      <c r="J19" s="28" t="inlineStr">
        <is>
          <t>Tinggi</t>
        </is>
      </c>
    </row>
    <row r="20" s="1">
      <c r="A20" s="22">
        <f>RANDBETWEEN(2,164)</f>
        <v/>
      </c>
      <c r="B20" s="22">
        <f t="array" ref="B20"/>
        <v/>
      </c>
      <c r="C20" s="22">
        <f t="array" ref="C20"/>
        <v/>
      </c>
      <c r="H20" s="28" t="n">
        <v>65</v>
      </c>
      <c r="I20" s="28" t="n">
        <v>49</v>
      </c>
      <c r="J20" s="28" t="inlineStr">
        <is>
          <t>Sedang</t>
        </is>
      </c>
    </row>
    <row r="21" s="1">
      <c r="A21" s="22">
        <f>RANDBETWEEN(2,164)</f>
        <v/>
      </c>
      <c r="B21" s="22">
        <f t="array" ref="B21"/>
        <v/>
      </c>
      <c r="C21" s="22">
        <f t="array" ref="C21"/>
        <v/>
      </c>
      <c r="H21" s="28" t="n">
        <v>34</v>
      </c>
      <c r="I21" s="28" t="n">
        <v>55</v>
      </c>
      <c r="J21" s="28" t="inlineStr">
        <is>
          <t>Sedang</t>
        </is>
      </c>
    </row>
    <row r="22" s="1">
      <c r="A22" s="22">
        <f>RANDBETWEEN(2,164)</f>
        <v/>
      </c>
      <c r="B22" s="22">
        <f t="array" ref="B22"/>
        <v/>
      </c>
      <c r="C22" s="22">
        <f t="array" ref="C22"/>
        <v/>
      </c>
      <c r="H22" s="28" t="n">
        <v>90</v>
      </c>
      <c r="I22" s="28" t="n">
        <v>47</v>
      </c>
      <c r="J22" s="28" t="inlineStr">
        <is>
          <t>Tinggi</t>
        </is>
      </c>
    </row>
    <row r="23" s="1">
      <c r="A23" s="22">
        <f>RANDBETWEEN(2,164)</f>
        <v/>
      </c>
      <c r="B23" s="22">
        <f t="array" ref="B23"/>
        <v/>
      </c>
      <c r="C23" s="22">
        <f t="array" ref="C23"/>
        <v/>
      </c>
      <c r="H23" s="28" t="n">
        <v>115</v>
      </c>
      <c r="I23" s="28" t="n">
        <v>52</v>
      </c>
      <c r="J23" s="28" t="inlineStr">
        <is>
          <t>Tinggi</t>
        </is>
      </c>
    </row>
    <row r="24" s="1">
      <c r="A24" s="22">
        <f>RANDBETWEEN(2,164)</f>
        <v/>
      </c>
      <c r="B24" s="22">
        <f t="array" ref="B24"/>
        <v/>
      </c>
      <c r="C24" s="22">
        <f t="array" ref="C24"/>
        <v/>
      </c>
      <c r="H24" s="28" t="n">
        <v>31</v>
      </c>
      <c r="I24" s="28" t="n">
        <v>64</v>
      </c>
      <c r="J24" s="28" t="inlineStr">
        <is>
          <t>Sedang</t>
        </is>
      </c>
    </row>
    <row r="25" s="1">
      <c r="A25" s="22">
        <f>RANDBETWEEN(2,164)</f>
        <v/>
      </c>
      <c r="B25" s="22">
        <f t="array" ref="B25"/>
        <v/>
      </c>
      <c r="C25" s="22">
        <f t="array" ref="C25"/>
        <v/>
      </c>
      <c r="H25" s="28" t="n">
        <v>120</v>
      </c>
      <c r="I25" s="28" t="n">
        <v>26</v>
      </c>
      <c r="J25" s="28" t="inlineStr">
        <is>
          <t>Tinggi</t>
        </is>
      </c>
    </row>
    <row r="26" s="1">
      <c r="A26" s="22">
        <f>RANDBETWEEN(2,164)</f>
        <v/>
      </c>
      <c r="B26" s="22">
        <f t="array" ref="B26"/>
        <v/>
      </c>
      <c r="C26" s="22">
        <f t="array" ref="C26"/>
        <v/>
      </c>
      <c r="H26" s="28" t="n">
        <v>127</v>
      </c>
      <c r="I26" s="28" t="n">
        <v>21</v>
      </c>
      <c r="J26" s="28" t="inlineStr">
        <is>
          <t>Tinggi</t>
        </is>
      </c>
    </row>
    <row r="27" s="1">
      <c r="A27" s="22">
        <f>RANDBETWEEN(2,164)</f>
        <v/>
      </c>
      <c r="B27" s="22">
        <f t="array" ref="B27"/>
        <v/>
      </c>
      <c r="C27" s="22">
        <f t="array" ref="C27"/>
        <v/>
      </c>
      <c r="H27" s="28" t="n">
        <v>69</v>
      </c>
      <c r="I27" s="28" t="n">
        <v>24</v>
      </c>
      <c r="J27" s="28" t="inlineStr">
        <is>
          <t>Sedang</t>
        </is>
      </c>
    </row>
    <row r="28" s="1">
      <c r="A28" s="22">
        <f>RANDBETWEEN(2,164)</f>
        <v/>
      </c>
      <c r="B28" s="22">
        <f t="array" ref="B28"/>
        <v/>
      </c>
      <c r="C28" s="22">
        <f t="array" ref="C28"/>
        <v/>
      </c>
      <c r="H28" s="28" t="n">
        <v>42</v>
      </c>
      <c r="I28" s="28" t="n">
        <v>21</v>
      </c>
      <c r="J28" s="28" t="inlineStr">
        <is>
          <t>Sedang</t>
        </is>
      </c>
    </row>
    <row r="29" s="1">
      <c r="A29" s="22">
        <f>RANDBETWEEN(2,164)</f>
        <v/>
      </c>
      <c r="B29" s="22">
        <f t="array" ref="B29"/>
        <v/>
      </c>
      <c r="C29" s="22">
        <f t="array" ref="C29"/>
        <v/>
      </c>
      <c r="H29" s="28" t="n">
        <v>129</v>
      </c>
      <c r="I29" s="28" t="n">
        <v>4</v>
      </c>
      <c r="J29" s="28" t="inlineStr">
        <is>
          <t>Tinggi</t>
        </is>
      </c>
    </row>
    <row r="30" s="1">
      <c r="A30" s="22">
        <f>RANDBETWEEN(2,164)</f>
        <v/>
      </c>
      <c r="B30" s="22">
        <f t="array" ref="B30"/>
        <v/>
      </c>
      <c r="C30" s="22">
        <f t="array" ref="C30"/>
        <v/>
      </c>
      <c r="H30" s="28" t="n">
        <v>101</v>
      </c>
      <c r="I30" s="28" t="n">
        <v>42</v>
      </c>
      <c r="J30" s="28" t="inlineStr">
        <is>
          <t>Tinggi</t>
        </is>
      </c>
    </row>
    <row r="31" s="1">
      <c r="A31" s="22">
        <f>RANDBETWEEN(2,164)</f>
        <v/>
      </c>
      <c r="B31" s="22">
        <f t="array" ref="B31"/>
        <v/>
      </c>
      <c r="C31" s="22">
        <f t="array" ref="C31"/>
        <v/>
      </c>
      <c r="H31" s="28" t="n">
        <v>141</v>
      </c>
      <c r="I31" s="28" t="n">
        <v>36</v>
      </c>
      <c r="J31" s="28" t="inlineStr">
        <is>
          <t>Tinggi</t>
        </is>
      </c>
    </row>
    <row r="32" s="1">
      <c r="A32" s="22">
        <f>RANDBETWEEN(2,164)</f>
        <v/>
      </c>
      <c r="B32" s="22">
        <f t="array" ref="B32"/>
        <v/>
      </c>
      <c r="C32" s="22">
        <f t="array" ref="C32"/>
        <v/>
      </c>
      <c r="H32" s="28" t="n">
        <v>152</v>
      </c>
      <c r="I32" s="28" t="n">
        <v>47</v>
      </c>
      <c r="J32" s="28" t="inlineStr">
        <is>
          <t>Tinggi</t>
        </is>
      </c>
    </row>
    <row r="33" s="1">
      <c r="A33" s="22">
        <f>RANDBETWEEN(2,164)</f>
        <v/>
      </c>
      <c r="B33" s="22">
        <f t="array" ref="B33"/>
        <v/>
      </c>
      <c r="C33" s="22">
        <f t="array" ref="C33"/>
        <v/>
      </c>
      <c r="H33" s="28" t="n">
        <v>81</v>
      </c>
      <c r="I33" s="28" t="n">
        <v>23</v>
      </c>
      <c r="J33" s="28" t="inlineStr">
        <is>
          <t>Sedang</t>
        </is>
      </c>
    </row>
    <row r="34" s="1">
      <c r="A34" s="22">
        <f>RANDBETWEEN(2,164)</f>
        <v/>
      </c>
      <c r="B34" s="22">
        <f t="array" ref="B34"/>
        <v/>
      </c>
      <c r="C34" s="22">
        <f t="array" ref="C34"/>
        <v/>
      </c>
      <c r="H34" s="28" t="n">
        <v>41</v>
      </c>
      <c r="I34" s="28" t="n">
        <v>8</v>
      </c>
      <c r="J34" s="28" t="inlineStr">
        <is>
          <t>Sedang</t>
        </is>
      </c>
    </row>
    <row r="35" s="1">
      <c r="A35" s="22">
        <f>RANDBETWEEN(2,164)</f>
        <v/>
      </c>
      <c r="B35" s="22">
        <f t="array" ref="B35"/>
        <v/>
      </c>
      <c r="C35" s="22">
        <f t="array" ref="C35"/>
        <v/>
      </c>
      <c r="H35" s="28" t="n">
        <v>129</v>
      </c>
      <c r="I35" s="28" t="n">
        <v>4</v>
      </c>
      <c r="J35" s="28" t="inlineStr">
        <is>
          <t>Tinggi</t>
        </is>
      </c>
    </row>
    <row r="36" s="1">
      <c r="A36" s="22">
        <f>RANDBETWEEN(2,164)</f>
        <v/>
      </c>
      <c r="B36" s="22">
        <f t="array" ref="B36"/>
        <v/>
      </c>
      <c r="C36" s="22">
        <f t="array" ref="C36"/>
        <v/>
      </c>
      <c r="H36" s="28" t="n">
        <v>148</v>
      </c>
      <c r="I36" s="28" t="n">
        <v>55</v>
      </c>
      <c r="J36" s="28" t="inlineStr">
        <is>
          <t>Tinggi</t>
        </is>
      </c>
    </row>
    <row r="37" s="1">
      <c r="A37" s="22">
        <f>RANDBETWEEN(2,164)</f>
        <v/>
      </c>
      <c r="B37" s="22">
        <f t="array" ref="B37"/>
        <v/>
      </c>
      <c r="C37" s="22">
        <f t="array" ref="C37"/>
        <v/>
      </c>
      <c r="H37" s="28" t="n">
        <v>59</v>
      </c>
      <c r="I37" s="28" t="n">
        <v>28</v>
      </c>
      <c r="J37" s="28" t="inlineStr">
        <is>
          <t>Sedang</t>
        </is>
      </c>
    </row>
    <row r="38" s="1">
      <c r="A38" s="22">
        <f>RANDBETWEEN(2,164)</f>
        <v/>
      </c>
      <c r="B38" s="22">
        <f t="array" ref="B38"/>
        <v/>
      </c>
      <c r="C38" s="22">
        <f t="array" ref="C38"/>
        <v/>
      </c>
      <c r="H38" s="28" t="n">
        <v>88</v>
      </c>
      <c r="I38" s="28" t="n">
        <v>20</v>
      </c>
      <c r="J38" s="28" t="inlineStr">
        <is>
          <t>Sedang</t>
        </is>
      </c>
    </row>
    <row r="39" s="1">
      <c r="A39" s="22">
        <f>RANDBETWEEN(2,164)</f>
        <v/>
      </c>
      <c r="B39" s="22">
        <f t="array" ref="B39"/>
        <v/>
      </c>
      <c r="C39" s="22">
        <f t="array" ref="C39"/>
        <v/>
      </c>
      <c r="H39" s="28" t="n">
        <v>39</v>
      </c>
      <c r="I39" s="28" t="n">
        <v>12</v>
      </c>
      <c r="J39" s="28" t="inlineStr">
        <is>
          <t>Sedang</t>
        </is>
      </c>
    </row>
    <row r="40" s="1">
      <c r="A40" s="22">
        <f>RANDBETWEEN(2,164)</f>
        <v/>
      </c>
      <c r="B40" s="22">
        <f t="array" ref="B40"/>
        <v/>
      </c>
      <c r="C40" s="22">
        <f t="array" ref="C40"/>
        <v/>
      </c>
      <c r="H40" s="28" t="n">
        <v>99</v>
      </c>
      <c r="I40" s="28" t="n">
        <v>4</v>
      </c>
      <c r="J40" s="28" t="inlineStr">
        <is>
          <t>Tinggi</t>
        </is>
      </c>
    </row>
    <row r="41" s="1">
      <c r="A41" s="22">
        <f>RANDBETWEEN(2,164)</f>
        <v/>
      </c>
      <c r="B41" s="22">
        <f t="array" ref="B41"/>
        <v/>
      </c>
      <c r="C41" s="22">
        <f t="array" ref="C41"/>
        <v/>
      </c>
      <c r="H41" s="28" t="n">
        <v>64</v>
      </c>
      <c r="I41" s="28" t="n">
        <v>35</v>
      </c>
      <c r="J41" s="28" t="inlineStr">
        <is>
          <t>Sedang</t>
        </is>
      </c>
    </row>
    <row r="42" s="1">
      <c r="A42" s="22">
        <f>RANDBETWEEN(2,164)</f>
        <v/>
      </c>
      <c r="B42" s="22">
        <f t="array" ref="B42"/>
        <v/>
      </c>
      <c r="C42" s="22">
        <f t="array" ref="C42"/>
        <v/>
      </c>
      <c r="H42" s="28" t="n">
        <v>138</v>
      </c>
      <c r="I42" s="28" t="n">
        <v>13</v>
      </c>
      <c r="J42" s="28" t="inlineStr">
        <is>
          <t>Tinggi</t>
        </is>
      </c>
    </row>
    <row r="43" s="1">
      <c r="A43" s="22">
        <f>RANDBETWEEN(2,164)</f>
        <v/>
      </c>
      <c r="B43" s="22">
        <f t="array" ref="B43"/>
        <v/>
      </c>
      <c r="C43" s="22">
        <f t="array" ref="C43"/>
        <v/>
      </c>
      <c r="H43" s="28" t="n">
        <v>111</v>
      </c>
      <c r="I43" s="28" t="n">
        <v>25</v>
      </c>
      <c r="J43" s="28" t="inlineStr">
        <is>
          <t>Tinggi</t>
        </is>
      </c>
    </row>
    <row r="44" s="1">
      <c r="A44" s="22">
        <f>RANDBETWEEN(2,164)</f>
        <v/>
      </c>
      <c r="B44" s="22">
        <f t="array" ref="B44"/>
        <v/>
      </c>
      <c r="C44" s="22">
        <f t="array" ref="C44"/>
        <v/>
      </c>
      <c r="H44" s="28" t="n">
        <v>86</v>
      </c>
      <c r="I44" s="28" t="n">
        <v>23</v>
      </c>
      <c r="J44" s="28" t="inlineStr">
        <is>
          <t>Sedang</t>
        </is>
      </c>
    </row>
    <row r="45" s="1">
      <c r="A45" s="22">
        <f>RANDBETWEEN(2,164)</f>
        <v/>
      </c>
      <c r="B45" s="22">
        <f t="array" ref="B45"/>
        <v/>
      </c>
      <c r="C45" s="22">
        <f t="array" ref="C45"/>
        <v/>
      </c>
      <c r="H45" s="28" t="n">
        <v>98</v>
      </c>
      <c r="I45" s="28" t="n">
        <v>16</v>
      </c>
      <c r="J45" s="28" t="inlineStr">
        <is>
          <t>Tinggi</t>
        </is>
      </c>
    </row>
    <row r="46" s="1">
      <c r="A46" s="22">
        <f>RANDBETWEEN(2,164)</f>
        <v/>
      </c>
      <c r="B46" s="22">
        <f t="array" ref="B46"/>
        <v/>
      </c>
      <c r="C46" s="22">
        <f t="array" ref="C46"/>
        <v/>
      </c>
      <c r="H46" s="28" t="n">
        <v>94</v>
      </c>
      <c r="I46" s="28" t="n">
        <v>12</v>
      </c>
      <c r="J46" s="28" t="inlineStr">
        <is>
          <t>Tinggi</t>
        </is>
      </c>
    </row>
    <row r="47" s="1">
      <c r="A47" s="22">
        <f>RANDBETWEEN(2,164)</f>
        <v/>
      </c>
      <c r="B47" s="22">
        <f t="array" ref="B47"/>
        <v/>
      </c>
      <c r="C47" s="22">
        <f t="array" ref="C47"/>
        <v/>
      </c>
      <c r="H47" s="28" t="n">
        <v>31</v>
      </c>
      <c r="I47" s="28" t="n">
        <v>64</v>
      </c>
      <c r="J47" s="28" t="inlineStr">
        <is>
          <t>Sedang</t>
        </is>
      </c>
    </row>
    <row r="48" s="1">
      <c r="A48" s="22">
        <f>RANDBETWEEN(2,164)</f>
        <v/>
      </c>
      <c r="B48" s="22">
        <f t="array" ref="B48"/>
        <v/>
      </c>
      <c r="C48" s="22">
        <f t="array" ref="C48"/>
        <v/>
      </c>
      <c r="H48" s="28" t="n">
        <v>103</v>
      </c>
      <c r="I48" s="28" t="n">
        <v>22</v>
      </c>
      <c r="J48" s="28" t="inlineStr">
        <is>
          <t>Tinggi</t>
        </is>
      </c>
    </row>
    <row r="49" s="1">
      <c r="A49" s="22">
        <f>RANDBETWEEN(2,164)</f>
        <v/>
      </c>
      <c r="B49" s="22">
        <f t="array" ref="B49"/>
        <v/>
      </c>
      <c r="C49" s="22">
        <f t="array" ref="C49"/>
        <v/>
      </c>
      <c r="H49" s="28" t="n">
        <v>105</v>
      </c>
      <c r="I49" s="28" t="n">
        <v>61</v>
      </c>
      <c r="J49" s="28" t="inlineStr">
        <is>
          <t>Tinggi</t>
        </is>
      </c>
    </row>
    <row r="50" s="1">
      <c r="A50" s="22">
        <f>RANDBETWEEN(2,164)</f>
        <v/>
      </c>
      <c r="B50" s="22">
        <f t="array" ref="B50"/>
        <v/>
      </c>
      <c r="C50" s="22">
        <f t="array" ref="C50"/>
        <v/>
      </c>
      <c r="H50" s="28" t="n">
        <v>67</v>
      </c>
      <c r="I50" s="28" t="n">
        <v>21</v>
      </c>
      <c r="J50" s="28" t="inlineStr">
        <is>
          <t>Sedang</t>
        </is>
      </c>
    </row>
    <row r="51" s="1">
      <c r="A51" s="22">
        <f>RANDBETWEEN(2,164)</f>
        <v/>
      </c>
      <c r="B51" s="22">
        <f t="array" ref="B51"/>
        <v/>
      </c>
      <c r="C51" s="22">
        <f t="array" ref="C51"/>
        <v/>
      </c>
      <c r="H51" s="28" t="n">
        <v>127</v>
      </c>
      <c r="I51" s="28" t="n">
        <v>21</v>
      </c>
      <c r="J51" s="28" t="inlineStr">
        <is>
          <t>Tinggi</t>
        </is>
      </c>
    </row>
    <row r="52" s="1">
      <c r="A52" s="22">
        <f>RANDBETWEEN(2,164)</f>
        <v/>
      </c>
      <c r="B52" s="22">
        <f t="array" ref="B52"/>
        <v/>
      </c>
      <c r="C52" s="22">
        <f t="array" ref="C52"/>
        <v/>
      </c>
      <c r="H52" s="28" t="n">
        <v>164</v>
      </c>
      <c r="I52" s="28" t="n">
        <v>10</v>
      </c>
      <c r="J52" s="28" t="inlineStr">
        <is>
          <t>Rendah</t>
        </is>
      </c>
    </row>
    <row r="53" s="1">
      <c r="A53" s="22">
        <f>RANDBETWEEN(2,164)</f>
        <v/>
      </c>
      <c r="B53" s="22">
        <f t="array" ref="B53"/>
        <v/>
      </c>
      <c r="C53" s="22">
        <f t="array" ref="C53"/>
        <v/>
      </c>
      <c r="H53" s="28" t="n">
        <v>19</v>
      </c>
      <c r="I53" s="28" t="n">
        <v>8</v>
      </c>
      <c r="J53" s="28" t="inlineStr">
        <is>
          <t>Rendah</t>
        </is>
      </c>
    </row>
    <row r="54" s="1">
      <c r="A54" s="22">
        <f>RANDBETWEEN(2,164)</f>
        <v/>
      </c>
      <c r="B54" s="22">
        <f t="array" ref="B54"/>
        <v/>
      </c>
      <c r="C54" s="22">
        <f t="array" ref="C54"/>
        <v/>
      </c>
      <c r="H54" s="28" t="n">
        <v>60</v>
      </c>
      <c r="I54" s="28" t="n">
        <v>68</v>
      </c>
      <c r="J54" s="28" t="inlineStr">
        <is>
          <t>Sedang</t>
        </is>
      </c>
    </row>
    <row r="55" s="1">
      <c r="A55" s="22">
        <f>RANDBETWEEN(2,164)</f>
        <v/>
      </c>
      <c r="B55" s="22">
        <f t="array" ref="B55"/>
        <v/>
      </c>
      <c r="C55" s="22">
        <f t="array" ref="C55"/>
        <v/>
      </c>
      <c r="H55" s="28" t="n">
        <v>109</v>
      </c>
      <c r="I55" s="28" t="n">
        <v>40</v>
      </c>
      <c r="J55" s="28" t="inlineStr">
        <is>
          <t>Tinggi</t>
        </is>
      </c>
    </row>
    <row r="56" s="1">
      <c r="A56" s="22">
        <f>RANDBETWEEN(2,164)</f>
        <v/>
      </c>
      <c r="B56" s="22">
        <f t="array" ref="B56"/>
        <v/>
      </c>
      <c r="C56" s="22">
        <f t="array" ref="C56"/>
        <v/>
      </c>
      <c r="H56" s="28" t="n">
        <v>130</v>
      </c>
      <c r="I56" s="28" t="n">
        <v>12</v>
      </c>
      <c r="J56" s="28" t="inlineStr">
        <is>
          <t>Tinggi</t>
        </is>
      </c>
    </row>
    <row r="57" s="1">
      <c r="A57" s="22">
        <f>RANDBETWEEN(2,164)</f>
        <v/>
      </c>
      <c r="B57" s="22">
        <f t="array" ref="B57"/>
        <v/>
      </c>
      <c r="C57" s="22">
        <f t="array" ref="C57"/>
        <v/>
      </c>
      <c r="H57" s="28" t="n">
        <v>139</v>
      </c>
      <c r="I57" s="28" t="n">
        <v>52</v>
      </c>
      <c r="J57" s="28" t="inlineStr">
        <is>
          <t>Tinggi</t>
        </is>
      </c>
    </row>
    <row r="58" s="1">
      <c r="A58" s="22">
        <f>RANDBETWEEN(2,164)</f>
        <v/>
      </c>
      <c r="B58" s="22">
        <f t="array" ref="B58"/>
        <v/>
      </c>
      <c r="C58" s="22">
        <f t="array" ref="C58"/>
        <v/>
      </c>
      <c r="H58" s="28" t="n">
        <v>28</v>
      </c>
      <c r="I58" s="28" t="n">
        <v>22</v>
      </c>
      <c r="J58" s="28" t="inlineStr">
        <is>
          <t>Sedang</t>
        </is>
      </c>
    </row>
    <row r="59" s="1">
      <c r="A59" s="22">
        <f>RANDBETWEEN(2,164)</f>
        <v/>
      </c>
      <c r="B59" s="22">
        <f t="array" ref="B59"/>
        <v/>
      </c>
      <c r="C59" s="22">
        <f t="array" ref="C59"/>
        <v/>
      </c>
      <c r="H59" s="28" t="n">
        <v>122</v>
      </c>
      <c r="I59" s="28" t="n">
        <v>28</v>
      </c>
      <c r="J59" s="28" t="inlineStr">
        <is>
          <t>Tinggi</t>
        </is>
      </c>
    </row>
    <row r="60" s="1">
      <c r="A60" s="22">
        <f>RANDBETWEEN(2,164)</f>
        <v/>
      </c>
      <c r="B60" s="22">
        <f t="array" ref="B60"/>
        <v/>
      </c>
      <c r="C60" s="22">
        <f t="array" ref="C60"/>
        <v/>
      </c>
      <c r="H60" s="28" t="n">
        <v>68</v>
      </c>
      <c r="I60" s="28" t="n">
        <v>44</v>
      </c>
      <c r="J60" s="28" t="inlineStr">
        <is>
          <t>Sedang</t>
        </is>
      </c>
    </row>
    <row r="61" s="1">
      <c r="A61" s="22">
        <f>RANDBETWEEN(2,164)</f>
        <v/>
      </c>
      <c r="B61" s="22">
        <f t="array" ref="B61"/>
        <v/>
      </c>
      <c r="C61" s="22">
        <f t="array" ref="C61"/>
        <v/>
      </c>
      <c r="H61" s="28" t="n">
        <v>23</v>
      </c>
      <c r="I61" s="28" t="n">
        <v>28</v>
      </c>
      <c r="J61" s="28" t="inlineStr">
        <is>
          <t>Sedang</t>
        </is>
      </c>
    </row>
    <row r="62" s="1">
      <c r="A62" s="22">
        <f>RANDBETWEEN(2,164)</f>
        <v/>
      </c>
      <c r="B62" s="22">
        <f t="array" ref="B62"/>
        <v/>
      </c>
      <c r="C62" s="22">
        <f t="array" ref="C62"/>
        <v/>
      </c>
      <c r="H62" s="28" t="n">
        <v>107</v>
      </c>
      <c r="I62" s="28" t="n">
        <v>48</v>
      </c>
      <c r="J62" s="28" t="inlineStr">
        <is>
          <t>Tinggi</t>
        </is>
      </c>
    </row>
    <row r="63" s="1">
      <c r="A63" s="22">
        <f>RANDBETWEEN(2,164)</f>
        <v/>
      </c>
      <c r="B63" s="22">
        <f t="array" ref="B63"/>
        <v/>
      </c>
      <c r="C63" s="22">
        <f t="array" ref="C63"/>
        <v/>
      </c>
      <c r="H63" s="28" t="n">
        <v>89</v>
      </c>
      <c r="I63" s="28" t="n">
        <v>32</v>
      </c>
      <c r="J63" s="28" t="inlineStr">
        <is>
          <t>Sedang</t>
        </is>
      </c>
    </row>
    <row r="64" s="1">
      <c r="A64" s="22">
        <f>RANDBETWEEN(2,164)</f>
        <v/>
      </c>
      <c r="B64" s="22">
        <f t="array" ref="B64"/>
        <v/>
      </c>
      <c r="C64" s="22">
        <f t="array" ref="C64"/>
        <v/>
      </c>
      <c r="H64" s="28" t="n">
        <v>79</v>
      </c>
      <c r="I64" s="28" t="n">
        <v>29</v>
      </c>
      <c r="J64" s="28" t="inlineStr">
        <is>
          <t>Sedang</t>
        </is>
      </c>
    </row>
    <row r="65" s="1">
      <c r="A65" s="22">
        <f>RANDBETWEEN(2,164)</f>
        <v/>
      </c>
      <c r="B65" s="22">
        <f t="array" ref="B65"/>
        <v/>
      </c>
      <c r="C65" s="22">
        <f t="array" ref="C65"/>
        <v/>
      </c>
      <c r="H65" s="28" t="n">
        <v>2</v>
      </c>
      <c r="I65" s="28" t="n">
        <v>34</v>
      </c>
      <c r="J65" s="28" t="inlineStr">
        <is>
          <t>Sedang</t>
        </is>
      </c>
    </row>
    <row r="66" s="1">
      <c r="A66" s="22">
        <f>RANDBETWEEN(2,164)</f>
        <v/>
      </c>
      <c r="B66" s="22">
        <f t="array" ref="B66"/>
        <v/>
      </c>
      <c r="C66" s="22">
        <f t="array" ref="C66"/>
        <v/>
      </c>
      <c r="H66" s="28" t="n">
        <v>32</v>
      </c>
      <c r="I66" s="28" t="n">
        <v>54</v>
      </c>
      <c r="J66" s="28" t="inlineStr">
        <is>
          <t>Sedang</t>
        </is>
      </c>
    </row>
    <row r="67" s="1">
      <c r="A67" s="22">
        <f>RANDBETWEEN(2,164)</f>
        <v/>
      </c>
      <c r="B67" s="22">
        <f t="array" ref="B67"/>
        <v/>
      </c>
      <c r="C67" s="22">
        <f t="array" ref="C67"/>
        <v/>
      </c>
      <c r="H67" s="28" t="n">
        <v>18</v>
      </c>
      <c r="I67" s="28" t="n">
        <v>49</v>
      </c>
      <c r="J67" s="28" t="inlineStr">
        <is>
          <t>Rendah</t>
        </is>
      </c>
    </row>
    <row r="68" s="1">
      <c r="A68" s="22">
        <f>RANDBETWEEN(2,164)</f>
        <v/>
      </c>
      <c r="B68" s="22">
        <f t="array" ref="B68"/>
        <v/>
      </c>
      <c r="C68" s="22">
        <f t="array" ref="C68"/>
        <v/>
      </c>
      <c r="H68" s="28" t="n">
        <v>52</v>
      </c>
      <c r="I68" s="28" t="n">
        <v>59</v>
      </c>
      <c r="J68" s="28" t="inlineStr">
        <is>
          <t>Sedang</t>
        </is>
      </c>
    </row>
    <row r="69" s="1">
      <c r="A69" s="22">
        <f>RANDBETWEEN(2,164)</f>
        <v/>
      </c>
      <c r="B69" s="22">
        <f t="array" ref="B69"/>
        <v/>
      </c>
      <c r="C69" s="22">
        <f t="array" ref="C69"/>
        <v/>
      </c>
      <c r="H69" s="28" t="n">
        <v>135</v>
      </c>
      <c r="I69" s="28" t="n">
        <v>10</v>
      </c>
      <c r="J69" s="28" t="inlineStr">
        <is>
          <t>Tinggi</t>
        </is>
      </c>
    </row>
    <row r="70" s="1">
      <c r="A70" s="22">
        <f>RANDBETWEEN(2,164)</f>
        <v/>
      </c>
      <c r="B70" s="22">
        <f t="array" ref="B70"/>
        <v/>
      </c>
      <c r="C70" s="22">
        <f t="array" ref="C70"/>
        <v/>
      </c>
      <c r="H70" s="28" t="n">
        <v>140</v>
      </c>
      <c r="I70" s="28" t="n">
        <v>74</v>
      </c>
      <c r="J70" s="28" t="inlineStr">
        <is>
          <t>Tinggi</t>
        </is>
      </c>
    </row>
    <row r="71" s="1">
      <c r="A71" s="22">
        <f>RANDBETWEEN(2,164)</f>
        <v/>
      </c>
      <c r="B71" s="22">
        <f t="array" ref="B71"/>
        <v/>
      </c>
      <c r="C71" s="22">
        <f t="array" ref="C71"/>
        <v/>
      </c>
      <c r="H71" s="28" t="n">
        <v>103</v>
      </c>
      <c r="I71" s="28" t="n">
        <v>22</v>
      </c>
      <c r="J71" s="28" t="inlineStr">
        <is>
          <t>Tinggi</t>
        </is>
      </c>
    </row>
    <row r="72" s="1">
      <c r="A72" s="22">
        <f>RANDBETWEEN(2,164)</f>
        <v/>
      </c>
      <c r="B72" s="22">
        <f t="array" ref="B72"/>
        <v/>
      </c>
      <c r="C72" s="22">
        <f t="array" ref="C72"/>
        <v/>
      </c>
      <c r="H72" s="28" t="n">
        <v>8</v>
      </c>
      <c r="I72" s="28" t="n">
        <v>4</v>
      </c>
      <c r="J72" s="28" t="inlineStr">
        <is>
          <t>Sedang</t>
        </is>
      </c>
    </row>
    <row r="73" s="1">
      <c r="A73" s="22">
        <f>RANDBETWEEN(2,164)</f>
        <v/>
      </c>
      <c r="B73" s="22">
        <f t="array" ref="B73"/>
        <v/>
      </c>
      <c r="C73" s="22">
        <f t="array" ref="C73"/>
        <v/>
      </c>
      <c r="H73" s="28" t="n">
        <v>130</v>
      </c>
      <c r="I73" s="28" t="n">
        <v>12</v>
      </c>
      <c r="J73" s="28" t="inlineStr">
        <is>
          <t>Tinggi</t>
        </is>
      </c>
    </row>
    <row r="74" s="1">
      <c r="A74" s="22">
        <f>RANDBETWEEN(2,164)</f>
        <v/>
      </c>
      <c r="B74" s="22">
        <f t="array" ref="B74"/>
        <v/>
      </c>
      <c r="C74" s="22">
        <f t="array" ref="C74"/>
        <v/>
      </c>
      <c r="H74" s="28" t="n">
        <v>158</v>
      </c>
      <c r="I74" s="28" t="n">
        <v>5</v>
      </c>
      <c r="J74" s="28" t="inlineStr">
        <is>
          <t>Tinggi</t>
        </is>
      </c>
    </row>
    <row r="75" s="1">
      <c r="A75" s="22">
        <f>RANDBETWEEN(2,164)</f>
        <v/>
      </c>
      <c r="B75" s="22">
        <f t="array" ref="B75"/>
        <v/>
      </c>
      <c r="C75" s="22">
        <f t="array" ref="C75"/>
        <v/>
      </c>
      <c r="H75" s="28" t="n">
        <v>150</v>
      </c>
      <c r="I75" s="28" t="n">
        <v>61</v>
      </c>
      <c r="J75" s="28" t="inlineStr">
        <is>
          <t>Tinggi</t>
        </is>
      </c>
    </row>
    <row r="76" s="1">
      <c r="A76" s="22">
        <f>RANDBETWEEN(2,164)</f>
        <v/>
      </c>
      <c r="B76" s="22">
        <f t="array" ref="B76"/>
        <v/>
      </c>
      <c r="C76" s="22">
        <f t="array" ref="C76"/>
        <v/>
      </c>
      <c r="H76" s="28" t="n">
        <v>91</v>
      </c>
      <c r="I76" s="28" t="n">
        <v>35</v>
      </c>
      <c r="J76" s="28" t="inlineStr">
        <is>
          <t>Tinggi</t>
        </is>
      </c>
    </row>
    <row r="77" s="1">
      <c r="A77" s="22">
        <f>RANDBETWEEN(2,164)</f>
        <v/>
      </c>
      <c r="B77" s="22">
        <f t="array" ref="B77"/>
        <v/>
      </c>
      <c r="C77" s="22">
        <f t="array" ref="C77"/>
        <v/>
      </c>
      <c r="H77" s="28" t="n">
        <v>17</v>
      </c>
      <c r="I77" s="28" t="n">
        <v>2</v>
      </c>
      <c r="J77" s="28" t="inlineStr">
        <is>
          <t>Rendah</t>
        </is>
      </c>
    </row>
    <row r="78" s="1">
      <c r="A78" s="22">
        <f>RANDBETWEEN(2,164)</f>
        <v/>
      </c>
      <c r="B78" s="22">
        <f t="array" ref="B78"/>
        <v/>
      </c>
      <c r="C78" s="22">
        <f t="array" ref="C78"/>
        <v/>
      </c>
      <c r="H78" s="28" t="n">
        <v>147</v>
      </c>
      <c r="I78" s="28" t="n">
        <v>66</v>
      </c>
      <c r="J78" s="28" t="inlineStr">
        <is>
          <t>Tinggi</t>
        </is>
      </c>
    </row>
    <row r="79" s="1">
      <c r="A79" s="22">
        <f>RANDBETWEEN(2,164)</f>
        <v/>
      </c>
      <c r="B79" s="22">
        <f t="array" ref="B79"/>
        <v/>
      </c>
      <c r="C79" s="22">
        <f t="array" ref="C79"/>
        <v/>
      </c>
      <c r="H79" s="28" t="n">
        <v>67</v>
      </c>
      <c r="I79" s="28" t="n">
        <v>21</v>
      </c>
      <c r="J79" s="28" t="inlineStr">
        <is>
          <t>Sedang</t>
        </is>
      </c>
    </row>
    <row r="80" s="1">
      <c r="A80" s="22">
        <f>RANDBETWEEN(2,164)</f>
        <v/>
      </c>
      <c r="B80" s="22">
        <f t="array" ref="B80"/>
        <v/>
      </c>
      <c r="C80" s="22">
        <f t="array" ref="C80"/>
        <v/>
      </c>
      <c r="H80" s="28" t="n">
        <v>130</v>
      </c>
      <c r="I80" s="28" t="n">
        <v>12</v>
      </c>
      <c r="J80" s="28" t="inlineStr">
        <is>
          <t>Tinggi</t>
        </is>
      </c>
    </row>
    <row r="81" s="1">
      <c r="A81" s="22">
        <f>RANDBETWEEN(2,164)</f>
        <v/>
      </c>
      <c r="B81" s="22">
        <f t="array" ref="B81"/>
        <v/>
      </c>
      <c r="C81" s="22">
        <f t="array" ref="C81"/>
        <v/>
      </c>
      <c r="H81" s="28" t="n">
        <v>64</v>
      </c>
      <c r="I81" s="28" t="n">
        <v>35</v>
      </c>
      <c r="J81" s="28" t="inlineStr">
        <is>
          <t>Sedang</t>
        </is>
      </c>
    </row>
    <row r="82" s="1">
      <c r="A82" s="22">
        <f>RANDBETWEEN(2,164)</f>
        <v/>
      </c>
      <c r="B82" s="22">
        <f t="array" ref="B82"/>
        <v/>
      </c>
      <c r="C82" s="22">
        <f t="array" ref="C82"/>
        <v/>
      </c>
      <c r="H82" s="28" t="n">
        <v>30</v>
      </c>
      <c r="I82" s="28" t="n">
        <v>3</v>
      </c>
      <c r="J82" s="28" t="inlineStr">
        <is>
          <t>Sedang</t>
        </is>
      </c>
    </row>
    <row r="83" s="1">
      <c r="A83" s="22">
        <f>RANDBETWEEN(2,164)</f>
        <v/>
      </c>
      <c r="B83" s="22">
        <f t="array" ref="B83"/>
        <v/>
      </c>
      <c r="C83" s="22">
        <f t="array" ref="C83"/>
        <v/>
      </c>
      <c r="H83" s="28" t="n">
        <v>31</v>
      </c>
      <c r="I83" s="28" t="n">
        <v>64</v>
      </c>
      <c r="J83" s="28" t="inlineStr">
        <is>
          <t>Sedang</t>
        </is>
      </c>
    </row>
    <row r="84" s="1">
      <c r="A84" s="22">
        <f>RANDBETWEEN(2,164)</f>
        <v/>
      </c>
      <c r="B84" s="22">
        <f t="array" ref="B84"/>
        <v/>
      </c>
      <c r="C84" s="22">
        <f t="array" ref="C84"/>
        <v/>
      </c>
      <c r="H84" s="28" t="n">
        <v>132</v>
      </c>
      <c r="I84" s="28" t="n">
        <v>10</v>
      </c>
      <c r="J84" s="28" t="inlineStr">
        <is>
          <t>Tinggi</t>
        </is>
      </c>
    </row>
    <row r="85" s="1">
      <c r="A85" s="22">
        <f>RANDBETWEEN(2,164)</f>
        <v/>
      </c>
      <c r="B85" s="22">
        <f t="array" ref="B85"/>
        <v/>
      </c>
      <c r="C85" s="22">
        <f t="array" ref="C85"/>
        <v/>
      </c>
      <c r="H85" s="28" t="n">
        <v>164</v>
      </c>
      <c r="I85" s="28" t="n">
        <v>10</v>
      </c>
      <c r="J85" s="28" t="inlineStr">
        <is>
          <t>Rendah</t>
        </is>
      </c>
    </row>
    <row r="86" s="1">
      <c r="A86" s="22">
        <f>RANDBETWEEN(2,164)</f>
        <v/>
      </c>
      <c r="B86" s="22">
        <f t="array" ref="B86"/>
        <v/>
      </c>
      <c r="C86" s="22">
        <f t="array" ref="C86"/>
        <v/>
      </c>
      <c r="H86" s="28" t="n">
        <v>17</v>
      </c>
      <c r="I86" s="28" t="n">
        <v>2</v>
      </c>
      <c r="J86" s="28" t="inlineStr">
        <is>
          <t>Rendah</t>
        </is>
      </c>
    </row>
    <row r="87" s="1">
      <c r="A87" s="22">
        <f>RANDBETWEEN(2,164)</f>
        <v/>
      </c>
      <c r="B87" s="22">
        <f t="array" ref="B87"/>
        <v/>
      </c>
      <c r="C87" s="22">
        <f t="array" ref="C87"/>
        <v/>
      </c>
      <c r="H87" s="28" t="n">
        <v>72</v>
      </c>
      <c r="I87" s="28" t="n">
        <v>3</v>
      </c>
      <c r="J87" s="28" t="inlineStr">
        <is>
          <t>Sedang</t>
        </is>
      </c>
    </row>
    <row r="88" s="1">
      <c r="A88" s="22">
        <f>RANDBETWEEN(2,164)</f>
        <v/>
      </c>
      <c r="B88" s="22">
        <f t="array" ref="B88"/>
        <v/>
      </c>
      <c r="C88" s="22">
        <f t="array" ref="C88"/>
        <v/>
      </c>
      <c r="H88" s="28" t="n">
        <v>55</v>
      </c>
      <c r="I88" s="28" t="n">
        <v>7</v>
      </c>
      <c r="J88" s="28" t="inlineStr">
        <is>
          <t>Sedang</t>
        </is>
      </c>
    </row>
    <row r="89" s="1">
      <c r="A89" s="22">
        <f>RANDBETWEEN(2,164)</f>
        <v/>
      </c>
      <c r="B89" s="22">
        <f t="array" ref="B89"/>
        <v/>
      </c>
      <c r="C89" s="22">
        <f t="array" ref="C89"/>
        <v/>
      </c>
      <c r="H89" s="28" t="n">
        <v>54</v>
      </c>
      <c r="I89" s="28" t="n">
        <v>7</v>
      </c>
      <c r="J89" s="28" t="inlineStr">
        <is>
          <t>Sedang</t>
        </is>
      </c>
    </row>
    <row r="90" s="1">
      <c r="A90" s="22">
        <f>RANDBETWEEN(2,164)</f>
        <v/>
      </c>
      <c r="B90" s="22">
        <f t="array" ref="B90"/>
        <v/>
      </c>
      <c r="C90" s="22">
        <f t="array" ref="C90"/>
        <v/>
      </c>
      <c r="H90" s="28" t="n">
        <v>84</v>
      </c>
      <c r="I90" s="28" t="n">
        <v>42</v>
      </c>
      <c r="J90" s="28" t="inlineStr">
        <is>
          <t>Sedang</t>
        </is>
      </c>
    </row>
    <row r="91" s="1">
      <c r="A91" s="22">
        <f>RANDBETWEEN(2,164)</f>
        <v/>
      </c>
      <c r="B91" s="22">
        <f t="array" ref="B91"/>
        <v/>
      </c>
      <c r="C91" s="22">
        <f t="array" ref="C91"/>
        <v/>
      </c>
      <c r="H91" s="28" t="n">
        <v>63</v>
      </c>
      <c r="I91" s="28" t="n">
        <v>25</v>
      </c>
      <c r="J91" s="28" t="inlineStr">
        <is>
          <t>Sedang</t>
        </is>
      </c>
    </row>
    <row r="92" s="1">
      <c r="A92" s="22">
        <f>RANDBETWEEN(2,164)</f>
        <v/>
      </c>
      <c r="B92" s="22">
        <f t="array" ref="B92"/>
        <v/>
      </c>
      <c r="C92" s="22">
        <f t="array" ref="C92"/>
        <v/>
      </c>
      <c r="H92" s="28" t="n">
        <v>41</v>
      </c>
      <c r="I92" s="28" t="n">
        <v>8</v>
      </c>
      <c r="J92" s="28" t="inlineStr">
        <is>
          <t>Sedang</t>
        </is>
      </c>
    </row>
    <row r="93" s="1">
      <c r="A93" s="22">
        <f>RANDBETWEEN(2,164)</f>
        <v/>
      </c>
      <c r="B93" s="22">
        <f t="array" ref="B93"/>
        <v/>
      </c>
      <c r="C93" s="22">
        <f t="array" ref="C93"/>
        <v/>
      </c>
      <c r="H93" s="28" t="n">
        <v>39</v>
      </c>
      <c r="I93" s="28" t="n">
        <v>12</v>
      </c>
      <c r="J93" s="28" t="inlineStr">
        <is>
          <t>Sedang</t>
        </is>
      </c>
    </row>
    <row r="94" s="1">
      <c r="A94" s="22">
        <f>RANDBETWEEN(2,164)</f>
        <v/>
      </c>
      <c r="B94" s="22">
        <f t="array" ref="B94"/>
        <v/>
      </c>
      <c r="C94" s="22">
        <f t="array" ref="C94"/>
        <v/>
      </c>
      <c r="H94" s="28" t="n">
        <v>107</v>
      </c>
      <c r="I94" s="28" t="n">
        <v>48</v>
      </c>
      <c r="J94" s="28" t="inlineStr">
        <is>
          <t>Tinggi</t>
        </is>
      </c>
    </row>
    <row r="95" s="1">
      <c r="A95" s="22">
        <f>RANDBETWEEN(2,164)</f>
        <v/>
      </c>
      <c r="B95" s="22">
        <f t="array" ref="B95"/>
        <v/>
      </c>
      <c r="C95" s="22">
        <f t="array" ref="C95"/>
        <v/>
      </c>
      <c r="H95" s="28" t="n">
        <v>5</v>
      </c>
      <c r="I95" s="28" t="n">
        <v>18</v>
      </c>
      <c r="J95" s="28" t="inlineStr">
        <is>
          <t>Sedang</t>
        </is>
      </c>
    </row>
    <row r="96" s="1">
      <c r="A96" s="22">
        <f>RANDBETWEEN(2,164)</f>
        <v/>
      </c>
      <c r="B96" s="22">
        <f t="array" ref="B96"/>
        <v/>
      </c>
      <c r="C96" s="22">
        <f t="array" ref="C96"/>
        <v/>
      </c>
      <c r="H96" s="28" t="n">
        <v>38</v>
      </c>
      <c r="I96" s="28" t="n">
        <v>52</v>
      </c>
      <c r="J96" s="28" t="inlineStr">
        <is>
          <t>Rendah</t>
        </is>
      </c>
    </row>
    <row r="97" s="1">
      <c r="A97" s="22">
        <f>RANDBETWEEN(2,164)</f>
        <v/>
      </c>
      <c r="B97" s="22">
        <f t="array" ref="B97"/>
        <v/>
      </c>
      <c r="C97" s="22">
        <f t="array" ref="C97"/>
        <v/>
      </c>
      <c r="H97" s="28" t="n">
        <v>76</v>
      </c>
      <c r="I97" s="28" t="n">
        <v>70</v>
      </c>
      <c r="J97" s="28" t="inlineStr">
        <is>
          <t>Sedang</t>
        </is>
      </c>
    </row>
    <row r="98" s="1">
      <c r="A98" s="22">
        <f>RANDBETWEEN(2,164)</f>
        <v/>
      </c>
      <c r="B98" s="22">
        <f t="array" ref="B98"/>
        <v/>
      </c>
      <c r="C98" s="22">
        <f t="array" ref="C98"/>
        <v/>
      </c>
      <c r="H98" s="28" t="n">
        <v>145</v>
      </c>
      <c r="I98" s="28" t="n">
        <v>28</v>
      </c>
      <c r="J98" s="28" t="inlineStr">
        <is>
          <t>Tinggi</t>
        </is>
      </c>
    </row>
    <row r="99" s="1">
      <c r="A99" s="22">
        <f>RANDBETWEEN(2,164)</f>
        <v/>
      </c>
      <c r="B99" s="22">
        <f t="array" ref="B99"/>
        <v/>
      </c>
      <c r="C99" s="22">
        <f t="array" ref="C99"/>
        <v/>
      </c>
      <c r="H99" s="28" t="n">
        <v>40</v>
      </c>
      <c r="I99" s="28" t="n">
        <v>65</v>
      </c>
      <c r="J99" s="28" t="inlineStr">
        <is>
          <t>Sedang</t>
        </is>
      </c>
    </row>
    <row r="100" s="1">
      <c r="A100" s="22">
        <f>RANDBETWEEN(2,164)</f>
        <v/>
      </c>
      <c r="B100" s="22">
        <f t="array" ref="B100"/>
        <v/>
      </c>
      <c r="C100" s="22">
        <f t="array" ref="C100"/>
        <v/>
      </c>
      <c r="H100" s="28" t="n">
        <v>113</v>
      </c>
      <c r="I100" s="28" t="n">
        <v>69</v>
      </c>
      <c r="J100" s="28" t="inlineStr">
        <is>
          <t>Tinggi</t>
        </is>
      </c>
    </row>
    <row r="101" s="1">
      <c r="A101" s="22">
        <f>RANDBETWEEN(2,164)</f>
        <v/>
      </c>
      <c r="B101" s="22">
        <f t="array" ref="B101"/>
        <v/>
      </c>
      <c r="C101" s="22">
        <f t="array" ref="C101"/>
        <v/>
      </c>
      <c r="H101" s="28" t="n">
        <v>9</v>
      </c>
      <c r="I101" s="28" t="n">
        <v>16</v>
      </c>
      <c r="J101" s="28" t="inlineStr">
        <is>
          <t>Sedang</t>
        </is>
      </c>
    </row>
    <row r="102" s="1">
      <c r="A102" s="22">
        <f>RANDBETWEEN(2,164)</f>
        <v/>
      </c>
      <c r="B102" s="22">
        <f t="array" ref="B102"/>
        <v/>
      </c>
      <c r="C102" s="22">
        <f t="array" ref="C102"/>
        <v/>
      </c>
      <c r="H102" s="28" t="n">
        <v>13</v>
      </c>
      <c r="I102" s="28" t="n">
        <v>47</v>
      </c>
      <c r="J102" s="28" t="inlineStr">
        <is>
          <t>Sedang</t>
        </is>
      </c>
    </row>
    <row r="103" s="1">
      <c r="A103" s="22">
        <f>RANDBETWEEN(2,164)</f>
        <v/>
      </c>
      <c r="B103" s="22">
        <f t="array" ref="B103"/>
        <v/>
      </c>
      <c r="C103" s="22">
        <f t="array" ref="C103"/>
        <v/>
      </c>
      <c r="H103" s="28" t="n">
        <v>124</v>
      </c>
      <c r="I103" s="28" t="n">
        <v>24</v>
      </c>
      <c r="J103" s="28" t="inlineStr">
        <is>
          <t>Tinggi</t>
        </is>
      </c>
    </row>
    <row r="104" s="1">
      <c r="A104" s="22">
        <f>RANDBETWEEN(2,164)</f>
        <v/>
      </c>
      <c r="B104" s="22">
        <f t="array" ref="B104"/>
        <v/>
      </c>
      <c r="C104" s="22">
        <f t="array" ref="C104"/>
        <v/>
      </c>
      <c r="H104" s="28" t="n">
        <v>3</v>
      </c>
      <c r="I104" s="28" t="n">
        <v>43</v>
      </c>
      <c r="J104" s="28" t="inlineStr">
        <is>
          <t>Sedang</t>
        </is>
      </c>
    </row>
    <row r="105" s="1">
      <c r="A105" s="22">
        <f>RANDBETWEEN(2,164)</f>
        <v/>
      </c>
      <c r="B105" s="22">
        <f t="array" ref="B105"/>
        <v/>
      </c>
      <c r="C105" s="22">
        <f t="array" ref="C105"/>
        <v/>
      </c>
      <c r="H105" s="28" t="n">
        <v>102</v>
      </c>
      <c r="I105" s="28" t="n">
        <v>41</v>
      </c>
      <c r="J105" s="28" t="inlineStr">
        <is>
          <t>Tinggi</t>
        </is>
      </c>
    </row>
    <row r="106" s="1">
      <c r="A106" s="22">
        <f>RANDBETWEEN(2,164)</f>
        <v/>
      </c>
      <c r="B106" s="22">
        <f t="array" ref="B106"/>
        <v/>
      </c>
      <c r="C106" s="22">
        <f t="array" ref="C106"/>
        <v/>
      </c>
      <c r="H106" s="28" t="n">
        <v>6</v>
      </c>
      <c r="I106" s="28" t="n">
        <v>14</v>
      </c>
      <c r="J106" s="28" t="inlineStr">
        <is>
          <t>Sedang</t>
        </is>
      </c>
    </row>
    <row r="107" s="1">
      <c r="A107" s="22">
        <f>RANDBETWEEN(2,164)</f>
        <v/>
      </c>
      <c r="B107" s="22">
        <f t="array" ref="B107"/>
        <v/>
      </c>
      <c r="C107" s="22">
        <f t="array" ref="C107"/>
        <v/>
      </c>
      <c r="H107" s="28" t="n">
        <v>4</v>
      </c>
      <c r="I107" s="28" t="n">
        <v>23</v>
      </c>
      <c r="J107" s="28" t="inlineStr">
        <is>
          <t>Sedang</t>
        </is>
      </c>
    </row>
    <row r="108" s="1">
      <c r="A108" s="22">
        <f>RANDBETWEEN(2,164)</f>
        <v/>
      </c>
      <c r="B108" s="22">
        <f t="array" ref="B108"/>
        <v/>
      </c>
      <c r="C108" s="22">
        <f t="array" ref="C108"/>
        <v/>
      </c>
      <c r="H108" s="28" t="n">
        <v>85</v>
      </c>
      <c r="I108" s="28" t="n">
        <v>27</v>
      </c>
      <c r="J108" s="28" t="inlineStr">
        <is>
          <t>Sedang</t>
        </is>
      </c>
    </row>
    <row r="109" s="1">
      <c r="A109" s="22">
        <f>RANDBETWEEN(2,164)</f>
        <v/>
      </c>
      <c r="B109" s="22">
        <f t="array" ref="B109"/>
        <v/>
      </c>
      <c r="C109" s="22">
        <f t="array" ref="C109"/>
        <v/>
      </c>
      <c r="H109" s="28" t="n">
        <v>68</v>
      </c>
      <c r="I109" s="28" t="n">
        <v>44</v>
      </c>
      <c r="J109" s="28" t="inlineStr">
        <is>
          <t>Sedang</t>
        </is>
      </c>
    </row>
    <row r="110" s="1">
      <c r="A110" s="22">
        <f>RANDBETWEEN(2,164)</f>
        <v/>
      </c>
      <c r="B110" s="22">
        <f t="array" ref="B110"/>
        <v/>
      </c>
      <c r="C110" s="22">
        <f t="array" ref="C110"/>
        <v/>
      </c>
      <c r="H110" s="28" t="n">
        <v>6</v>
      </c>
      <c r="I110" s="28" t="n">
        <v>14</v>
      </c>
      <c r="J110" s="28" t="inlineStr">
        <is>
          <t>Sedang</t>
        </is>
      </c>
    </row>
    <row r="111" s="1">
      <c r="A111" s="22">
        <f>RANDBETWEEN(2,164)</f>
        <v/>
      </c>
      <c r="B111" s="22">
        <f t="array" ref="B111"/>
        <v/>
      </c>
      <c r="C111" s="22">
        <f t="array" ref="C111"/>
        <v/>
      </c>
      <c r="H111" s="28" t="n">
        <v>107</v>
      </c>
      <c r="I111" s="28" t="n">
        <v>48</v>
      </c>
      <c r="J111" s="28" t="inlineStr">
        <is>
          <t>Tinggi</t>
        </is>
      </c>
    </row>
    <row r="112" s="1">
      <c r="A112" s="22">
        <f>RANDBETWEEN(2,164)</f>
        <v/>
      </c>
      <c r="B112" s="22">
        <f t="array" ref="B112"/>
        <v/>
      </c>
      <c r="C112" s="22">
        <f t="array" ref="C112"/>
        <v/>
      </c>
      <c r="H112" s="28" t="n">
        <v>153</v>
      </c>
      <c r="I112" s="28" t="n">
        <v>73</v>
      </c>
      <c r="J112" s="28" t="inlineStr">
        <is>
          <t>Tinggi</t>
        </is>
      </c>
    </row>
    <row r="113" s="1">
      <c r="A113" s="22">
        <f>RANDBETWEEN(2,164)</f>
        <v/>
      </c>
      <c r="B113" s="22">
        <f t="array" ref="B113"/>
        <v/>
      </c>
      <c r="C113" s="22">
        <f t="array" ref="C113"/>
        <v/>
      </c>
      <c r="H113" s="28" t="n">
        <v>55</v>
      </c>
      <c r="I113" s="28" t="n">
        <v>7</v>
      </c>
      <c r="J113" s="28" t="inlineStr">
        <is>
          <t>Sedang</t>
        </is>
      </c>
    </row>
    <row r="114" s="1">
      <c r="A114" s="22">
        <f>RANDBETWEEN(2,164)</f>
        <v/>
      </c>
      <c r="B114" s="22">
        <f t="array" ref="B114"/>
        <v/>
      </c>
      <c r="C114" s="22">
        <f t="array" ref="C114"/>
        <v/>
      </c>
      <c r="H114" s="28" t="n">
        <v>34</v>
      </c>
      <c r="I114" s="28" t="n">
        <v>55</v>
      </c>
      <c r="J114" s="28" t="inlineStr">
        <is>
          <t>Sedang</t>
        </is>
      </c>
    </row>
    <row r="115" s="1">
      <c r="A115" s="22">
        <f>RANDBETWEEN(2,164)</f>
        <v/>
      </c>
      <c r="B115" s="22">
        <f t="array" ref="B115"/>
        <v/>
      </c>
      <c r="C115" s="22">
        <f t="array" ref="C115"/>
        <v/>
      </c>
      <c r="H115" s="28" t="n">
        <v>6</v>
      </c>
      <c r="I115" s="28" t="n">
        <v>14</v>
      </c>
      <c r="J115" s="28" t="inlineStr">
        <is>
          <t>Sedang</t>
        </is>
      </c>
    </row>
    <row r="116" s="1">
      <c r="A116" s="22">
        <f>RANDBETWEEN(2,164)</f>
        <v/>
      </c>
      <c r="B116" s="22">
        <f t="array" ref="B116"/>
        <v/>
      </c>
      <c r="C116" s="22">
        <f t="array" ref="C116"/>
        <v/>
      </c>
      <c r="H116" s="28" t="n">
        <v>110</v>
      </c>
      <c r="I116" s="28" t="n">
        <v>42</v>
      </c>
      <c r="J116" s="28" t="inlineStr">
        <is>
          <t>Tinggi</t>
        </is>
      </c>
    </row>
    <row r="117" s="1">
      <c r="A117" s="22">
        <f>RANDBETWEEN(2,164)</f>
        <v/>
      </c>
      <c r="B117" s="22">
        <f t="array" ref="B117"/>
        <v/>
      </c>
      <c r="C117" s="22">
        <f t="array" ref="C117"/>
        <v/>
      </c>
      <c r="H117" s="28" t="n">
        <v>158</v>
      </c>
      <c r="I117" s="28" t="n">
        <v>5</v>
      </c>
      <c r="J117" s="28" t="inlineStr">
        <is>
          <t>Tinggi</t>
        </is>
      </c>
    </row>
    <row r="118" s="1">
      <c r="A118" s="22">
        <f>RANDBETWEEN(2,164)</f>
        <v/>
      </c>
      <c r="B118" s="22">
        <f t="array" ref="B118"/>
        <v/>
      </c>
      <c r="C118" s="22">
        <f t="array" ref="C118"/>
        <v/>
      </c>
      <c r="H118" s="28" t="n">
        <v>28</v>
      </c>
      <c r="I118" s="28" t="n">
        <v>22</v>
      </c>
      <c r="J118" s="28" t="inlineStr">
        <is>
          <t>Sedang</t>
        </is>
      </c>
    </row>
    <row r="119" s="1">
      <c r="A119" s="22">
        <f>RANDBETWEEN(2,164)</f>
        <v/>
      </c>
      <c r="B119" s="22">
        <f t="array" ref="B119"/>
        <v/>
      </c>
      <c r="C119" s="22">
        <f t="array" ref="C119"/>
        <v/>
      </c>
      <c r="H119" s="28" t="n">
        <v>84</v>
      </c>
      <c r="I119" s="28" t="n">
        <v>42</v>
      </c>
      <c r="J119" s="28" t="inlineStr">
        <is>
          <t>Sedang</t>
        </is>
      </c>
    </row>
    <row r="120" s="1">
      <c r="A120" s="22">
        <f>RANDBETWEEN(2,164)</f>
        <v/>
      </c>
      <c r="B120" s="22">
        <f t="array" ref="B120"/>
        <v/>
      </c>
      <c r="C120" s="22">
        <f t="array" ref="C120"/>
        <v/>
      </c>
      <c r="H120" s="28" t="n">
        <v>50</v>
      </c>
      <c r="I120" s="28" t="n">
        <v>19</v>
      </c>
      <c r="J120" s="28" t="inlineStr">
        <is>
          <t>Sedang</t>
        </is>
      </c>
    </row>
    <row r="121" s="1">
      <c r="A121" s="22">
        <f>RANDBETWEEN(2,164)</f>
        <v/>
      </c>
      <c r="B121" s="22">
        <f t="array" ref="B121"/>
        <v/>
      </c>
      <c r="C121" s="22">
        <f t="array" ref="C121"/>
        <v/>
      </c>
      <c r="H121" s="28" t="n">
        <v>113</v>
      </c>
      <c r="I121" s="28" t="n">
        <v>69</v>
      </c>
      <c r="J121" s="28" t="inlineStr">
        <is>
          <t>Tinggi</t>
        </is>
      </c>
    </row>
    <row r="122" s="1">
      <c r="A122" s="22">
        <f>RANDBETWEEN(2,164)</f>
        <v/>
      </c>
      <c r="B122" s="22">
        <f t="array" ref="B122"/>
        <v/>
      </c>
      <c r="C122" s="22">
        <f t="array" ref="C122"/>
        <v/>
      </c>
      <c r="H122" s="28" t="n">
        <v>33</v>
      </c>
      <c r="I122" s="28" t="n">
        <v>19</v>
      </c>
      <c r="J122" s="28" t="inlineStr">
        <is>
          <t>Sedang</t>
        </is>
      </c>
    </row>
    <row r="123" s="1">
      <c r="A123" s="22">
        <f>RANDBETWEEN(2,164)</f>
        <v/>
      </c>
      <c r="B123" s="22">
        <f t="array" ref="B123"/>
        <v/>
      </c>
      <c r="C123" s="22">
        <f t="array" ref="C123"/>
        <v/>
      </c>
      <c r="H123" s="28" t="n">
        <v>114</v>
      </c>
      <c r="I123" s="28" t="n">
        <v>14</v>
      </c>
      <c r="J123" s="28" t="inlineStr">
        <is>
          <t>Tinggi</t>
        </is>
      </c>
    </row>
    <row r="124" s="1">
      <c r="A124" s="22">
        <f>RANDBETWEEN(2,164)</f>
        <v/>
      </c>
      <c r="B124" s="22">
        <f t="array" ref="B124"/>
        <v/>
      </c>
      <c r="C124" s="22">
        <f t="array" ref="C124"/>
        <v/>
      </c>
      <c r="H124" s="28" t="n">
        <v>30</v>
      </c>
      <c r="I124" s="28" t="n">
        <v>3</v>
      </c>
      <c r="J124" s="28" t="inlineStr">
        <is>
          <t>Sedang</t>
        </is>
      </c>
    </row>
    <row r="125" s="1">
      <c r="A125" s="22">
        <f>RANDBETWEEN(2,164)</f>
        <v/>
      </c>
      <c r="B125" s="22">
        <f t="array" ref="B125"/>
        <v/>
      </c>
      <c r="C125" s="22">
        <f t="array" ref="C125"/>
        <v/>
      </c>
      <c r="H125" s="28" t="n">
        <v>115</v>
      </c>
      <c r="I125" s="28" t="n">
        <v>52</v>
      </c>
      <c r="J125" s="28" t="inlineStr">
        <is>
          <t>Tinggi</t>
        </is>
      </c>
    </row>
    <row r="126" s="1">
      <c r="A126" s="22">
        <f>RANDBETWEEN(2,164)</f>
        <v/>
      </c>
      <c r="B126" s="22">
        <f t="array" ref="B126"/>
        <v/>
      </c>
      <c r="C126" s="22">
        <f t="array" ref="C126"/>
        <v/>
      </c>
      <c r="H126" s="28" t="n">
        <v>25</v>
      </c>
      <c r="I126" s="28" t="n">
        <v>81</v>
      </c>
      <c r="J126" s="28" t="inlineStr">
        <is>
          <t>Sedang</t>
        </is>
      </c>
    </row>
    <row r="127" s="1">
      <c r="A127" s="22">
        <f>RANDBETWEEN(2,164)</f>
        <v/>
      </c>
      <c r="B127" s="22">
        <f t="array" ref="B127"/>
        <v/>
      </c>
      <c r="C127" s="22">
        <f t="array" ref="C127"/>
        <v/>
      </c>
      <c r="H127" s="28" t="n">
        <v>53</v>
      </c>
      <c r="I127" s="28" t="n">
        <v>35</v>
      </c>
      <c r="J127" s="28" t="inlineStr">
        <is>
          <t>Sedang</t>
        </is>
      </c>
    </row>
    <row r="128" s="1">
      <c r="A128" s="22">
        <f>RANDBETWEEN(2,164)</f>
        <v/>
      </c>
      <c r="B128" s="22">
        <f t="array" ref="B128"/>
        <v/>
      </c>
      <c r="C128" s="22">
        <f t="array" ref="C128"/>
        <v/>
      </c>
      <c r="H128" s="28" t="n">
        <v>32</v>
      </c>
      <c r="I128" s="28" t="n">
        <v>54</v>
      </c>
      <c r="J128" s="28" t="inlineStr">
        <is>
          <t>Sedang</t>
        </is>
      </c>
    </row>
    <row r="129" s="1">
      <c r="A129" s="22">
        <f>RANDBETWEEN(2,164)</f>
        <v/>
      </c>
      <c r="B129" s="22">
        <f t="array" ref="B129"/>
        <v/>
      </c>
      <c r="C129" s="22">
        <f t="array" ref="C129"/>
        <v/>
      </c>
      <c r="H129" s="28" t="n">
        <v>162</v>
      </c>
      <c r="I129" s="28" t="n">
        <v>22</v>
      </c>
      <c r="J129" s="28" t="inlineStr">
        <is>
          <t>Rendah</t>
        </is>
      </c>
    </row>
    <row r="130" s="1">
      <c r="A130" s="22">
        <f>RANDBETWEEN(2,164)</f>
        <v/>
      </c>
      <c r="B130" s="22">
        <f t="array" ref="B130"/>
        <v/>
      </c>
      <c r="C130" s="22">
        <f t="array" ref="C130"/>
        <v/>
      </c>
      <c r="H130" s="28" t="n">
        <v>140</v>
      </c>
      <c r="I130" s="28" t="n">
        <v>74</v>
      </c>
      <c r="J130" s="28" t="inlineStr">
        <is>
          <t>Tinggi</t>
        </is>
      </c>
    </row>
    <row r="131" s="1">
      <c r="A131" s="22">
        <f>RANDBETWEEN(2,164)</f>
        <v/>
      </c>
      <c r="B131" s="22">
        <f t="array" ref="B131"/>
        <v/>
      </c>
      <c r="C131" s="22">
        <f t="array" ref="C131"/>
        <v/>
      </c>
      <c r="H131" s="28" t="n">
        <v>143</v>
      </c>
      <c r="I131" s="28" t="n">
        <v>20</v>
      </c>
      <c r="J131" s="28" t="inlineStr">
        <is>
          <t>Tinggi</t>
        </is>
      </c>
    </row>
    <row r="132" s="1">
      <c r="A132" s="22">
        <f>RANDBETWEEN(2,164)</f>
        <v/>
      </c>
      <c r="B132" s="22">
        <f t="array" ref="B132"/>
        <v/>
      </c>
      <c r="C132" s="22">
        <f t="array" ref="C132"/>
        <v/>
      </c>
      <c r="H132" s="28" t="n">
        <v>144</v>
      </c>
      <c r="I132" s="28" t="n">
        <v>61</v>
      </c>
      <c r="J132" s="28" t="inlineStr">
        <is>
          <t>Tinggi</t>
        </is>
      </c>
    </row>
    <row r="133" s="1">
      <c r="A133" s="22">
        <f>RANDBETWEEN(2,164)</f>
        <v/>
      </c>
      <c r="B133" s="22">
        <f t="array" ref="B133"/>
        <v/>
      </c>
      <c r="C133" s="22">
        <f t="array" ref="C133"/>
        <v/>
      </c>
      <c r="H133" s="28" t="n">
        <v>30</v>
      </c>
      <c r="I133" s="28" t="n">
        <v>3</v>
      </c>
      <c r="J133" s="28" t="inlineStr">
        <is>
          <t>Sedang</t>
        </is>
      </c>
    </row>
    <row r="134" s="1">
      <c r="A134" s="22">
        <f>RANDBETWEEN(2,164)</f>
        <v/>
      </c>
      <c r="B134" s="22">
        <f t="array" ref="B134"/>
        <v/>
      </c>
      <c r="C134" s="22">
        <f t="array" ref="C134"/>
        <v/>
      </c>
      <c r="H134" s="28" t="n">
        <v>90</v>
      </c>
      <c r="I134" s="28" t="n">
        <v>47</v>
      </c>
      <c r="J134" s="28" t="inlineStr">
        <is>
          <t>Tinggi</t>
        </is>
      </c>
    </row>
    <row r="135" s="1">
      <c r="A135" s="22">
        <f>RANDBETWEEN(2,164)</f>
        <v/>
      </c>
      <c r="B135" s="22">
        <f t="array" ref="B135"/>
        <v/>
      </c>
      <c r="C135" s="22">
        <f t="array" ref="C135"/>
        <v/>
      </c>
      <c r="H135" s="28" t="n">
        <v>121</v>
      </c>
      <c r="I135" s="28" t="n">
        <v>82</v>
      </c>
      <c r="J135" s="28" t="inlineStr">
        <is>
          <t>Tinggi</t>
        </is>
      </c>
    </row>
    <row r="136" s="1">
      <c r="A136" s="22">
        <f>RANDBETWEEN(2,164)</f>
        <v/>
      </c>
      <c r="B136" s="22">
        <f t="array" ref="B136"/>
        <v/>
      </c>
      <c r="C136" s="22">
        <f t="array" ref="C136"/>
        <v/>
      </c>
      <c r="H136" s="28" t="n">
        <v>68</v>
      </c>
      <c r="I136" s="28" t="n">
        <v>44</v>
      </c>
      <c r="J136" s="28" t="inlineStr">
        <is>
          <t>Sedang</t>
        </is>
      </c>
    </row>
    <row r="137" s="1">
      <c r="A137" s="22">
        <f>RANDBETWEEN(2,164)</f>
        <v/>
      </c>
      <c r="B137" s="22">
        <f t="array" ref="B137"/>
        <v/>
      </c>
      <c r="C137" s="22">
        <f t="array" ref="C137"/>
        <v/>
      </c>
      <c r="H137" s="28" t="n">
        <v>83</v>
      </c>
      <c r="I137" s="28" t="n">
        <v>50</v>
      </c>
      <c r="J137" s="28" t="inlineStr">
        <is>
          <t>Sedang</t>
        </is>
      </c>
    </row>
    <row r="138" s="1">
      <c r="A138" s="22">
        <f>RANDBETWEEN(2,164)</f>
        <v/>
      </c>
      <c r="B138" s="22">
        <f t="array" ref="B138"/>
        <v/>
      </c>
      <c r="C138" s="22">
        <f t="array" ref="C138"/>
        <v/>
      </c>
      <c r="H138" s="28" t="n">
        <v>41</v>
      </c>
      <c r="I138" s="28" t="n">
        <v>8</v>
      </c>
      <c r="J138" s="28" t="inlineStr">
        <is>
          <t>Sedang</t>
        </is>
      </c>
    </row>
    <row r="139" s="1">
      <c r="A139" s="22">
        <f>RANDBETWEEN(2,164)</f>
        <v/>
      </c>
      <c r="B139" s="22">
        <f t="array" ref="B139"/>
        <v/>
      </c>
      <c r="C139" s="22">
        <f t="array" ref="C139"/>
        <v/>
      </c>
      <c r="H139" s="28" t="n">
        <v>59</v>
      </c>
      <c r="I139" s="28" t="n">
        <v>28</v>
      </c>
      <c r="J139" s="28" t="inlineStr">
        <is>
          <t>Sedang</t>
        </is>
      </c>
    </row>
    <row r="140" s="1">
      <c r="A140" s="22">
        <f>RANDBETWEEN(2,164)</f>
        <v/>
      </c>
      <c r="B140" s="22">
        <f t="array" ref="B140"/>
        <v/>
      </c>
      <c r="C140" s="22">
        <f t="array" ref="C140"/>
        <v/>
      </c>
      <c r="H140" s="28" t="n">
        <v>136</v>
      </c>
      <c r="I140" s="28" t="n">
        <v>6</v>
      </c>
      <c r="J140" s="28" t="inlineStr">
        <is>
          <t>Tinggi</t>
        </is>
      </c>
    </row>
    <row r="141" s="1">
      <c r="A141" s="22">
        <f>RANDBETWEEN(2,164)</f>
        <v/>
      </c>
      <c r="B141" s="22">
        <f t="array" ref="B141"/>
        <v/>
      </c>
      <c r="C141" s="22">
        <f t="array" ref="C141"/>
        <v/>
      </c>
      <c r="H141" s="28" t="n">
        <v>85</v>
      </c>
      <c r="I141" s="28" t="n">
        <v>27</v>
      </c>
      <c r="J141" s="28" t="inlineStr">
        <is>
          <t>Sedang</t>
        </is>
      </c>
    </row>
    <row r="142" s="1">
      <c r="A142" s="22">
        <f>RANDBETWEEN(2,164)</f>
        <v/>
      </c>
      <c r="B142" s="22">
        <f t="array" ref="B142"/>
        <v/>
      </c>
      <c r="C142" s="22">
        <f t="array" ref="C142"/>
        <v/>
      </c>
      <c r="H142" s="28" t="n">
        <v>101</v>
      </c>
      <c r="I142" s="28" t="n">
        <v>42</v>
      </c>
      <c r="J142" s="28" t="inlineStr">
        <is>
          <t>Tinggi</t>
        </is>
      </c>
    </row>
    <row r="143" s="1">
      <c r="A143" s="22">
        <f>RANDBETWEEN(2,164)</f>
        <v/>
      </c>
      <c r="B143" s="22">
        <f t="array" ref="B143"/>
        <v/>
      </c>
      <c r="C143" s="22">
        <f t="array" ref="C143"/>
        <v/>
      </c>
      <c r="H143" s="28" t="n">
        <v>14</v>
      </c>
      <c r="I143" s="28" t="n">
        <v>49</v>
      </c>
      <c r="J143" s="28" t="inlineStr">
        <is>
          <t>Rendah</t>
        </is>
      </c>
    </row>
    <row r="144" s="1">
      <c r="A144" s="22">
        <f>RANDBETWEEN(2,164)</f>
        <v/>
      </c>
      <c r="B144" s="22">
        <f t="array" ref="B144"/>
        <v/>
      </c>
      <c r="C144" s="22">
        <f t="array" ref="C144"/>
        <v/>
      </c>
      <c r="H144" s="28" t="n">
        <v>161</v>
      </c>
      <c r="I144" s="28" t="n">
        <v>12</v>
      </c>
      <c r="J144" s="28" t="inlineStr">
        <is>
          <t>Tinggi</t>
        </is>
      </c>
    </row>
    <row r="145" s="1">
      <c r="A145" s="22">
        <f>RANDBETWEEN(2,164)</f>
        <v/>
      </c>
      <c r="B145" s="22">
        <f t="array" ref="B145"/>
        <v/>
      </c>
      <c r="C145" s="22">
        <f t="array" ref="C145"/>
        <v/>
      </c>
      <c r="H145" s="28" t="n">
        <v>111</v>
      </c>
      <c r="I145" s="28" t="n">
        <v>25</v>
      </c>
      <c r="J145" s="28" t="inlineStr">
        <is>
          <t>Tinggi</t>
        </is>
      </c>
    </row>
    <row r="146" s="1">
      <c r="A146" s="22">
        <f>RANDBETWEEN(2,164)</f>
        <v/>
      </c>
      <c r="B146" s="22">
        <f t="array" ref="B146"/>
        <v/>
      </c>
      <c r="C146" s="22">
        <f t="array" ref="C146"/>
        <v/>
      </c>
      <c r="H146" s="28" t="n">
        <v>98</v>
      </c>
      <c r="I146" s="28" t="n">
        <v>16</v>
      </c>
      <c r="J146" s="28" t="inlineStr">
        <is>
          <t>Tinggi</t>
        </is>
      </c>
    </row>
    <row r="147" s="1">
      <c r="A147" s="22">
        <f>RANDBETWEEN(2,164)</f>
        <v/>
      </c>
      <c r="B147" s="22">
        <f t="array" ref="B147"/>
        <v/>
      </c>
      <c r="C147" s="22">
        <f t="array" ref="C147"/>
        <v/>
      </c>
      <c r="H147" s="28" t="n">
        <v>15</v>
      </c>
      <c r="I147" s="28" t="n">
        <v>21</v>
      </c>
      <c r="J147" s="28" t="inlineStr">
        <is>
          <t>Rendah</t>
        </is>
      </c>
    </row>
    <row r="148" s="1">
      <c r="A148" s="22">
        <f>RANDBETWEEN(2,164)</f>
        <v/>
      </c>
      <c r="B148" s="22">
        <f t="array" ref="B148"/>
        <v/>
      </c>
      <c r="C148" s="22">
        <f t="array" ref="C148"/>
        <v/>
      </c>
      <c r="H148" s="28" t="n">
        <v>135</v>
      </c>
      <c r="I148" s="28" t="n">
        <v>10</v>
      </c>
      <c r="J148" s="28" t="inlineStr">
        <is>
          <t>Tinggi</t>
        </is>
      </c>
    </row>
    <row r="149" s="1">
      <c r="A149" s="22">
        <f>RANDBETWEEN(2,164)</f>
        <v/>
      </c>
      <c r="B149" s="22">
        <f t="array" ref="B149"/>
        <v/>
      </c>
      <c r="C149" s="22">
        <f t="array" ref="C149"/>
        <v/>
      </c>
      <c r="H149" s="28" t="n">
        <v>145</v>
      </c>
      <c r="I149" s="28" t="n">
        <v>28</v>
      </c>
      <c r="J149" s="28" t="inlineStr">
        <is>
          <t>Tinggi</t>
        </is>
      </c>
    </row>
    <row r="150" s="1">
      <c r="A150" s="22">
        <f>RANDBETWEEN(2,164)</f>
        <v/>
      </c>
      <c r="B150" s="22">
        <f t="array" ref="B150"/>
        <v/>
      </c>
      <c r="C150" s="22">
        <f t="array" ref="C150"/>
        <v/>
      </c>
      <c r="H150" s="28" t="n">
        <v>23</v>
      </c>
      <c r="I150" s="28" t="n">
        <v>28</v>
      </c>
      <c r="J150" s="28" t="inlineStr">
        <is>
          <t>Sedang</t>
        </is>
      </c>
    </row>
    <row r="151" s="1">
      <c r="A151" s="22">
        <f>RANDBETWEEN(2,164)</f>
        <v/>
      </c>
      <c r="B151" s="22">
        <f t="array" ref="B151"/>
        <v/>
      </c>
      <c r="C151" s="22">
        <f t="array" ref="C151"/>
        <v/>
      </c>
      <c r="H151" s="28" t="n">
        <v>112</v>
      </c>
      <c r="I151" s="28" t="n">
        <v>61</v>
      </c>
      <c r="J151" s="28" t="inlineStr">
        <is>
          <t>Tinggi</t>
        </is>
      </c>
    </row>
    <row r="152" s="1">
      <c r="A152" s="22">
        <f>RANDBETWEEN(2,164)</f>
        <v/>
      </c>
      <c r="B152" s="22">
        <f t="array" ref="B152"/>
        <v/>
      </c>
      <c r="C152" s="22">
        <f t="array" ref="C152"/>
        <v/>
      </c>
      <c r="H152" s="28" t="n">
        <v>92</v>
      </c>
      <c r="I152" s="28" t="n">
        <v>55</v>
      </c>
      <c r="J152" s="28" t="inlineStr">
        <is>
          <t>Tinggi</t>
        </is>
      </c>
    </row>
    <row r="153" s="1">
      <c r="A153" s="22">
        <f>RANDBETWEEN(2,164)</f>
        <v/>
      </c>
      <c r="B153" s="22">
        <f t="array" ref="B153"/>
        <v/>
      </c>
      <c r="C153" s="22">
        <f t="array" ref="C153"/>
        <v/>
      </c>
      <c r="H153" s="28" t="n">
        <v>144</v>
      </c>
      <c r="I153" s="28" t="n">
        <v>61</v>
      </c>
      <c r="J153" s="28" t="inlineStr">
        <is>
          <t>Tinggi</t>
        </is>
      </c>
    </row>
    <row r="154" s="1">
      <c r="A154" s="22">
        <f>RANDBETWEEN(2,164)</f>
        <v/>
      </c>
      <c r="B154" s="22">
        <f t="array" ref="B154"/>
        <v/>
      </c>
      <c r="C154" s="22">
        <f t="array" ref="C154"/>
        <v/>
      </c>
      <c r="H154" s="28" t="n">
        <v>137</v>
      </c>
      <c r="I154" s="28" t="n">
        <v>3</v>
      </c>
      <c r="J154" s="28" t="inlineStr">
        <is>
          <t>Tinggi</t>
        </is>
      </c>
    </row>
    <row r="155" s="1">
      <c r="A155" s="22">
        <f>RANDBETWEEN(2,164)</f>
        <v/>
      </c>
      <c r="B155" s="22">
        <f t="array" ref="B155"/>
        <v/>
      </c>
      <c r="C155" s="22">
        <f t="array" ref="C155"/>
        <v/>
      </c>
      <c r="H155" s="28" t="n">
        <v>93</v>
      </c>
      <c r="I155" s="28" t="n">
        <v>65</v>
      </c>
      <c r="J155" s="28" t="inlineStr">
        <is>
          <t>Tinggi</t>
        </is>
      </c>
    </row>
    <row r="156" s="1">
      <c r="A156" s="22">
        <f>RANDBETWEEN(2,164)</f>
        <v/>
      </c>
      <c r="B156" s="22">
        <f t="array" ref="B156"/>
        <v/>
      </c>
      <c r="C156" s="22">
        <f t="array" ref="C156"/>
        <v/>
      </c>
      <c r="H156" s="28" t="n">
        <v>108</v>
      </c>
      <c r="I156" s="28" t="n">
        <v>69</v>
      </c>
      <c r="J156" s="28" t="inlineStr">
        <is>
          <t>Tinggi</t>
        </is>
      </c>
    </row>
    <row r="157" s="1">
      <c r="A157" s="22">
        <f>RANDBETWEEN(2,164)</f>
        <v/>
      </c>
      <c r="B157" s="22">
        <f t="array" ref="B157"/>
        <v/>
      </c>
      <c r="C157" s="22">
        <f t="array" ref="C157"/>
        <v/>
      </c>
      <c r="H157" s="28" t="n">
        <v>127</v>
      </c>
      <c r="I157" s="28" t="n">
        <v>21</v>
      </c>
      <c r="J157" s="28" t="inlineStr">
        <is>
          <t>Tinggi</t>
        </is>
      </c>
    </row>
    <row r="158" s="1">
      <c r="A158" s="22">
        <f>RANDBETWEEN(2,164)</f>
        <v/>
      </c>
      <c r="B158" s="22">
        <f t="array" ref="B158"/>
        <v/>
      </c>
      <c r="C158" s="22">
        <f t="array" ref="C158"/>
        <v/>
      </c>
      <c r="H158" s="28" t="n">
        <v>48</v>
      </c>
      <c r="I158" s="28" t="n">
        <v>50</v>
      </c>
      <c r="J158" s="28" t="inlineStr">
        <is>
          <t>Sedang</t>
        </is>
      </c>
    </row>
    <row r="159" s="1">
      <c r="A159" s="22">
        <f>RANDBETWEEN(2,164)</f>
        <v/>
      </c>
      <c r="B159" s="22">
        <f t="array" ref="B159"/>
        <v/>
      </c>
      <c r="C159" s="22">
        <f t="array" ref="C159"/>
        <v/>
      </c>
      <c r="H159" s="28" t="n">
        <v>159</v>
      </c>
      <c r="I159" s="28" t="n">
        <v>17</v>
      </c>
      <c r="J159" s="28" t="inlineStr">
        <is>
          <t>Tinggi</t>
        </is>
      </c>
    </row>
    <row r="160" s="1">
      <c r="A160" s="22">
        <f>RANDBETWEEN(2,164)</f>
        <v/>
      </c>
      <c r="B160" s="22">
        <f t="array" ref="B160"/>
        <v/>
      </c>
      <c r="C160" s="22">
        <f t="array" ref="C160"/>
        <v/>
      </c>
      <c r="H160" s="28" t="n">
        <v>54</v>
      </c>
      <c r="I160" s="28" t="n">
        <v>7</v>
      </c>
      <c r="J160" s="28" t="inlineStr">
        <is>
          <t>Sedang</t>
        </is>
      </c>
    </row>
    <row r="161" s="1">
      <c r="A161" s="22">
        <f>RANDBETWEEN(2,164)</f>
        <v/>
      </c>
      <c r="B161" s="22">
        <f t="array" ref="B161"/>
        <v/>
      </c>
      <c r="C161" s="22">
        <f t="array" ref="C161"/>
        <v/>
      </c>
      <c r="H161" s="28" t="n">
        <v>108</v>
      </c>
      <c r="I161" s="28" t="n">
        <v>69</v>
      </c>
      <c r="J161" s="28" t="inlineStr">
        <is>
          <t>Tinggi</t>
        </is>
      </c>
    </row>
    <row r="162" s="1">
      <c r="A162" s="22">
        <f>RANDBETWEEN(2,164)</f>
        <v/>
      </c>
      <c r="B162" s="22">
        <f t="array" ref="B162"/>
        <v/>
      </c>
      <c r="C162" s="22">
        <f t="array" ref="C162"/>
        <v/>
      </c>
      <c r="H162" s="28" t="n">
        <v>43</v>
      </c>
      <c r="I162" s="28" t="n">
        <v>15</v>
      </c>
      <c r="J162" s="28" t="inlineStr">
        <is>
          <t>Sedang</t>
        </is>
      </c>
    </row>
    <row r="163" s="1">
      <c r="A163" s="22">
        <f>RANDBETWEEN(2,164)</f>
        <v/>
      </c>
      <c r="B163" s="22">
        <f t="array" ref="B163"/>
        <v/>
      </c>
      <c r="C163" s="22">
        <f t="array" ref="C163"/>
        <v/>
      </c>
      <c r="H163" s="28" t="n">
        <v>97</v>
      </c>
      <c r="I163" s="28" t="n">
        <v>16</v>
      </c>
      <c r="J163" s="28" t="inlineStr">
        <is>
          <t>Tinggi</t>
        </is>
      </c>
    </row>
    <row r="164" s="1">
      <c r="A164" s="22">
        <f>RANDBETWEEN(2,164)</f>
        <v/>
      </c>
      <c r="B164" s="22">
        <f t="array" ref="B164"/>
        <v/>
      </c>
      <c r="C164" s="22">
        <f t="array" ref="C164"/>
        <v/>
      </c>
      <c r="H164" s="28" t="n">
        <v>60</v>
      </c>
      <c r="I164" s="28" t="n">
        <v>68</v>
      </c>
      <c r="J164" s="28" t="inlineStr">
        <is>
          <t>Sedang</t>
        </is>
      </c>
    </row>
    <row r="165" s="1">
      <c r="I165" s="27">
        <f>AVERAGE(I2:I164)</f>
        <v/>
      </c>
    </row>
    <row r="166" s="1">
      <c r="B166" s="27" t="n">
        <v>99</v>
      </c>
    </row>
    <row r="168" s="1">
      <c r="E168" s="31" t="inlineStr">
        <is>
          <t>USIA</t>
        </is>
      </c>
    </row>
    <row r="169" s="1">
      <c r="E169" s="22" t="inlineStr">
        <is>
          <t>Usia</t>
        </is>
      </c>
      <c r="F169" s="22">
        <f>AVERAGEIF($I$2:$I$164,"&lt;="&amp;$I$165)</f>
        <v/>
      </c>
      <c r="G169" s="22">
        <f>AVERAGEIF($I$2:$I$164,"&gt;"&amp;$I$165)</f>
        <v/>
      </c>
    </row>
    <row r="170" s="1">
      <c r="E170" s="22">
        <f t="array" ref="E170:E332">IF($I$2:$I$164&lt;$F$169,"kiri",IF($I$2:$I$164&lt;$G$169,"tengah","kanan"))</f>
        <v/>
      </c>
      <c r="F170" s="22" t="inlineStr">
        <is>
          <t>Kanan &gt; 54.27</t>
        </is>
      </c>
      <c r="G170" s="22" t="n"/>
    </row>
    <row r="171" s="1">
      <c r="E171" s="22" t="inlineStr">
        <is>
          <t>kanan</t>
        </is>
      </c>
      <c r="F171" s="22">
        <f>COUNTIFS($E$170:$E$332,"Kanan",$J$2:$J$164,"Tinggi")</f>
        <v/>
      </c>
      <c r="G171" s="22">
        <f>F171/32</f>
        <v/>
      </c>
    </row>
    <row r="172" s="1">
      <c r="E172" s="22" t="inlineStr">
        <is>
          <t>tengah</t>
        </is>
      </c>
      <c r="F172" s="22">
        <f>COUNTIFS($E$170:$E$332,"Kanan",$J$2:$J$164,"Sedang")</f>
        <v/>
      </c>
      <c r="G172" s="22">
        <f>F172/32</f>
        <v/>
      </c>
    </row>
    <row r="173" s="1">
      <c r="E173" s="22" t="inlineStr">
        <is>
          <t>tengah</t>
        </is>
      </c>
      <c r="F173" s="22">
        <f>COUNTIFS($E$170:$E$332,"Kanan",$J$2:$J$164,"Rendah")</f>
        <v/>
      </c>
      <c r="G173" s="22">
        <f>F173/32</f>
        <v/>
      </c>
    </row>
    <row r="174" s="1">
      <c r="E174" s="22" t="inlineStr">
        <is>
          <t>kiri</t>
        </is>
      </c>
      <c r="F174" s="22" t="inlineStr">
        <is>
          <t>Entropy</t>
        </is>
      </c>
      <c r="G174" s="22">
        <f>-(IFERROR(G171*LOG(G171,2),0)+IFERROR(G172*LOG(G172,2),0)+IFERROR(G173*LOG(G173,2),0))</f>
        <v/>
      </c>
    </row>
    <row r="175" s="1">
      <c r="E175" s="22" t="inlineStr">
        <is>
          <t>kanan</t>
        </is>
      </c>
      <c r="F175" s="22" t="n"/>
      <c r="G175" s="22">
        <f>SUM(F171:F173)/163</f>
        <v/>
      </c>
    </row>
    <row r="176" s="1">
      <c r="E176" s="22" t="inlineStr">
        <is>
          <t>tengah</t>
        </is>
      </c>
      <c r="F176" s="22" t="n"/>
      <c r="G176" s="32">
        <f>G174*G175</f>
        <v/>
      </c>
    </row>
    <row r="177" s="1">
      <c r="E177" s="22" t="inlineStr">
        <is>
          <t>kiri</t>
        </is>
      </c>
      <c r="F177" s="22" t="n"/>
      <c r="G177" s="22" t="n"/>
    </row>
    <row r="178" s="1">
      <c r="E178" s="22" t="inlineStr">
        <is>
          <t>tengah</t>
        </is>
      </c>
      <c r="F178" s="22" t="n"/>
      <c r="G178" s="22" t="n"/>
    </row>
    <row r="179" s="1">
      <c r="E179" s="22" t="inlineStr">
        <is>
          <t>kiri</t>
        </is>
      </c>
      <c r="F179" s="22" t="inlineStr">
        <is>
          <t>Kiri&lt;15.70</t>
        </is>
      </c>
      <c r="G179" s="22" t="n"/>
    </row>
    <row r="180" s="1">
      <c r="E180" s="22" t="inlineStr">
        <is>
          <t>tengah</t>
        </is>
      </c>
      <c r="F180" s="22">
        <f>COUNTIFS($E$170:$E$332,"Kiri",$J$2:$J$164,"Tinggi")</f>
        <v/>
      </c>
      <c r="G180" s="22">
        <f>F180/46</f>
        <v/>
      </c>
    </row>
    <row r="181" s="1">
      <c r="E181" s="22" t="inlineStr">
        <is>
          <t>kiri</t>
        </is>
      </c>
      <c r="F181" s="22">
        <f>COUNTIFS($E$170:$E$332,"Kiri",$J$2:$J$164,"Sedang")</f>
        <v/>
      </c>
      <c r="G181" s="22">
        <f>F181/46</f>
        <v/>
      </c>
    </row>
    <row r="182" s="1">
      <c r="E182" s="22" t="inlineStr">
        <is>
          <t>kanan</t>
        </is>
      </c>
      <c r="F182" s="22">
        <f>COUNTIFS($E$170:$E$332,"Kiri",$J$2:$J$164,"Rendah")</f>
        <v/>
      </c>
      <c r="G182" s="22">
        <f>F182/46</f>
        <v/>
      </c>
    </row>
    <row r="183" s="1">
      <c r="E183" s="22" t="inlineStr">
        <is>
          <t>tengah</t>
        </is>
      </c>
      <c r="F183" s="22" t="inlineStr">
        <is>
          <t>Entropy</t>
        </is>
      </c>
      <c r="G183" s="22">
        <f>-(IFERROR(G180*LOG(G180,2),0)+IFERROR(G181*LOG(G181,2),0)+IFERROR(G182*LOG(G182,2),0))</f>
        <v/>
      </c>
    </row>
    <row r="184" s="1">
      <c r="E184" s="22" t="inlineStr">
        <is>
          <t>kiri</t>
        </is>
      </c>
      <c r="F184" s="22" t="n"/>
      <c r="G184" s="22">
        <f>SUM(F180:F182)/163</f>
        <v/>
      </c>
    </row>
    <row r="185" s="1">
      <c r="E185" s="22" t="inlineStr">
        <is>
          <t>tengah</t>
        </is>
      </c>
      <c r="F185" s="22" t="n"/>
      <c r="G185" s="32">
        <f>G183*G184</f>
        <v/>
      </c>
    </row>
    <row r="186" s="1">
      <c r="E186" s="22" t="inlineStr">
        <is>
          <t>kanan</t>
        </is>
      </c>
      <c r="F186" s="22" t="n"/>
      <c r="G186" s="22" t="n"/>
    </row>
    <row r="187" s="1">
      <c r="E187" s="22" t="inlineStr">
        <is>
          <t>kiri</t>
        </is>
      </c>
      <c r="F187" s="22" t="n"/>
      <c r="G187" s="22" t="n"/>
    </row>
    <row r="188" s="1">
      <c r="E188" s="22" t="inlineStr">
        <is>
          <t>tengah</t>
        </is>
      </c>
      <c r="F188" s="22" t="inlineStr">
        <is>
          <t>Tengah</t>
        </is>
      </c>
      <c r="G188" s="22" t="n"/>
    </row>
    <row r="189" s="1">
      <c r="E189" s="22" t="inlineStr">
        <is>
          <t>kanan</t>
        </is>
      </c>
      <c r="F189" s="22">
        <f>COUNTIFS($E$170:$E$332,"Tengah",$J$2:$J$164,"Tinggi")</f>
        <v/>
      </c>
      <c r="G189" s="22">
        <f>F189/85</f>
        <v/>
      </c>
    </row>
    <row r="190" s="1">
      <c r="E190" s="22" t="inlineStr">
        <is>
          <t>tengah</t>
        </is>
      </c>
      <c r="F190" s="22">
        <f>COUNTIFS($E$170:$E$332,"Tengah",$J$2:$J$164,"Sedang")</f>
        <v/>
      </c>
      <c r="G190" s="22">
        <f>F190/85</f>
        <v/>
      </c>
    </row>
    <row r="191" s="1">
      <c r="E191" s="22" t="inlineStr">
        <is>
          <t>tengah</t>
        </is>
      </c>
      <c r="F191" s="22">
        <f>COUNTIFS($E$170:$E$332,"Tengah",$J$2:$J$164,"Rendah")</f>
        <v/>
      </c>
      <c r="G191" s="22">
        <f>F191/85</f>
        <v/>
      </c>
    </row>
    <row r="192" s="1">
      <c r="E192" s="22" t="inlineStr">
        <is>
          <t>kanan</t>
        </is>
      </c>
      <c r="F192" s="22" t="inlineStr">
        <is>
          <t>Entropy</t>
        </is>
      </c>
      <c r="G192" s="22">
        <f>-(IFERROR(G189*LOG(G189,2),0)+IFERROR(G190*LOG(G190,2),0)+IFERROR(G191*LOG(G191,2),0))</f>
        <v/>
      </c>
    </row>
    <row r="193" s="1">
      <c r="E193" s="22" t="inlineStr">
        <is>
          <t>tengah</t>
        </is>
      </c>
      <c r="F193" s="22" t="n"/>
      <c r="G193" s="22">
        <f>SUM(F189:F191)/163</f>
        <v/>
      </c>
    </row>
    <row r="194" s="1">
      <c r="E194" s="22" t="inlineStr">
        <is>
          <t>tengah</t>
        </is>
      </c>
      <c r="F194" s="22" t="n"/>
      <c r="G194" s="32">
        <f>G192*G193</f>
        <v/>
      </c>
    </row>
    <row r="195" s="1">
      <c r="E195" s="22" t="inlineStr">
        <is>
          <t>tengah</t>
        </is>
      </c>
      <c r="F195" s="22" t="n"/>
      <c r="G195" s="22" t="n"/>
    </row>
    <row r="196" s="1">
      <c r="E196" s="22" t="inlineStr">
        <is>
          <t>tengah</t>
        </is>
      </c>
      <c r="F196" s="22" t="inlineStr">
        <is>
          <t>IG</t>
        </is>
      </c>
      <c r="G196" s="22" t="n"/>
    </row>
    <row r="197" s="1">
      <c r="E197" s="22" t="inlineStr">
        <is>
          <t>kiri</t>
        </is>
      </c>
      <c r="F197" s="33">
        <f>P5-(G176+G185+G194)</f>
        <v/>
      </c>
      <c r="G197" s="22" t="n"/>
    </row>
    <row r="198" s="1">
      <c r="E198" s="22" t="inlineStr">
        <is>
          <t>tengah</t>
        </is>
      </c>
      <c r="F198" s="22" t="n"/>
      <c r="G198" s="22" t="n"/>
    </row>
    <row r="199" s="1">
      <c r="E199" s="22" t="inlineStr">
        <is>
          <t>tengah</t>
        </is>
      </c>
      <c r="F199" s="22" t="n"/>
      <c r="G199" s="22" t="n"/>
    </row>
    <row r="200" s="1">
      <c r="E200" s="22" t="inlineStr">
        <is>
          <t>tengah</t>
        </is>
      </c>
      <c r="F200" s="22" t="n"/>
      <c r="G200" s="22" t="n"/>
    </row>
    <row r="201" s="1">
      <c r="E201" s="22" t="inlineStr">
        <is>
          <t>tengah</t>
        </is>
      </c>
      <c r="F201" s="22" t="n"/>
      <c r="G201" s="22" t="n"/>
    </row>
    <row r="202" s="1">
      <c r="E202" s="22" t="inlineStr">
        <is>
          <t>kiri</t>
        </is>
      </c>
      <c r="F202" s="22" t="n"/>
      <c r="G202" s="22" t="n"/>
    </row>
    <row r="203" s="1">
      <c r="E203" s="22" t="inlineStr">
        <is>
          <t>kiri</t>
        </is>
      </c>
      <c r="F203" s="22" t="n"/>
      <c r="G203" s="22" t="n"/>
    </row>
    <row r="204" s="1">
      <c r="E204" s="22" t="inlineStr">
        <is>
          <t>kanan</t>
        </is>
      </c>
      <c r="F204" s="22" t="n"/>
      <c r="G204" s="22" t="n"/>
    </row>
    <row r="205" s="1">
      <c r="E205" s="22" t="inlineStr">
        <is>
          <t>tengah</t>
        </is>
      </c>
      <c r="F205" s="22" t="n"/>
      <c r="G205" s="22" t="n"/>
    </row>
    <row r="206" s="1">
      <c r="E206" s="22" t="inlineStr">
        <is>
          <t>tengah</t>
        </is>
      </c>
      <c r="F206" s="22" t="n"/>
      <c r="G206" s="22" t="n"/>
    </row>
    <row r="207" s="1">
      <c r="E207" s="22" t="inlineStr">
        <is>
          <t>kiri</t>
        </is>
      </c>
      <c r="F207" s="22" t="n"/>
      <c r="G207" s="22" t="n"/>
    </row>
    <row r="208" s="1">
      <c r="E208" s="22" t="inlineStr">
        <is>
          <t>kiri</t>
        </is>
      </c>
      <c r="F208" s="22" t="n"/>
      <c r="G208" s="22" t="n"/>
    </row>
    <row r="209" s="1">
      <c r="E209" s="22" t="inlineStr">
        <is>
          <t>tengah</t>
        </is>
      </c>
      <c r="F209" s="22" t="n"/>
      <c r="G209" s="22" t="n"/>
    </row>
    <row r="210" s="1">
      <c r="E210" s="22" t="inlineStr">
        <is>
          <t>kiri</t>
        </is>
      </c>
      <c r="F210" s="22" t="n"/>
      <c r="G210" s="22" t="n"/>
    </row>
    <row r="211" s="1">
      <c r="E211" s="22" t="inlineStr">
        <is>
          <t>tengah</t>
        </is>
      </c>
      <c r="F211" s="22" t="n"/>
      <c r="G211" s="22" t="n"/>
    </row>
    <row r="212" s="1">
      <c r="E212" s="22" t="inlineStr">
        <is>
          <t>tengah</t>
        </is>
      </c>
      <c r="F212" s="22" t="n"/>
      <c r="G212" s="22" t="n"/>
    </row>
    <row r="213" s="1">
      <c r="E213" s="22" t="inlineStr">
        <is>
          <t>tengah</t>
        </is>
      </c>
      <c r="F213" s="22" t="n"/>
      <c r="G213" s="22" t="n"/>
    </row>
    <row r="214" s="1">
      <c r="E214" s="22" t="inlineStr">
        <is>
          <t>kiri</t>
        </is>
      </c>
      <c r="F214" s="22" t="n"/>
      <c r="G214" s="22" t="n"/>
    </row>
    <row r="215" s="1">
      <c r="E215" s="22" t="inlineStr">
        <is>
          <t>kanan</t>
        </is>
      </c>
      <c r="F215" s="22" t="n"/>
      <c r="G215" s="22" t="n"/>
    </row>
    <row r="216" s="1">
      <c r="E216" s="22" t="inlineStr">
        <is>
          <t>tengah</t>
        </is>
      </c>
      <c r="F216" s="22" t="n"/>
      <c r="G216" s="22" t="n"/>
    </row>
    <row r="217" s="1">
      <c r="E217" s="22" t="inlineStr">
        <is>
          <t>kanan</t>
        </is>
      </c>
      <c r="F217" s="22" t="n"/>
      <c r="G217" s="22" t="n"/>
    </row>
    <row r="218" s="1">
      <c r="E218" s="22" t="inlineStr">
        <is>
          <t>tengah</t>
        </is>
      </c>
      <c r="F218" s="22" t="n"/>
      <c r="G218" s="22" t="n"/>
    </row>
    <row r="219" s="1">
      <c r="E219" s="22" t="inlineStr">
        <is>
          <t>tengah</t>
        </is>
      </c>
      <c r="F219" s="22" t="n"/>
      <c r="G219" s="22" t="n"/>
    </row>
    <row r="220" s="1">
      <c r="E220" s="22" t="inlineStr">
        <is>
          <t>kiri</t>
        </is>
      </c>
      <c r="F220" s="22" t="n"/>
      <c r="G220" s="22" t="n"/>
    </row>
    <row r="221" s="1">
      <c r="E221" s="22" t="inlineStr">
        <is>
          <t>kiri</t>
        </is>
      </c>
      <c r="F221" s="22" t="n"/>
      <c r="G221" s="22" t="n"/>
    </row>
    <row r="222" s="1">
      <c r="E222" s="22" t="inlineStr">
        <is>
          <t>kanan</t>
        </is>
      </c>
      <c r="F222" s="22" t="n"/>
      <c r="G222" s="22" t="n"/>
    </row>
    <row r="223" s="1">
      <c r="E223" s="22" t="inlineStr">
        <is>
          <t>tengah</t>
        </is>
      </c>
      <c r="F223" s="22" t="n"/>
      <c r="G223" s="22" t="n"/>
    </row>
    <row r="224" s="1">
      <c r="E224" s="22" t="inlineStr">
        <is>
          <t>kiri</t>
        </is>
      </c>
      <c r="F224" s="22" t="n"/>
      <c r="G224" s="22" t="n"/>
    </row>
    <row r="225" s="1">
      <c r="E225" s="22" t="inlineStr">
        <is>
          <t>tengah</t>
        </is>
      </c>
      <c r="F225" s="22" t="n"/>
      <c r="G225" s="22" t="n"/>
    </row>
    <row r="226" s="1">
      <c r="E226" s="22" t="inlineStr">
        <is>
          <t>tengah</t>
        </is>
      </c>
      <c r="F226" s="22" t="n"/>
      <c r="G226" s="22" t="n"/>
    </row>
    <row r="227" s="1">
      <c r="E227" s="22" t="inlineStr">
        <is>
          <t>tengah</t>
        </is>
      </c>
      <c r="F227" s="22" t="n"/>
      <c r="G227" s="22" t="n"/>
    </row>
    <row r="228" s="1">
      <c r="E228" s="22" t="inlineStr">
        <is>
          <t>tengah</t>
        </is>
      </c>
      <c r="F228" s="22" t="n"/>
      <c r="G228" s="22" t="n"/>
    </row>
    <row r="229" s="1">
      <c r="E229" s="22" t="inlineStr">
        <is>
          <t>tengah</t>
        </is>
      </c>
      <c r="F229" s="22" t="n"/>
      <c r="G229" s="22" t="n"/>
    </row>
    <row r="230" s="1">
      <c r="E230" s="22" t="inlineStr">
        <is>
          <t>tengah</t>
        </is>
      </c>
      <c r="F230" s="22" t="n"/>
      <c r="G230" s="22" t="n"/>
    </row>
    <row r="231" s="1">
      <c r="E231" s="22" t="inlineStr">
        <is>
          <t>tengah</t>
        </is>
      </c>
      <c r="F231" s="22" t="n"/>
      <c r="G231" s="22" t="n"/>
    </row>
    <row r="232" s="1">
      <c r="E232" s="22" t="inlineStr">
        <is>
          <t>tengah</t>
        </is>
      </c>
      <c r="F232" s="22" t="n"/>
      <c r="G232" s="22" t="n"/>
    </row>
    <row r="233" s="1">
      <c r="E233" s="22" t="inlineStr">
        <is>
          <t>tengah</t>
        </is>
      </c>
      <c r="F233" s="22" t="n"/>
      <c r="G233" s="22" t="n"/>
    </row>
    <row r="234" s="1">
      <c r="E234" s="22" t="inlineStr">
        <is>
          <t>tengah</t>
        </is>
      </c>
      <c r="F234" s="22" t="n"/>
      <c r="G234" s="22" t="n"/>
    </row>
    <row r="235" s="1">
      <c r="E235" s="22" t="inlineStr">
        <is>
          <t>tengah</t>
        </is>
      </c>
      <c r="F235" s="22" t="n"/>
      <c r="G235" s="22" t="n"/>
    </row>
    <row r="236" s="1">
      <c r="E236" s="22" t="inlineStr">
        <is>
          <t>kanan</t>
        </is>
      </c>
      <c r="F236" s="22" t="n"/>
      <c r="G236" s="22" t="n"/>
    </row>
    <row r="237" s="1">
      <c r="E237" s="22" t="inlineStr">
        <is>
          <t>kiri</t>
        </is>
      </c>
      <c r="F237" s="22" t="n"/>
      <c r="G237" s="22" t="n"/>
    </row>
    <row r="238" s="1">
      <c r="E238" s="22" t="inlineStr">
        <is>
          <t>kanan</t>
        </is>
      </c>
      <c r="F238" s="22" t="n"/>
      <c r="G238" s="22" t="n"/>
    </row>
    <row r="239" s="1">
      <c r="E239" s="22" t="inlineStr">
        <is>
          <t>tengah</t>
        </is>
      </c>
      <c r="F239" s="22" t="n"/>
      <c r="G239" s="22" t="n"/>
    </row>
    <row r="240" s="1">
      <c r="E240" s="22" t="inlineStr">
        <is>
          <t>kiri</t>
        </is>
      </c>
      <c r="F240" s="22" t="n"/>
      <c r="G240" s="22" t="n"/>
    </row>
    <row r="241" s="1">
      <c r="E241" s="22" t="inlineStr">
        <is>
          <t>kiri</t>
        </is>
      </c>
      <c r="F241" s="22" t="n"/>
      <c r="G241" s="22" t="n"/>
    </row>
    <row r="242" s="1">
      <c r="E242" s="22" t="inlineStr">
        <is>
          <t>kiri</t>
        </is>
      </c>
      <c r="F242" s="22" t="n"/>
      <c r="G242" s="22" t="n"/>
    </row>
    <row r="243" s="1">
      <c r="E243" s="22" t="inlineStr">
        <is>
          <t>kanan</t>
        </is>
      </c>
      <c r="F243" s="22" t="n"/>
      <c r="G243" s="22" t="n"/>
    </row>
    <row r="244" s="1">
      <c r="E244" s="22" t="inlineStr">
        <is>
          <t>tengah</t>
        </is>
      </c>
      <c r="F244" s="22" t="n"/>
      <c r="G244" s="22" t="n"/>
    </row>
    <row r="245" s="1">
      <c r="E245" s="22" t="inlineStr">
        <is>
          <t>kiri</t>
        </is>
      </c>
      <c r="F245" s="22" t="n"/>
      <c r="G245" s="22" t="n"/>
    </row>
    <row r="246" s="1">
      <c r="E246" s="22" t="inlineStr">
        <is>
          <t>kanan</t>
        </is>
      </c>
      <c r="F246" s="22" t="n"/>
      <c r="G246" s="22" t="n"/>
    </row>
    <row r="247" s="1">
      <c r="E247" s="22" t="inlineStr">
        <is>
          <t>tengah</t>
        </is>
      </c>
      <c r="F247" s="22" t="n"/>
      <c r="G247" s="22" t="n"/>
    </row>
    <row r="248" s="1">
      <c r="E248" s="22" t="inlineStr">
        <is>
          <t>kiri</t>
        </is>
      </c>
      <c r="F248" s="22" t="n"/>
      <c r="G248" s="22" t="n"/>
    </row>
    <row r="249" s="1">
      <c r="E249" s="22" t="inlineStr">
        <is>
          <t>tengah</t>
        </is>
      </c>
      <c r="F249" s="22" t="n"/>
      <c r="G249" s="22" t="n"/>
    </row>
    <row r="250" s="1">
      <c r="E250" s="22" t="inlineStr">
        <is>
          <t>kiri</t>
        </is>
      </c>
      <c r="F250" s="22" t="n"/>
      <c r="G250" s="22" t="n"/>
    </row>
    <row r="251" s="1">
      <c r="E251" s="22" t="inlineStr">
        <is>
          <t>kanan</t>
        </is>
      </c>
      <c r="F251" s="22" t="n"/>
      <c r="G251" s="22" t="n"/>
    </row>
    <row r="252" s="1">
      <c r="E252" s="22" t="inlineStr">
        <is>
          <t>kiri</t>
        </is>
      </c>
      <c r="F252" s="22" t="n"/>
      <c r="G252" s="22" t="n"/>
    </row>
    <row r="253" s="1">
      <c r="E253" s="22" t="inlineStr">
        <is>
          <t>kiri</t>
        </is>
      </c>
      <c r="F253" s="22" t="n"/>
      <c r="G253" s="22" t="n"/>
    </row>
    <row r="254" s="1">
      <c r="E254" s="22" t="inlineStr">
        <is>
          <t>kiri</t>
        </is>
      </c>
      <c r="F254" s="22" t="n"/>
      <c r="G254" s="22" t="n"/>
    </row>
    <row r="255" s="1">
      <c r="E255" s="22" t="inlineStr">
        <is>
          <t>kiri</t>
        </is>
      </c>
      <c r="F255" s="22" t="n"/>
      <c r="G255" s="22" t="n"/>
    </row>
    <row r="256" s="1">
      <c r="E256" s="22" t="inlineStr">
        <is>
          <t>kiri</t>
        </is>
      </c>
      <c r="F256" s="22" t="n"/>
      <c r="G256" s="22" t="n"/>
    </row>
    <row r="257" s="1">
      <c r="E257" s="22" t="inlineStr">
        <is>
          <t>kiri</t>
        </is>
      </c>
      <c r="F257" s="22" t="n"/>
      <c r="G257" s="22" t="n"/>
    </row>
    <row r="258" s="1">
      <c r="E258" s="22" t="inlineStr">
        <is>
          <t>tengah</t>
        </is>
      </c>
      <c r="F258" s="22" t="n"/>
      <c r="G258" s="22" t="n"/>
    </row>
    <row r="259" s="1">
      <c r="E259" s="22" t="inlineStr">
        <is>
          <t>tengah</t>
        </is>
      </c>
      <c r="F259" s="22" t="n"/>
      <c r="G259" s="22" t="n"/>
    </row>
    <row r="260" s="1">
      <c r="E260" s="22" t="inlineStr">
        <is>
          <t>kiri</t>
        </is>
      </c>
      <c r="F260" s="22" t="n"/>
      <c r="G260" s="22" t="n"/>
    </row>
    <row r="261" s="1">
      <c r="E261" s="22" t="inlineStr">
        <is>
          <t>kiri</t>
        </is>
      </c>
      <c r="F261" s="22" t="n"/>
      <c r="G261" s="22" t="n"/>
    </row>
    <row r="262" s="1">
      <c r="E262" s="22" t="inlineStr">
        <is>
          <t>tengah</t>
        </is>
      </c>
      <c r="F262" s="22" t="n"/>
      <c r="G262" s="22" t="n"/>
    </row>
    <row r="263" s="1">
      <c r="E263" s="22" t="inlineStr">
        <is>
          <t>tengah</t>
        </is>
      </c>
      <c r="F263" s="22" t="n"/>
      <c r="G263" s="22" t="n"/>
    </row>
    <row r="264" s="1">
      <c r="E264" s="22" t="inlineStr">
        <is>
          <t>tengah</t>
        </is>
      </c>
      <c r="F264" s="22" t="n"/>
      <c r="G264" s="22" t="n"/>
    </row>
    <row r="265" s="1">
      <c r="E265" s="22" t="inlineStr">
        <is>
          <t>kanan</t>
        </is>
      </c>
      <c r="F265" s="22" t="n"/>
      <c r="G265" s="22" t="n"/>
    </row>
    <row r="266" s="1">
      <c r="E266" s="22" t="inlineStr">
        <is>
          <t>tengah</t>
        </is>
      </c>
      <c r="F266" s="22" t="n"/>
      <c r="G266" s="22" t="n"/>
    </row>
    <row r="267" s="1">
      <c r="E267" s="22" t="inlineStr">
        <is>
          <t>kanan</t>
        </is>
      </c>
      <c r="F267" s="22" t="n"/>
      <c r="G267" s="22" t="n"/>
    </row>
    <row r="268" s="1">
      <c r="E268" s="22" t="inlineStr">
        <is>
          <t>kanan</t>
        </is>
      </c>
      <c r="F268" s="22" t="n"/>
      <c r="G268" s="22" t="n"/>
    </row>
    <row r="269" s="1">
      <c r="E269" s="22" t="inlineStr">
        <is>
          <t>tengah</t>
        </is>
      </c>
      <c r="F269" s="22" t="n"/>
      <c r="G269" s="22" t="n"/>
    </row>
    <row r="270" s="1">
      <c r="E270" s="22" t="inlineStr">
        <is>
          <t>tengah</t>
        </is>
      </c>
      <c r="F270" s="22" t="n"/>
      <c r="G270" s="22" t="n"/>
    </row>
    <row r="271" s="1">
      <c r="E271" s="22" t="inlineStr">
        <is>
          <t>tengah</t>
        </is>
      </c>
      <c r="F271" s="22" t="n"/>
      <c r="G271" s="22" t="n"/>
    </row>
    <row r="272" s="1">
      <c r="E272" s="22" t="inlineStr">
        <is>
          <t>tengah</t>
        </is>
      </c>
      <c r="F272" s="22" t="n"/>
      <c r="G272" s="22" t="n"/>
    </row>
    <row r="273" s="1">
      <c r="E273" s="22" t="inlineStr">
        <is>
          <t>tengah</t>
        </is>
      </c>
      <c r="F273" s="22" t="n"/>
      <c r="G273" s="22" t="n"/>
    </row>
    <row r="274" s="1">
      <c r="E274" s="22" t="inlineStr">
        <is>
          <t>kiri</t>
        </is>
      </c>
      <c r="F274" s="22" t="n"/>
      <c r="G274" s="22" t="n"/>
    </row>
    <row r="275" s="1">
      <c r="E275" s="22" t="inlineStr">
        <is>
          <t>tengah</t>
        </is>
      </c>
      <c r="F275" s="22" t="n"/>
      <c r="G275" s="22" t="n"/>
    </row>
    <row r="276" s="1">
      <c r="E276" s="22" t="inlineStr">
        <is>
          <t>tengah</t>
        </is>
      </c>
      <c r="F276" s="22" t="n"/>
      <c r="G276" s="22" t="n"/>
    </row>
    <row r="277" s="1">
      <c r="E277" s="22" t="inlineStr">
        <is>
          <t>tengah</t>
        </is>
      </c>
      <c r="F277" s="22" t="n"/>
      <c r="G277" s="22" t="n"/>
    </row>
    <row r="278" s="1">
      <c r="E278" s="22" t="inlineStr">
        <is>
          <t>kiri</t>
        </is>
      </c>
      <c r="F278" s="22" t="n"/>
      <c r="G278" s="22" t="n"/>
    </row>
    <row r="279" s="1">
      <c r="E279" s="22" t="inlineStr">
        <is>
          <t>tengah</t>
        </is>
      </c>
      <c r="F279" s="22" t="n"/>
      <c r="G279" s="22" t="n"/>
    </row>
    <row r="280" s="1">
      <c r="E280" s="22" t="inlineStr">
        <is>
          <t>kanan</t>
        </is>
      </c>
      <c r="F280" s="22" t="n"/>
      <c r="G280" s="22" t="n"/>
    </row>
    <row r="281" s="1">
      <c r="E281" s="22" t="inlineStr">
        <is>
          <t>kiri</t>
        </is>
      </c>
      <c r="F281" s="22" t="n"/>
      <c r="G281" s="22" t="n"/>
    </row>
    <row r="282" s="1">
      <c r="E282" s="22" t="inlineStr">
        <is>
          <t>kanan</t>
        </is>
      </c>
      <c r="F282" s="22" t="n"/>
      <c r="G282" s="22" t="n"/>
    </row>
    <row r="283" s="1">
      <c r="E283" s="22" t="inlineStr">
        <is>
          <t>kiri</t>
        </is>
      </c>
      <c r="F283" s="22" t="n"/>
      <c r="G283" s="22" t="n"/>
    </row>
    <row r="284" s="1">
      <c r="E284" s="22" t="inlineStr">
        <is>
          <t>tengah</t>
        </is>
      </c>
      <c r="F284" s="22" t="n"/>
      <c r="G284" s="22" t="n"/>
    </row>
    <row r="285" s="1">
      <c r="E285" s="22" t="inlineStr">
        <is>
          <t>kiri</t>
        </is>
      </c>
      <c r="F285" s="22" t="n"/>
      <c r="G285" s="22" t="n"/>
    </row>
    <row r="286" s="1">
      <c r="E286" s="22" t="inlineStr">
        <is>
          <t>tengah</t>
        </is>
      </c>
      <c r="F286" s="22" t="n"/>
      <c r="G286" s="22" t="n"/>
    </row>
    <row r="287" s="1">
      <c r="E287" s="22" t="inlineStr">
        <is>
          <t>tengah</t>
        </is>
      </c>
      <c r="F287" s="22" t="n"/>
      <c r="G287" s="22" t="n"/>
    </row>
    <row r="288" s="1">
      <c r="E288" s="22" t="inlineStr">
        <is>
          <t>tengah</t>
        </is>
      </c>
      <c r="F288" s="22" t="n"/>
      <c r="G288" s="22" t="n"/>
    </row>
    <row r="289" s="1">
      <c r="E289" s="22" t="inlineStr">
        <is>
          <t>kanan</t>
        </is>
      </c>
      <c r="F289" s="22" t="n"/>
      <c r="G289" s="22" t="n"/>
    </row>
    <row r="290" s="1">
      <c r="E290" s="22" t="inlineStr">
        <is>
          <t>tengah</t>
        </is>
      </c>
      <c r="F290" s="22" t="n"/>
      <c r="G290" s="22" t="n"/>
    </row>
    <row r="291" s="1">
      <c r="E291" s="22" t="inlineStr">
        <is>
          <t>kiri</t>
        </is>
      </c>
      <c r="F291" s="22" t="n"/>
      <c r="G291" s="22" t="n"/>
    </row>
    <row r="292" s="1">
      <c r="E292" s="22" t="inlineStr">
        <is>
          <t>kiri</t>
        </is>
      </c>
      <c r="F292" s="22" t="n"/>
      <c r="G292" s="22" t="n"/>
    </row>
    <row r="293" s="1">
      <c r="E293" s="22" t="inlineStr">
        <is>
          <t>tengah</t>
        </is>
      </c>
      <c r="F293" s="22" t="n"/>
      <c r="G293" s="22" t="n"/>
    </row>
    <row r="294" s="1">
      <c r="E294" s="22" t="inlineStr">
        <is>
          <t>kanan</t>
        </is>
      </c>
      <c r="F294" s="22" t="n"/>
      <c r="G294" s="22" t="n"/>
    </row>
    <row r="295" s="1">
      <c r="E295" s="22" t="inlineStr">
        <is>
          <t>tengah</t>
        </is>
      </c>
      <c r="F295" s="22" t="n"/>
      <c r="G295" s="22" t="n"/>
    </row>
    <row r="296" s="1">
      <c r="E296" s="22" t="inlineStr">
        <is>
          <t>tengah</t>
        </is>
      </c>
      <c r="F296" s="22" t="n"/>
      <c r="G296" s="22" t="n"/>
    </row>
    <row r="297" s="1">
      <c r="E297" s="22" t="inlineStr">
        <is>
          <t>tengah</t>
        </is>
      </c>
      <c r="F297" s="22" t="n"/>
      <c r="G297" s="22" t="n"/>
    </row>
    <row r="298" s="1">
      <c r="E298" s="22" t="inlineStr">
        <is>
          <t>kanan</t>
        </is>
      </c>
      <c r="F298" s="22" t="n"/>
      <c r="G298" s="22" t="n"/>
    </row>
    <row r="299" s="1">
      <c r="E299" s="22" t="inlineStr">
        <is>
          <t>tengah</t>
        </is>
      </c>
      <c r="F299" s="22" t="n"/>
      <c r="G299" s="22" t="n"/>
    </row>
    <row r="300" s="1">
      <c r="E300" s="22" t="inlineStr">
        <is>
          <t>kanan</t>
        </is>
      </c>
      <c r="F300" s="22" t="n"/>
      <c r="G300" s="22" t="n"/>
    </row>
    <row r="301" s="1">
      <c r="E301" s="22" t="inlineStr">
        <is>
          <t>kiri</t>
        </is>
      </c>
      <c r="F301" s="22" t="n"/>
      <c r="G301" s="22" t="n"/>
    </row>
    <row r="302" s="1">
      <c r="E302" s="22" t="inlineStr">
        <is>
          <t>tengah</t>
        </is>
      </c>
      <c r="F302" s="22" t="n"/>
      <c r="G302" s="22" t="n"/>
    </row>
    <row r="303" s="1">
      <c r="E303" s="22" t="inlineStr">
        <is>
          <t>kanan</t>
        </is>
      </c>
      <c r="F303" s="22" t="n"/>
      <c r="G303" s="22" t="n"/>
    </row>
    <row r="304" s="1">
      <c r="E304" s="22" t="inlineStr">
        <is>
          <t>tengah</t>
        </is>
      </c>
      <c r="F304" s="22" t="n"/>
      <c r="G304" s="22" t="n"/>
    </row>
    <row r="305" s="1">
      <c r="E305" s="22" t="inlineStr">
        <is>
          <t>tengah</t>
        </is>
      </c>
      <c r="F305" s="22" t="n"/>
      <c r="G305" s="22" t="n"/>
    </row>
    <row r="306" s="1">
      <c r="E306" s="22" t="inlineStr">
        <is>
          <t>kiri</t>
        </is>
      </c>
      <c r="F306" s="22" t="n"/>
      <c r="G306" s="22" t="n"/>
    </row>
    <row r="307" s="1">
      <c r="E307" s="22" t="inlineStr">
        <is>
          <t>tengah</t>
        </is>
      </c>
      <c r="F307" s="22" t="n"/>
      <c r="G307" s="22" t="n"/>
    </row>
    <row r="308" s="1">
      <c r="E308" s="22" t="inlineStr">
        <is>
          <t>kiri</t>
        </is>
      </c>
      <c r="F308" s="22" t="n"/>
      <c r="G308" s="22" t="n"/>
    </row>
    <row r="309" s="1">
      <c r="E309" s="22" t="inlineStr">
        <is>
          <t>tengah</t>
        </is>
      </c>
      <c r="F309" s="22" t="n"/>
      <c r="G309" s="22" t="n"/>
    </row>
    <row r="310" s="1">
      <c r="E310" s="22" t="inlineStr">
        <is>
          <t>tengah</t>
        </is>
      </c>
      <c r="F310" s="22" t="n"/>
      <c r="G310" s="22" t="n"/>
    </row>
    <row r="311" s="1">
      <c r="E311" s="22" t="inlineStr">
        <is>
          <t>tengah</t>
        </is>
      </c>
      <c r="F311" s="22" t="n"/>
      <c r="G311" s="22" t="n"/>
    </row>
    <row r="312" s="1">
      <c r="E312" s="22" t="inlineStr">
        <is>
          <t>kiri</t>
        </is>
      </c>
      <c r="F312" s="22" t="n"/>
      <c r="G312" s="22" t="n"/>
    </row>
    <row r="313" s="1">
      <c r="E313" s="22" t="inlineStr">
        <is>
          <t>tengah</t>
        </is>
      </c>
      <c r="F313" s="22" t="n"/>
      <c r="G313" s="22" t="n"/>
    </row>
    <row r="314" s="1">
      <c r="E314" s="22" t="inlineStr">
        <is>
          <t>tengah</t>
        </is>
      </c>
      <c r="F314" s="22" t="n"/>
      <c r="G314" s="22" t="n"/>
    </row>
    <row r="315" s="1">
      <c r="E315" s="22" t="inlineStr">
        <is>
          <t>tengah</t>
        </is>
      </c>
      <c r="F315" s="22" t="n"/>
      <c r="G315" s="22" t="n"/>
    </row>
    <row r="316" s="1">
      <c r="E316" s="22" t="inlineStr">
        <is>
          <t>kiri</t>
        </is>
      </c>
      <c r="F316" s="22" t="n"/>
      <c r="G316" s="22" t="n"/>
    </row>
    <row r="317" s="1">
      <c r="E317" s="22" t="inlineStr">
        <is>
          <t>tengah</t>
        </is>
      </c>
      <c r="F317" s="22" t="n"/>
      <c r="G317" s="22" t="n"/>
    </row>
    <row r="318" s="1">
      <c r="E318" s="22" t="inlineStr">
        <is>
          <t>tengah</t>
        </is>
      </c>
      <c r="F318" s="22" t="n"/>
      <c r="G318" s="22" t="n"/>
    </row>
    <row r="319" s="1">
      <c r="E319" s="22" t="inlineStr">
        <is>
          <t>kanan</t>
        </is>
      </c>
      <c r="F319" s="22" t="n"/>
      <c r="G319" s="22" t="n"/>
    </row>
    <row r="320" s="1">
      <c r="E320" s="22" t="inlineStr">
        <is>
          <t>kanan</t>
        </is>
      </c>
      <c r="F320" s="22" t="n"/>
      <c r="G320" s="22" t="n"/>
    </row>
    <row r="321" s="1">
      <c r="E321" s="22" t="inlineStr">
        <is>
          <t>kanan</t>
        </is>
      </c>
      <c r="F321" s="22" t="n"/>
      <c r="G321" s="22" t="n"/>
    </row>
    <row r="322" s="1">
      <c r="E322" s="22" t="inlineStr">
        <is>
          <t>kiri</t>
        </is>
      </c>
      <c r="F322" s="22" t="n"/>
      <c r="G322" s="22" t="n"/>
    </row>
    <row r="323" s="1">
      <c r="E323" s="22" t="inlineStr">
        <is>
          <t>kanan</t>
        </is>
      </c>
      <c r="F323" s="22" t="n"/>
      <c r="G323" s="22" t="n"/>
    </row>
    <row r="324" s="1">
      <c r="E324" s="22" t="inlineStr">
        <is>
          <t>kanan</t>
        </is>
      </c>
      <c r="F324" s="22" t="n"/>
      <c r="G324" s="22" t="n"/>
    </row>
    <row r="325" s="1">
      <c r="E325" s="22" t="inlineStr">
        <is>
          <t>tengah</t>
        </is>
      </c>
      <c r="F325" s="22" t="n"/>
      <c r="G325" s="22" t="n"/>
    </row>
    <row r="326" s="1">
      <c r="E326" s="22" t="inlineStr">
        <is>
          <t>tengah</t>
        </is>
      </c>
      <c r="F326" s="22" t="n"/>
      <c r="G326" s="22" t="n"/>
    </row>
    <row r="327" s="1">
      <c r="E327" s="22" t="inlineStr">
        <is>
          <t>tengah</t>
        </is>
      </c>
      <c r="F327" s="22" t="n"/>
      <c r="G327" s="22" t="n"/>
    </row>
    <row r="328" s="1">
      <c r="E328" s="22" t="inlineStr">
        <is>
          <t>kiri</t>
        </is>
      </c>
      <c r="F328" s="22" t="n"/>
      <c r="G328" s="22" t="n"/>
    </row>
    <row r="329" s="1">
      <c r="E329" s="22" t="inlineStr">
        <is>
          <t>kanan</t>
        </is>
      </c>
      <c r="F329" s="22" t="n"/>
      <c r="G329" s="22" t="n"/>
    </row>
    <row r="330" s="1">
      <c r="E330" s="22" t="inlineStr">
        <is>
          <t>kiri</t>
        </is>
      </c>
      <c r="F330" s="22" t="n"/>
      <c r="G330" s="22" t="n"/>
    </row>
    <row r="331" s="1">
      <c r="E331" s="22" t="inlineStr">
        <is>
          <t>tengah</t>
        </is>
      </c>
      <c r="F331" s="22" t="n"/>
      <c r="G331" s="22" t="n"/>
    </row>
    <row r="332" s="1">
      <c r="E332" s="22" t="inlineStr">
        <is>
          <t>kanan</t>
        </is>
      </c>
      <c r="F332" s="22" t="n"/>
      <c r="G332" s="22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2"/>
  <sheetViews>
    <sheetView topLeftCell="I94" zoomScale="106" zoomScaleNormal="106" workbookViewId="0">
      <selection activeCell="O163" sqref="O163"/>
    </sheetView>
  </sheetViews>
  <sheetFormatPr baseColWidth="8" defaultColWidth="8.6" defaultRowHeight="15"/>
  <cols>
    <col width="17.2888888888889" customWidth="1" style="1" min="3" max="3"/>
    <col width="31.2814814814815" customWidth="1" style="1" min="4" max="4"/>
    <col width="20.7185185185185" customWidth="1" style="1" min="5" max="5"/>
    <col width="13.8592592592593" customWidth="1" style="1" min="6" max="6"/>
    <col width="15.8592592592593" customWidth="1" style="1" min="10" max="10"/>
    <col width="22" customWidth="1" style="1" min="11" max="11"/>
    <col width="13.2888888888889" customWidth="1" style="1" min="12" max="12"/>
    <col width="13.8592592592593" customWidth="1" style="1" min="13" max="13"/>
    <col width="24.8592592592593" customWidth="1" style="1" min="15" max="15"/>
    <col width="12" customWidth="1" style="1" min="16" max="16"/>
    <col width="14.2888888888889" customWidth="1" style="1" min="20" max="20"/>
  </cols>
  <sheetData>
    <row r="1" s="1">
      <c r="A1" s="16" t="inlineStr">
        <is>
          <t>No</t>
        </is>
      </c>
      <c r="B1" s="16" t="inlineStr">
        <is>
          <t>Usia</t>
        </is>
      </c>
      <c r="C1" s="16" t="inlineStr">
        <is>
          <t>Lama Rawat Inap</t>
        </is>
      </c>
      <c r="D1" s="16" t="inlineStr">
        <is>
          <t>Jumlah Kasus Per Bulan</t>
        </is>
      </c>
      <c r="E1" s="16" t="inlineStr">
        <is>
          <t>Jenis Kelamin</t>
        </is>
      </c>
      <c r="F1" s="16" t="inlineStr">
        <is>
          <t>Tingkat Resiko</t>
        </is>
      </c>
      <c r="H1" s="17" t="inlineStr">
        <is>
          <t>No</t>
        </is>
      </c>
      <c r="I1" s="17" t="inlineStr">
        <is>
          <t>Usia</t>
        </is>
      </c>
      <c r="J1" s="17" t="inlineStr">
        <is>
          <t>Lama Rawat Inap</t>
        </is>
      </c>
      <c r="K1" s="17" t="inlineStr">
        <is>
          <t>Jumlah Kasus Per Bulan</t>
        </is>
      </c>
      <c r="L1" s="17" t="inlineStr">
        <is>
          <t>Jenis Kelamin</t>
        </is>
      </c>
      <c r="M1" s="17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INDEX(Data_DBD!$B:$B,$A2)</f>
        <v/>
      </c>
      <c r="C2" s="17">
        <f t="array" ref="C2">INDEX(Data_DBD!$C:$C,$A2)</f>
        <v/>
      </c>
      <c r="D2" s="17">
        <f t="array" ref="D2">INDEX(Data_DBD!$D:$D,$A2)</f>
        <v/>
      </c>
      <c r="E2" s="17">
        <f t="array" ref="E2">INDEX(Data_DBD!$E:$E,$A2)</f>
        <v/>
      </c>
      <c r="F2" s="17">
        <f t="array" ref="F2">INDEX(Data_DBD!$F:$F,$A2)</f>
        <v/>
      </c>
      <c r="H2" s="17" t="n">
        <v>76</v>
      </c>
      <c r="I2" s="17" t="n">
        <v>70</v>
      </c>
      <c r="J2" s="17" t="n">
        <v>2</v>
      </c>
      <c r="K2" s="17" t="n">
        <v>10</v>
      </c>
      <c r="L2" s="17" t="n">
        <v>0</v>
      </c>
      <c r="M2" s="17" t="inlineStr">
        <is>
          <t>Sedang</t>
        </is>
      </c>
      <c r="O2" s="19" t="inlineStr">
        <is>
          <t>Tinggi</t>
        </is>
      </c>
      <c r="P2" s="19">
        <f>COUNTIF(M2:M164,"Tinggi")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INDEX(Data_DBD!$B:$B,$A3)</f>
        <v/>
      </c>
      <c r="C3" s="17">
        <f t="array" ref="C3">INDEX(Data_DBD!$C:$C,$A3)</f>
        <v/>
      </c>
      <c r="D3" s="17">
        <f t="array" ref="D3">INDEX(Data_DBD!$D:$D,$A3)</f>
        <v/>
      </c>
      <c r="E3" s="17">
        <f t="array" ref="E3">INDEX(Data_DBD!$E:$E,$A3)</f>
        <v/>
      </c>
      <c r="F3" s="17">
        <f t="array" ref="F3">INDEX(Data_DBD!$F:$F,$A3)</f>
        <v/>
      </c>
      <c r="H3" s="17" t="n">
        <v>125</v>
      </c>
      <c r="I3" s="17" t="n">
        <v>39</v>
      </c>
      <c r="J3" s="17" t="n">
        <v>4</v>
      </c>
      <c r="K3" s="17" t="n">
        <v>33</v>
      </c>
      <c r="L3" s="17" t="n">
        <v>0</v>
      </c>
      <c r="M3" s="17" t="inlineStr">
        <is>
          <t>Tinggi</t>
        </is>
      </c>
      <c r="O3" s="19" t="inlineStr">
        <is>
          <t>Sedang</t>
        </is>
      </c>
      <c r="P3" s="19">
        <f>COUNTIF(M2:M164,"Sedang")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INDEX(Data_DBD!$B:$B,$A4)</f>
        <v/>
      </c>
      <c r="C4" s="17">
        <f t="array" ref="C4">INDEX(Data_DBD!$C:$C,$A4)</f>
        <v/>
      </c>
      <c r="D4" s="17">
        <f t="array" ref="D4">INDEX(Data_DBD!$D:$D,$A4)</f>
        <v/>
      </c>
      <c r="E4" s="17">
        <f t="array" ref="E4">INDEX(Data_DBD!$E:$E,$A4)</f>
        <v/>
      </c>
      <c r="F4" s="17">
        <f t="array" ref="F4">INDEX(Data_DBD!$F:$F,$A4)</f>
        <v/>
      </c>
      <c r="H4" s="17" t="n">
        <v>126</v>
      </c>
      <c r="I4" s="17" t="n">
        <v>51</v>
      </c>
      <c r="J4" s="17" t="n">
        <v>3</v>
      </c>
      <c r="K4" s="17" t="n">
        <v>33</v>
      </c>
      <c r="L4" s="17" t="n">
        <v>1</v>
      </c>
      <c r="M4" s="17" t="inlineStr">
        <is>
          <t>Tinggi</t>
        </is>
      </c>
      <c r="O4" s="19" t="inlineStr">
        <is>
          <t>Rendah</t>
        </is>
      </c>
      <c r="P4" s="19">
        <f>COUNTIF(M2:M164,"Rendah")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INDEX(Data_DBD!$B:$B,$A5)</f>
        <v/>
      </c>
      <c r="C5" s="17">
        <f t="array" ref="C5">INDEX(Data_DBD!$C:$C,$A5)</f>
        <v/>
      </c>
      <c r="D5" s="17">
        <f t="array" ref="D5">INDEX(Data_DBD!$D:$D,$A5)</f>
        <v/>
      </c>
      <c r="E5" s="17">
        <f t="array" ref="E5">INDEX(Data_DBD!$E:$E,$A5)</f>
        <v/>
      </c>
      <c r="F5" s="17">
        <f t="array" ref="F5">INDEX(Data_DBD!$F:$F,$A5)</f>
        <v/>
      </c>
      <c r="H5" s="17" t="n">
        <v>140</v>
      </c>
      <c r="I5" s="17" t="n">
        <v>74</v>
      </c>
      <c r="J5" s="17" t="n">
        <v>5</v>
      </c>
      <c r="K5" s="17" t="n">
        <v>21</v>
      </c>
      <c r="L5" s="17" t="n">
        <v>1</v>
      </c>
      <c r="M5" s="17" t="inlineStr">
        <is>
          <t>Tinggi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INDEX(Data_DBD!$B:$B,$A6)</f>
        <v/>
      </c>
      <c r="C6" s="17">
        <f t="array" ref="C6">INDEX(Data_DBD!$C:$C,$A6)</f>
        <v/>
      </c>
      <c r="D6" s="17">
        <f t="array" ref="D6">INDEX(Data_DBD!$D:$D,$A6)</f>
        <v/>
      </c>
      <c r="E6" s="17">
        <f t="array" ref="E6">INDEX(Data_DBD!$E:$E,$A6)</f>
        <v/>
      </c>
      <c r="F6" s="17">
        <f t="array" ref="F6">INDEX(Data_DBD!$F:$F,$A6)</f>
        <v/>
      </c>
      <c r="H6" s="17" t="n">
        <v>73</v>
      </c>
      <c r="I6" s="17" t="n">
        <v>15</v>
      </c>
      <c r="J6" s="17" t="n">
        <v>3</v>
      </c>
      <c r="K6" s="17" t="n">
        <v>10</v>
      </c>
      <c r="L6" s="17" t="n">
        <v>1</v>
      </c>
      <c r="M6" s="17" t="inlineStr">
        <is>
          <t>Sedang</t>
        </is>
      </c>
    </row>
    <row r="7" s="1">
      <c r="A7" s="17">
        <f>RANDBETWEEN(2,164)</f>
        <v/>
      </c>
      <c r="B7" s="17">
        <f t="array" ref="B7">INDEX(Data_DBD!$B:$B,$A7)</f>
        <v/>
      </c>
      <c r="C7" s="17">
        <f t="array" ref="C7">INDEX(Data_DBD!$C:$C,$A7)</f>
        <v/>
      </c>
      <c r="D7" s="17">
        <f t="array" ref="D7">INDEX(Data_DBD!$D:$D,$A7)</f>
        <v/>
      </c>
      <c r="E7" s="17">
        <f t="array" ref="E7">INDEX(Data_DBD!$E:$E,$A7)</f>
        <v/>
      </c>
      <c r="F7" s="17">
        <f t="array" ref="F7">INDEX(Data_DBD!$F:$F,$A7)</f>
        <v/>
      </c>
      <c r="H7" s="17" t="n">
        <v>125</v>
      </c>
      <c r="I7" s="17" t="n">
        <v>39</v>
      </c>
      <c r="J7" s="17" t="n">
        <v>4</v>
      </c>
      <c r="K7" s="17" t="n">
        <v>33</v>
      </c>
      <c r="L7" s="17" t="n">
        <v>0</v>
      </c>
      <c r="M7" s="17" t="inlineStr">
        <is>
          <t>Tinggi</t>
        </is>
      </c>
    </row>
    <row r="8" s="1">
      <c r="A8" s="17">
        <f>RANDBETWEEN(2,164)</f>
        <v/>
      </c>
      <c r="B8" s="17">
        <f t="array" ref="B8">INDEX(Data_DBD!$B:$B,$A8)</f>
        <v/>
      </c>
      <c r="C8" s="17">
        <f t="array" ref="C8">INDEX(Data_DBD!$C:$C,$A8)</f>
        <v/>
      </c>
      <c r="D8" s="17">
        <f t="array" ref="D8">INDEX(Data_DBD!$D:$D,$A8)</f>
        <v/>
      </c>
      <c r="E8" s="17">
        <f t="array" ref="E8">INDEX(Data_DBD!$E:$E,$A8)</f>
        <v/>
      </c>
      <c r="F8" s="17">
        <f t="array" ref="F8">INDEX(Data_DBD!$F:$F,$A8)</f>
        <v/>
      </c>
      <c r="H8" s="17" t="n">
        <v>119</v>
      </c>
      <c r="I8" s="17" t="n">
        <v>30</v>
      </c>
      <c r="J8" s="17" t="n">
        <v>7</v>
      </c>
      <c r="K8" s="17" t="n">
        <v>33</v>
      </c>
      <c r="L8" s="17" t="n">
        <v>0</v>
      </c>
      <c r="M8" s="17" t="inlineStr">
        <is>
          <t>Tinggi</t>
        </is>
      </c>
    </row>
    <row r="9" s="1">
      <c r="A9" s="17">
        <f>RANDBETWEEN(2,164)</f>
        <v/>
      </c>
      <c r="B9" s="17">
        <f t="array" ref="B9">INDEX(Data_DBD!$B:$B,$A9)</f>
        <v/>
      </c>
      <c r="C9" s="17">
        <f t="array" ref="C9">INDEX(Data_DBD!$C:$C,$A9)</f>
        <v/>
      </c>
      <c r="D9" s="17">
        <f t="array" ref="D9">INDEX(Data_DBD!$D:$D,$A9)</f>
        <v/>
      </c>
      <c r="E9" s="17">
        <f t="array" ref="E9">INDEX(Data_DBD!$E:$E,$A9)</f>
        <v/>
      </c>
      <c r="F9" s="17">
        <f t="array" ref="F9">INDEX(Data_DBD!$F:$F,$A9)</f>
        <v/>
      </c>
      <c r="H9" s="17" t="n">
        <v>11</v>
      </c>
      <c r="I9" s="17" t="n">
        <v>24</v>
      </c>
      <c r="J9" s="17" t="n">
        <v>5</v>
      </c>
      <c r="K9" s="17" t="n">
        <v>12</v>
      </c>
      <c r="L9" s="17" t="n">
        <v>1</v>
      </c>
      <c r="M9" s="17" t="inlineStr">
        <is>
          <t>Sedang</t>
        </is>
      </c>
    </row>
    <row r="10" s="1">
      <c r="A10" s="17">
        <f>RANDBETWEEN(2,164)</f>
        <v/>
      </c>
      <c r="B10" s="17">
        <f t="array" ref="B10">INDEX(Data_DBD!$B:$B,$A10)</f>
        <v/>
      </c>
      <c r="C10" s="17">
        <f t="array" ref="C10">INDEX(Data_DBD!$C:$C,$A10)</f>
        <v/>
      </c>
      <c r="D10" s="17">
        <f t="array" ref="D10">INDEX(Data_DBD!$D:$D,$A10)</f>
        <v/>
      </c>
      <c r="E10" s="17">
        <f t="array" ref="E10">INDEX(Data_DBD!$E:$E,$A10)</f>
        <v/>
      </c>
      <c r="F10" s="17">
        <f t="array" ref="F10">INDEX(Data_DBD!$F:$F,$A10)</f>
        <v/>
      </c>
      <c r="H10" s="17" t="n">
        <v>125</v>
      </c>
      <c r="I10" s="17" t="n">
        <v>39</v>
      </c>
      <c r="J10" s="17" t="n">
        <v>4</v>
      </c>
      <c r="K10" s="17" t="n">
        <v>33</v>
      </c>
      <c r="L10" s="17" t="n">
        <v>0</v>
      </c>
      <c r="M10" s="17" t="inlineStr">
        <is>
          <t>Tinggi</t>
        </is>
      </c>
    </row>
    <row r="11" s="1">
      <c r="A11" s="17">
        <f>RANDBETWEEN(2,164)</f>
        <v/>
      </c>
      <c r="B11" s="17">
        <f t="array" ref="B11">INDEX(Data_DBD!$B:$B,$A11)</f>
        <v/>
      </c>
      <c r="C11" s="17">
        <f t="array" ref="C11">INDEX(Data_DBD!$C:$C,$A11)</f>
        <v/>
      </c>
      <c r="D11" s="17">
        <f t="array" ref="D11">INDEX(Data_DBD!$D:$D,$A11)</f>
        <v/>
      </c>
      <c r="E11" s="17">
        <f t="array" ref="E11">INDEX(Data_DBD!$E:$E,$A11)</f>
        <v/>
      </c>
      <c r="F11" s="17">
        <f t="array" ref="F11">INDEX(Data_DBD!$F:$F,$A11)</f>
        <v/>
      </c>
      <c r="H11" s="17" t="n">
        <v>39</v>
      </c>
      <c r="I11" s="17" t="n">
        <v>12</v>
      </c>
      <c r="J11" s="17" t="n">
        <v>5</v>
      </c>
      <c r="K11" s="17" t="n">
        <v>13</v>
      </c>
      <c r="L11" s="17" t="n">
        <v>1</v>
      </c>
      <c r="M11" s="17" t="inlineStr">
        <is>
          <t>Sedang</t>
        </is>
      </c>
    </row>
    <row r="12" s="1">
      <c r="A12" s="17">
        <f>RANDBETWEEN(2,164)</f>
        <v/>
      </c>
      <c r="B12" s="17">
        <f t="array" ref="B12">INDEX(Data_DBD!$B:$B,$A12)</f>
        <v/>
      </c>
      <c r="C12" s="17">
        <f t="array" ref="C12">INDEX(Data_DBD!$C:$C,$A12)</f>
        <v/>
      </c>
      <c r="D12" s="17">
        <f t="array" ref="D12">INDEX(Data_DBD!$D:$D,$A12)</f>
        <v/>
      </c>
      <c r="E12" s="17">
        <f t="array" ref="E12">INDEX(Data_DBD!$E:$E,$A12)</f>
        <v/>
      </c>
      <c r="F12" s="17">
        <f t="array" ref="F12">INDEX(Data_DBD!$F:$F,$A12)</f>
        <v/>
      </c>
      <c r="H12" s="17" t="n">
        <v>23</v>
      </c>
      <c r="I12" s="17" t="n">
        <v>28</v>
      </c>
      <c r="J12" s="17" t="n">
        <v>4</v>
      </c>
      <c r="K12" s="17" t="n">
        <v>14</v>
      </c>
      <c r="L12" s="17" t="n">
        <v>1</v>
      </c>
      <c r="M12" s="17" t="inlineStr">
        <is>
          <t>Sedang</t>
        </is>
      </c>
    </row>
    <row r="13" s="1">
      <c r="A13" s="17">
        <f>RANDBETWEEN(2,164)</f>
        <v/>
      </c>
      <c r="B13" s="17">
        <f t="array" ref="B13">INDEX(Data_DBD!$B:$B,$A13)</f>
        <v/>
      </c>
      <c r="C13" s="17">
        <f t="array" ref="C13">INDEX(Data_DBD!$C:$C,$A13)</f>
        <v/>
      </c>
      <c r="D13" s="17">
        <f t="array" ref="D13">INDEX(Data_DBD!$D:$D,$A13)</f>
        <v/>
      </c>
      <c r="E13" s="17">
        <f t="array" ref="E13">INDEX(Data_DBD!$E:$E,$A13)</f>
        <v/>
      </c>
      <c r="F13" s="17">
        <f t="array" ref="F13">INDEX(Data_DBD!$F:$F,$A13)</f>
        <v/>
      </c>
      <c r="H13" s="17" t="n">
        <v>129</v>
      </c>
      <c r="I13" s="17" t="n">
        <v>4</v>
      </c>
      <c r="J13" s="17" t="n">
        <v>3</v>
      </c>
      <c r="K13" s="17" t="n">
        <v>33</v>
      </c>
      <c r="L13" s="17" t="n">
        <v>0</v>
      </c>
      <c r="M13" s="17" t="inlineStr">
        <is>
          <t>Tinggi</t>
        </is>
      </c>
    </row>
    <row r="14" s="1">
      <c r="A14" s="17">
        <f>RANDBETWEEN(2,164)</f>
        <v/>
      </c>
      <c r="B14" s="17">
        <f t="array" ref="B14">INDEX(Data_DBD!$B:$B,$A14)</f>
        <v/>
      </c>
      <c r="C14" s="17">
        <f t="array" ref="C14">INDEX(Data_DBD!$C:$C,$A14)</f>
        <v/>
      </c>
      <c r="D14" s="17">
        <f t="array" ref="D14">INDEX(Data_DBD!$D:$D,$A14)</f>
        <v/>
      </c>
      <c r="E14" s="17">
        <f t="array" ref="E14">INDEX(Data_DBD!$E:$E,$A14)</f>
        <v/>
      </c>
      <c r="F14" s="17">
        <f t="array" ref="F14">INDEX(Data_DBD!$F:$F,$A14)</f>
        <v/>
      </c>
      <c r="H14" s="17" t="n">
        <v>86</v>
      </c>
      <c r="I14" s="17" t="n">
        <v>23</v>
      </c>
      <c r="J14" s="17" t="n">
        <v>3</v>
      </c>
      <c r="K14" s="17" t="n">
        <v>13</v>
      </c>
      <c r="L14" s="17" t="n">
        <v>0</v>
      </c>
      <c r="M14" s="17" t="inlineStr">
        <is>
          <t>Sedang</t>
        </is>
      </c>
    </row>
    <row r="15" s="1">
      <c r="A15" s="17">
        <f>RANDBETWEEN(2,164)</f>
        <v/>
      </c>
      <c r="B15" s="17">
        <f t="array" ref="B15">INDEX(Data_DBD!$B:$B,$A15)</f>
        <v/>
      </c>
      <c r="C15" s="17">
        <f t="array" ref="C15">INDEX(Data_DBD!$C:$C,$A15)</f>
        <v/>
      </c>
      <c r="D15" s="17">
        <f t="array" ref="D15">INDEX(Data_DBD!$D:$D,$A15)</f>
        <v/>
      </c>
      <c r="E15" s="17">
        <f t="array" ref="E15">INDEX(Data_DBD!$E:$E,$A15)</f>
        <v/>
      </c>
      <c r="F15" s="17">
        <f t="array" ref="F15">INDEX(Data_DBD!$F:$F,$A15)</f>
        <v/>
      </c>
      <c r="H15" s="17" t="n">
        <v>58</v>
      </c>
      <c r="I15" s="17" t="n">
        <v>17</v>
      </c>
      <c r="J15" s="17" t="n">
        <v>3</v>
      </c>
      <c r="K15" s="17" t="n">
        <v>15</v>
      </c>
      <c r="L15" s="17" t="n">
        <v>0</v>
      </c>
      <c r="M15" s="17" t="inlineStr">
        <is>
          <t>Sedang</t>
        </is>
      </c>
    </row>
    <row r="16" s="1">
      <c r="A16" s="17">
        <f>RANDBETWEEN(2,164)</f>
        <v/>
      </c>
      <c r="B16" s="17">
        <f t="array" ref="B16">INDEX(Data_DBD!$B:$B,$A16)</f>
        <v/>
      </c>
      <c r="C16" s="17">
        <f t="array" ref="C16">INDEX(Data_DBD!$C:$C,$A16)</f>
        <v/>
      </c>
      <c r="D16" s="17">
        <f t="array" ref="D16">INDEX(Data_DBD!$D:$D,$A16)</f>
        <v/>
      </c>
      <c r="E16" s="17">
        <f t="array" ref="E16">INDEX(Data_DBD!$E:$E,$A16)</f>
        <v/>
      </c>
      <c r="F16" s="17">
        <f t="array" ref="F16">INDEX(Data_DBD!$F:$F,$A16)</f>
        <v/>
      </c>
      <c r="H16" s="17" t="n">
        <v>134</v>
      </c>
      <c r="I16" s="17" t="n">
        <v>4</v>
      </c>
      <c r="J16" s="17" t="n">
        <v>2</v>
      </c>
      <c r="K16" s="17" t="n">
        <v>33</v>
      </c>
      <c r="L16" s="17" t="n">
        <v>1</v>
      </c>
      <c r="M16" s="17" t="inlineStr">
        <is>
          <t>Tinggi</t>
        </is>
      </c>
    </row>
    <row r="17" s="1">
      <c r="A17" s="17">
        <f>RANDBETWEEN(2,164)</f>
        <v/>
      </c>
      <c r="B17" s="17">
        <f t="array" ref="B17">INDEX(Data_DBD!$B:$B,$A17)</f>
        <v/>
      </c>
      <c r="C17" s="17">
        <f t="array" ref="C17">INDEX(Data_DBD!$C:$C,$A17)</f>
        <v/>
      </c>
      <c r="D17" s="17">
        <f t="array" ref="D17">INDEX(Data_DBD!$D:$D,$A17)</f>
        <v/>
      </c>
      <c r="E17" s="17">
        <f t="array" ref="E17">INDEX(Data_DBD!$E:$E,$A17)</f>
        <v/>
      </c>
      <c r="F17" s="17">
        <f t="array" ref="F17">INDEX(Data_DBD!$F:$F,$A17)</f>
        <v/>
      </c>
      <c r="H17" s="17" t="n">
        <v>102</v>
      </c>
      <c r="I17" s="17" t="n">
        <v>41</v>
      </c>
      <c r="J17" s="17" t="n">
        <v>4</v>
      </c>
      <c r="K17" s="17" t="n">
        <v>18</v>
      </c>
      <c r="L17" s="17" t="n">
        <v>0</v>
      </c>
      <c r="M17" s="17" t="inlineStr">
        <is>
          <t>Tinggi</t>
        </is>
      </c>
    </row>
    <row r="18" s="1">
      <c r="A18" s="17">
        <f>RANDBETWEEN(2,164)</f>
        <v/>
      </c>
      <c r="B18" s="17">
        <f t="array" ref="B18">INDEX(Data_DBD!$B:$B,$A18)</f>
        <v/>
      </c>
      <c r="C18" s="17">
        <f t="array" ref="C18">INDEX(Data_DBD!$C:$C,$A18)</f>
        <v/>
      </c>
      <c r="D18" s="17">
        <f t="array" ref="D18">INDEX(Data_DBD!$D:$D,$A18)</f>
        <v/>
      </c>
      <c r="E18" s="17">
        <f t="array" ref="E18">INDEX(Data_DBD!$E:$E,$A18)</f>
        <v/>
      </c>
      <c r="F18" s="17">
        <f t="array" ref="F18">INDEX(Data_DBD!$F:$F,$A18)</f>
        <v/>
      </c>
      <c r="H18" s="17" t="n">
        <v>60</v>
      </c>
      <c r="I18" s="17" t="n">
        <v>68</v>
      </c>
      <c r="J18" s="17" t="n">
        <v>4</v>
      </c>
      <c r="K18" s="17" t="n">
        <v>15</v>
      </c>
      <c r="L18" s="17" t="n">
        <v>0</v>
      </c>
      <c r="M18" s="17" t="inlineStr">
        <is>
          <t>Sedang</t>
        </is>
      </c>
    </row>
    <row r="19" s="1">
      <c r="A19" s="17">
        <f>RANDBETWEEN(2,164)</f>
        <v/>
      </c>
      <c r="B19" s="17">
        <f t="array" ref="B19">INDEX(Data_DBD!$B:$B,$A19)</f>
        <v/>
      </c>
      <c r="C19" s="17">
        <f t="array" ref="C19">INDEX(Data_DBD!$C:$C,$A19)</f>
        <v/>
      </c>
      <c r="D19" s="17">
        <f t="array" ref="D19">INDEX(Data_DBD!$D:$D,$A19)</f>
        <v/>
      </c>
      <c r="E19" s="17">
        <f t="array" ref="E19">INDEX(Data_DBD!$E:$E,$A19)</f>
        <v/>
      </c>
      <c r="F19" s="17">
        <f t="array" ref="F19">INDEX(Data_DBD!$F:$F,$A19)</f>
        <v/>
      </c>
      <c r="H19" s="17" t="n">
        <v>4</v>
      </c>
      <c r="I19" s="17" t="n">
        <v>23</v>
      </c>
      <c r="J19" s="17" t="n">
        <v>5</v>
      </c>
      <c r="K19" s="17" t="n">
        <v>12</v>
      </c>
      <c r="L19" s="17" t="n">
        <v>0</v>
      </c>
      <c r="M19" s="17" t="inlineStr">
        <is>
          <t>Sedang</t>
        </is>
      </c>
    </row>
    <row r="20" s="1">
      <c r="A20" s="17">
        <f>RANDBETWEEN(2,164)</f>
        <v/>
      </c>
      <c r="B20" s="17">
        <f t="array" ref="B20">INDEX(Data_DBD!$B:$B,$A20)</f>
        <v/>
      </c>
      <c r="C20" s="17">
        <f t="array" ref="C20">INDEX(Data_DBD!$C:$C,$A20)</f>
        <v/>
      </c>
      <c r="D20" s="17">
        <f t="array" ref="D20">INDEX(Data_DBD!$D:$D,$A20)</f>
        <v/>
      </c>
      <c r="E20" s="17">
        <f t="array" ref="E20">INDEX(Data_DBD!$E:$E,$A20)</f>
        <v/>
      </c>
      <c r="F20" s="17">
        <f t="array" ref="F20">INDEX(Data_DBD!$F:$F,$A20)</f>
        <v/>
      </c>
      <c r="H20" s="17" t="n">
        <v>147</v>
      </c>
      <c r="I20" s="17" t="n">
        <v>66</v>
      </c>
      <c r="J20" s="17" t="n">
        <v>10</v>
      </c>
      <c r="K20" s="17" t="n">
        <v>21</v>
      </c>
      <c r="L20" s="17" t="n">
        <v>1</v>
      </c>
      <c r="M20" s="17" t="inlineStr">
        <is>
          <t>Tinggi</t>
        </is>
      </c>
    </row>
    <row r="21" s="1">
      <c r="A21" s="17">
        <f>RANDBETWEEN(2,164)</f>
        <v/>
      </c>
      <c r="B21" s="17">
        <f t="array" ref="B21">INDEX(Data_DBD!$B:$B,$A21)</f>
        <v/>
      </c>
      <c r="C21" s="17">
        <f t="array" ref="C21">INDEX(Data_DBD!$C:$C,$A21)</f>
        <v/>
      </c>
      <c r="D21" s="17">
        <f t="array" ref="D21">INDEX(Data_DBD!$D:$D,$A21)</f>
        <v/>
      </c>
      <c r="E21" s="17">
        <f t="array" ref="E21">INDEX(Data_DBD!$E:$E,$A21)</f>
        <v/>
      </c>
      <c r="F21" s="17">
        <f t="array" ref="F21">INDEX(Data_DBD!$F:$F,$A21)</f>
        <v/>
      </c>
      <c r="H21" s="17" t="n">
        <v>59</v>
      </c>
      <c r="I21" s="17" t="n">
        <v>28</v>
      </c>
      <c r="J21" s="17" t="n">
        <v>4</v>
      </c>
      <c r="K21" s="17" t="n">
        <v>15</v>
      </c>
      <c r="L21" s="17" t="n">
        <v>0</v>
      </c>
      <c r="M21" s="17" t="inlineStr">
        <is>
          <t>Sedang</t>
        </is>
      </c>
    </row>
    <row r="22" s="1">
      <c r="A22" s="17">
        <f>RANDBETWEEN(2,164)</f>
        <v/>
      </c>
      <c r="B22" s="17">
        <f t="array" ref="B22">INDEX(Data_DBD!$B:$B,$A22)</f>
        <v/>
      </c>
      <c r="C22" s="17">
        <f t="array" ref="C22">INDEX(Data_DBD!$C:$C,$A22)</f>
        <v/>
      </c>
      <c r="D22" s="17">
        <f t="array" ref="D22">INDEX(Data_DBD!$D:$D,$A22)</f>
        <v/>
      </c>
      <c r="E22" s="17">
        <f t="array" ref="E22">INDEX(Data_DBD!$E:$E,$A22)</f>
        <v/>
      </c>
      <c r="F22" s="17">
        <f t="array" ref="F22">INDEX(Data_DBD!$F:$F,$A22)</f>
        <v/>
      </c>
      <c r="H22" s="17" t="n">
        <v>132</v>
      </c>
      <c r="I22" s="17" t="n">
        <v>10</v>
      </c>
      <c r="J22" s="17" t="n">
        <v>3</v>
      </c>
      <c r="K22" s="17" t="n">
        <v>33</v>
      </c>
      <c r="L22" s="17" t="n">
        <v>1</v>
      </c>
      <c r="M22" s="17" t="inlineStr">
        <is>
          <t>Tinggi</t>
        </is>
      </c>
    </row>
    <row r="23" s="1">
      <c r="A23" s="17">
        <f>RANDBETWEEN(2,164)</f>
        <v/>
      </c>
      <c r="B23" s="17">
        <f t="array" ref="B23">INDEX(Data_DBD!$B:$B,$A23)</f>
        <v/>
      </c>
      <c r="C23" s="17">
        <f t="array" ref="C23">INDEX(Data_DBD!$C:$C,$A23)</f>
        <v/>
      </c>
      <c r="D23" s="17">
        <f t="array" ref="D23">INDEX(Data_DBD!$D:$D,$A23)</f>
        <v/>
      </c>
      <c r="E23" s="17">
        <f t="array" ref="E23">INDEX(Data_DBD!$E:$E,$A23)</f>
        <v/>
      </c>
      <c r="F23" s="17">
        <f t="array" ref="F23">INDEX(Data_DBD!$F:$F,$A23)</f>
        <v/>
      </c>
      <c r="H23" s="17" t="n">
        <v>58</v>
      </c>
      <c r="I23" s="17" t="n">
        <v>17</v>
      </c>
      <c r="J23" s="17" t="n">
        <v>3</v>
      </c>
      <c r="K23" s="17" t="n">
        <v>15</v>
      </c>
      <c r="L23" s="17" t="n">
        <v>0</v>
      </c>
      <c r="M23" s="17" t="inlineStr">
        <is>
          <t>Sedang</t>
        </is>
      </c>
    </row>
    <row r="24" s="1">
      <c r="A24" s="17">
        <f>RANDBETWEEN(2,164)</f>
        <v/>
      </c>
      <c r="B24" s="17">
        <f t="array" ref="B24">INDEX(Data_DBD!$B:$B,$A24)</f>
        <v/>
      </c>
      <c r="C24" s="17">
        <f t="array" ref="C24">INDEX(Data_DBD!$C:$C,$A24)</f>
        <v/>
      </c>
      <c r="D24" s="17">
        <f t="array" ref="D24">INDEX(Data_DBD!$D:$D,$A24)</f>
        <v/>
      </c>
      <c r="E24" s="17">
        <f t="array" ref="E24">INDEX(Data_DBD!$E:$E,$A24)</f>
        <v/>
      </c>
      <c r="F24" s="17">
        <f t="array" ref="F24">INDEX(Data_DBD!$F:$F,$A24)</f>
        <v/>
      </c>
      <c r="H24" s="17" t="n">
        <v>28</v>
      </c>
      <c r="I24" s="17" t="n">
        <v>22</v>
      </c>
      <c r="J24" s="17" t="n">
        <v>2</v>
      </c>
      <c r="K24" s="17" t="n">
        <v>14</v>
      </c>
      <c r="L24" s="17" t="n">
        <v>1</v>
      </c>
      <c r="M24" s="17" t="inlineStr">
        <is>
          <t>Sedang</t>
        </is>
      </c>
    </row>
    <row r="25" s="1">
      <c r="A25" s="17">
        <f>RANDBETWEEN(2,164)</f>
        <v/>
      </c>
      <c r="B25" s="17">
        <f t="array" ref="B25">INDEX(Data_DBD!$B:$B,$A25)</f>
        <v/>
      </c>
      <c r="C25" s="17">
        <f t="array" ref="C25">INDEX(Data_DBD!$C:$C,$A25)</f>
        <v/>
      </c>
      <c r="D25" s="17">
        <f t="array" ref="D25">INDEX(Data_DBD!$D:$D,$A25)</f>
        <v/>
      </c>
      <c r="E25" s="17">
        <f t="array" ref="E25">INDEX(Data_DBD!$E:$E,$A25)</f>
        <v/>
      </c>
      <c r="F25" s="17">
        <f t="array" ref="F25">INDEX(Data_DBD!$F:$F,$A25)</f>
        <v/>
      </c>
      <c r="H25" s="17" t="n">
        <v>124</v>
      </c>
      <c r="I25" s="17" t="n">
        <v>24</v>
      </c>
      <c r="J25" s="17" t="n">
        <v>3</v>
      </c>
      <c r="K25" s="17" t="n">
        <v>33</v>
      </c>
      <c r="L25" s="17" t="n">
        <v>1</v>
      </c>
      <c r="M25" s="17" t="inlineStr">
        <is>
          <t>Tinggi</t>
        </is>
      </c>
    </row>
    <row r="26" s="1">
      <c r="A26" s="17">
        <f>RANDBETWEEN(2,164)</f>
        <v/>
      </c>
      <c r="B26" s="17">
        <f t="array" ref="B26">INDEX(Data_DBD!$B:$B,$A26)</f>
        <v/>
      </c>
      <c r="C26" s="17">
        <f t="array" ref="C26">INDEX(Data_DBD!$C:$C,$A26)</f>
        <v/>
      </c>
      <c r="D26" s="17">
        <f t="array" ref="D26">INDEX(Data_DBD!$D:$D,$A26)</f>
        <v/>
      </c>
      <c r="E26" s="17">
        <f t="array" ref="E26">INDEX(Data_DBD!$E:$E,$A26)</f>
        <v/>
      </c>
      <c r="F26" s="17">
        <f t="array" ref="F26">INDEX(Data_DBD!$F:$F,$A26)</f>
        <v/>
      </c>
      <c r="H26" s="17" t="n">
        <v>80</v>
      </c>
      <c r="I26" s="17" t="n">
        <v>27</v>
      </c>
      <c r="J26" s="17" t="n">
        <v>3</v>
      </c>
      <c r="K26" s="17" t="n">
        <v>13</v>
      </c>
      <c r="L26" s="17" t="n">
        <v>1</v>
      </c>
      <c r="M26" s="17" t="inlineStr">
        <is>
          <t>Sedang</t>
        </is>
      </c>
    </row>
    <row r="27" s="1">
      <c r="A27" s="17">
        <f>RANDBETWEEN(2,164)</f>
        <v/>
      </c>
      <c r="B27" s="17">
        <f t="array" ref="B27">INDEX(Data_DBD!$B:$B,$A27)</f>
        <v/>
      </c>
      <c r="C27" s="17">
        <f t="array" ref="C27">INDEX(Data_DBD!$C:$C,$A27)</f>
        <v/>
      </c>
      <c r="D27" s="17">
        <f t="array" ref="D27">INDEX(Data_DBD!$D:$D,$A27)</f>
        <v/>
      </c>
      <c r="E27" s="17">
        <f t="array" ref="E27">INDEX(Data_DBD!$E:$E,$A27)</f>
        <v/>
      </c>
      <c r="F27" s="17">
        <f t="array" ref="F27">INDEX(Data_DBD!$F:$F,$A27)</f>
        <v/>
      </c>
      <c r="H27" s="17" t="n">
        <v>42</v>
      </c>
      <c r="I27" s="17" t="n">
        <v>21</v>
      </c>
      <c r="J27" s="17" t="n">
        <v>5</v>
      </c>
      <c r="K27" s="17" t="n">
        <v>13</v>
      </c>
      <c r="L27" s="17" t="n">
        <v>1</v>
      </c>
      <c r="M27" s="17" t="inlineStr">
        <is>
          <t>Sedang</t>
        </is>
      </c>
    </row>
    <row r="28" s="1">
      <c r="A28" s="17">
        <f>RANDBETWEEN(2,164)</f>
        <v/>
      </c>
      <c r="B28" s="17">
        <f t="array" ref="B28">INDEX(Data_DBD!$B:$B,$A28)</f>
        <v/>
      </c>
      <c r="C28" s="17">
        <f t="array" ref="C28">INDEX(Data_DBD!$C:$C,$A28)</f>
        <v/>
      </c>
      <c r="D28" s="17">
        <f t="array" ref="D28">INDEX(Data_DBD!$D:$D,$A28)</f>
        <v/>
      </c>
      <c r="E28" s="17">
        <f t="array" ref="E28">INDEX(Data_DBD!$E:$E,$A28)</f>
        <v/>
      </c>
      <c r="F28" s="17">
        <f t="array" ref="F28">INDEX(Data_DBD!$F:$F,$A28)</f>
        <v/>
      </c>
      <c r="H28" s="17" t="n">
        <v>18</v>
      </c>
      <c r="I28" s="17" t="n">
        <v>49</v>
      </c>
      <c r="J28" s="17" t="n">
        <v>4</v>
      </c>
      <c r="K28" s="17" t="n">
        <v>7</v>
      </c>
      <c r="L28" s="17" t="n">
        <v>1</v>
      </c>
      <c r="M28" s="17" t="inlineStr">
        <is>
          <t>Rendah</t>
        </is>
      </c>
    </row>
    <row r="29" s="1">
      <c r="A29" s="17">
        <f>RANDBETWEEN(2,164)</f>
        <v/>
      </c>
      <c r="B29" s="17">
        <f t="array" ref="B29">INDEX(Data_DBD!$B:$B,$A29)</f>
        <v/>
      </c>
      <c r="C29" s="17">
        <f t="array" ref="C29">INDEX(Data_DBD!$C:$C,$A29)</f>
        <v/>
      </c>
      <c r="D29" s="17">
        <f t="array" ref="D29">INDEX(Data_DBD!$D:$D,$A29)</f>
        <v/>
      </c>
      <c r="E29" s="17">
        <f t="array" ref="E29">INDEX(Data_DBD!$E:$E,$A29)</f>
        <v/>
      </c>
      <c r="F29" s="17">
        <f t="array" ref="F29">INDEX(Data_DBD!$F:$F,$A29)</f>
        <v/>
      </c>
      <c r="H29" s="17" t="n">
        <v>117</v>
      </c>
      <c r="I29" s="17" t="n">
        <v>49</v>
      </c>
      <c r="J29" s="17" t="n">
        <v>4</v>
      </c>
      <c r="K29" s="17" t="n">
        <v>33</v>
      </c>
      <c r="L29" s="17" t="n">
        <v>1</v>
      </c>
      <c r="M29" s="17" t="inlineStr">
        <is>
          <t>Tinggi</t>
        </is>
      </c>
    </row>
    <row r="30" s="1">
      <c r="A30" s="17">
        <f>RANDBETWEEN(2,164)</f>
        <v/>
      </c>
      <c r="B30" s="17">
        <f t="array" ref="B30">INDEX(Data_DBD!$B:$B,$A30)</f>
        <v/>
      </c>
      <c r="C30" s="17">
        <f t="array" ref="C30">INDEX(Data_DBD!$C:$C,$A30)</f>
        <v/>
      </c>
      <c r="D30" s="17">
        <f t="array" ref="D30">INDEX(Data_DBD!$D:$D,$A30)</f>
        <v/>
      </c>
      <c r="E30" s="17">
        <f t="array" ref="E30">INDEX(Data_DBD!$E:$E,$A30)</f>
        <v/>
      </c>
      <c r="F30" s="17">
        <f t="array" ref="F30">INDEX(Data_DBD!$F:$F,$A30)</f>
        <v/>
      </c>
      <c r="H30" s="17" t="n">
        <v>49</v>
      </c>
      <c r="I30" s="17" t="n">
        <v>64</v>
      </c>
      <c r="J30" s="17" t="n">
        <v>5</v>
      </c>
      <c r="K30" s="17" t="n">
        <v>13</v>
      </c>
      <c r="L30" s="17" t="n">
        <v>0</v>
      </c>
      <c r="M30" s="17" t="inlineStr">
        <is>
          <t>Sedang</t>
        </is>
      </c>
    </row>
    <row r="31" s="1">
      <c r="A31" s="17">
        <f>RANDBETWEEN(2,164)</f>
        <v/>
      </c>
      <c r="B31" s="17">
        <f t="array" ref="B31">INDEX(Data_DBD!$B:$B,$A31)</f>
        <v/>
      </c>
      <c r="C31" s="17">
        <f t="array" ref="C31">INDEX(Data_DBD!$C:$C,$A31)</f>
        <v/>
      </c>
      <c r="D31" s="17">
        <f t="array" ref="D31">INDEX(Data_DBD!$D:$D,$A31)</f>
        <v/>
      </c>
      <c r="E31" s="17">
        <f t="array" ref="E31">INDEX(Data_DBD!$E:$E,$A31)</f>
        <v/>
      </c>
      <c r="F31" s="17">
        <f t="array" ref="F31">INDEX(Data_DBD!$F:$F,$A31)</f>
        <v/>
      </c>
      <c r="H31" s="17" t="n">
        <v>8</v>
      </c>
      <c r="I31" s="17" t="n">
        <v>4</v>
      </c>
      <c r="J31" s="17" t="n">
        <v>2</v>
      </c>
      <c r="K31" s="17" t="n">
        <v>12</v>
      </c>
      <c r="L31" s="17" t="n">
        <v>0</v>
      </c>
      <c r="M31" s="17" t="inlineStr">
        <is>
          <t>Sedang</t>
        </is>
      </c>
    </row>
    <row r="32" s="1">
      <c r="A32" s="17">
        <f>RANDBETWEEN(2,164)</f>
        <v/>
      </c>
      <c r="B32" s="17">
        <f t="array" ref="B32">INDEX(Data_DBD!$B:$B,$A32)</f>
        <v/>
      </c>
      <c r="C32" s="17">
        <f t="array" ref="C32">INDEX(Data_DBD!$C:$C,$A32)</f>
        <v/>
      </c>
      <c r="D32" s="17">
        <f t="array" ref="D32">INDEX(Data_DBD!$D:$D,$A32)</f>
        <v/>
      </c>
      <c r="E32" s="17">
        <f t="array" ref="E32">INDEX(Data_DBD!$E:$E,$A32)</f>
        <v/>
      </c>
      <c r="F32" s="17">
        <f t="array" ref="F32">INDEX(Data_DBD!$F:$F,$A32)</f>
        <v/>
      </c>
      <c r="H32" s="17" t="n">
        <v>31</v>
      </c>
      <c r="I32" s="17" t="n">
        <v>64</v>
      </c>
      <c r="J32" s="17" t="n">
        <v>4</v>
      </c>
      <c r="K32" s="17" t="n">
        <v>14</v>
      </c>
      <c r="L32" s="17" t="n">
        <v>1</v>
      </c>
      <c r="M32" s="17" t="inlineStr">
        <is>
          <t>Sedang</t>
        </is>
      </c>
    </row>
    <row r="33" s="1">
      <c r="A33" s="17">
        <f>RANDBETWEEN(2,164)</f>
        <v/>
      </c>
      <c r="B33" s="17">
        <f t="array" ref="B33">INDEX(Data_DBD!$B:$B,$A33)</f>
        <v/>
      </c>
      <c r="C33" s="17">
        <f t="array" ref="C33">INDEX(Data_DBD!$C:$C,$A33)</f>
        <v/>
      </c>
      <c r="D33" s="17">
        <f t="array" ref="D33">INDEX(Data_DBD!$D:$D,$A33)</f>
        <v/>
      </c>
      <c r="E33" s="17">
        <f t="array" ref="E33">INDEX(Data_DBD!$E:$E,$A33)</f>
        <v/>
      </c>
      <c r="F33" s="17">
        <f t="array" ref="F33">INDEX(Data_DBD!$F:$F,$A33)</f>
        <v/>
      </c>
      <c r="H33" s="17" t="n">
        <v>6</v>
      </c>
      <c r="I33" s="17" t="n">
        <v>14</v>
      </c>
      <c r="J33" s="17" t="n">
        <v>4</v>
      </c>
      <c r="K33" s="17" t="n">
        <v>12</v>
      </c>
      <c r="L33" s="17" t="n">
        <v>0</v>
      </c>
      <c r="M33" s="17" t="inlineStr">
        <is>
          <t>Sedang</t>
        </is>
      </c>
    </row>
    <row r="34" s="1">
      <c r="A34" s="17">
        <f>RANDBETWEEN(2,164)</f>
        <v/>
      </c>
      <c r="B34" s="17">
        <f t="array" ref="B34">INDEX(Data_DBD!$B:$B,$A34)</f>
        <v/>
      </c>
      <c r="C34" s="17">
        <f t="array" ref="C34">INDEX(Data_DBD!$C:$C,$A34)</f>
        <v/>
      </c>
      <c r="D34" s="17">
        <f t="array" ref="D34">INDEX(Data_DBD!$D:$D,$A34)</f>
        <v/>
      </c>
      <c r="E34" s="17">
        <f t="array" ref="E34">INDEX(Data_DBD!$E:$E,$A34)</f>
        <v/>
      </c>
      <c r="F34" s="17">
        <f t="array" ref="F34">INDEX(Data_DBD!$F:$F,$A34)</f>
        <v/>
      </c>
      <c r="H34" s="17" t="n">
        <v>74</v>
      </c>
      <c r="I34" s="17" t="n">
        <v>9</v>
      </c>
      <c r="J34" s="17" t="n">
        <v>4</v>
      </c>
      <c r="K34" s="17" t="n">
        <v>10</v>
      </c>
      <c r="L34" s="17" t="n">
        <v>0</v>
      </c>
      <c r="M34" s="17" t="inlineStr">
        <is>
          <t>Sedang</t>
        </is>
      </c>
    </row>
    <row r="35" s="1">
      <c r="A35" s="17">
        <f>RANDBETWEEN(2,164)</f>
        <v/>
      </c>
      <c r="B35" s="17">
        <f t="array" ref="B35">INDEX(Data_DBD!$B:$B,$A35)</f>
        <v/>
      </c>
      <c r="C35" s="17">
        <f t="array" ref="C35">INDEX(Data_DBD!$C:$C,$A35)</f>
        <v/>
      </c>
      <c r="D35" s="17">
        <f t="array" ref="D35">INDEX(Data_DBD!$D:$D,$A35)</f>
        <v/>
      </c>
      <c r="E35" s="17">
        <f t="array" ref="E35">INDEX(Data_DBD!$E:$E,$A35)</f>
        <v/>
      </c>
      <c r="F35" s="17">
        <f t="array" ref="F35">INDEX(Data_DBD!$F:$F,$A35)</f>
        <v/>
      </c>
      <c r="H35" s="17" t="n">
        <v>39</v>
      </c>
      <c r="I35" s="17" t="n">
        <v>12</v>
      </c>
      <c r="J35" s="17" t="n">
        <v>5</v>
      </c>
      <c r="K35" s="17" t="n">
        <v>13</v>
      </c>
      <c r="L35" s="17" t="n">
        <v>1</v>
      </c>
      <c r="M35" s="17" t="inlineStr">
        <is>
          <t>Sedang</t>
        </is>
      </c>
    </row>
    <row r="36" s="1">
      <c r="A36" s="17">
        <f>RANDBETWEEN(2,164)</f>
        <v/>
      </c>
      <c r="B36" s="17">
        <f t="array" ref="B36">INDEX(Data_DBD!$B:$B,$A36)</f>
        <v/>
      </c>
      <c r="C36" s="17">
        <f t="array" ref="C36">INDEX(Data_DBD!$C:$C,$A36)</f>
        <v/>
      </c>
      <c r="D36" s="17">
        <f t="array" ref="D36">INDEX(Data_DBD!$D:$D,$A36)</f>
        <v/>
      </c>
      <c r="E36" s="17">
        <f t="array" ref="E36">INDEX(Data_DBD!$E:$E,$A36)</f>
        <v/>
      </c>
      <c r="F36" s="17">
        <f t="array" ref="F36">INDEX(Data_DBD!$F:$F,$A36)</f>
        <v/>
      </c>
      <c r="H36" s="17" t="n">
        <v>76</v>
      </c>
      <c r="I36" s="17" t="n">
        <v>70</v>
      </c>
      <c r="J36" s="17" t="n">
        <v>2</v>
      </c>
      <c r="K36" s="17" t="n">
        <v>10</v>
      </c>
      <c r="L36" s="17" t="n">
        <v>0</v>
      </c>
      <c r="M36" s="17" t="inlineStr">
        <is>
          <t>Sedang</t>
        </is>
      </c>
    </row>
    <row r="37" s="1">
      <c r="A37" s="17">
        <f>RANDBETWEEN(2,164)</f>
        <v/>
      </c>
      <c r="B37" s="17">
        <f t="array" ref="B37">INDEX(Data_DBD!$B:$B,$A37)</f>
        <v/>
      </c>
      <c r="C37" s="17">
        <f t="array" ref="C37">INDEX(Data_DBD!$C:$C,$A37)</f>
        <v/>
      </c>
      <c r="D37" s="17">
        <f t="array" ref="D37">INDEX(Data_DBD!$D:$D,$A37)</f>
        <v/>
      </c>
      <c r="E37" s="17">
        <f t="array" ref="E37">INDEX(Data_DBD!$E:$E,$A37)</f>
        <v/>
      </c>
      <c r="F37" s="17">
        <f t="array" ref="F37">INDEX(Data_DBD!$F:$F,$A37)</f>
        <v/>
      </c>
      <c r="H37" s="17" t="n">
        <v>36</v>
      </c>
      <c r="I37" s="17" t="n">
        <v>27</v>
      </c>
      <c r="J37" s="17" t="n">
        <v>1</v>
      </c>
      <c r="K37" s="17" t="n">
        <v>4</v>
      </c>
      <c r="L37" s="17" t="n">
        <v>1</v>
      </c>
      <c r="M37" s="17" t="inlineStr">
        <is>
          <t>Rendah</t>
        </is>
      </c>
    </row>
    <row r="38" s="1">
      <c r="A38" s="17">
        <f>RANDBETWEEN(2,164)</f>
        <v/>
      </c>
      <c r="B38" s="17">
        <f t="array" ref="B38">INDEX(Data_DBD!$B:$B,$A38)</f>
        <v/>
      </c>
      <c r="C38" s="17">
        <f t="array" ref="C38">INDEX(Data_DBD!$C:$C,$A38)</f>
        <v/>
      </c>
      <c r="D38" s="17">
        <f t="array" ref="D38">INDEX(Data_DBD!$D:$D,$A38)</f>
        <v/>
      </c>
      <c r="E38" s="17">
        <f t="array" ref="E38">INDEX(Data_DBD!$E:$E,$A38)</f>
        <v/>
      </c>
      <c r="F38" s="17">
        <f t="array" ref="F38">INDEX(Data_DBD!$F:$F,$A38)</f>
        <v/>
      </c>
      <c r="H38" s="17" t="n">
        <v>9</v>
      </c>
      <c r="I38" s="17" t="n">
        <v>16</v>
      </c>
      <c r="J38" s="17" t="n">
        <v>6</v>
      </c>
      <c r="K38" s="17" t="n">
        <v>12</v>
      </c>
      <c r="L38" s="17" t="n">
        <v>1</v>
      </c>
      <c r="M38" s="17" t="inlineStr">
        <is>
          <t>Sedang</t>
        </is>
      </c>
    </row>
    <row r="39" s="1">
      <c r="A39" s="17">
        <f>RANDBETWEEN(2,164)</f>
        <v/>
      </c>
      <c r="B39" s="17">
        <f t="array" ref="B39">INDEX(Data_DBD!$B:$B,$A39)</f>
        <v/>
      </c>
      <c r="C39" s="17">
        <f t="array" ref="C39">INDEX(Data_DBD!$C:$C,$A39)</f>
        <v/>
      </c>
      <c r="D39" s="17">
        <f t="array" ref="D39">INDEX(Data_DBD!$D:$D,$A39)</f>
        <v/>
      </c>
      <c r="E39" s="17">
        <f t="array" ref="E39">INDEX(Data_DBD!$E:$E,$A39)</f>
        <v/>
      </c>
      <c r="F39" s="17">
        <f t="array" ref="F39">INDEX(Data_DBD!$F:$F,$A39)</f>
        <v/>
      </c>
      <c r="H39" s="17" t="n">
        <v>71</v>
      </c>
      <c r="I39" s="17" t="n">
        <v>84</v>
      </c>
      <c r="J39" s="17" t="n">
        <v>3</v>
      </c>
      <c r="K39" s="17" t="n">
        <v>10</v>
      </c>
      <c r="L39" s="17" t="n">
        <v>0</v>
      </c>
      <c r="M39" s="17" t="inlineStr">
        <is>
          <t>Sedang</t>
        </is>
      </c>
    </row>
    <row r="40" s="1">
      <c r="A40" s="17">
        <f>RANDBETWEEN(2,164)</f>
        <v/>
      </c>
      <c r="B40" s="17">
        <f t="array" ref="B40">INDEX(Data_DBD!$B:$B,$A40)</f>
        <v/>
      </c>
      <c r="C40" s="17">
        <f t="array" ref="C40">INDEX(Data_DBD!$C:$C,$A40)</f>
        <v/>
      </c>
      <c r="D40" s="17">
        <f t="array" ref="D40">INDEX(Data_DBD!$D:$D,$A40)</f>
        <v/>
      </c>
      <c r="E40" s="17">
        <f t="array" ref="E40">INDEX(Data_DBD!$E:$E,$A40)</f>
        <v/>
      </c>
      <c r="F40" s="17">
        <f t="array" ref="F40">INDEX(Data_DBD!$F:$F,$A40)</f>
        <v/>
      </c>
      <c r="H40" s="17" t="n">
        <v>104</v>
      </c>
      <c r="I40" s="17" t="n">
        <v>37</v>
      </c>
      <c r="J40" s="17" t="n">
        <v>4</v>
      </c>
      <c r="K40" s="17" t="n">
        <v>18</v>
      </c>
      <c r="L40" s="17" t="n">
        <v>1</v>
      </c>
      <c r="M40" s="17" t="inlineStr">
        <is>
          <t>Tinggi</t>
        </is>
      </c>
    </row>
    <row r="41" s="1">
      <c r="A41" s="17">
        <f>RANDBETWEEN(2,164)</f>
        <v/>
      </c>
      <c r="B41" s="17">
        <f t="array" ref="B41">INDEX(Data_DBD!$B:$B,$A41)</f>
        <v/>
      </c>
      <c r="C41" s="17">
        <f t="array" ref="C41">INDEX(Data_DBD!$C:$C,$A41)</f>
        <v/>
      </c>
      <c r="D41" s="17">
        <f t="array" ref="D41">INDEX(Data_DBD!$D:$D,$A41)</f>
        <v/>
      </c>
      <c r="E41" s="17">
        <f t="array" ref="E41">INDEX(Data_DBD!$E:$E,$A41)</f>
        <v/>
      </c>
      <c r="F41" s="17">
        <f t="array" ref="F41">INDEX(Data_DBD!$F:$F,$A41)</f>
        <v/>
      </c>
      <c r="H41" s="17" t="n">
        <v>89</v>
      </c>
      <c r="I41" s="17" t="n">
        <v>32</v>
      </c>
      <c r="J41" s="17" t="n">
        <v>4</v>
      </c>
      <c r="K41" s="17" t="n">
        <v>13</v>
      </c>
      <c r="L41" s="17" t="n">
        <v>0</v>
      </c>
      <c r="M41" s="17" t="inlineStr">
        <is>
          <t>Sedang</t>
        </is>
      </c>
    </row>
    <row r="42" s="1">
      <c r="A42" s="17">
        <f>RANDBETWEEN(2,164)</f>
        <v/>
      </c>
      <c r="B42" s="17">
        <f t="array" ref="B42">INDEX(Data_DBD!$B:$B,$A42)</f>
        <v/>
      </c>
      <c r="C42" s="17">
        <f t="array" ref="C42">INDEX(Data_DBD!$C:$C,$A42)</f>
        <v/>
      </c>
      <c r="D42" s="17">
        <f t="array" ref="D42">INDEX(Data_DBD!$D:$D,$A42)</f>
        <v/>
      </c>
      <c r="E42" s="17">
        <f t="array" ref="E42">INDEX(Data_DBD!$E:$E,$A42)</f>
        <v/>
      </c>
      <c r="F42" s="17">
        <f t="array" ref="F42">INDEX(Data_DBD!$F:$F,$A42)</f>
        <v/>
      </c>
      <c r="H42" s="17" t="n">
        <v>143</v>
      </c>
      <c r="I42" s="17" t="n">
        <v>20</v>
      </c>
      <c r="J42" s="17" t="n">
        <v>4</v>
      </c>
      <c r="K42" s="17" t="n">
        <v>21</v>
      </c>
      <c r="L42" s="17" t="n">
        <v>1</v>
      </c>
      <c r="M42" s="17" t="inlineStr">
        <is>
          <t>Tinggi</t>
        </is>
      </c>
    </row>
    <row r="43" s="1">
      <c r="A43" s="17">
        <f>RANDBETWEEN(2,164)</f>
        <v/>
      </c>
      <c r="B43" s="17">
        <f t="array" ref="B43">INDEX(Data_DBD!$B:$B,$A43)</f>
        <v/>
      </c>
      <c r="C43" s="17">
        <f t="array" ref="C43">INDEX(Data_DBD!$C:$C,$A43)</f>
        <v/>
      </c>
      <c r="D43" s="17">
        <f t="array" ref="D43">INDEX(Data_DBD!$D:$D,$A43)</f>
        <v/>
      </c>
      <c r="E43" s="17">
        <f t="array" ref="E43">INDEX(Data_DBD!$E:$E,$A43)</f>
        <v/>
      </c>
      <c r="F43" s="17">
        <f t="array" ref="F43">INDEX(Data_DBD!$F:$F,$A43)</f>
        <v/>
      </c>
      <c r="H43" s="17" t="n">
        <v>122</v>
      </c>
      <c r="I43" s="17" t="n">
        <v>28</v>
      </c>
      <c r="J43" s="17" t="n">
        <v>3</v>
      </c>
      <c r="K43" s="17" t="n">
        <v>33</v>
      </c>
      <c r="L43" s="17" t="n">
        <v>1</v>
      </c>
      <c r="M43" s="17" t="inlineStr">
        <is>
          <t>Tinggi</t>
        </is>
      </c>
    </row>
    <row r="44" s="1">
      <c r="A44" s="17">
        <f>RANDBETWEEN(2,164)</f>
        <v/>
      </c>
      <c r="B44" s="17">
        <f t="array" ref="B44">INDEX(Data_DBD!$B:$B,$A44)</f>
        <v/>
      </c>
      <c r="C44" s="17">
        <f t="array" ref="C44">INDEX(Data_DBD!$C:$C,$A44)</f>
        <v/>
      </c>
      <c r="D44" s="17">
        <f t="array" ref="D44">INDEX(Data_DBD!$D:$D,$A44)</f>
        <v/>
      </c>
      <c r="E44" s="17">
        <f t="array" ref="E44">INDEX(Data_DBD!$E:$E,$A44)</f>
        <v/>
      </c>
      <c r="F44" s="17">
        <f t="array" ref="F44">INDEX(Data_DBD!$F:$F,$A44)</f>
        <v/>
      </c>
      <c r="H44" s="17" t="n">
        <v>19</v>
      </c>
      <c r="I44" s="17" t="n">
        <v>8</v>
      </c>
      <c r="J44" s="17" t="n">
        <v>4</v>
      </c>
      <c r="K44" s="17" t="n">
        <v>7</v>
      </c>
      <c r="L44" s="17" t="n">
        <v>0</v>
      </c>
      <c r="M44" s="17" t="inlineStr">
        <is>
          <t>Rendah</t>
        </is>
      </c>
    </row>
    <row r="45" s="1">
      <c r="A45" s="17">
        <f>RANDBETWEEN(2,164)</f>
        <v/>
      </c>
      <c r="B45" s="17">
        <f t="array" ref="B45">INDEX(Data_DBD!$B:$B,$A45)</f>
        <v/>
      </c>
      <c r="C45" s="17">
        <f t="array" ref="C45">INDEX(Data_DBD!$C:$C,$A45)</f>
        <v/>
      </c>
      <c r="D45" s="17">
        <f t="array" ref="D45">INDEX(Data_DBD!$D:$D,$A45)</f>
        <v/>
      </c>
      <c r="E45" s="17">
        <f t="array" ref="E45">INDEX(Data_DBD!$E:$E,$A45)</f>
        <v/>
      </c>
      <c r="F45" s="17">
        <f t="array" ref="F45">INDEX(Data_DBD!$F:$F,$A45)</f>
        <v/>
      </c>
      <c r="H45" s="17" t="n">
        <v>33</v>
      </c>
      <c r="I45" s="17" t="n">
        <v>19</v>
      </c>
      <c r="J45" s="17" t="n">
        <v>4</v>
      </c>
      <c r="K45" s="17" t="n">
        <v>14</v>
      </c>
      <c r="L45" s="17" t="n">
        <v>1</v>
      </c>
      <c r="M45" s="17" t="inlineStr">
        <is>
          <t>Sedang</t>
        </is>
      </c>
    </row>
    <row r="46" s="1">
      <c r="A46" s="17">
        <f>RANDBETWEEN(2,164)</f>
        <v/>
      </c>
      <c r="B46" s="17">
        <f t="array" ref="B46">INDEX(Data_DBD!$B:$B,$A46)</f>
        <v/>
      </c>
      <c r="C46" s="17">
        <f t="array" ref="C46">INDEX(Data_DBD!$C:$C,$A46)</f>
        <v/>
      </c>
      <c r="D46" s="17">
        <f t="array" ref="D46">INDEX(Data_DBD!$D:$D,$A46)</f>
        <v/>
      </c>
      <c r="E46" s="17">
        <f t="array" ref="E46">INDEX(Data_DBD!$E:$E,$A46)</f>
        <v/>
      </c>
      <c r="F46" s="17">
        <f t="array" ref="F46">INDEX(Data_DBD!$F:$F,$A46)</f>
        <v/>
      </c>
      <c r="H46" s="17" t="n">
        <v>43</v>
      </c>
      <c r="I46" s="17" t="n">
        <v>15</v>
      </c>
      <c r="J46" s="17" t="n">
        <v>4</v>
      </c>
      <c r="K46" s="17" t="n">
        <v>13</v>
      </c>
      <c r="L46" s="17" t="n">
        <v>0</v>
      </c>
      <c r="M46" s="17" t="inlineStr">
        <is>
          <t>Sedang</t>
        </is>
      </c>
    </row>
    <row r="47" s="1">
      <c r="A47" s="17">
        <f>RANDBETWEEN(2,164)</f>
        <v/>
      </c>
      <c r="B47" s="17">
        <f t="array" ref="B47">INDEX(Data_DBD!$B:$B,$A47)</f>
        <v/>
      </c>
      <c r="C47" s="17">
        <f t="array" ref="C47">INDEX(Data_DBD!$C:$C,$A47)</f>
        <v/>
      </c>
      <c r="D47" s="17">
        <f t="array" ref="D47">INDEX(Data_DBD!$D:$D,$A47)</f>
        <v/>
      </c>
      <c r="E47" s="17">
        <f t="array" ref="E47">INDEX(Data_DBD!$E:$E,$A47)</f>
        <v/>
      </c>
      <c r="F47" s="17">
        <f t="array" ref="F47">INDEX(Data_DBD!$F:$F,$A47)</f>
        <v/>
      </c>
      <c r="H47" s="17" t="n">
        <v>35</v>
      </c>
      <c r="I47" s="17" t="n">
        <v>40</v>
      </c>
      <c r="J47" s="17" t="n">
        <v>3</v>
      </c>
      <c r="K47" s="17" t="n">
        <v>4</v>
      </c>
      <c r="L47" s="17" t="n">
        <v>1</v>
      </c>
      <c r="M47" s="17" t="inlineStr">
        <is>
          <t>Rendah</t>
        </is>
      </c>
    </row>
    <row r="48" s="1">
      <c r="A48" s="17">
        <f>RANDBETWEEN(2,164)</f>
        <v/>
      </c>
      <c r="B48" s="17">
        <f t="array" ref="B48">INDEX(Data_DBD!$B:$B,$A48)</f>
        <v/>
      </c>
      <c r="C48" s="17">
        <f t="array" ref="C48">INDEX(Data_DBD!$C:$C,$A48)</f>
        <v/>
      </c>
      <c r="D48" s="17">
        <f t="array" ref="D48">INDEX(Data_DBD!$D:$D,$A48)</f>
        <v/>
      </c>
      <c r="E48" s="17">
        <f t="array" ref="E48">INDEX(Data_DBD!$E:$E,$A48)</f>
        <v/>
      </c>
      <c r="F48" s="17">
        <f t="array" ref="F48">INDEX(Data_DBD!$F:$F,$A48)</f>
        <v/>
      </c>
      <c r="H48" s="17" t="n">
        <v>58</v>
      </c>
      <c r="I48" s="17" t="n">
        <v>17</v>
      </c>
      <c r="J48" s="17" t="n">
        <v>3</v>
      </c>
      <c r="K48" s="17" t="n">
        <v>15</v>
      </c>
      <c r="L48" s="17" t="n">
        <v>0</v>
      </c>
      <c r="M48" s="17" t="inlineStr">
        <is>
          <t>Sedang</t>
        </is>
      </c>
    </row>
    <row r="49" s="1">
      <c r="A49" s="17">
        <f>RANDBETWEEN(2,164)</f>
        <v/>
      </c>
      <c r="B49" s="17">
        <f t="array" ref="B49">INDEX(Data_DBD!$B:$B,$A49)</f>
        <v/>
      </c>
      <c r="C49" s="17">
        <f t="array" ref="C49">INDEX(Data_DBD!$C:$C,$A49)</f>
        <v/>
      </c>
      <c r="D49" s="17">
        <f t="array" ref="D49">INDEX(Data_DBD!$D:$D,$A49)</f>
        <v/>
      </c>
      <c r="E49" s="17">
        <f t="array" ref="E49">INDEX(Data_DBD!$E:$E,$A49)</f>
        <v/>
      </c>
      <c r="F49" s="17">
        <f t="array" ref="F49">INDEX(Data_DBD!$F:$F,$A49)</f>
        <v/>
      </c>
      <c r="H49" s="17" t="n">
        <v>116</v>
      </c>
      <c r="I49" s="17" t="n">
        <v>32</v>
      </c>
      <c r="J49" s="17" t="n">
        <v>4</v>
      </c>
      <c r="K49" s="17" t="n">
        <v>33</v>
      </c>
      <c r="L49" s="17" t="n">
        <v>1</v>
      </c>
      <c r="M49" s="17" t="inlineStr">
        <is>
          <t>Tinggi</t>
        </is>
      </c>
    </row>
    <row r="50" s="1">
      <c r="A50" s="17">
        <f>RANDBETWEEN(2,164)</f>
        <v/>
      </c>
      <c r="B50" s="17">
        <f t="array" ref="B50">INDEX(Data_DBD!$B:$B,$A50)</f>
        <v/>
      </c>
      <c r="C50" s="17">
        <f t="array" ref="C50">INDEX(Data_DBD!$C:$C,$A50)</f>
        <v/>
      </c>
      <c r="D50" s="17">
        <f t="array" ref="D50">INDEX(Data_DBD!$D:$D,$A50)</f>
        <v/>
      </c>
      <c r="E50" s="17">
        <f t="array" ref="E50">INDEX(Data_DBD!$E:$E,$A50)</f>
        <v/>
      </c>
      <c r="F50" s="17">
        <f t="array" ref="F50">INDEX(Data_DBD!$F:$F,$A50)</f>
        <v/>
      </c>
      <c r="H50" s="17" t="n">
        <v>156</v>
      </c>
      <c r="I50" s="17" t="n">
        <v>5</v>
      </c>
      <c r="J50" s="17" t="n">
        <v>2</v>
      </c>
      <c r="K50" s="17" t="n">
        <v>21</v>
      </c>
      <c r="L50" s="17" t="n">
        <v>0</v>
      </c>
      <c r="M50" s="17" t="inlineStr">
        <is>
          <t>Tinggi</t>
        </is>
      </c>
    </row>
    <row r="51" s="1">
      <c r="A51" s="17">
        <f>RANDBETWEEN(2,164)</f>
        <v/>
      </c>
      <c r="B51" s="17">
        <f t="array" ref="B51">INDEX(Data_DBD!$B:$B,$A51)</f>
        <v/>
      </c>
      <c r="C51" s="17">
        <f t="array" ref="C51">INDEX(Data_DBD!$C:$C,$A51)</f>
        <v/>
      </c>
      <c r="D51" s="17">
        <f t="array" ref="D51">INDEX(Data_DBD!$D:$D,$A51)</f>
        <v/>
      </c>
      <c r="E51" s="17">
        <f t="array" ref="E51">INDEX(Data_DBD!$E:$E,$A51)</f>
        <v/>
      </c>
      <c r="F51" s="17">
        <f t="array" ref="F51">INDEX(Data_DBD!$F:$F,$A51)</f>
        <v/>
      </c>
      <c r="H51" s="17" t="n">
        <v>25</v>
      </c>
      <c r="I51" s="17" t="n">
        <v>81</v>
      </c>
      <c r="J51" s="17" t="n">
        <v>5</v>
      </c>
      <c r="K51" s="17" t="n">
        <v>14</v>
      </c>
      <c r="L51" s="17" t="n">
        <v>0</v>
      </c>
      <c r="M51" s="17" t="inlineStr">
        <is>
          <t>Sedang</t>
        </is>
      </c>
    </row>
    <row r="52" s="1">
      <c r="A52" s="17">
        <f>RANDBETWEEN(2,164)</f>
        <v/>
      </c>
      <c r="B52" s="17">
        <f t="array" ref="B52">INDEX(Data_DBD!$B:$B,$A52)</f>
        <v/>
      </c>
      <c r="C52" s="17">
        <f t="array" ref="C52">INDEX(Data_DBD!$C:$C,$A52)</f>
        <v/>
      </c>
      <c r="D52" s="17">
        <f t="array" ref="D52">INDEX(Data_DBD!$D:$D,$A52)</f>
        <v/>
      </c>
      <c r="E52" s="17">
        <f t="array" ref="E52">INDEX(Data_DBD!$E:$E,$A52)</f>
        <v/>
      </c>
      <c r="F52" s="17">
        <f t="array" ref="F52">INDEX(Data_DBD!$F:$F,$A52)</f>
        <v/>
      </c>
      <c r="H52" s="17" t="n">
        <v>49</v>
      </c>
      <c r="I52" s="17" t="n">
        <v>64</v>
      </c>
      <c r="J52" s="17" t="n">
        <v>5</v>
      </c>
      <c r="K52" s="17" t="n">
        <v>13</v>
      </c>
      <c r="L52" s="17" t="n">
        <v>0</v>
      </c>
      <c r="M52" s="17" t="inlineStr">
        <is>
          <t>Sedang</t>
        </is>
      </c>
    </row>
    <row r="53" s="1">
      <c r="A53" s="17">
        <f>RANDBETWEEN(2,164)</f>
        <v/>
      </c>
      <c r="B53" s="17">
        <f t="array" ref="B53">INDEX(Data_DBD!$B:$B,$A53)</f>
        <v/>
      </c>
      <c r="C53" s="17">
        <f t="array" ref="C53">INDEX(Data_DBD!$C:$C,$A53)</f>
        <v/>
      </c>
      <c r="D53" s="17">
        <f t="array" ref="D53">INDEX(Data_DBD!$D:$D,$A53)</f>
        <v/>
      </c>
      <c r="E53" s="17">
        <f t="array" ref="E53">INDEX(Data_DBD!$E:$E,$A53)</f>
        <v/>
      </c>
      <c r="F53" s="17">
        <f t="array" ref="F53">INDEX(Data_DBD!$F:$F,$A53)</f>
        <v/>
      </c>
      <c r="H53" s="17" t="n">
        <v>10</v>
      </c>
      <c r="I53" s="17" t="n">
        <v>18</v>
      </c>
      <c r="J53" s="17" t="n">
        <v>5</v>
      </c>
      <c r="K53" s="17" t="n">
        <v>12</v>
      </c>
      <c r="L53" s="17" t="n">
        <v>0</v>
      </c>
      <c r="M53" s="17" t="inlineStr">
        <is>
          <t>Sedang</t>
        </is>
      </c>
    </row>
    <row r="54" s="1">
      <c r="A54" s="17">
        <f>RANDBETWEEN(2,164)</f>
        <v/>
      </c>
      <c r="B54" s="17">
        <f t="array" ref="B54">INDEX(Data_DBD!$B:$B,$A54)</f>
        <v/>
      </c>
      <c r="C54" s="17">
        <f t="array" ref="C54">INDEX(Data_DBD!$C:$C,$A54)</f>
        <v/>
      </c>
      <c r="D54" s="17">
        <f t="array" ref="D54">INDEX(Data_DBD!$D:$D,$A54)</f>
        <v/>
      </c>
      <c r="E54" s="17">
        <f t="array" ref="E54">INDEX(Data_DBD!$E:$E,$A54)</f>
        <v/>
      </c>
      <c r="F54" s="17">
        <f t="array" ref="F54">INDEX(Data_DBD!$F:$F,$A54)</f>
        <v/>
      </c>
      <c r="H54" s="17" t="n">
        <v>73</v>
      </c>
      <c r="I54" s="17" t="n">
        <v>15</v>
      </c>
      <c r="J54" s="17" t="n">
        <v>3</v>
      </c>
      <c r="K54" s="17" t="n">
        <v>10</v>
      </c>
      <c r="L54" s="17" t="n">
        <v>1</v>
      </c>
      <c r="M54" s="17" t="inlineStr">
        <is>
          <t>Sedang</t>
        </is>
      </c>
    </row>
    <row r="55" s="1">
      <c r="A55" s="17">
        <f>RANDBETWEEN(2,164)</f>
        <v/>
      </c>
      <c r="B55" s="17">
        <f t="array" ref="B55">INDEX(Data_DBD!$B:$B,$A55)</f>
        <v/>
      </c>
      <c r="C55" s="17">
        <f t="array" ref="C55">INDEX(Data_DBD!$C:$C,$A55)</f>
        <v/>
      </c>
      <c r="D55" s="17">
        <f t="array" ref="D55">INDEX(Data_DBD!$D:$D,$A55)</f>
        <v/>
      </c>
      <c r="E55" s="17">
        <f t="array" ref="E55">INDEX(Data_DBD!$E:$E,$A55)</f>
        <v/>
      </c>
      <c r="F55" s="17">
        <f t="array" ref="F55">INDEX(Data_DBD!$F:$F,$A55)</f>
        <v/>
      </c>
      <c r="H55" s="17" t="n">
        <v>6</v>
      </c>
      <c r="I55" s="17" t="n">
        <v>14</v>
      </c>
      <c r="J55" s="17" t="n">
        <v>4</v>
      </c>
      <c r="K55" s="17" t="n">
        <v>12</v>
      </c>
      <c r="L55" s="17" t="n">
        <v>0</v>
      </c>
      <c r="M55" s="17" t="inlineStr">
        <is>
          <t>Sedang</t>
        </is>
      </c>
    </row>
    <row r="56" s="1">
      <c r="A56" s="17">
        <f>RANDBETWEEN(2,164)</f>
        <v/>
      </c>
      <c r="B56" s="17">
        <f t="array" ref="B56">INDEX(Data_DBD!$B:$B,$A56)</f>
        <v/>
      </c>
      <c r="C56" s="17">
        <f t="array" ref="C56">INDEX(Data_DBD!$C:$C,$A56)</f>
        <v/>
      </c>
      <c r="D56" s="17">
        <f t="array" ref="D56">INDEX(Data_DBD!$D:$D,$A56)</f>
        <v/>
      </c>
      <c r="E56" s="17">
        <f t="array" ref="E56">INDEX(Data_DBD!$E:$E,$A56)</f>
        <v/>
      </c>
      <c r="F56" s="17">
        <f t="array" ref="F56">INDEX(Data_DBD!$F:$F,$A56)</f>
        <v/>
      </c>
      <c r="H56" s="17" t="n">
        <v>92</v>
      </c>
      <c r="I56" s="17" t="n">
        <v>55</v>
      </c>
      <c r="J56" s="17" t="n">
        <v>7</v>
      </c>
      <c r="K56" s="17" t="n">
        <v>18</v>
      </c>
      <c r="L56" s="17" t="n">
        <v>0</v>
      </c>
      <c r="M56" s="17" t="inlineStr">
        <is>
          <t>Tinggi</t>
        </is>
      </c>
    </row>
    <row r="57" s="1">
      <c r="A57" s="17">
        <f>RANDBETWEEN(2,164)</f>
        <v/>
      </c>
      <c r="B57" s="17">
        <f t="array" ref="B57">INDEX(Data_DBD!$B:$B,$A57)</f>
        <v/>
      </c>
      <c r="C57" s="17">
        <f t="array" ref="C57">INDEX(Data_DBD!$C:$C,$A57)</f>
        <v/>
      </c>
      <c r="D57" s="17">
        <f t="array" ref="D57">INDEX(Data_DBD!$D:$D,$A57)</f>
        <v/>
      </c>
      <c r="E57" s="17">
        <f t="array" ref="E57">INDEX(Data_DBD!$E:$E,$A57)</f>
        <v/>
      </c>
      <c r="F57" s="17">
        <f t="array" ref="F57">INDEX(Data_DBD!$F:$F,$A57)</f>
        <v/>
      </c>
      <c r="H57" s="17" t="n">
        <v>99</v>
      </c>
      <c r="I57" s="17" t="n">
        <v>4</v>
      </c>
      <c r="J57" s="17" t="n">
        <v>2</v>
      </c>
      <c r="K57" s="17" t="n">
        <v>18</v>
      </c>
      <c r="L57" s="17" t="n">
        <v>1</v>
      </c>
      <c r="M57" s="17" t="inlineStr">
        <is>
          <t>Tinggi</t>
        </is>
      </c>
    </row>
    <row r="58" s="1">
      <c r="A58" s="17">
        <f>RANDBETWEEN(2,164)</f>
        <v/>
      </c>
      <c r="B58" s="17">
        <f t="array" ref="B58">INDEX(Data_DBD!$B:$B,$A58)</f>
        <v/>
      </c>
      <c r="C58" s="17">
        <f t="array" ref="C58">INDEX(Data_DBD!$C:$C,$A58)</f>
        <v/>
      </c>
      <c r="D58" s="17">
        <f t="array" ref="D58">INDEX(Data_DBD!$D:$D,$A58)</f>
        <v/>
      </c>
      <c r="E58" s="17">
        <f t="array" ref="E58">INDEX(Data_DBD!$E:$E,$A58)</f>
        <v/>
      </c>
      <c r="F58" s="17">
        <f t="array" ref="F58">INDEX(Data_DBD!$F:$F,$A58)</f>
        <v/>
      </c>
      <c r="H58" s="17" t="n">
        <v>62</v>
      </c>
      <c r="I58" s="17" t="n">
        <v>43</v>
      </c>
      <c r="J58" s="17" t="n">
        <v>4</v>
      </c>
      <c r="K58" s="17" t="n">
        <v>15</v>
      </c>
      <c r="L58" s="17" t="n">
        <v>1</v>
      </c>
      <c r="M58" s="17" t="inlineStr">
        <is>
          <t>Sedang</t>
        </is>
      </c>
    </row>
    <row r="59" s="1">
      <c r="A59" s="17">
        <f>RANDBETWEEN(2,164)</f>
        <v/>
      </c>
      <c r="B59" s="17">
        <f t="array" ref="B59">INDEX(Data_DBD!$B:$B,$A59)</f>
        <v/>
      </c>
      <c r="C59" s="17">
        <f t="array" ref="C59">INDEX(Data_DBD!$C:$C,$A59)</f>
        <v/>
      </c>
      <c r="D59" s="17">
        <f t="array" ref="D59">INDEX(Data_DBD!$D:$D,$A59)</f>
        <v/>
      </c>
      <c r="E59" s="17">
        <f t="array" ref="E59">INDEX(Data_DBD!$E:$E,$A59)</f>
        <v/>
      </c>
      <c r="F59" s="17">
        <f t="array" ref="F59">INDEX(Data_DBD!$F:$F,$A59)</f>
        <v/>
      </c>
      <c r="H59" s="17" t="n">
        <v>65</v>
      </c>
      <c r="I59" s="17" t="n">
        <v>49</v>
      </c>
      <c r="J59" s="17" t="n">
        <v>3</v>
      </c>
      <c r="K59" s="17" t="n">
        <v>15</v>
      </c>
      <c r="L59" s="17" t="n">
        <v>0</v>
      </c>
      <c r="M59" s="17" t="inlineStr">
        <is>
          <t>Sedang</t>
        </is>
      </c>
    </row>
    <row r="60" s="1">
      <c r="A60" s="17">
        <f>RANDBETWEEN(2,164)</f>
        <v/>
      </c>
      <c r="B60" s="17">
        <f t="array" ref="B60">INDEX(Data_DBD!$B:$B,$A60)</f>
        <v/>
      </c>
      <c r="C60" s="17">
        <f t="array" ref="C60">INDEX(Data_DBD!$C:$C,$A60)</f>
        <v/>
      </c>
      <c r="D60" s="17">
        <f t="array" ref="D60">INDEX(Data_DBD!$D:$D,$A60)</f>
        <v/>
      </c>
      <c r="E60" s="17">
        <f t="array" ref="E60">INDEX(Data_DBD!$E:$E,$A60)</f>
        <v/>
      </c>
      <c r="F60" s="17">
        <f t="array" ref="F60">INDEX(Data_DBD!$F:$F,$A60)</f>
        <v/>
      </c>
      <c r="H60" s="17" t="n">
        <v>163</v>
      </c>
      <c r="I60" s="17" t="n">
        <v>34</v>
      </c>
      <c r="J60" s="17" t="n">
        <v>4</v>
      </c>
      <c r="K60" s="17" t="n">
        <v>3</v>
      </c>
      <c r="L60" s="17" t="n">
        <v>1</v>
      </c>
      <c r="M60" s="17" t="inlineStr">
        <is>
          <t>Rendah</t>
        </is>
      </c>
    </row>
    <row r="61" s="1">
      <c r="A61" s="17">
        <f>RANDBETWEEN(2,164)</f>
        <v/>
      </c>
      <c r="B61" s="17">
        <f t="array" ref="B61">INDEX(Data_DBD!$B:$B,$A61)</f>
        <v/>
      </c>
      <c r="C61" s="17">
        <f t="array" ref="C61">INDEX(Data_DBD!$C:$C,$A61)</f>
        <v/>
      </c>
      <c r="D61" s="17">
        <f t="array" ref="D61">INDEX(Data_DBD!$D:$D,$A61)</f>
        <v/>
      </c>
      <c r="E61" s="17">
        <f t="array" ref="E61">INDEX(Data_DBD!$E:$E,$A61)</f>
        <v/>
      </c>
      <c r="F61" s="17">
        <f t="array" ref="F61">INDEX(Data_DBD!$F:$F,$A61)</f>
        <v/>
      </c>
      <c r="H61" s="17" t="n">
        <v>38</v>
      </c>
      <c r="I61" s="17" t="n">
        <v>52</v>
      </c>
      <c r="J61" s="17" t="n">
        <v>3</v>
      </c>
      <c r="K61" s="17" t="n">
        <v>4</v>
      </c>
      <c r="L61" s="17" t="n">
        <v>1</v>
      </c>
      <c r="M61" s="17" t="inlineStr">
        <is>
          <t>Rendah</t>
        </is>
      </c>
    </row>
    <row r="62" s="1">
      <c r="A62" s="17">
        <f>RANDBETWEEN(2,164)</f>
        <v/>
      </c>
      <c r="B62" s="17">
        <f t="array" ref="B62">INDEX(Data_DBD!$B:$B,$A62)</f>
        <v/>
      </c>
      <c r="C62" s="17">
        <f t="array" ref="C62">INDEX(Data_DBD!$C:$C,$A62)</f>
        <v/>
      </c>
      <c r="D62" s="17">
        <f t="array" ref="D62">INDEX(Data_DBD!$D:$D,$A62)</f>
        <v/>
      </c>
      <c r="E62" s="17">
        <f t="array" ref="E62">INDEX(Data_DBD!$E:$E,$A62)</f>
        <v/>
      </c>
      <c r="F62" s="17">
        <f t="array" ref="F62">INDEX(Data_DBD!$F:$F,$A62)</f>
        <v/>
      </c>
      <c r="H62" s="17" t="n">
        <v>123</v>
      </c>
      <c r="I62" s="17" t="n">
        <v>22</v>
      </c>
      <c r="J62" s="17" t="n">
        <v>4</v>
      </c>
      <c r="K62" s="17" t="n">
        <v>33</v>
      </c>
      <c r="L62" s="17" t="n">
        <v>0</v>
      </c>
      <c r="M62" s="17" t="inlineStr">
        <is>
          <t>Tinggi</t>
        </is>
      </c>
    </row>
    <row r="63" s="1">
      <c r="A63" s="17">
        <f>RANDBETWEEN(2,164)</f>
        <v/>
      </c>
      <c r="B63" s="17">
        <f t="array" ref="B63">INDEX(Data_DBD!$B:$B,$A63)</f>
        <v/>
      </c>
      <c r="C63" s="17">
        <f t="array" ref="C63">INDEX(Data_DBD!$C:$C,$A63)</f>
        <v/>
      </c>
      <c r="D63" s="17">
        <f t="array" ref="D63">INDEX(Data_DBD!$D:$D,$A63)</f>
        <v/>
      </c>
      <c r="E63" s="17">
        <f t="array" ref="E63">INDEX(Data_DBD!$E:$E,$A63)</f>
        <v/>
      </c>
      <c r="F63" s="17">
        <f t="array" ref="F63">INDEX(Data_DBD!$F:$F,$A63)</f>
        <v/>
      </c>
      <c r="H63" s="17" t="n">
        <v>151</v>
      </c>
      <c r="I63" s="17" t="n">
        <v>24</v>
      </c>
      <c r="J63" s="17" t="n">
        <v>3</v>
      </c>
      <c r="K63" s="17" t="n">
        <v>21</v>
      </c>
      <c r="L63" s="17" t="n">
        <v>0</v>
      </c>
      <c r="M63" s="17" t="inlineStr">
        <is>
          <t>Tinggi</t>
        </is>
      </c>
    </row>
    <row r="64" s="1">
      <c r="A64" s="17">
        <f>RANDBETWEEN(2,164)</f>
        <v/>
      </c>
      <c r="B64" s="17">
        <f t="array" ref="B64">INDEX(Data_DBD!$B:$B,$A64)</f>
        <v/>
      </c>
      <c r="C64" s="17">
        <f t="array" ref="C64">INDEX(Data_DBD!$C:$C,$A64)</f>
        <v/>
      </c>
      <c r="D64" s="17">
        <f t="array" ref="D64">INDEX(Data_DBD!$D:$D,$A64)</f>
        <v/>
      </c>
      <c r="E64" s="17">
        <f t="array" ref="E64">INDEX(Data_DBD!$E:$E,$A64)</f>
        <v/>
      </c>
      <c r="F64" s="17">
        <f t="array" ref="F64">INDEX(Data_DBD!$F:$F,$A64)</f>
        <v/>
      </c>
      <c r="H64" s="17" t="n">
        <v>164</v>
      </c>
      <c r="I64" s="17" t="n">
        <v>10</v>
      </c>
      <c r="J64" s="17" t="n">
        <v>6</v>
      </c>
      <c r="K64" s="17" t="n">
        <v>3</v>
      </c>
      <c r="L64" s="17" t="n">
        <v>0</v>
      </c>
      <c r="M64" s="17" t="inlineStr">
        <is>
          <t>Rendah</t>
        </is>
      </c>
    </row>
    <row r="65" s="1">
      <c r="A65" s="17">
        <f>RANDBETWEEN(2,164)</f>
        <v/>
      </c>
      <c r="B65" s="17">
        <f t="array" ref="B65">INDEX(Data_DBD!$B:$B,$A65)</f>
        <v/>
      </c>
      <c r="C65" s="17">
        <f t="array" ref="C65">INDEX(Data_DBD!$C:$C,$A65)</f>
        <v/>
      </c>
      <c r="D65" s="17">
        <f t="array" ref="D65">INDEX(Data_DBD!$D:$D,$A65)</f>
        <v/>
      </c>
      <c r="E65" s="17">
        <f t="array" ref="E65">INDEX(Data_DBD!$E:$E,$A65)</f>
        <v/>
      </c>
      <c r="F65" s="17">
        <f t="array" ref="F65">INDEX(Data_DBD!$F:$F,$A65)</f>
        <v/>
      </c>
      <c r="H65" s="17" t="n">
        <v>140</v>
      </c>
      <c r="I65" s="17" t="n">
        <v>74</v>
      </c>
      <c r="J65" s="17" t="n">
        <v>5</v>
      </c>
      <c r="K65" s="17" t="n">
        <v>21</v>
      </c>
      <c r="L65" s="17" t="n">
        <v>1</v>
      </c>
      <c r="M65" s="17" t="inlineStr">
        <is>
          <t>Tinggi</t>
        </is>
      </c>
    </row>
    <row r="66" s="1">
      <c r="A66" s="17">
        <f>RANDBETWEEN(2,164)</f>
        <v/>
      </c>
      <c r="B66" s="17">
        <f t="array" ref="B66">INDEX(Data_DBD!$B:$B,$A66)</f>
        <v/>
      </c>
      <c r="C66" s="17">
        <f t="array" ref="C66">INDEX(Data_DBD!$C:$C,$A66)</f>
        <v/>
      </c>
      <c r="D66" s="17">
        <f t="array" ref="D66">INDEX(Data_DBD!$D:$D,$A66)</f>
        <v/>
      </c>
      <c r="E66" s="17">
        <f t="array" ref="E66">INDEX(Data_DBD!$E:$E,$A66)</f>
        <v/>
      </c>
      <c r="F66" s="17">
        <f t="array" ref="F66">INDEX(Data_DBD!$F:$F,$A66)</f>
        <v/>
      </c>
      <c r="H66" s="17" t="n">
        <v>112</v>
      </c>
      <c r="I66" s="17" t="n">
        <v>61</v>
      </c>
      <c r="J66" s="17" t="n">
        <v>3</v>
      </c>
      <c r="K66" s="17" t="n">
        <v>33</v>
      </c>
      <c r="L66" s="17" t="n">
        <v>1</v>
      </c>
      <c r="M66" s="17" t="inlineStr">
        <is>
          <t>Tinggi</t>
        </is>
      </c>
    </row>
    <row r="67" s="1">
      <c r="A67" s="17">
        <f>RANDBETWEEN(2,164)</f>
        <v/>
      </c>
      <c r="B67" s="17">
        <f t="array" ref="B67">INDEX(Data_DBD!$B:$B,$A67)</f>
        <v/>
      </c>
      <c r="C67" s="17">
        <f t="array" ref="C67">INDEX(Data_DBD!$C:$C,$A67)</f>
        <v/>
      </c>
      <c r="D67" s="17">
        <f t="array" ref="D67">INDEX(Data_DBD!$D:$D,$A67)</f>
        <v/>
      </c>
      <c r="E67" s="17">
        <f t="array" ref="E67">INDEX(Data_DBD!$E:$E,$A67)</f>
        <v/>
      </c>
      <c r="F67" s="17">
        <f t="array" ref="F67">INDEX(Data_DBD!$F:$F,$A67)</f>
        <v/>
      </c>
      <c r="H67" s="17" t="n">
        <v>124</v>
      </c>
      <c r="I67" s="17" t="n">
        <v>24</v>
      </c>
      <c r="J67" s="17" t="n">
        <v>3</v>
      </c>
      <c r="K67" s="17" t="n">
        <v>33</v>
      </c>
      <c r="L67" s="17" t="n">
        <v>1</v>
      </c>
      <c r="M67" s="17" t="inlineStr">
        <is>
          <t>Tinggi</t>
        </is>
      </c>
    </row>
    <row r="68" s="1">
      <c r="A68" s="17">
        <f>RANDBETWEEN(2,164)</f>
        <v/>
      </c>
      <c r="B68" s="17">
        <f t="array" ref="B68">INDEX(Data_DBD!$B:$B,$A68)</f>
        <v/>
      </c>
      <c r="C68" s="17">
        <f t="array" ref="C68">INDEX(Data_DBD!$C:$C,$A68)</f>
        <v/>
      </c>
      <c r="D68" s="17">
        <f t="array" ref="D68">INDEX(Data_DBD!$D:$D,$A68)</f>
        <v/>
      </c>
      <c r="E68" s="17">
        <f t="array" ref="E68">INDEX(Data_DBD!$E:$E,$A68)</f>
        <v/>
      </c>
      <c r="F68" s="17">
        <f t="array" ref="F68">INDEX(Data_DBD!$F:$F,$A68)</f>
        <v/>
      </c>
      <c r="H68" s="17" t="n">
        <v>131</v>
      </c>
      <c r="I68" s="17" t="n">
        <v>10</v>
      </c>
      <c r="J68" s="17" t="n">
        <v>2</v>
      </c>
      <c r="K68" s="17" t="n">
        <v>33</v>
      </c>
      <c r="L68" s="17" t="n">
        <v>0</v>
      </c>
      <c r="M68" s="17" t="inlineStr">
        <is>
          <t>Tinggi</t>
        </is>
      </c>
    </row>
    <row r="69" s="1">
      <c r="A69" s="17">
        <f>RANDBETWEEN(2,164)</f>
        <v/>
      </c>
      <c r="B69" s="17">
        <f t="array" ref="B69">INDEX(Data_DBD!$B:$B,$A69)</f>
        <v/>
      </c>
      <c r="C69" s="17">
        <f t="array" ref="C69">INDEX(Data_DBD!$C:$C,$A69)</f>
        <v/>
      </c>
      <c r="D69" s="17">
        <f t="array" ref="D69">INDEX(Data_DBD!$D:$D,$A69)</f>
        <v/>
      </c>
      <c r="E69" s="17">
        <f t="array" ref="E69">INDEX(Data_DBD!$E:$E,$A69)</f>
        <v/>
      </c>
      <c r="F69" s="17">
        <f t="array" ref="F69">INDEX(Data_DBD!$F:$F,$A69)</f>
        <v/>
      </c>
      <c r="H69" s="17" t="n">
        <v>60</v>
      </c>
      <c r="I69" s="17" t="n">
        <v>68</v>
      </c>
      <c r="J69" s="17" t="n">
        <v>4</v>
      </c>
      <c r="K69" s="17" t="n">
        <v>15</v>
      </c>
      <c r="L69" s="17" t="n">
        <v>0</v>
      </c>
      <c r="M69" s="17" t="inlineStr">
        <is>
          <t>Sedang</t>
        </is>
      </c>
    </row>
    <row r="70" s="1">
      <c r="A70" s="17">
        <f>RANDBETWEEN(2,164)</f>
        <v/>
      </c>
      <c r="B70" s="17">
        <f t="array" ref="B70">INDEX(Data_DBD!$B:$B,$A70)</f>
        <v/>
      </c>
      <c r="C70" s="17">
        <f t="array" ref="C70">INDEX(Data_DBD!$C:$C,$A70)</f>
        <v/>
      </c>
      <c r="D70" s="17">
        <f t="array" ref="D70">INDEX(Data_DBD!$D:$D,$A70)</f>
        <v/>
      </c>
      <c r="E70" s="17">
        <f t="array" ref="E70">INDEX(Data_DBD!$E:$E,$A70)</f>
        <v/>
      </c>
      <c r="F70" s="17">
        <f t="array" ref="F70">INDEX(Data_DBD!$F:$F,$A70)</f>
        <v/>
      </c>
      <c r="H70" s="17" t="n">
        <v>131</v>
      </c>
      <c r="I70" s="17" t="n">
        <v>10</v>
      </c>
      <c r="J70" s="17" t="n">
        <v>2</v>
      </c>
      <c r="K70" s="17" t="n">
        <v>33</v>
      </c>
      <c r="L70" s="17" t="n">
        <v>0</v>
      </c>
      <c r="M70" s="17" t="inlineStr">
        <is>
          <t>Tinggi</t>
        </is>
      </c>
    </row>
    <row r="71" s="1">
      <c r="A71" s="17">
        <f>RANDBETWEEN(2,164)</f>
        <v/>
      </c>
      <c r="B71" s="17">
        <f t="array" ref="B71">INDEX(Data_DBD!$B:$B,$A71)</f>
        <v/>
      </c>
      <c r="C71" s="17">
        <f t="array" ref="C71">INDEX(Data_DBD!$C:$C,$A71)</f>
        <v/>
      </c>
      <c r="D71" s="17">
        <f t="array" ref="D71">INDEX(Data_DBD!$D:$D,$A71)</f>
        <v/>
      </c>
      <c r="E71" s="17">
        <f t="array" ref="E71">INDEX(Data_DBD!$E:$E,$A71)</f>
        <v/>
      </c>
      <c r="F71" s="17">
        <f t="array" ref="F71">INDEX(Data_DBD!$F:$F,$A71)</f>
        <v/>
      </c>
      <c r="H71" s="17" t="n">
        <v>86</v>
      </c>
      <c r="I71" s="17" t="n">
        <v>23</v>
      </c>
      <c r="J71" s="17" t="n">
        <v>3</v>
      </c>
      <c r="K71" s="17" t="n">
        <v>13</v>
      </c>
      <c r="L71" s="17" t="n">
        <v>0</v>
      </c>
      <c r="M71" s="17" t="inlineStr">
        <is>
          <t>Sedang</t>
        </is>
      </c>
    </row>
    <row r="72" s="1">
      <c r="A72" s="17">
        <f>RANDBETWEEN(2,164)</f>
        <v/>
      </c>
      <c r="B72" s="17">
        <f t="array" ref="B72">INDEX(Data_DBD!$B:$B,$A72)</f>
        <v/>
      </c>
      <c r="C72" s="17">
        <f t="array" ref="C72">INDEX(Data_DBD!$C:$C,$A72)</f>
        <v/>
      </c>
      <c r="D72" s="17">
        <f t="array" ref="D72">INDEX(Data_DBD!$D:$D,$A72)</f>
        <v/>
      </c>
      <c r="E72" s="17">
        <f t="array" ref="E72">INDEX(Data_DBD!$E:$E,$A72)</f>
        <v/>
      </c>
      <c r="F72" s="17">
        <f t="array" ref="F72">INDEX(Data_DBD!$F:$F,$A72)</f>
        <v/>
      </c>
      <c r="H72" s="17" t="n">
        <v>73</v>
      </c>
      <c r="I72" s="17" t="n">
        <v>15</v>
      </c>
      <c r="J72" s="17" t="n">
        <v>3</v>
      </c>
      <c r="K72" s="17" t="n">
        <v>10</v>
      </c>
      <c r="L72" s="17" t="n">
        <v>1</v>
      </c>
      <c r="M72" s="17" t="inlineStr">
        <is>
          <t>Sedang</t>
        </is>
      </c>
    </row>
    <row r="73" s="1">
      <c r="A73" s="17">
        <f>RANDBETWEEN(2,164)</f>
        <v/>
      </c>
      <c r="B73" s="17">
        <f t="array" ref="B73">INDEX(Data_DBD!$B:$B,$A73)</f>
        <v/>
      </c>
      <c r="C73" s="17">
        <f t="array" ref="C73">INDEX(Data_DBD!$C:$C,$A73)</f>
        <v/>
      </c>
      <c r="D73" s="17">
        <f t="array" ref="D73">INDEX(Data_DBD!$D:$D,$A73)</f>
        <v/>
      </c>
      <c r="E73" s="17">
        <f t="array" ref="E73">INDEX(Data_DBD!$E:$E,$A73)</f>
        <v/>
      </c>
      <c r="F73" s="17">
        <f t="array" ref="F73">INDEX(Data_DBD!$F:$F,$A73)</f>
        <v/>
      </c>
      <c r="H73" s="17" t="n">
        <v>36</v>
      </c>
      <c r="I73" s="17" t="n">
        <v>27</v>
      </c>
      <c r="J73" s="17" t="n">
        <v>1</v>
      </c>
      <c r="K73" s="17" t="n">
        <v>4</v>
      </c>
      <c r="L73" s="17" t="n">
        <v>1</v>
      </c>
      <c r="M73" s="17" t="inlineStr">
        <is>
          <t>Rendah</t>
        </is>
      </c>
    </row>
    <row r="74" s="1">
      <c r="A74" s="17">
        <f>RANDBETWEEN(2,164)</f>
        <v/>
      </c>
      <c r="B74" s="17">
        <f t="array" ref="B74">INDEX(Data_DBD!$B:$B,$A74)</f>
        <v/>
      </c>
      <c r="C74" s="17">
        <f t="array" ref="C74">INDEX(Data_DBD!$C:$C,$A74)</f>
        <v/>
      </c>
      <c r="D74" s="17">
        <f t="array" ref="D74">INDEX(Data_DBD!$D:$D,$A74)</f>
        <v/>
      </c>
      <c r="E74" s="17">
        <f t="array" ref="E74">INDEX(Data_DBD!$E:$E,$A74)</f>
        <v/>
      </c>
      <c r="F74" s="17">
        <f t="array" ref="F74">INDEX(Data_DBD!$F:$F,$A74)</f>
        <v/>
      </c>
      <c r="H74" s="17" t="n">
        <v>149</v>
      </c>
      <c r="I74" s="17" t="n">
        <v>19</v>
      </c>
      <c r="J74" s="17" t="n">
        <v>5</v>
      </c>
      <c r="K74" s="17" t="n">
        <v>21</v>
      </c>
      <c r="L74" s="17" t="n">
        <v>0</v>
      </c>
      <c r="M74" s="17" t="inlineStr">
        <is>
          <t>Tinggi</t>
        </is>
      </c>
    </row>
    <row r="75" s="1">
      <c r="A75" s="17">
        <f>RANDBETWEEN(2,164)</f>
        <v/>
      </c>
      <c r="B75" s="17">
        <f t="array" ref="B75">INDEX(Data_DBD!$B:$B,$A75)</f>
        <v/>
      </c>
      <c r="C75" s="17">
        <f t="array" ref="C75">INDEX(Data_DBD!$C:$C,$A75)</f>
        <v/>
      </c>
      <c r="D75" s="17">
        <f t="array" ref="D75">INDEX(Data_DBD!$D:$D,$A75)</f>
        <v/>
      </c>
      <c r="E75" s="17">
        <f t="array" ref="E75">INDEX(Data_DBD!$E:$E,$A75)</f>
        <v/>
      </c>
      <c r="F75" s="17">
        <f t="array" ref="F75">INDEX(Data_DBD!$F:$F,$A75)</f>
        <v/>
      </c>
      <c r="H75" s="17" t="n">
        <v>164</v>
      </c>
      <c r="I75" s="17" t="n">
        <v>10</v>
      </c>
      <c r="J75" s="17" t="n">
        <v>6</v>
      </c>
      <c r="K75" s="17" t="n">
        <v>3</v>
      </c>
      <c r="L75" s="17" t="n">
        <v>0</v>
      </c>
      <c r="M75" s="17" t="inlineStr">
        <is>
          <t>Rendah</t>
        </is>
      </c>
    </row>
    <row r="76" s="1">
      <c r="A76" s="17">
        <f>RANDBETWEEN(2,164)</f>
        <v/>
      </c>
      <c r="B76" s="17">
        <f t="array" ref="B76">INDEX(Data_DBD!$B:$B,$A76)</f>
        <v/>
      </c>
      <c r="C76" s="17">
        <f t="array" ref="C76">INDEX(Data_DBD!$C:$C,$A76)</f>
        <v/>
      </c>
      <c r="D76" s="17">
        <f t="array" ref="D76">INDEX(Data_DBD!$D:$D,$A76)</f>
        <v/>
      </c>
      <c r="E76" s="17">
        <f t="array" ref="E76">INDEX(Data_DBD!$E:$E,$A76)</f>
        <v/>
      </c>
      <c r="F76" s="17">
        <f t="array" ref="F76">INDEX(Data_DBD!$F:$F,$A76)</f>
        <v/>
      </c>
      <c r="H76" s="17" t="n">
        <v>32</v>
      </c>
      <c r="I76" s="17" t="n">
        <v>54</v>
      </c>
      <c r="J76" s="17" t="n">
        <v>4</v>
      </c>
      <c r="K76" s="17" t="n">
        <v>14</v>
      </c>
      <c r="L76" s="17" t="n">
        <v>0</v>
      </c>
      <c r="M76" s="17" t="inlineStr">
        <is>
          <t>Sedang</t>
        </is>
      </c>
    </row>
    <row r="77" s="1">
      <c r="A77" s="17">
        <f>RANDBETWEEN(2,164)</f>
        <v/>
      </c>
      <c r="B77" s="17">
        <f t="array" ref="B77">INDEX(Data_DBD!$B:$B,$A77)</f>
        <v/>
      </c>
      <c r="C77" s="17">
        <f t="array" ref="C77">INDEX(Data_DBD!$C:$C,$A77)</f>
        <v/>
      </c>
      <c r="D77" s="17">
        <f t="array" ref="D77">INDEX(Data_DBD!$D:$D,$A77)</f>
        <v/>
      </c>
      <c r="E77" s="17">
        <f t="array" ref="E77">INDEX(Data_DBD!$E:$E,$A77)</f>
        <v/>
      </c>
      <c r="F77" s="17">
        <f t="array" ref="F77">INDEX(Data_DBD!$F:$F,$A77)</f>
        <v/>
      </c>
      <c r="H77" s="17" t="n">
        <v>138</v>
      </c>
      <c r="I77" s="17" t="n">
        <v>13</v>
      </c>
      <c r="J77" s="17" t="n">
        <v>3</v>
      </c>
      <c r="K77" s="17" t="n">
        <v>33</v>
      </c>
      <c r="L77" s="17" t="n">
        <v>1</v>
      </c>
      <c r="M77" s="17" t="inlineStr">
        <is>
          <t>Tinggi</t>
        </is>
      </c>
    </row>
    <row r="78" s="1">
      <c r="A78" s="17">
        <f>RANDBETWEEN(2,164)</f>
        <v/>
      </c>
      <c r="B78" s="17">
        <f t="array" ref="B78">INDEX(Data_DBD!$B:$B,$A78)</f>
        <v/>
      </c>
      <c r="C78" s="17">
        <f t="array" ref="C78">INDEX(Data_DBD!$C:$C,$A78)</f>
        <v/>
      </c>
      <c r="D78" s="17">
        <f t="array" ref="D78">INDEX(Data_DBD!$D:$D,$A78)</f>
        <v/>
      </c>
      <c r="E78" s="17">
        <f t="array" ref="E78">INDEX(Data_DBD!$E:$E,$A78)</f>
        <v/>
      </c>
      <c r="F78" s="17">
        <f t="array" ref="F78">INDEX(Data_DBD!$F:$F,$A78)</f>
        <v/>
      </c>
      <c r="H78" s="17" t="n">
        <v>105</v>
      </c>
      <c r="I78" s="17" t="n">
        <v>61</v>
      </c>
      <c r="J78" s="17" t="n">
        <v>3</v>
      </c>
      <c r="K78" s="17" t="n">
        <v>18</v>
      </c>
      <c r="L78" s="17" t="n">
        <v>1</v>
      </c>
      <c r="M78" s="17" t="inlineStr">
        <is>
          <t>Tinggi</t>
        </is>
      </c>
    </row>
    <row r="79" s="1">
      <c r="A79" s="17">
        <f>RANDBETWEEN(2,164)</f>
        <v/>
      </c>
      <c r="B79" s="17">
        <f t="array" ref="B79">INDEX(Data_DBD!$B:$B,$A79)</f>
        <v/>
      </c>
      <c r="C79" s="17">
        <f t="array" ref="C79">INDEX(Data_DBD!$C:$C,$A79)</f>
        <v/>
      </c>
      <c r="D79" s="17">
        <f t="array" ref="D79">INDEX(Data_DBD!$D:$D,$A79)</f>
        <v/>
      </c>
      <c r="E79" s="17">
        <f t="array" ref="E79">INDEX(Data_DBD!$E:$E,$A79)</f>
        <v/>
      </c>
      <c r="F79" s="17">
        <f t="array" ref="F79">INDEX(Data_DBD!$F:$F,$A79)</f>
        <v/>
      </c>
      <c r="H79" s="17" t="n">
        <v>76</v>
      </c>
      <c r="I79" s="17" t="n">
        <v>70</v>
      </c>
      <c r="J79" s="17" t="n">
        <v>2</v>
      </c>
      <c r="K79" s="17" t="n">
        <v>10</v>
      </c>
      <c r="L79" s="17" t="n">
        <v>0</v>
      </c>
      <c r="M79" s="17" t="inlineStr">
        <is>
          <t>Sedang</t>
        </is>
      </c>
    </row>
    <row r="80" s="1">
      <c r="A80" s="17">
        <f>RANDBETWEEN(2,164)</f>
        <v/>
      </c>
      <c r="B80" s="17">
        <f t="array" ref="B80">INDEX(Data_DBD!$B:$B,$A80)</f>
        <v/>
      </c>
      <c r="C80" s="17">
        <f t="array" ref="C80">INDEX(Data_DBD!$C:$C,$A80)</f>
        <v/>
      </c>
      <c r="D80" s="17">
        <f t="array" ref="D80">INDEX(Data_DBD!$D:$D,$A80)</f>
        <v/>
      </c>
      <c r="E80" s="17">
        <f t="array" ref="E80">INDEX(Data_DBD!$E:$E,$A80)</f>
        <v/>
      </c>
      <c r="F80" s="17">
        <f t="array" ref="F80">INDEX(Data_DBD!$F:$F,$A80)</f>
        <v/>
      </c>
      <c r="H80" s="17" t="n">
        <v>129</v>
      </c>
      <c r="I80" s="17" t="n">
        <v>4</v>
      </c>
      <c r="J80" s="17" t="n">
        <v>3</v>
      </c>
      <c r="K80" s="17" t="n">
        <v>33</v>
      </c>
      <c r="L80" s="17" t="n">
        <v>0</v>
      </c>
      <c r="M80" s="17" t="inlineStr">
        <is>
          <t>Tinggi</t>
        </is>
      </c>
    </row>
    <row r="81" s="1">
      <c r="A81" s="17">
        <f>RANDBETWEEN(2,164)</f>
        <v/>
      </c>
      <c r="B81" s="17">
        <f t="array" ref="B81">INDEX(Data_DBD!$B:$B,$A81)</f>
        <v/>
      </c>
      <c r="C81" s="17">
        <f t="array" ref="C81">INDEX(Data_DBD!$C:$C,$A81)</f>
        <v/>
      </c>
      <c r="D81" s="17">
        <f t="array" ref="D81">INDEX(Data_DBD!$D:$D,$A81)</f>
        <v/>
      </c>
      <c r="E81" s="17">
        <f t="array" ref="E81">INDEX(Data_DBD!$E:$E,$A81)</f>
        <v/>
      </c>
      <c r="F81" s="17">
        <f t="array" ref="F81">INDEX(Data_DBD!$F:$F,$A81)</f>
        <v/>
      </c>
      <c r="H81" s="17" t="n">
        <v>156</v>
      </c>
      <c r="I81" s="17" t="n">
        <v>5</v>
      </c>
      <c r="J81" s="17" t="n">
        <v>2</v>
      </c>
      <c r="K81" s="17" t="n">
        <v>21</v>
      </c>
      <c r="L81" s="17" t="n">
        <v>0</v>
      </c>
      <c r="M81" s="17" t="inlineStr">
        <is>
          <t>Tinggi</t>
        </is>
      </c>
    </row>
    <row r="82" s="1">
      <c r="A82" s="17">
        <f>RANDBETWEEN(2,164)</f>
        <v/>
      </c>
      <c r="B82" s="17">
        <f t="array" ref="B82">INDEX(Data_DBD!$B:$B,$A82)</f>
        <v/>
      </c>
      <c r="C82" s="17">
        <f t="array" ref="C82">INDEX(Data_DBD!$C:$C,$A82)</f>
        <v/>
      </c>
      <c r="D82" s="17">
        <f t="array" ref="D82">INDEX(Data_DBD!$D:$D,$A82)</f>
        <v/>
      </c>
      <c r="E82" s="17">
        <f t="array" ref="E82">INDEX(Data_DBD!$E:$E,$A82)</f>
        <v/>
      </c>
      <c r="F82" s="17">
        <f t="array" ref="F82">INDEX(Data_DBD!$F:$F,$A82)</f>
        <v/>
      </c>
      <c r="H82" s="17" t="n">
        <v>135</v>
      </c>
      <c r="I82" s="17" t="n">
        <v>10</v>
      </c>
      <c r="J82" s="17" t="n">
        <v>2</v>
      </c>
      <c r="K82" s="17" t="n">
        <v>33</v>
      </c>
      <c r="L82" s="17" t="n">
        <v>0</v>
      </c>
      <c r="M82" s="17" t="inlineStr">
        <is>
          <t>Tinggi</t>
        </is>
      </c>
    </row>
    <row r="83" s="1">
      <c r="A83" s="17">
        <f>RANDBETWEEN(2,164)</f>
        <v/>
      </c>
      <c r="B83" s="17">
        <f t="array" ref="B83">INDEX(Data_DBD!$B:$B,$A83)</f>
        <v/>
      </c>
      <c r="C83" s="17">
        <f t="array" ref="C83">INDEX(Data_DBD!$C:$C,$A83)</f>
        <v/>
      </c>
      <c r="D83" s="17">
        <f t="array" ref="D83">INDEX(Data_DBD!$D:$D,$A83)</f>
        <v/>
      </c>
      <c r="E83" s="17">
        <f t="array" ref="E83">INDEX(Data_DBD!$E:$E,$A83)</f>
        <v/>
      </c>
      <c r="F83" s="17">
        <f t="array" ref="F83">INDEX(Data_DBD!$F:$F,$A83)</f>
        <v/>
      </c>
      <c r="H83" s="17" t="n">
        <v>161</v>
      </c>
      <c r="I83" s="17" t="n">
        <v>12</v>
      </c>
      <c r="J83" s="17" t="n">
        <v>3</v>
      </c>
      <c r="K83" s="17" t="n">
        <v>21</v>
      </c>
      <c r="L83" s="17" t="n">
        <v>1</v>
      </c>
      <c r="M83" s="17" t="inlineStr">
        <is>
          <t>Tinggi</t>
        </is>
      </c>
    </row>
    <row r="84" s="1">
      <c r="A84" s="17">
        <f>RANDBETWEEN(2,164)</f>
        <v/>
      </c>
      <c r="B84" s="17">
        <f t="array" ref="B84">INDEX(Data_DBD!$B:$B,$A84)</f>
        <v/>
      </c>
      <c r="C84" s="17">
        <f t="array" ref="C84">INDEX(Data_DBD!$C:$C,$A84)</f>
        <v/>
      </c>
      <c r="D84" s="17">
        <f t="array" ref="D84">INDEX(Data_DBD!$D:$D,$A84)</f>
        <v/>
      </c>
      <c r="E84" s="17">
        <f t="array" ref="E84">INDEX(Data_DBD!$E:$E,$A84)</f>
        <v/>
      </c>
      <c r="F84" s="17">
        <f t="array" ref="F84">INDEX(Data_DBD!$F:$F,$A84)</f>
        <v/>
      </c>
      <c r="H84" s="17" t="n">
        <v>46</v>
      </c>
      <c r="I84" s="17" t="n">
        <v>62</v>
      </c>
      <c r="J84" s="17" t="n">
        <v>2</v>
      </c>
      <c r="K84" s="17" t="n">
        <v>13</v>
      </c>
      <c r="L84" s="17" t="n">
        <v>0</v>
      </c>
      <c r="M84" s="17" t="inlineStr">
        <is>
          <t>Sedang</t>
        </is>
      </c>
    </row>
    <row r="85" s="1">
      <c r="A85" s="17">
        <f>RANDBETWEEN(2,164)</f>
        <v/>
      </c>
      <c r="B85" s="17">
        <f t="array" ref="B85">INDEX(Data_DBD!$B:$B,$A85)</f>
        <v/>
      </c>
      <c r="C85" s="17">
        <f t="array" ref="C85">INDEX(Data_DBD!$C:$C,$A85)</f>
        <v/>
      </c>
      <c r="D85" s="17">
        <f t="array" ref="D85">INDEX(Data_DBD!$D:$D,$A85)</f>
        <v/>
      </c>
      <c r="E85" s="17">
        <f t="array" ref="E85">INDEX(Data_DBD!$E:$E,$A85)</f>
        <v/>
      </c>
      <c r="F85" s="17">
        <f t="array" ref="F85">INDEX(Data_DBD!$F:$F,$A85)</f>
        <v/>
      </c>
      <c r="H85" s="17" t="n">
        <v>98</v>
      </c>
      <c r="I85" s="17" t="n">
        <v>16</v>
      </c>
      <c r="J85" s="17" t="n">
        <v>2</v>
      </c>
      <c r="K85" s="17" t="n">
        <v>18</v>
      </c>
      <c r="L85" s="17" t="n">
        <v>1</v>
      </c>
      <c r="M85" s="17" t="inlineStr">
        <is>
          <t>Tinggi</t>
        </is>
      </c>
    </row>
    <row r="86" s="1">
      <c r="A86" s="17">
        <f>RANDBETWEEN(2,164)</f>
        <v/>
      </c>
      <c r="B86" s="17">
        <f t="array" ref="B86">INDEX(Data_DBD!$B:$B,$A86)</f>
        <v/>
      </c>
      <c r="C86" s="17">
        <f t="array" ref="C86">INDEX(Data_DBD!$C:$C,$A86)</f>
        <v/>
      </c>
      <c r="D86" s="17">
        <f t="array" ref="D86">INDEX(Data_DBD!$D:$D,$A86)</f>
        <v/>
      </c>
      <c r="E86" s="17">
        <f t="array" ref="E86">INDEX(Data_DBD!$E:$E,$A86)</f>
        <v/>
      </c>
      <c r="F86" s="17">
        <f t="array" ref="F86">INDEX(Data_DBD!$F:$F,$A86)</f>
        <v/>
      </c>
      <c r="H86" s="17" t="n">
        <v>64</v>
      </c>
      <c r="I86" s="17" t="n">
        <v>35</v>
      </c>
      <c r="J86" s="17" t="n">
        <v>1</v>
      </c>
      <c r="K86" s="17" t="n">
        <v>15</v>
      </c>
      <c r="L86" s="17" t="n">
        <v>0</v>
      </c>
      <c r="M86" s="17" t="inlineStr">
        <is>
          <t>Sedang</t>
        </is>
      </c>
    </row>
    <row r="87" s="1">
      <c r="A87" s="17">
        <f>RANDBETWEEN(2,164)</f>
        <v/>
      </c>
      <c r="B87" s="17">
        <f t="array" ref="B87">INDEX(Data_DBD!$B:$B,$A87)</f>
        <v/>
      </c>
      <c r="C87" s="17">
        <f t="array" ref="C87">INDEX(Data_DBD!$C:$C,$A87)</f>
        <v/>
      </c>
      <c r="D87" s="17">
        <f t="array" ref="D87">INDEX(Data_DBD!$D:$D,$A87)</f>
        <v/>
      </c>
      <c r="E87" s="17">
        <f t="array" ref="E87">INDEX(Data_DBD!$E:$E,$A87)</f>
        <v/>
      </c>
      <c r="F87" s="17">
        <f t="array" ref="F87">INDEX(Data_DBD!$F:$F,$A87)</f>
        <v/>
      </c>
      <c r="H87" s="17" t="n">
        <v>36</v>
      </c>
      <c r="I87" s="17" t="n">
        <v>27</v>
      </c>
      <c r="J87" s="17" t="n">
        <v>1</v>
      </c>
      <c r="K87" s="17" t="n">
        <v>4</v>
      </c>
      <c r="L87" s="17" t="n">
        <v>1</v>
      </c>
      <c r="M87" s="17" t="inlineStr">
        <is>
          <t>Rendah</t>
        </is>
      </c>
    </row>
    <row r="88" s="1">
      <c r="A88" s="17">
        <f>RANDBETWEEN(2,164)</f>
        <v/>
      </c>
      <c r="B88" s="17">
        <f t="array" ref="B88">INDEX(Data_DBD!$B:$B,$A88)</f>
        <v/>
      </c>
      <c r="C88" s="17">
        <f t="array" ref="C88">INDEX(Data_DBD!$C:$C,$A88)</f>
        <v/>
      </c>
      <c r="D88" s="17">
        <f t="array" ref="D88">INDEX(Data_DBD!$D:$D,$A88)</f>
        <v/>
      </c>
      <c r="E88" s="17">
        <f t="array" ref="E88">INDEX(Data_DBD!$E:$E,$A88)</f>
        <v/>
      </c>
      <c r="F88" s="17">
        <f t="array" ref="F88">INDEX(Data_DBD!$F:$F,$A88)</f>
        <v/>
      </c>
      <c r="H88" s="17" t="n">
        <v>100</v>
      </c>
      <c r="I88" s="17" t="n">
        <v>19</v>
      </c>
      <c r="J88" s="17" t="n">
        <v>6</v>
      </c>
      <c r="K88" s="17" t="n">
        <v>18</v>
      </c>
      <c r="L88" s="17" t="n">
        <v>0</v>
      </c>
      <c r="M88" s="17" t="inlineStr">
        <is>
          <t>Tinggi</t>
        </is>
      </c>
    </row>
    <row r="89" s="1">
      <c r="A89" s="17">
        <f>RANDBETWEEN(2,164)</f>
        <v/>
      </c>
      <c r="B89" s="17">
        <f t="array" ref="B89">INDEX(Data_DBD!$B:$B,$A89)</f>
        <v/>
      </c>
      <c r="C89" s="17">
        <f t="array" ref="C89">INDEX(Data_DBD!$C:$C,$A89)</f>
        <v/>
      </c>
      <c r="D89" s="17">
        <f t="array" ref="D89">INDEX(Data_DBD!$D:$D,$A89)</f>
        <v/>
      </c>
      <c r="E89" s="17">
        <f t="array" ref="E89">INDEX(Data_DBD!$E:$E,$A89)</f>
        <v/>
      </c>
      <c r="F89" s="17">
        <f t="array" ref="F89">INDEX(Data_DBD!$F:$F,$A89)</f>
        <v/>
      </c>
      <c r="H89" s="17" t="n">
        <v>40</v>
      </c>
      <c r="I89" s="17" t="n">
        <v>65</v>
      </c>
      <c r="J89" s="17" t="n">
        <v>3</v>
      </c>
      <c r="K89" s="17" t="n">
        <v>13</v>
      </c>
      <c r="L89" s="17" t="n">
        <v>1</v>
      </c>
      <c r="M89" s="17" t="inlineStr">
        <is>
          <t>Sedang</t>
        </is>
      </c>
    </row>
    <row r="90" s="1">
      <c r="A90" s="17">
        <f>RANDBETWEEN(2,164)</f>
        <v/>
      </c>
      <c r="B90" s="17">
        <f t="array" ref="B90">INDEX(Data_DBD!$B:$B,$A90)</f>
        <v/>
      </c>
      <c r="C90" s="17">
        <f t="array" ref="C90">INDEX(Data_DBD!$C:$C,$A90)</f>
        <v/>
      </c>
      <c r="D90" s="17">
        <f t="array" ref="D90">INDEX(Data_DBD!$D:$D,$A90)</f>
        <v/>
      </c>
      <c r="E90" s="17">
        <f t="array" ref="E90">INDEX(Data_DBD!$E:$E,$A90)</f>
        <v/>
      </c>
      <c r="F90" s="17">
        <f t="array" ref="F90">INDEX(Data_DBD!$F:$F,$A90)</f>
        <v/>
      </c>
      <c r="H90" s="17" t="n">
        <v>17</v>
      </c>
      <c r="I90" s="17" t="n">
        <v>2</v>
      </c>
      <c r="J90" s="17" t="n">
        <v>3</v>
      </c>
      <c r="K90" s="17" t="n">
        <v>7</v>
      </c>
      <c r="L90" s="17" t="n">
        <v>0</v>
      </c>
      <c r="M90" s="17" t="inlineStr">
        <is>
          <t>Rendah</t>
        </is>
      </c>
    </row>
    <row r="91" s="1">
      <c r="A91" s="17">
        <f>RANDBETWEEN(2,164)</f>
        <v/>
      </c>
      <c r="B91" s="17">
        <f t="array" ref="B91">INDEX(Data_DBD!$B:$B,$A91)</f>
        <v/>
      </c>
      <c r="C91" s="17">
        <f t="array" ref="C91">INDEX(Data_DBD!$C:$C,$A91)</f>
        <v/>
      </c>
      <c r="D91" s="17">
        <f t="array" ref="D91">INDEX(Data_DBD!$D:$D,$A91)</f>
        <v/>
      </c>
      <c r="E91" s="17">
        <f t="array" ref="E91">INDEX(Data_DBD!$E:$E,$A91)</f>
        <v/>
      </c>
      <c r="F91" s="17">
        <f t="array" ref="F91">INDEX(Data_DBD!$F:$F,$A91)</f>
        <v/>
      </c>
      <c r="H91" s="17" t="n">
        <v>85</v>
      </c>
      <c r="I91" s="17" t="n">
        <v>27</v>
      </c>
      <c r="J91" s="17" t="n">
        <v>9</v>
      </c>
      <c r="K91" s="17" t="n">
        <v>13</v>
      </c>
      <c r="L91" s="17" t="n">
        <v>0</v>
      </c>
      <c r="M91" s="17" t="inlineStr">
        <is>
          <t>Sedang</t>
        </is>
      </c>
    </row>
    <row r="92" s="1">
      <c r="A92" s="17">
        <f>RANDBETWEEN(2,164)</f>
        <v/>
      </c>
      <c r="B92" s="17">
        <f t="array" ref="B92">INDEX(Data_DBD!$B:$B,$A92)</f>
        <v/>
      </c>
      <c r="C92" s="17">
        <f t="array" ref="C92">INDEX(Data_DBD!$C:$C,$A92)</f>
        <v/>
      </c>
      <c r="D92" s="17">
        <f t="array" ref="D92">INDEX(Data_DBD!$D:$D,$A92)</f>
        <v/>
      </c>
      <c r="E92" s="17">
        <f t="array" ref="E92">INDEX(Data_DBD!$E:$E,$A92)</f>
        <v/>
      </c>
      <c r="F92" s="17">
        <f t="array" ref="F92">INDEX(Data_DBD!$F:$F,$A92)</f>
        <v/>
      </c>
      <c r="H92" s="17" t="n">
        <v>88</v>
      </c>
      <c r="I92" s="17" t="n">
        <v>20</v>
      </c>
      <c r="J92" s="17" t="n">
        <v>4</v>
      </c>
      <c r="K92" s="17" t="n">
        <v>13</v>
      </c>
      <c r="L92" s="17" t="n">
        <v>1</v>
      </c>
      <c r="M92" s="17" t="inlineStr">
        <is>
          <t>Sedang</t>
        </is>
      </c>
    </row>
    <row r="93" s="1">
      <c r="A93" s="17">
        <f>RANDBETWEEN(2,164)</f>
        <v/>
      </c>
      <c r="B93" s="17">
        <f t="array" ref="B93">INDEX(Data_DBD!$B:$B,$A93)</f>
        <v/>
      </c>
      <c r="C93" s="17">
        <f t="array" ref="C93">INDEX(Data_DBD!$C:$C,$A93)</f>
        <v/>
      </c>
      <c r="D93" s="17">
        <f t="array" ref="D93">INDEX(Data_DBD!$D:$D,$A93)</f>
        <v/>
      </c>
      <c r="E93" s="17">
        <f t="array" ref="E93">INDEX(Data_DBD!$E:$E,$A93)</f>
        <v/>
      </c>
      <c r="F93" s="17">
        <f t="array" ref="F93">INDEX(Data_DBD!$F:$F,$A93)</f>
        <v/>
      </c>
      <c r="H93" s="17" t="n">
        <v>154</v>
      </c>
      <c r="I93" s="17" t="n">
        <v>18</v>
      </c>
      <c r="J93" s="17" t="n">
        <v>5</v>
      </c>
      <c r="K93" s="17" t="n">
        <v>21</v>
      </c>
      <c r="L93" s="17" t="n">
        <v>1</v>
      </c>
      <c r="M93" s="17" t="inlineStr">
        <is>
          <t>Tinggi</t>
        </is>
      </c>
    </row>
    <row r="94" s="1">
      <c r="A94" s="17">
        <f>RANDBETWEEN(2,164)</f>
        <v/>
      </c>
      <c r="B94" s="17">
        <f t="array" ref="B94">INDEX(Data_DBD!$B:$B,$A94)</f>
        <v/>
      </c>
      <c r="C94" s="17">
        <f t="array" ref="C94">INDEX(Data_DBD!$C:$C,$A94)</f>
        <v/>
      </c>
      <c r="D94" s="17">
        <f t="array" ref="D94">INDEX(Data_DBD!$D:$D,$A94)</f>
        <v/>
      </c>
      <c r="E94" s="17">
        <f t="array" ref="E94">INDEX(Data_DBD!$E:$E,$A94)</f>
        <v/>
      </c>
      <c r="F94" s="17">
        <f t="array" ref="F94">INDEX(Data_DBD!$F:$F,$A94)</f>
        <v/>
      </c>
      <c r="H94" s="17" t="n">
        <v>64</v>
      </c>
      <c r="I94" s="17" t="n">
        <v>35</v>
      </c>
      <c r="J94" s="17" t="n">
        <v>1</v>
      </c>
      <c r="K94" s="17" t="n">
        <v>15</v>
      </c>
      <c r="L94" s="17" t="n">
        <v>0</v>
      </c>
      <c r="M94" s="17" t="inlineStr">
        <is>
          <t>Sedang</t>
        </is>
      </c>
    </row>
    <row r="95" s="1">
      <c r="A95" s="17">
        <f>RANDBETWEEN(2,164)</f>
        <v/>
      </c>
      <c r="B95" s="17">
        <f t="array" ref="B95">INDEX(Data_DBD!$B:$B,$A95)</f>
        <v/>
      </c>
      <c r="C95" s="17">
        <f t="array" ref="C95">INDEX(Data_DBD!$C:$C,$A95)</f>
        <v/>
      </c>
      <c r="D95" s="17">
        <f t="array" ref="D95">INDEX(Data_DBD!$D:$D,$A95)</f>
        <v/>
      </c>
      <c r="E95" s="17">
        <f t="array" ref="E95">INDEX(Data_DBD!$E:$E,$A95)</f>
        <v/>
      </c>
      <c r="F95" s="17">
        <f t="array" ref="F95">INDEX(Data_DBD!$F:$F,$A95)</f>
        <v/>
      </c>
      <c r="H95" s="17" t="n">
        <v>127</v>
      </c>
      <c r="I95" s="17" t="n">
        <v>21</v>
      </c>
      <c r="J95" s="17" t="n">
        <v>2</v>
      </c>
      <c r="K95" s="17" t="n">
        <v>33</v>
      </c>
      <c r="L95" s="17" t="n">
        <v>0</v>
      </c>
      <c r="M95" s="17" t="inlineStr">
        <is>
          <t>Tinggi</t>
        </is>
      </c>
    </row>
    <row r="96" s="1">
      <c r="A96" s="17">
        <f>RANDBETWEEN(2,164)</f>
        <v/>
      </c>
      <c r="B96" s="17">
        <f t="array" ref="B96">INDEX(Data_DBD!$B:$B,$A96)</f>
        <v/>
      </c>
      <c r="C96" s="17">
        <f t="array" ref="C96">INDEX(Data_DBD!$C:$C,$A96)</f>
        <v/>
      </c>
      <c r="D96" s="17">
        <f t="array" ref="D96">INDEX(Data_DBD!$D:$D,$A96)</f>
        <v/>
      </c>
      <c r="E96" s="17">
        <f t="array" ref="E96">INDEX(Data_DBD!$E:$E,$A96)</f>
        <v/>
      </c>
      <c r="F96" s="17">
        <f t="array" ref="F96">INDEX(Data_DBD!$F:$F,$A96)</f>
        <v/>
      </c>
      <c r="H96" s="17" t="n">
        <v>126</v>
      </c>
      <c r="I96" s="17" t="n">
        <v>51</v>
      </c>
      <c r="J96" s="17" t="n">
        <v>3</v>
      </c>
      <c r="K96" s="17" t="n">
        <v>33</v>
      </c>
      <c r="L96" s="17" t="n">
        <v>1</v>
      </c>
      <c r="M96" s="17" t="inlineStr">
        <is>
          <t>Tinggi</t>
        </is>
      </c>
    </row>
    <row r="97" s="1">
      <c r="A97" s="17">
        <f>RANDBETWEEN(2,164)</f>
        <v/>
      </c>
      <c r="B97" s="17">
        <f t="array" ref="B97">INDEX(Data_DBD!$B:$B,$A97)</f>
        <v/>
      </c>
      <c r="C97" s="17">
        <f t="array" ref="C97">INDEX(Data_DBD!$C:$C,$A97)</f>
        <v/>
      </c>
      <c r="D97" s="17">
        <f t="array" ref="D97">INDEX(Data_DBD!$D:$D,$A97)</f>
        <v/>
      </c>
      <c r="E97" s="17">
        <f t="array" ref="E97">INDEX(Data_DBD!$E:$E,$A97)</f>
        <v/>
      </c>
      <c r="F97" s="17">
        <f t="array" ref="F97">INDEX(Data_DBD!$F:$F,$A97)</f>
        <v/>
      </c>
      <c r="H97" s="17" t="n">
        <v>116</v>
      </c>
      <c r="I97" s="17" t="n">
        <v>32</v>
      </c>
      <c r="J97" s="17" t="n">
        <v>4</v>
      </c>
      <c r="K97" s="17" t="n">
        <v>33</v>
      </c>
      <c r="L97" s="17" t="n">
        <v>1</v>
      </c>
      <c r="M97" s="17" t="inlineStr">
        <is>
          <t>Tinggi</t>
        </is>
      </c>
    </row>
    <row r="98" s="1">
      <c r="A98" s="17">
        <f>RANDBETWEEN(2,164)</f>
        <v/>
      </c>
      <c r="B98" s="17">
        <f t="array" ref="B98">INDEX(Data_DBD!$B:$B,$A98)</f>
        <v/>
      </c>
      <c r="C98" s="17">
        <f t="array" ref="C98">INDEX(Data_DBD!$C:$C,$A98)</f>
        <v/>
      </c>
      <c r="D98" s="17">
        <f t="array" ref="D98">INDEX(Data_DBD!$D:$D,$A98)</f>
        <v/>
      </c>
      <c r="E98" s="17">
        <f t="array" ref="E98">INDEX(Data_DBD!$E:$E,$A98)</f>
        <v/>
      </c>
      <c r="F98" s="17">
        <f t="array" ref="F98">INDEX(Data_DBD!$F:$F,$A98)</f>
        <v/>
      </c>
      <c r="H98" s="17" t="n">
        <v>144</v>
      </c>
      <c r="I98" s="17" t="n">
        <v>61</v>
      </c>
      <c r="J98" s="17" t="n">
        <v>4</v>
      </c>
      <c r="K98" s="17" t="n">
        <v>21</v>
      </c>
      <c r="L98" s="17" t="n">
        <v>1</v>
      </c>
      <c r="M98" s="17" t="inlineStr">
        <is>
          <t>Tinggi</t>
        </is>
      </c>
    </row>
    <row r="99" s="1">
      <c r="A99" s="17">
        <f>RANDBETWEEN(2,164)</f>
        <v/>
      </c>
      <c r="B99" s="17">
        <f t="array" ref="B99">INDEX(Data_DBD!$B:$B,$A99)</f>
        <v/>
      </c>
      <c r="C99" s="17">
        <f t="array" ref="C99">INDEX(Data_DBD!$C:$C,$A99)</f>
        <v/>
      </c>
      <c r="D99" s="17">
        <f t="array" ref="D99">INDEX(Data_DBD!$D:$D,$A99)</f>
        <v/>
      </c>
      <c r="E99" s="17">
        <f t="array" ref="E99">INDEX(Data_DBD!$E:$E,$A99)</f>
        <v/>
      </c>
      <c r="F99" s="17">
        <f t="array" ref="F99">INDEX(Data_DBD!$F:$F,$A99)</f>
        <v/>
      </c>
      <c r="H99" s="17" t="n">
        <v>17</v>
      </c>
      <c r="I99" s="17" t="n">
        <v>2</v>
      </c>
      <c r="J99" s="17" t="n">
        <v>3</v>
      </c>
      <c r="K99" s="17" t="n">
        <v>7</v>
      </c>
      <c r="L99" s="17" t="n">
        <v>0</v>
      </c>
      <c r="M99" s="17" t="inlineStr">
        <is>
          <t>Rendah</t>
        </is>
      </c>
    </row>
    <row r="100" s="1">
      <c r="A100" s="17">
        <f>RANDBETWEEN(2,164)</f>
        <v/>
      </c>
      <c r="B100" s="17">
        <f t="array" ref="B100">INDEX(Data_DBD!$B:$B,$A100)</f>
        <v/>
      </c>
      <c r="C100" s="17">
        <f t="array" ref="C100">INDEX(Data_DBD!$C:$C,$A100)</f>
        <v/>
      </c>
      <c r="D100" s="17">
        <f t="array" ref="D100">INDEX(Data_DBD!$D:$D,$A100)</f>
        <v/>
      </c>
      <c r="E100" s="17">
        <f t="array" ref="E100">INDEX(Data_DBD!$E:$E,$A100)</f>
        <v/>
      </c>
      <c r="F100" s="17">
        <f t="array" ref="F100">INDEX(Data_DBD!$F:$F,$A100)</f>
        <v/>
      </c>
      <c r="H100" s="17" t="n">
        <v>64</v>
      </c>
      <c r="I100" s="17" t="n">
        <v>35</v>
      </c>
      <c r="J100" s="17" t="n">
        <v>1</v>
      </c>
      <c r="K100" s="17" t="n">
        <v>15</v>
      </c>
      <c r="L100" s="17" t="n">
        <v>0</v>
      </c>
      <c r="M100" s="17" t="inlineStr">
        <is>
          <t>Sedang</t>
        </is>
      </c>
    </row>
    <row r="101" s="1">
      <c r="A101" s="17">
        <f>RANDBETWEEN(2,164)</f>
        <v/>
      </c>
      <c r="B101" s="17">
        <f t="array" ref="B101">INDEX(Data_DBD!$B:$B,$A101)</f>
        <v/>
      </c>
      <c r="C101" s="17">
        <f t="array" ref="C101">INDEX(Data_DBD!$C:$C,$A101)</f>
        <v/>
      </c>
      <c r="D101" s="17">
        <f t="array" ref="D101">INDEX(Data_DBD!$D:$D,$A101)</f>
        <v/>
      </c>
      <c r="E101" s="17">
        <f t="array" ref="E101">INDEX(Data_DBD!$E:$E,$A101)</f>
        <v/>
      </c>
      <c r="F101" s="17">
        <f t="array" ref="F101">INDEX(Data_DBD!$F:$F,$A101)</f>
        <v/>
      </c>
      <c r="H101" s="17" t="n">
        <v>38</v>
      </c>
      <c r="I101" s="17" t="n">
        <v>52</v>
      </c>
      <c r="J101" s="17" t="n">
        <v>3</v>
      </c>
      <c r="K101" s="17" t="n">
        <v>4</v>
      </c>
      <c r="L101" s="17" t="n">
        <v>1</v>
      </c>
      <c r="M101" s="17" t="inlineStr">
        <is>
          <t>Rendah</t>
        </is>
      </c>
    </row>
    <row r="102" s="1">
      <c r="A102" s="17">
        <f>RANDBETWEEN(2,164)</f>
        <v/>
      </c>
      <c r="B102" s="17">
        <f t="array" ref="B102">INDEX(Data_DBD!$B:$B,$A102)</f>
        <v/>
      </c>
      <c r="C102" s="17">
        <f t="array" ref="C102">INDEX(Data_DBD!$C:$C,$A102)</f>
        <v/>
      </c>
      <c r="D102" s="17">
        <f t="array" ref="D102">INDEX(Data_DBD!$D:$D,$A102)</f>
        <v/>
      </c>
      <c r="E102" s="17">
        <f t="array" ref="E102">INDEX(Data_DBD!$E:$E,$A102)</f>
        <v/>
      </c>
      <c r="F102" s="17">
        <f t="array" ref="F102">INDEX(Data_DBD!$F:$F,$A102)</f>
        <v/>
      </c>
      <c r="H102" s="17" t="n">
        <v>66</v>
      </c>
      <c r="I102" s="17" t="n">
        <v>21</v>
      </c>
      <c r="J102" s="17" t="n">
        <v>5</v>
      </c>
      <c r="K102" s="17" t="n">
        <v>15</v>
      </c>
      <c r="L102" s="17" t="n">
        <v>1</v>
      </c>
      <c r="M102" s="17" t="inlineStr">
        <is>
          <t>Sedang</t>
        </is>
      </c>
    </row>
    <row r="103" s="1">
      <c r="A103" s="17">
        <f>RANDBETWEEN(2,164)</f>
        <v/>
      </c>
      <c r="B103" s="17">
        <f t="array" ref="B103">INDEX(Data_DBD!$B:$B,$A103)</f>
        <v/>
      </c>
      <c r="C103" s="17">
        <f t="array" ref="C103">INDEX(Data_DBD!$C:$C,$A103)</f>
        <v/>
      </c>
      <c r="D103" s="17">
        <f t="array" ref="D103">INDEX(Data_DBD!$D:$D,$A103)</f>
        <v/>
      </c>
      <c r="E103" s="17">
        <f t="array" ref="E103">INDEX(Data_DBD!$E:$E,$A103)</f>
        <v/>
      </c>
      <c r="F103" s="17">
        <f t="array" ref="F103">INDEX(Data_DBD!$F:$F,$A103)</f>
        <v/>
      </c>
      <c r="H103" s="17" t="n">
        <v>162</v>
      </c>
      <c r="I103" s="17" t="n">
        <v>22</v>
      </c>
      <c r="J103" s="17" t="n">
        <v>3</v>
      </c>
      <c r="K103" s="17" t="n">
        <v>3</v>
      </c>
      <c r="L103" s="17" t="n">
        <v>1</v>
      </c>
      <c r="M103" s="17" t="inlineStr">
        <is>
          <t>Rendah</t>
        </is>
      </c>
    </row>
    <row r="104" s="1">
      <c r="A104" s="17">
        <f>RANDBETWEEN(2,164)</f>
        <v/>
      </c>
      <c r="B104" s="17">
        <f t="array" ref="B104">INDEX(Data_DBD!$B:$B,$A104)</f>
        <v/>
      </c>
      <c r="C104" s="17">
        <f t="array" ref="C104">INDEX(Data_DBD!$C:$C,$A104)</f>
        <v/>
      </c>
      <c r="D104" s="17">
        <f t="array" ref="D104">INDEX(Data_DBD!$D:$D,$A104)</f>
        <v/>
      </c>
      <c r="E104" s="17">
        <f t="array" ref="E104">INDEX(Data_DBD!$E:$E,$A104)</f>
        <v/>
      </c>
      <c r="F104" s="17">
        <f t="array" ref="F104">INDEX(Data_DBD!$F:$F,$A104)</f>
        <v/>
      </c>
      <c r="H104" s="17" t="n">
        <v>89</v>
      </c>
      <c r="I104" s="17" t="n">
        <v>32</v>
      </c>
      <c r="J104" s="17" t="n">
        <v>4</v>
      </c>
      <c r="K104" s="17" t="n">
        <v>13</v>
      </c>
      <c r="L104" s="17" t="n">
        <v>0</v>
      </c>
      <c r="M104" s="17" t="inlineStr">
        <is>
          <t>Sedang</t>
        </is>
      </c>
    </row>
    <row r="105" s="1">
      <c r="A105" s="17">
        <f>RANDBETWEEN(2,164)</f>
        <v/>
      </c>
      <c r="B105" s="17">
        <f t="array" ref="B105">INDEX(Data_DBD!$B:$B,$A105)</f>
        <v/>
      </c>
      <c r="C105" s="17">
        <f t="array" ref="C105">INDEX(Data_DBD!$C:$C,$A105)</f>
        <v/>
      </c>
      <c r="D105" s="17">
        <f t="array" ref="D105">INDEX(Data_DBD!$D:$D,$A105)</f>
        <v/>
      </c>
      <c r="E105" s="17">
        <f t="array" ref="E105">INDEX(Data_DBD!$E:$E,$A105)</f>
        <v/>
      </c>
      <c r="F105" s="17">
        <f t="array" ref="F105">INDEX(Data_DBD!$F:$F,$A105)</f>
        <v/>
      </c>
      <c r="H105" s="17" t="n">
        <v>104</v>
      </c>
      <c r="I105" s="17" t="n">
        <v>37</v>
      </c>
      <c r="J105" s="17" t="n">
        <v>4</v>
      </c>
      <c r="K105" s="17" t="n">
        <v>18</v>
      </c>
      <c r="L105" s="17" t="n">
        <v>1</v>
      </c>
      <c r="M105" s="17" t="inlineStr">
        <is>
          <t>Tinggi</t>
        </is>
      </c>
    </row>
    <row r="106" s="1">
      <c r="A106" s="17">
        <f>RANDBETWEEN(2,164)</f>
        <v/>
      </c>
      <c r="B106" s="17">
        <f t="array" ref="B106">INDEX(Data_DBD!$B:$B,$A106)</f>
        <v/>
      </c>
      <c r="C106" s="17">
        <f t="array" ref="C106">INDEX(Data_DBD!$C:$C,$A106)</f>
        <v/>
      </c>
      <c r="D106" s="17">
        <f t="array" ref="D106">INDEX(Data_DBD!$D:$D,$A106)</f>
        <v/>
      </c>
      <c r="E106" s="17">
        <f t="array" ref="E106">INDEX(Data_DBD!$E:$E,$A106)</f>
        <v/>
      </c>
      <c r="F106" s="17">
        <f t="array" ref="F106">INDEX(Data_DBD!$F:$F,$A106)</f>
        <v/>
      </c>
      <c r="H106" s="17" t="n">
        <v>42</v>
      </c>
      <c r="I106" s="17" t="n">
        <v>21</v>
      </c>
      <c r="J106" s="17" t="n">
        <v>5</v>
      </c>
      <c r="K106" s="17" t="n">
        <v>13</v>
      </c>
      <c r="L106" s="17" t="n">
        <v>1</v>
      </c>
      <c r="M106" s="17" t="inlineStr">
        <is>
          <t>Sedang</t>
        </is>
      </c>
    </row>
    <row r="107" s="1">
      <c r="A107" s="17">
        <f>RANDBETWEEN(2,164)</f>
        <v/>
      </c>
      <c r="B107" s="17">
        <f t="array" ref="B107">INDEX(Data_DBD!$B:$B,$A107)</f>
        <v/>
      </c>
      <c r="C107" s="17">
        <f t="array" ref="C107">INDEX(Data_DBD!$C:$C,$A107)</f>
        <v/>
      </c>
      <c r="D107" s="17">
        <f t="array" ref="D107">INDEX(Data_DBD!$D:$D,$A107)</f>
        <v/>
      </c>
      <c r="E107" s="17">
        <f t="array" ref="E107">INDEX(Data_DBD!$E:$E,$A107)</f>
        <v/>
      </c>
      <c r="F107" s="17">
        <f t="array" ref="F107">INDEX(Data_DBD!$F:$F,$A107)</f>
        <v/>
      </c>
      <c r="H107" s="17" t="n">
        <v>128</v>
      </c>
      <c r="I107" s="17" t="n">
        <v>38</v>
      </c>
      <c r="J107" s="17" t="n">
        <v>2</v>
      </c>
      <c r="K107" s="17" t="n">
        <v>33</v>
      </c>
      <c r="L107" s="17" t="n">
        <v>0</v>
      </c>
      <c r="M107" s="17" t="inlineStr">
        <is>
          <t>Tinggi</t>
        </is>
      </c>
    </row>
    <row r="108" s="1">
      <c r="A108" s="17">
        <f>RANDBETWEEN(2,164)</f>
        <v/>
      </c>
      <c r="B108" s="17">
        <f t="array" ref="B108">INDEX(Data_DBD!$B:$B,$A108)</f>
        <v/>
      </c>
      <c r="C108" s="17">
        <f t="array" ref="C108">INDEX(Data_DBD!$C:$C,$A108)</f>
        <v/>
      </c>
      <c r="D108" s="17">
        <f t="array" ref="D108">INDEX(Data_DBD!$D:$D,$A108)</f>
        <v/>
      </c>
      <c r="E108" s="17">
        <f t="array" ref="E108">INDEX(Data_DBD!$E:$E,$A108)</f>
        <v/>
      </c>
      <c r="F108" s="17">
        <f t="array" ref="F108">INDEX(Data_DBD!$F:$F,$A108)</f>
        <v/>
      </c>
      <c r="H108" s="17" t="n">
        <v>161</v>
      </c>
      <c r="I108" s="17" t="n">
        <v>12</v>
      </c>
      <c r="J108" s="17" t="n">
        <v>3</v>
      </c>
      <c r="K108" s="17" t="n">
        <v>21</v>
      </c>
      <c r="L108" s="17" t="n">
        <v>1</v>
      </c>
      <c r="M108" s="17" t="inlineStr">
        <is>
          <t>Tinggi</t>
        </is>
      </c>
    </row>
    <row r="109" s="1">
      <c r="A109" s="17">
        <f>RANDBETWEEN(2,164)</f>
        <v/>
      </c>
      <c r="B109" s="17">
        <f t="array" ref="B109">INDEX(Data_DBD!$B:$B,$A109)</f>
        <v/>
      </c>
      <c r="C109" s="17">
        <f t="array" ref="C109">INDEX(Data_DBD!$C:$C,$A109)</f>
        <v/>
      </c>
      <c r="D109" s="17">
        <f t="array" ref="D109">INDEX(Data_DBD!$D:$D,$A109)</f>
        <v/>
      </c>
      <c r="E109" s="17">
        <f t="array" ref="E109">INDEX(Data_DBD!$E:$E,$A109)</f>
        <v/>
      </c>
      <c r="F109" s="17">
        <f t="array" ref="F109">INDEX(Data_DBD!$F:$F,$A109)</f>
        <v/>
      </c>
      <c r="H109" s="17" t="n">
        <v>102</v>
      </c>
      <c r="I109" s="17" t="n">
        <v>41</v>
      </c>
      <c r="J109" s="17" t="n">
        <v>4</v>
      </c>
      <c r="K109" s="17" t="n">
        <v>18</v>
      </c>
      <c r="L109" s="17" t="n">
        <v>0</v>
      </c>
      <c r="M109" s="17" t="inlineStr">
        <is>
          <t>Tinggi</t>
        </is>
      </c>
    </row>
    <row r="110" s="1">
      <c r="A110" s="17">
        <f>RANDBETWEEN(2,164)</f>
        <v/>
      </c>
      <c r="B110" s="17">
        <f t="array" ref="B110">INDEX(Data_DBD!$B:$B,$A110)</f>
        <v/>
      </c>
      <c r="C110" s="17">
        <f t="array" ref="C110">INDEX(Data_DBD!$C:$C,$A110)</f>
        <v/>
      </c>
      <c r="D110" s="17">
        <f t="array" ref="D110">INDEX(Data_DBD!$D:$D,$A110)</f>
        <v/>
      </c>
      <c r="E110" s="17">
        <f t="array" ref="E110">INDEX(Data_DBD!$E:$E,$A110)</f>
        <v/>
      </c>
      <c r="F110" s="17">
        <f t="array" ref="F110">INDEX(Data_DBD!$F:$F,$A110)</f>
        <v/>
      </c>
      <c r="H110" s="17" t="n">
        <v>15</v>
      </c>
      <c r="I110" s="17" t="n">
        <v>21</v>
      </c>
      <c r="J110" s="17" t="n">
        <v>2</v>
      </c>
      <c r="K110" s="17" t="n">
        <v>7</v>
      </c>
      <c r="L110" s="17" t="n">
        <v>0</v>
      </c>
      <c r="M110" s="17" t="inlineStr">
        <is>
          <t>Rendah</t>
        </is>
      </c>
    </row>
    <row r="111" s="1">
      <c r="A111" s="17">
        <f>RANDBETWEEN(2,164)</f>
        <v/>
      </c>
      <c r="B111" s="17">
        <f t="array" ref="B111">INDEX(Data_DBD!$B:$B,$A111)</f>
        <v/>
      </c>
      <c r="C111" s="17">
        <f t="array" ref="C111">INDEX(Data_DBD!$C:$C,$A111)</f>
        <v/>
      </c>
      <c r="D111" s="17">
        <f t="array" ref="D111">INDEX(Data_DBD!$D:$D,$A111)</f>
        <v/>
      </c>
      <c r="E111" s="17">
        <f t="array" ref="E111">INDEX(Data_DBD!$E:$E,$A111)</f>
        <v/>
      </c>
      <c r="F111" s="17">
        <f t="array" ref="F111">INDEX(Data_DBD!$F:$F,$A111)</f>
        <v/>
      </c>
      <c r="H111" s="17" t="n">
        <v>154</v>
      </c>
      <c r="I111" s="17" t="n">
        <v>18</v>
      </c>
      <c r="J111" s="17" t="n">
        <v>5</v>
      </c>
      <c r="K111" s="17" t="n">
        <v>21</v>
      </c>
      <c r="L111" s="17" t="n">
        <v>1</v>
      </c>
      <c r="M111" s="17" t="inlineStr">
        <is>
          <t>Tinggi</t>
        </is>
      </c>
    </row>
    <row r="112" s="1">
      <c r="A112" s="17">
        <f>RANDBETWEEN(2,164)</f>
        <v/>
      </c>
      <c r="B112" s="17">
        <f t="array" ref="B112">INDEX(Data_DBD!$B:$B,$A112)</f>
        <v/>
      </c>
      <c r="C112" s="17">
        <f t="array" ref="C112">INDEX(Data_DBD!$C:$C,$A112)</f>
        <v/>
      </c>
      <c r="D112" s="17">
        <f t="array" ref="D112">INDEX(Data_DBD!$D:$D,$A112)</f>
        <v/>
      </c>
      <c r="E112" s="17">
        <f t="array" ref="E112">INDEX(Data_DBD!$E:$E,$A112)</f>
        <v/>
      </c>
      <c r="F112" s="17">
        <f t="array" ref="F112">INDEX(Data_DBD!$F:$F,$A112)</f>
        <v/>
      </c>
      <c r="H112" s="17" t="n">
        <v>64</v>
      </c>
      <c r="I112" s="17" t="n">
        <v>35</v>
      </c>
      <c r="J112" s="17" t="n">
        <v>1</v>
      </c>
      <c r="K112" s="17" t="n">
        <v>15</v>
      </c>
      <c r="L112" s="17" t="n">
        <v>0</v>
      </c>
      <c r="M112" s="17" t="inlineStr">
        <is>
          <t>Sedang</t>
        </is>
      </c>
    </row>
    <row r="113" s="1">
      <c r="A113" s="17">
        <f>RANDBETWEEN(2,164)</f>
        <v/>
      </c>
      <c r="B113" s="17">
        <f t="array" ref="B113">INDEX(Data_DBD!$B:$B,$A113)</f>
        <v/>
      </c>
      <c r="C113" s="17">
        <f t="array" ref="C113">INDEX(Data_DBD!$C:$C,$A113)</f>
        <v/>
      </c>
      <c r="D113" s="17">
        <f t="array" ref="D113">INDEX(Data_DBD!$D:$D,$A113)</f>
        <v/>
      </c>
      <c r="E113" s="17">
        <f t="array" ref="E113">INDEX(Data_DBD!$E:$E,$A113)</f>
        <v/>
      </c>
      <c r="F113" s="17">
        <f t="array" ref="F113">INDEX(Data_DBD!$F:$F,$A113)</f>
        <v/>
      </c>
      <c r="H113" s="17" t="n">
        <v>27</v>
      </c>
      <c r="I113" s="17" t="n">
        <v>37</v>
      </c>
      <c r="J113" s="17" t="n">
        <v>4</v>
      </c>
      <c r="K113" s="17" t="n">
        <v>14</v>
      </c>
      <c r="L113" s="17" t="n">
        <v>1</v>
      </c>
      <c r="M113" s="17" t="inlineStr">
        <is>
          <t>Sedang</t>
        </is>
      </c>
    </row>
    <row r="114" s="1">
      <c r="A114" s="17">
        <f>RANDBETWEEN(2,164)</f>
        <v/>
      </c>
      <c r="B114" s="17">
        <f t="array" ref="B114">INDEX(Data_DBD!$B:$B,$A114)</f>
        <v/>
      </c>
      <c r="C114" s="17">
        <f t="array" ref="C114">INDEX(Data_DBD!$C:$C,$A114)</f>
        <v/>
      </c>
      <c r="D114" s="17">
        <f t="array" ref="D114">INDEX(Data_DBD!$D:$D,$A114)</f>
        <v/>
      </c>
      <c r="E114" s="17">
        <f t="array" ref="E114">INDEX(Data_DBD!$E:$E,$A114)</f>
        <v/>
      </c>
      <c r="F114" s="17">
        <f t="array" ref="F114">INDEX(Data_DBD!$F:$F,$A114)</f>
        <v/>
      </c>
      <c r="H114" s="17" t="n">
        <v>84</v>
      </c>
      <c r="I114" s="17" t="n">
        <v>42</v>
      </c>
      <c r="J114" s="17" t="n">
        <v>4</v>
      </c>
      <c r="K114" s="17" t="n">
        <v>13</v>
      </c>
      <c r="L114" s="17" t="n">
        <v>1</v>
      </c>
      <c r="M114" s="17" t="inlineStr">
        <is>
          <t>Sedang</t>
        </is>
      </c>
    </row>
    <row r="115" s="1">
      <c r="A115" s="17">
        <f>RANDBETWEEN(2,164)</f>
        <v/>
      </c>
      <c r="B115" s="17">
        <f t="array" ref="B115">INDEX(Data_DBD!$B:$B,$A115)</f>
        <v/>
      </c>
      <c r="C115" s="17">
        <f t="array" ref="C115">INDEX(Data_DBD!$C:$C,$A115)</f>
        <v/>
      </c>
      <c r="D115" s="17">
        <f t="array" ref="D115">INDEX(Data_DBD!$D:$D,$A115)</f>
        <v/>
      </c>
      <c r="E115" s="17">
        <f t="array" ref="E115">INDEX(Data_DBD!$E:$E,$A115)</f>
        <v/>
      </c>
      <c r="F115" s="17">
        <f t="array" ref="F115">INDEX(Data_DBD!$F:$F,$A115)</f>
        <v/>
      </c>
      <c r="H115" s="17" t="n">
        <v>35</v>
      </c>
      <c r="I115" s="17" t="n">
        <v>40</v>
      </c>
      <c r="J115" s="17" t="n">
        <v>3</v>
      </c>
      <c r="K115" s="17" t="n">
        <v>4</v>
      </c>
      <c r="L115" s="17" t="n">
        <v>1</v>
      </c>
      <c r="M115" s="17" t="inlineStr">
        <is>
          <t>Rendah</t>
        </is>
      </c>
    </row>
    <row r="116" s="1">
      <c r="A116" s="17">
        <f>RANDBETWEEN(2,164)</f>
        <v/>
      </c>
      <c r="B116" s="17">
        <f t="array" ref="B116">INDEX(Data_DBD!$B:$B,$A116)</f>
        <v/>
      </c>
      <c r="C116" s="17">
        <f t="array" ref="C116">INDEX(Data_DBD!$C:$C,$A116)</f>
        <v/>
      </c>
      <c r="D116" s="17">
        <f t="array" ref="D116">INDEX(Data_DBD!$D:$D,$A116)</f>
        <v/>
      </c>
      <c r="E116" s="17">
        <f t="array" ref="E116">INDEX(Data_DBD!$E:$E,$A116)</f>
        <v/>
      </c>
      <c r="F116" s="17">
        <f t="array" ref="F116">INDEX(Data_DBD!$F:$F,$A116)</f>
        <v/>
      </c>
      <c r="H116" s="17" t="n">
        <v>78</v>
      </c>
      <c r="I116" s="17" t="n">
        <v>6</v>
      </c>
      <c r="J116" s="17" t="n">
        <v>3</v>
      </c>
      <c r="K116" s="17" t="n">
        <v>13</v>
      </c>
      <c r="L116" s="17" t="n">
        <v>0</v>
      </c>
      <c r="M116" s="17" t="inlineStr">
        <is>
          <t>Sedang</t>
        </is>
      </c>
    </row>
    <row r="117" s="1">
      <c r="A117" s="17">
        <f>RANDBETWEEN(2,164)</f>
        <v/>
      </c>
      <c r="B117" s="17">
        <f t="array" ref="B117">INDEX(Data_DBD!$B:$B,$A117)</f>
        <v/>
      </c>
      <c r="C117" s="17">
        <f t="array" ref="C117">INDEX(Data_DBD!$C:$C,$A117)</f>
        <v/>
      </c>
      <c r="D117" s="17">
        <f t="array" ref="D117">INDEX(Data_DBD!$D:$D,$A117)</f>
        <v/>
      </c>
      <c r="E117" s="17">
        <f t="array" ref="E117">INDEX(Data_DBD!$E:$E,$A117)</f>
        <v/>
      </c>
      <c r="F117" s="17">
        <f t="array" ref="F117">INDEX(Data_DBD!$F:$F,$A117)</f>
        <v/>
      </c>
      <c r="H117" s="17" t="n">
        <v>28</v>
      </c>
      <c r="I117" s="17" t="n">
        <v>22</v>
      </c>
      <c r="J117" s="17" t="n">
        <v>2</v>
      </c>
      <c r="K117" s="17" t="n">
        <v>14</v>
      </c>
      <c r="L117" s="17" t="n">
        <v>1</v>
      </c>
      <c r="M117" s="17" t="inlineStr">
        <is>
          <t>Sedang</t>
        </is>
      </c>
    </row>
    <row r="118" s="1">
      <c r="A118" s="17">
        <f>RANDBETWEEN(2,164)</f>
        <v/>
      </c>
      <c r="B118" s="17">
        <f t="array" ref="B118">INDEX(Data_DBD!$B:$B,$A118)</f>
        <v/>
      </c>
      <c r="C118" s="17">
        <f t="array" ref="C118">INDEX(Data_DBD!$C:$C,$A118)</f>
        <v/>
      </c>
      <c r="D118" s="17">
        <f t="array" ref="D118">INDEX(Data_DBD!$D:$D,$A118)</f>
        <v/>
      </c>
      <c r="E118" s="17">
        <f t="array" ref="E118">INDEX(Data_DBD!$E:$E,$A118)</f>
        <v/>
      </c>
      <c r="F118" s="17">
        <f t="array" ref="F118">INDEX(Data_DBD!$F:$F,$A118)</f>
        <v/>
      </c>
      <c r="H118" s="17" t="n">
        <v>100</v>
      </c>
      <c r="I118" s="17" t="n">
        <v>19</v>
      </c>
      <c r="J118" s="17" t="n">
        <v>6</v>
      </c>
      <c r="K118" s="17" t="n">
        <v>18</v>
      </c>
      <c r="L118" s="17" t="n">
        <v>0</v>
      </c>
      <c r="M118" s="17" t="inlineStr">
        <is>
          <t>Tinggi</t>
        </is>
      </c>
    </row>
    <row r="119" s="1">
      <c r="A119" s="17">
        <f>RANDBETWEEN(2,164)</f>
        <v/>
      </c>
      <c r="B119" s="17">
        <f t="array" ref="B119">INDEX(Data_DBD!$B:$B,$A119)</f>
        <v/>
      </c>
      <c r="C119" s="17">
        <f t="array" ref="C119">INDEX(Data_DBD!$C:$C,$A119)</f>
        <v/>
      </c>
      <c r="D119" s="17">
        <f t="array" ref="D119">INDEX(Data_DBD!$D:$D,$A119)</f>
        <v/>
      </c>
      <c r="E119" s="17">
        <f t="array" ref="E119">INDEX(Data_DBD!$E:$E,$A119)</f>
        <v/>
      </c>
      <c r="F119" s="17">
        <f t="array" ref="F119">INDEX(Data_DBD!$F:$F,$A119)</f>
        <v/>
      </c>
      <c r="H119" s="17" t="n">
        <v>13</v>
      </c>
      <c r="I119" s="17" t="n">
        <v>47</v>
      </c>
      <c r="J119" s="17" t="n">
        <v>2</v>
      </c>
      <c r="K119" s="17" t="n">
        <v>12</v>
      </c>
      <c r="L119" s="17" t="n">
        <v>0</v>
      </c>
      <c r="M119" s="17" t="inlineStr">
        <is>
          <t>Sedang</t>
        </is>
      </c>
    </row>
    <row r="120" s="1">
      <c r="A120" s="17">
        <f>RANDBETWEEN(2,164)</f>
        <v/>
      </c>
      <c r="B120" s="17">
        <f t="array" ref="B120">INDEX(Data_DBD!$B:$B,$A120)</f>
        <v/>
      </c>
      <c r="C120" s="17">
        <f t="array" ref="C120">INDEX(Data_DBD!$C:$C,$A120)</f>
        <v/>
      </c>
      <c r="D120" s="17">
        <f t="array" ref="D120">INDEX(Data_DBD!$D:$D,$A120)</f>
        <v/>
      </c>
      <c r="E120" s="17">
        <f t="array" ref="E120">INDEX(Data_DBD!$E:$E,$A120)</f>
        <v/>
      </c>
      <c r="F120" s="17">
        <f t="array" ref="F120">INDEX(Data_DBD!$F:$F,$A120)</f>
        <v/>
      </c>
      <c r="H120" s="17" t="n">
        <v>159</v>
      </c>
      <c r="I120" s="17" t="n">
        <v>17</v>
      </c>
      <c r="J120" s="17" t="n">
        <v>2</v>
      </c>
      <c r="K120" s="17" t="n">
        <v>21</v>
      </c>
      <c r="L120" s="17" t="n">
        <v>0</v>
      </c>
      <c r="M120" s="17" t="inlineStr">
        <is>
          <t>Tinggi</t>
        </is>
      </c>
    </row>
    <row r="121" s="1">
      <c r="A121" s="17">
        <f>RANDBETWEEN(2,164)</f>
        <v/>
      </c>
      <c r="B121" s="17">
        <f t="array" ref="B121">INDEX(Data_DBD!$B:$B,$A121)</f>
        <v/>
      </c>
      <c r="C121" s="17">
        <f t="array" ref="C121">INDEX(Data_DBD!$C:$C,$A121)</f>
        <v/>
      </c>
      <c r="D121" s="17">
        <f t="array" ref="D121">INDEX(Data_DBD!$D:$D,$A121)</f>
        <v/>
      </c>
      <c r="E121" s="17">
        <f t="array" ref="E121">INDEX(Data_DBD!$E:$E,$A121)</f>
        <v/>
      </c>
      <c r="F121" s="17">
        <f t="array" ref="F121">INDEX(Data_DBD!$F:$F,$A121)</f>
        <v/>
      </c>
      <c r="H121" s="17" t="n">
        <v>116</v>
      </c>
      <c r="I121" s="17" t="n">
        <v>32</v>
      </c>
      <c r="J121" s="17" t="n">
        <v>4</v>
      </c>
      <c r="K121" s="17" t="n">
        <v>33</v>
      </c>
      <c r="L121" s="17" t="n">
        <v>1</v>
      </c>
      <c r="M121" s="17" t="inlineStr">
        <is>
          <t>Tinggi</t>
        </is>
      </c>
    </row>
    <row r="122" s="1">
      <c r="A122" s="17">
        <f>RANDBETWEEN(2,164)</f>
        <v/>
      </c>
      <c r="B122" s="17">
        <f t="array" ref="B122">INDEX(Data_DBD!$B:$B,$A122)</f>
        <v/>
      </c>
      <c r="C122" s="17">
        <f t="array" ref="C122">INDEX(Data_DBD!$C:$C,$A122)</f>
        <v/>
      </c>
      <c r="D122" s="17">
        <f t="array" ref="D122">INDEX(Data_DBD!$D:$D,$A122)</f>
        <v/>
      </c>
      <c r="E122" s="17">
        <f t="array" ref="E122">INDEX(Data_DBD!$E:$E,$A122)</f>
        <v/>
      </c>
      <c r="F122" s="17">
        <f t="array" ref="F122">INDEX(Data_DBD!$F:$F,$A122)</f>
        <v/>
      </c>
      <c r="H122" s="17" t="n">
        <v>86</v>
      </c>
      <c r="I122" s="17" t="n">
        <v>23</v>
      </c>
      <c r="J122" s="17" t="n">
        <v>3</v>
      </c>
      <c r="K122" s="17" t="n">
        <v>13</v>
      </c>
      <c r="L122" s="17" t="n">
        <v>0</v>
      </c>
      <c r="M122" s="17" t="inlineStr">
        <is>
          <t>Sedang</t>
        </is>
      </c>
    </row>
    <row r="123" s="1">
      <c r="A123" s="17">
        <f>RANDBETWEEN(2,164)</f>
        <v/>
      </c>
      <c r="B123" s="17">
        <f t="array" ref="B123">INDEX(Data_DBD!$B:$B,$A123)</f>
        <v/>
      </c>
      <c r="C123" s="17">
        <f t="array" ref="C123">INDEX(Data_DBD!$C:$C,$A123)</f>
        <v/>
      </c>
      <c r="D123" s="17">
        <f t="array" ref="D123">INDEX(Data_DBD!$D:$D,$A123)</f>
        <v/>
      </c>
      <c r="E123" s="17">
        <f t="array" ref="E123">INDEX(Data_DBD!$E:$E,$A123)</f>
        <v/>
      </c>
      <c r="F123" s="17">
        <f t="array" ref="F123">INDEX(Data_DBD!$F:$F,$A123)</f>
        <v/>
      </c>
      <c r="H123" s="17" t="n">
        <v>52</v>
      </c>
      <c r="I123" s="17" t="n">
        <v>59</v>
      </c>
      <c r="J123" s="17" t="n">
        <v>4</v>
      </c>
      <c r="K123" s="17" t="n">
        <v>15</v>
      </c>
      <c r="L123" s="17" t="n">
        <v>1</v>
      </c>
      <c r="M123" s="17" t="inlineStr">
        <is>
          <t>Sedang</t>
        </is>
      </c>
    </row>
    <row r="124" s="1">
      <c r="A124" s="17">
        <f>RANDBETWEEN(2,164)</f>
        <v/>
      </c>
      <c r="B124" s="17">
        <f t="array" ref="B124">INDEX(Data_DBD!$B:$B,$A124)</f>
        <v/>
      </c>
      <c r="C124" s="17">
        <f t="array" ref="C124">INDEX(Data_DBD!$C:$C,$A124)</f>
        <v/>
      </c>
      <c r="D124" s="17">
        <f t="array" ref="D124">INDEX(Data_DBD!$D:$D,$A124)</f>
        <v/>
      </c>
      <c r="E124" s="17">
        <f t="array" ref="E124">INDEX(Data_DBD!$E:$E,$A124)</f>
        <v/>
      </c>
      <c r="F124" s="17">
        <f t="array" ref="F124">INDEX(Data_DBD!$F:$F,$A124)</f>
        <v/>
      </c>
      <c r="H124" s="17" t="n">
        <v>91</v>
      </c>
      <c r="I124" s="17" t="n">
        <v>35</v>
      </c>
      <c r="J124" s="17" t="n">
        <v>1</v>
      </c>
      <c r="K124" s="17" t="n">
        <v>18</v>
      </c>
      <c r="L124" s="17" t="n">
        <v>1</v>
      </c>
      <c r="M124" s="17" t="inlineStr">
        <is>
          <t>Tinggi</t>
        </is>
      </c>
    </row>
    <row r="125" s="1">
      <c r="A125" s="17">
        <f>RANDBETWEEN(2,164)</f>
        <v/>
      </c>
      <c r="B125" s="17">
        <f t="array" ref="B125">INDEX(Data_DBD!$B:$B,$A125)</f>
        <v/>
      </c>
      <c r="C125" s="17">
        <f t="array" ref="C125">INDEX(Data_DBD!$C:$C,$A125)</f>
        <v/>
      </c>
      <c r="D125" s="17">
        <f t="array" ref="D125">INDEX(Data_DBD!$D:$D,$A125)</f>
        <v/>
      </c>
      <c r="E125" s="17">
        <f t="array" ref="E125">INDEX(Data_DBD!$E:$E,$A125)</f>
        <v/>
      </c>
      <c r="F125" s="17">
        <f t="array" ref="F125">INDEX(Data_DBD!$F:$F,$A125)</f>
        <v/>
      </c>
      <c r="H125" s="17" t="n">
        <v>47</v>
      </c>
      <c r="I125" s="17" t="n">
        <v>19</v>
      </c>
      <c r="J125" s="17" t="n">
        <v>2</v>
      </c>
      <c r="K125" s="17" t="n">
        <v>13</v>
      </c>
      <c r="L125" s="17" t="n">
        <v>0</v>
      </c>
      <c r="M125" s="17" t="inlineStr">
        <is>
          <t>Sedang</t>
        </is>
      </c>
    </row>
    <row r="126" s="1">
      <c r="A126" s="17">
        <f>RANDBETWEEN(2,164)</f>
        <v/>
      </c>
      <c r="B126" s="17">
        <f t="array" ref="B126">INDEX(Data_DBD!$B:$B,$A126)</f>
        <v/>
      </c>
      <c r="C126" s="17">
        <f t="array" ref="C126">INDEX(Data_DBD!$C:$C,$A126)</f>
        <v/>
      </c>
      <c r="D126" s="17">
        <f t="array" ref="D126">INDEX(Data_DBD!$D:$D,$A126)</f>
        <v/>
      </c>
      <c r="E126" s="17">
        <f t="array" ref="E126">INDEX(Data_DBD!$E:$E,$A126)</f>
        <v/>
      </c>
      <c r="F126" s="17">
        <f t="array" ref="F126">INDEX(Data_DBD!$F:$F,$A126)</f>
        <v/>
      </c>
      <c r="H126" s="17" t="n">
        <v>56</v>
      </c>
      <c r="I126" s="17" t="n">
        <v>4</v>
      </c>
      <c r="J126" s="17" t="n">
        <v>3</v>
      </c>
      <c r="K126" s="17" t="n">
        <v>15</v>
      </c>
      <c r="L126" s="17" t="n">
        <v>0</v>
      </c>
      <c r="M126" s="17" t="inlineStr">
        <is>
          <t>Sedang</t>
        </is>
      </c>
    </row>
    <row r="127" s="1">
      <c r="A127" s="17">
        <f>RANDBETWEEN(2,164)</f>
        <v/>
      </c>
      <c r="B127" s="17">
        <f t="array" ref="B127">INDEX(Data_DBD!$B:$B,$A127)</f>
        <v/>
      </c>
      <c r="C127" s="17">
        <f t="array" ref="C127">INDEX(Data_DBD!$C:$C,$A127)</f>
        <v/>
      </c>
      <c r="D127" s="17">
        <f t="array" ref="D127">INDEX(Data_DBD!$D:$D,$A127)</f>
        <v/>
      </c>
      <c r="E127" s="17">
        <f t="array" ref="E127">INDEX(Data_DBD!$E:$E,$A127)</f>
        <v/>
      </c>
      <c r="F127" s="17">
        <f t="array" ref="F127">INDEX(Data_DBD!$F:$F,$A127)</f>
        <v/>
      </c>
      <c r="H127" s="17" t="n">
        <v>97</v>
      </c>
      <c r="I127" s="17" t="n">
        <v>16</v>
      </c>
      <c r="J127" s="17" t="n">
        <v>2</v>
      </c>
      <c r="K127" s="17" t="n">
        <v>18</v>
      </c>
      <c r="L127" s="17" t="n">
        <v>1</v>
      </c>
      <c r="M127" s="17" t="inlineStr">
        <is>
          <t>Tinggi</t>
        </is>
      </c>
    </row>
    <row r="128" s="1">
      <c r="A128" s="17">
        <f>RANDBETWEEN(2,164)</f>
        <v/>
      </c>
      <c r="B128" s="17">
        <f t="array" ref="B128">INDEX(Data_DBD!$B:$B,$A128)</f>
        <v/>
      </c>
      <c r="C128" s="17">
        <f t="array" ref="C128">INDEX(Data_DBD!$C:$C,$A128)</f>
        <v/>
      </c>
      <c r="D128" s="17">
        <f t="array" ref="D128">INDEX(Data_DBD!$D:$D,$A128)</f>
        <v/>
      </c>
      <c r="E128" s="17">
        <f t="array" ref="E128">INDEX(Data_DBD!$E:$E,$A128)</f>
        <v/>
      </c>
      <c r="F128" s="17">
        <f t="array" ref="F128">INDEX(Data_DBD!$F:$F,$A128)</f>
        <v/>
      </c>
      <c r="H128" s="17" t="n">
        <v>96</v>
      </c>
      <c r="I128" s="17" t="n">
        <v>56</v>
      </c>
      <c r="J128" s="17" t="n">
        <v>4</v>
      </c>
      <c r="K128" s="17" t="n">
        <v>18</v>
      </c>
      <c r="L128" s="17" t="n">
        <v>0</v>
      </c>
      <c r="M128" s="17" t="inlineStr">
        <is>
          <t>Tinggi</t>
        </is>
      </c>
    </row>
    <row r="129" s="1">
      <c r="A129" s="17">
        <f>RANDBETWEEN(2,164)</f>
        <v/>
      </c>
      <c r="B129" s="17">
        <f t="array" ref="B129">INDEX(Data_DBD!$B:$B,$A129)</f>
        <v/>
      </c>
      <c r="C129" s="17">
        <f t="array" ref="C129">INDEX(Data_DBD!$C:$C,$A129)</f>
        <v/>
      </c>
      <c r="D129" s="17">
        <f t="array" ref="D129">INDEX(Data_DBD!$D:$D,$A129)</f>
        <v/>
      </c>
      <c r="E129" s="17">
        <f t="array" ref="E129">INDEX(Data_DBD!$E:$E,$A129)</f>
        <v/>
      </c>
      <c r="F129" s="17">
        <f t="array" ref="F129">INDEX(Data_DBD!$F:$F,$A129)</f>
        <v/>
      </c>
      <c r="H129" s="17" t="n">
        <v>20</v>
      </c>
      <c r="I129" s="17" t="n">
        <v>15</v>
      </c>
      <c r="J129" s="17" t="n">
        <v>5</v>
      </c>
      <c r="K129" s="17" t="n">
        <v>7</v>
      </c>
      <c r="L129" s="17" t="n">
        <v>0</v>
      </c>
      <c r="M129" s="17" t="inlineStr">
        <is>
          <t>Rendah</t>
        </is>
      </c>
    </row>
    <row r="130" s="1">
      <c r="A130" s="17">
        <f>RANDBETWEEN(2,164)</f>
        <v/>
      </c>
      <c r="B130" s="17">
        <f t="array" ref="B130">INDEX(Data_DBD!$B:$B,$A130)</f>
        <v/>
      </c>
      <c r="C130" s="17">
        <f t="array" ref="C130">INDEX(Data_DBD!$C:$C,$A130)</f>
        <v/>
      </c>
      <c r="D130" s="17">
        <f t="array" ref="D130">INDEX(Data_DBD!$D:$D,$A130)</f>
        <v/>
      </c>
      <c r="E130" s="17">
        <f t="array" ref="E130">INDEX(Data_DBD!$E:$E,$A130)</f>
        <v/>
      </c>
      <c r="F130" s="17">
        <f t="array" ref="F130">INDEX(Data_DBD!$F:$F,$A130)</f>
        <v/>
      </c>
      <c r="H130" s="17" t="n">
        <v>119</v>
      </c>
      <c r="I130" s="17" t="n">
        <v>30</v>
      </c>
      <c r="J130" s="17" t="n">
        <v>7</v>
      </c>
      <c r="K130" s="17" t="n">
        <v>33</v>
      </c>
      <c r="L130" s="17" t="n">
        <v>0</v>
      </c>
      <c r="M130" s="17" t="inlineStr">
        <is>
          <t>Tinggi</t>
        </is>
      </c>
    </row>
    <row r="131" s="1">
      <c r="A131" s="17">
        <f>RANDBETWEEN(2,164)</f>
        <v/>
      </c>
      <c r="B131" s="17">
        <f t="array" ref="B131">INDEX(Data_DBD!$B:$B,$A131)</f>
        <v/>
      </c>
      <c r="C131" s="17">
        <f t="array" ref="C131">INDEX(Data_DBD!$C:$C,$A131)</f>
        <v/>
      </c>
      <c r="D131" s="17">
        <f t="array" ref="D131">INDEX(Data_DBD!$D:$D,$A131)</f>
        <v/>
      </c>
      <c r="E131" s="17">
        <f t="array" ref="E131">INDEX(Data_DBD!$E:$E,$A131)</f>
        <v/>
      </c>
      <c r="F131" s="17">
        <f t="array" ref="F131">INDEX(Data_DBD!$F:$F,$A131)</f>
        <v/>
      </c>
      <c r="H131" s="17" t="n">
        <v>58</v>
      </c>
      <c r="I131" s="17" t="n">
        <v>17</v>
      </c>
      <c r="J131" s="17" t="n">
        <v>3</v>
      </c>
      <c r="K131" s="17" t="n">
        <v>15</v>
      </c>
      <c r="L131" s="17" t="n">
        <v>0</v>
      </c>
      <c r="M131" s="17" t="inlineStr">
        <is>
          <t>Sedang</t>
        </is>
      </c>
    </row>
    <row r="132" s="1">
      <c r="A132" s="17">
        <f>RANDBETWEEN(2,164)</f>
        <v/>
      </c>
      <c r="B132" s="17">
        <f t="array" ref="B132">INDEX(Data_DBD!$B:$B,$A132)</f>
        <v/>
      </c>
      <c r="C132" s="17">
        <f t="array" ref="C132">INDEX(Data_DBD!$C:$C,$A132)</f>
        <v/>
      </c>
      <c r="D132" s="17">
        <f t="array" ref="D132">INDEX(Data_DBD!$D:$D,$A132)</f>
        <v/>
      </c>
      <c r="E132" s="17">
        <f t="array" ref="E132">INDEX(Data_DBD!$E:$E,$A132)</f>
        <v/>
      </c>
      <c r="F132" s="17">
        <f t="array" ref="F132">INDEX(Data_DBD!$F:$F,$A132)</f>
        <v/>
      </c>
      <c r="H132" s="17" t="n">
        <v>138</v>
      </c>
      <c r="I132" s="17" t="n">
        <v>13</v>
      </c>
      <c r="J132" s="17" t="n">
        <v>3</v>
      </c>
      <c r="K132" s="17" t="n">
        <v>33</v>
      </c>
      <c r="L132" s="17" t="n">
        <v>1</v>
      </c>
      <c r="M132" s="17" t="inlineStr">
        <is>
          <t>Tinggi</t>
        </is>
      </c>
    </row>
    <row r="133" s="1">
      <c r="A133" s="17">
        <f>RANDBETWEEN(2,164)</f>
        <v/>
      </c>
      <c r="B133" s="17">
        <f t="array" ref="B133">INDEX(Data_DBD!$B:$B,$A133)</f>
        <v/>
      </c>
      <c r="C133" s="17">
        <f t="array" ref="C133">INDEX(Data_DBD!$C:$C,$A133)</f>
        <v/>
      </c>
      <c r="D133" s="17">
        <f t="array" ref="D133">INDEX(Data_DBD!$D:$D,$A133)</f>
        <v/>
      </c>
      <c r="E133" s="17">
        <f t="array" ref="E133">INDEX(Data_DBD!$E:$E,$A133)</f>
        <v/>
      </c>
      <c r="F133" s="17">
        <f t="array" ref="F133">INDEX(Data_DBD!$F:$F,$A133)</f>
        <v/>
      </c>
      <c r="H133" s="17" t="n">
        <v>5</v>
      </c>
      <c r="I133" s="17" t="n">
        <v>18</v>
      </c>
      <c r="J133" s="17" t="n">
        <v>2</v>
      </c>
      <c r="K133" s="17" t="n">
        <v>12</v>
      </c>
      <c r="L133" s="17" t="n">
        <v>1</v>
      </c>
      <c r="M133" s="17" t="inlineStr">
        <is>
          <t>Sedang</t>
        </is>
      </c>
    </row>
    <row r="134" s="1">
      <c r="A134" s="17">
        <f>RANDBETWEEN(2,164)</f>
        <v/>
      </c>
      <c r="B134" s="17">
        <f t="array" ref="B134">INDEX(Data_DBD!$B:$B,$A134)</f>
        <v/>
      </c>
      <c r="C134" s="17">
        <f t="array" ref="C134">INDEX(Data_DBD!$C:$C,$A134)</f>
        <v/>
      </c>
      <c r="D134" s="17">
        <f t="array" ref="D134">INDEX(Data_DBD!$D:$D,$A134)</f>
        <v/>
      </c>
      <c r="E134" s="17">
        <f t="array" ref="E134">INDEX(Data_DBD!$E:$E,$A134)</f>
        <v/>
      </c>
      <c r="F134" s="17">
        <f t="array" ref="F134">INDEX(Data_DBD!$F:$F,$A134)</f>
        <v/>
      </c>
      <c r="H134" s="17" t="n">
        <v>36</v>
      </c>
      <c r="I134" s="17" t="n">
        <v>27</v>
      </c>
      <c r="J134" s="17" t="n">
        <v>1</v>
      </c>
      <c r="K134" s="17" t="n">
        <v>4</v>
      </c>
      <c r="L134" s="17" t="n">
        <v>1</v>
      </c>
      <c r="M134" s="17" t="inlineStr">
        <is>
          <t>Rendah</t>
        </is>
      </c>
    </row>
    <row r="135" s="1">
      <c r="A135" s="17">
        <f>RANDBETWEEN(2,164)</f>
        <v/>
      </c>
      <c r="B135" s="17">
        <f t="array" ref="B135">INDEX(Data_DBD!$B:$B,$A135)</f>
        <v/>
      </c>
      <c r="C135" s="17">
        <f t="array" ref="C135">INDEX(Data_DBD!$C:$C,$A135)</f>
        <v/>
      </c>
      <c r="D135" s="17">
        <f t="array" ref="D135">INDEX(Data_DBD!$D:$D,$A135)</f>
        <v/>
      </c>
      <c r="E135" s="17">
        <f t="array" ref="E135">INDEX(Data_DBD!$E:$E,$A135)</f>
        <v/>
      </c>
      <c r="F135" s="17">
        <f t="array" ref="F135">INDEX(Data_DBD!$F:$F,$A135)</f>
        <v/>
      </c>
      <c r="H135" s="17" t="n">
        <v>11</v>
      </c>
      <c r="I135" s="17" t="n">
        <v>24</v>
      </c>
      <c r="J135" s="17" t="n">
        <v>5</v>
      </c>
      <c r="K135" s="17" t="n">
        <v>12</v>
      </c>
      <c r="L135" s="17" t="n">
        <v>1</v>
      </c>
      <c r="M135" s="17" t="inlineStr">
        <is>
          <t>Sedang</t>
        </is>
      </c>
    </row>
    <row r="136" s="1">
      <c r="A136" s="17">
        <f>RANDBETWEEN(2,164)</f>
        <v/>
      </c>
      <c r="B136" s="17">
        <f t="array" ref="B136">INDEX(Data_DBD!$B:$B,$A136)</f>
        <v/>
      </c>
      <c r="C136" s="17">
        <f t="array" ref="C136">INDEX(Data_DBD!$C:$C,$A136)</f>
        <v/>
      </c>
      <c r="D136" s="17">
        <f t="array" ref="D136">INDEX(Data_DBD!$D:$D,$A136)</f>
        <v/>
      </c>
      <c r="E136" s="17">
        <f t="array" ref="E136">INDEX(Data_DBD!$E:$E,$A136)</f>
        <v/>
      </c>
      <c r="F136" s="17">
        <f t="array" ref="F136">INDEX(Data_DBD!$F:$F,$A136)</f>
        <v/>
      </c>
      <c r="H136" s="17" t="n">
        <v>11</v>
      </c>
      <c r="I136" s="17" t="n">
        <v>24</v>
      </c>
      <c r="J136" s="17" t="n">
        <v>5</v>
      </c>
      <c r="K136" s="17" t="n">
        <v>12</v>
      </c>
      <c r="L136" s="17" t="n">
        <v>1</v>
      </c>
      <c r="M136" s="17" t="inlineStr">
        <is>
          <t>Sedang</t>
        </is>
      </c>
    </row>
    <row r="137" s="1">
      <c r="A137" s="17">
        <f>RANDBETWEEN(2,164)</f>
        <v/>
      </c>
      <c r="B137" s="17">
        <f t="array" ref="B137">INDEX(Data_DBD!$B:$B,$A137)</f>
        <v/>
      </c>
      <c r="C137" s="17">
        <f t="array" ref="C137">INDEX(Data_DBD!$C:$C,$A137)</f>
        <v/>
      </c>
      <c r="D137" s="17">
        <f t="array" ref="D137">INDEX(Data_DBD!$D:$D,$A137)</f>
        <v/>
      </c>
      <c r="E137" s="17">
        <f t="array" ref="E137">INDEX(Data_DBD!$E:$E,$A137)</f>
        <v/>
      </c>
      <c r="F137" s="17">
        <f t="array" ref="F137">INDEX(Data_DBD!$F:$F,$A137)</f>
        <v/>
      </c>
      <c r="H137" s="17" t="n">
        <v>113</v>
      </c>
      <c r="I137" s="17" t="n">
        <v>69</v>
      </c>
      <c r="J137" s="17" t="n">
        <v>1</v>
      </c>
      <c r="K137" s="17" t="n">
        <v>33</v>
      </c>
      <c r="L137" s="17" t="n">
        <v>1</v>
      </c>
      <c r="M137" s="17" t="inlineStr">
        <is>
          <t>Tinggi</t>
        </is>
      </c>
    </row>
    <row r="138" s="1">
      <c r="A138" s="17">
        <f>RANDBETWEEN(2,164)</f>
        <v/>
      </c>
      <c r="B138" s="17">
        <f t="array" ref="B138">INDEX(Data_DBD!$B:$B,$A138)</f>
        <v/>
      </c>
      <c r="C138" s="17">
        <f t="array" ref="C138">INDEX(Data_DBD!$C:$C,$A138)</f>
        <v/>
      </c>
      <c r="D138" s="17">
        <f t="array" ref="D138">INDEX(Data_DBD!$D:$D,$A138)</f>
        <v/>
      </c>
      <c r="E138" s="17">
        <f t="array" ref="E138">INDEX(Data_DBD!$E:$E,$A138)</f>
        <v/>
      </c>
      <c r="F138" s="17">
        <f t="array" ref="F138">INDEX(Data_DBD!$F:$F,$A138)</f>
        <v/>
      </c>
      <c r="H138" s="17" t="n">
        <v>57</v>
      </c>
      <c r="I138" s="17" t="n">
        <v>2</v>
      </c>
      <c r="J138" s="17" t="n">
        <v>2</v>
      </c>
      <c r="K138" s="17" t="n">
        <v>15</v>
      </c>
      <c r="L138" s="17" t="n">
        <v>1</v>
      </c>
      <c r="M138" s="17" t="inlineStr">
        <is>
          <t>Sedang</t>
        </is>
      </c>
    </row>
    <row r="139" s="1">
      <c r="A139" s="17">
        <f>RANDBETWEEN(2,164)</f>
        <v/>
      </c>
      <c r="B139" s="17">
        <f t="array" ref="B139">INDEX(Data_DBD!$B:$B,$A139)</f>
        <v/>
      </c>
      <c r="C139" s="17">
        <f t="array" ref="C139">INDEX(Data_DBD!$C:$C,$A139)</f>
        <v/>
      </c>
      <c r="D139" s="17">
        <f t="array" ref="D139">INDEX(Data_DBD!$D:$D,$A139)</f>
        <v/>
      </c>
      <c r="E139" s="17">
        <f t="array" ref="E139">INDEX(Data_DBD!$E:$E,$A139)</f>
        <v/>
      </c>
      <c r="F139" s="17">
        <f t="array" ref="F139">INDEX(Data_DBD!$F:$F,$A139)</f>
        <v/>
      </c>
      <c r="H139" s="17" t="n">
        <v>162</v>
      </c>
      <c r="I139" s="17" t="n">
        <v>22</v>
      </c>
      <c r="J139" s="17" t="n">
        <v>3</v>
      </c>
      <c r="K139" s="17" t="n">
        <v>3</v>
      </c>
      <c r="L139" s="17" t="n">
        <v>1</v>
      </c>
      <c r="M139" s="17" t="inlineStr">
        <is>
          <t>Rendah</t>
        </is>
      </c>
    </row>
    <row r="140" s="1">
      <c r="A140" s="17">
        <f>RANDBETWEEN(2,164)</f>
        <v/>
      </c>
      <c r="B140" s="17">
        <f t="array" ref="B140">INDEX(Data_DBD!$B:$B,$A140)</f>
        <v/>
      </c>
      <c r="C140" s="17">
        <f t="array" ref="C140">INDEX(Data_DBD!$C:$C,$A140)</f>
        <v/>
      </c>
      <c r="D140" s="17">
        <f t="array" ref="D140">INDEX(Data_DBD!$D:$D,$A140)</f>
        <v/>
      </c>
      <c r="E140" s="17">
        <f t="array" ref="E140">INDEX(Data_DBD!$E:$E,$A140)</f>
        <v/>
      </c>
      <c r="F140" s="17">
        <f t="array" ref="F140">INDEX(Data_DBD!$F:$F,$A140)</f>
        <v/>
      </c>
      <c r="H140" s="17" t="n">
        <v>92</v>
      </c>
      <c r="I140" s="17" t="n">
        <v>55</v>
      </c>
      <c r="J140" s="17" t="n">
        <v>7</v>
      </c>
      <c r="K140" s="17" t="n">
        <v>18</v>
      </c>
      <c r="L140" s="17" t="n">
        <v>0</v>
      </c>
      <c r="M140" s="17" t="inlineStr">
        <is>
          <t>Tinggi</t>
        </is>
      </c>
    </row>
    <row r="141" s="1">
      <c r="A141" s="17">
        <f>RANDBETWEEN(2,164)</f>
        <v/>
      </c>
      <c r="B141" s="17">
        <f t="array" ref="B141">INDEX(Data_DBD!$B:$B,$A141)</f>
        <v/>
      </c>
      <c r="C141" s="17">
        <f t="array" ref="C141">INDEX(Data_DBD!$C:$C,$A141)</f>
        <v/>
      </c>
      <c r="D141" s="17">
        <f t="array" ref="D141">INDEX(Data_DBD!$D:$D,$A141)</f>
        <v/>
      </c>
      <c r="E141" s="17">
        <f t="array" ref="E141">INDEX(Data_DBD!$E:$E,$A141)</f>
        <v/>
      </c>
      <c r="F141" s="17">
        <f t="array" ref="F141">INDEX(Data_DBD!$F:$F,$A141)</f>
        <v/>
      </c>
      <c r="H141" s="17" t="n">
        <v>89</v>
      </c>
      <c r="I141" s="17" t="n">
        <v>32</v>
      </c>
      <c r="J141" s="17" t="n">
        <v>4</v>
      </c>
      <c r="K141" s="17" t="n">
        <v>13</v>
      </c>
      <c r="L141" s="17" t="n">
        <v>0</v>
      </c>
      <c r="M141" s="17" t="inlineStr">
        <is>
          <t>Sedang</t>
        </is>
      </c>
    </row>
    <row r="142" s="1">
      <c r="A142" s="17">
        <f>RANDBETWEEN(2,164)</f>
        <v/>
      </c>
      <c r="B142" s="17">
        <f t="array" ref="B142">INDEX(Data_DBD!$B:$B,$A142)</f>
        <v/>
      </c>
      <c r="C142" s="17">
        <f t="array" ref="C142">INDEX(Data_DBD!$C:$C,$A142)</f>
        <v/>
      </c>
      <c r="D142" s="17">
        <f t="array" ref="D142">INDEX(Data_DBD!$D:$D,$A142)</f>
        <v/>
      </c>
      <c r="E142" s="17">
        <f t="array" ref="E142">INDEX(Data_DBD!$E:$E,$A142)</f>
        <v/>
      </c>
      <c r="F142" s="17">
        <f t="array" ref="F142">INDEX(Data_DBD!$F:$F,$A142)</f>
        <v/>
      </c>
      <c r="H142" s="17" t="n">
        <v>133</v>
      </c>
      <c r="I142" s="17" t="n">
        <v>6</v>
      </c>
      <c r="J142" s="17" t="n">
        <v>4</v>
      </c>
      <c r="K142" s="17" t="n">
        <v>33</v>
      </c>
      <c r="L142" s="17" t="n">
        <v>0</v>
      </c>
      <c r="M142" s="17" t="inlineStr">
        <is>
          <t>Tinggi</t>
        </is>
      </c>
    </row>
    <row r="143" s="1">
      <c r="A143" s="17">
        <f>RANDBETWEEN(2,164)</f>
        <v/>
      </c>
      <c r="B143" s="17">
        <f t="array" ref="B143">INDEX(Data_DBD!$B:$B,$A143)</f>
        <v/>
      </c>
      <c r="C143" s="17">
        <f t="array" ref="C143">INDEX(Data_DBD!$C:$C,$A143)</f>
        <v/>
      </c>
      <c r="D143" s="17">
        <f t="array" ref="D143">INDEX(Data_DBD!$D:$D,$A143)</f>
        <v/>
      </c>
      <c r="E143" s="17">
        <f t="array" ref="E143">INDEX(Data_DBD!$E:$E,$A143)</f>
        <v/>
      </c>
      <c r="F143" s="17">
        <f t="array" ref="F143">INDEX(Data_DBD!$F:$F,$A143)</f>
        <v/>
      </c>
      <c r="H143" s="17" t="n">
        <v>136</v>
      </c>
      <c r="I143" s="17" t="n">
        <v>6</v>
      </c>
      <c r="J143" s="17" t="n">
        <v>2</v>
      </c>
      <c r="K143" s="17" t="n">
        <v>33</v>
      </c>
      <c r="L143" s="17" t="n">
        <v>0</v>
      </c>
      <c r="M143" s="17" t="inlineStr">
        <is>
          <t>Tinggi</t>
        </is>
      </c>
    </row>
    <row r="144" s="1">
      <c r="A144" s="17">
        <f>RANDBETWEEN(2,164)</f>
        <v/>
      </c>
      <c r="B144" s="17">
        <f t="array" ref="B144">INDEX(Data_DBD!$B:$B,$A144)</f>
        <v/>
      </c>
      <c r="C144" s="17">
        <f t="array" ref="C144">INDEX(Data_DBD!$C:$C,$A144)</f>
        <v/>
      </c>
      <c r="D144" s="17">
        <f t="array" ref="D144">INDEX(Data_DBD!$D:$D,$A144)</f>
        <v/>
      </c>
      <c r="E144" s="17">
        <f t="array" ref="E144">INDEX(Data_DBD!$E:$E,$A144)</f>
        <v/>
      </c>
      <c r="F144" s="17">
        <f t="array" ref="F144">INDEX(Data_DBD!$F:$F,$A144)</f>
        <v/>
      </c>
      <c r="H144" s="17" t="n">
        <v>76</v>
      </c>
      <c r="I144" s="17" t="n">
        <v>70</v>
      </c>
      <c r="J144" s="17" t="n">
        <v>2</v>
      </c>
      <c r="K144" s="17" t="n">
        <v>10</v>
      </c>
      <c r="L144" s="17" t="n">
        <v>0</v>
      </c>
      <c r="M144" s="17" t="inlineStr">
        <is>
          <t>Sedang</t>
        </is>
      </c>
    </row>
    <row r="145" s="1">
      <c r="A145" s="17">
        <f>RANDBETWEEN(2,164)</f>
        <v/>
      </c>
      <c r="B145" s="17">
        <f t="array" ref="B145">INDEX(Data_DBD!$B:$B,$A145)</f>
        <v/>
      </c>
      <c r="C145" s="17">
        <f t="array" ref="C145">INDEX(Data_DBD!$C:$C,$A145)</f>
        <v/>
      </c>
      <c r="D145" s="17">
        <f t="array" ref="D145">INDEX(Data_DBD!$D:$D,$A145)</f>
        <v/>
      </c>
      <c r="E145" s="17">
        <f t="array" ref="E145">INDEX(Data_DBD!$E:$E,$A145)</f>
        <v/>
      </c>
      <c r="F145" s="17">
        <f t="array" ref="F145">INDEX(Data_DBD!$F:$F,$A145)</f>
        <v/>
      </c>
      <c r="H145" s="17" t="n">
        <v>116</v>
      </c>
      <c r="I145" s="17" t="n">
        <v>32</v>
      </c>
      <c r="J145" s="17" t="n">
        <v>4</v>
      </c>
      <c r="K145" s="17" t="n">
        <v>33</v>
      </c>
      <c r="L145" s="17" t="n">
        <v>1</v>
      </c>
      <c r="M145" s="17" t="inlineStr">
        <is>
          <t>Tinggi</t>
        </is>
      </c>
    </row>
    <row r="146" s="1">
      <c r="A146" s="17">
        <f>RANDBETWEEN(2,164)</f>
        <v/>
      </c>
      <c r="B146" s="17">
        <f t="array" ref="B146">INDEX(Data_DBD!$B:$B,$A146)</f>
        <v/>
      </c>
      <c r="C146" s="17">
        <f t="array" ref="C146">INDEX(Data_DBD!$C:$C,$A146)</f>
        <v/>
      </c>
      <c r="D146" s="17">
        <f t="array" ref="D146">INDEX(Data_DBD!$D:$D,$A146)</f>
        <v/>
      </c>
      <c r="E146" s="17">
        <f t="array" ref="E146">INDEX(Data_DBD!$E:$E,$A146)</f>
        <v/>
      </c>
      <c r="F146" s="17">
        <f t="array" ref="F146">INDEX(Data_DBD!$F:$F,$A146)</f>
        <v/>
      </c>
      <c r="H146" s="17" t="n">
        <v>25</v>
      </c>
      <c r="I146" s="17" t="n">
        <v>81</v>
      </c>
      <c r="J146" s="17" t="n">
        <v>5</v>
      </c>
      <c r="K146" s="17" t="n">
        <v>14</v>
      </c>
      <c r="L146" s="17" t="n">
        <v>0</v>
      </c>
      <c r="M146" s="17" t="inlineStr">
        <is>
          <t>Sedang</t>
        </is>
      </c>
    </row>
    <row r="147" s="1">
      <c r="A147" s="17">
        <f>RANDBETWEEN(2,164)</f>
        <v/>
      </c>
      <c r="B147" s="17">
        <f t="array" ref="B147">INDEX(Data_DBD!$B:$B,$A147)</f>
        <v/>
      </c>
      <c r="C147" s="17">
        <f t="array" ref="C147">INDEX(Data_DBD!$C:$C,$A147)</f>
        <v/>
      </c>
      <c r="D147" s="17">
        <f t="array" ref="D147">INDEX(Data_DBD!$D:$D,$A147)</f>
        <v/>
      </c>
      <c r="E147" s="17">
        <f t="array" ref="E147">INDEX(Data_DBD!$E:$E,$A147)</f>
        <v/>
      </c>
      <c r="F147" s="17">
        <f t="array" ref="F147">INDEX(Data_DBD!$F:$F,$A147)</f>
        <v/>
      </c>
      <c r="H147" s="17" t="n">
        <v>155</v>
      </c>
      <c r="I147" s="17" t="n">
        <v>19</v>
      </c>
      <c r="J147" s="17" t="n">
        <v>5</v>
      </c>
      <c r="K147" s="17" t="n">
        <v>21</v>
      </c>
      <c r="L147" s="17" t="n">
        <v>1</v>
      </c>
      <c r="M147" s="17" t="inlineStr">
        <is>
          <t>Tinggi</t>
        </is>
      </c>
    </row>
    <row r="148" s="1">
      <c r="A148" s="17">
        <f>RANDBETWEEN(2,164)</f>
        <v/>
      </c>
      <c r="B148" s="17">
        <f t="array" ref="B148">INDEX(Data_DBD!$B:$B,$A148)</f>
        <v/>
      </c>
      <c r="C148" s="17">
        <f t="array" ref="C148">INDEX(Data_DBD!$C:$C,$A148)</f>
        <v/>
      </c>
      <c r="D148" s="17">
        <f t="array" ref="D148">INDEX(Data_DBD!$D:$D,$A148)</f>
        <v/>
      </c>
      <c r="E148" s="17">
        <f t="array" ref="E148">INDEX(Data_DBD!$E:$E,$A148)</f>
        <v/>
      </c>
      <c r="F148" s="17">
        <f t="array" ref="F148">INDEX(Data_DBD!$F:$F,$A148)</f>
        <v/>
      </c>
      <c r="H148" s="17" t="n">
        <v>46</v>
      </c>
      <c r="I148" s="17" t="n">
        <v>62</v>
      </c>
      <c r="J148" s="17" t="n">
        <v>2</v>
      </c>
      <c r="K148" s="17" t="n">
        <v>13</v>
      </c>
      <c r="L148" s="17" t="n">
        <v>0</v>
      </c>
      <c r="M148" s="17" t="inlineStr">
        <is>
          <t>Sedang</t>
        </is>
      </c>
    </row>
    <row r="149" s="1">
      <c r="A149" s="17">
        <f>RANDBETWEEN(2,164)</f>
        <v/>
      </c>
      <c r="B149" s="17">
        <f t="array" ref="B149">INDEX(Data_DBD!$B:$B,$A149)</f>
        <v/>
      </c>
      <c r="C149" s="17">
        <f t="array" ref="C149">INDEX(Data_DBD!$C:$C,$A149)</f>
        <v/>
      </c>
      <c r="D149" s="17">
        <f t="array" ref="D149">INDEX(Data_DBD!$D:$D,$A149)</f>
        <v/>
      </c>
      <c r="E149" s="17">
        <f t="array" ref="E149">INDEX(Data_DBD!$E:$E,$A149)</f>
        <v/>
      </c>
      <c r="F149" s="17">
        <f t="array" ref="F149">INDEX(Data_DBD!$F:$F,$A149)</f>
        <v/>
      </c>
      <c r="H149" s="17" t="n">
        <v>124</v>
      </c>
      <c r="I149" s="17" t="n">
        <v>24</v>
      </c>
      <c r="J149" s="17" t="n">
        <v>3</v>
      </c>
      <c r="K149" s="17" t="n">
        <v>33</v>
      </c>
      <c r="L149" s="17" t="n">
        <v>1</v>
      </c>
      <c r="M149" s="17" t="inlineStr">
        <is>
          <t>Tinggi</t>
        </is>
      </c>
    </row>
    <row r="150" s="1">
      <c r="A150" s="17">
        <f>RANDBETWEEN(2,164)</f>
        <v/>
      </c>
      <c r="B150" s="17">
        <f t="array" ref="B150">INDEX(Data_DBD!$B:$B,$A150)</f>
        <v/>
      </c>
      <c r="C150" s="17">
        <f t="array" ref="C150">INDEX(Data_DBD!$C:$C,$A150)</f>
        <v/>
      </c>
      <c r="D150" s="17">
        <f t="array" ref="D150">INDEX(Data_DBD!$D:$D,$A150)</f>
        <v/>
      </c>
      <c r="E150" s="17">
        <f t="array" ref="E150">INDEX(Data_DBD!$E:$E,$A150)</f>
        <v/>
      </c>
      <c r="F150" s="17">
        <f t="array" ref="F150">INDEX(Data_DBD!$F:$F,$A150)</f>
        <v/>
      </c>
      <c r="H150" s="17" t="n">
        <v>91</v>
      </c>
      <c r="I150" s="17" t="n">
        <v>35</v>
      </c>
      <c r="J150" s="17" t="n">
        <v>1</v>
      </c>
      <c r="K150" s="17" t="n">
        <v>18</v>
      </c>
      <c r="L150" s="17" t="n">
        <v>1</v>
      </c>
      <c r="M150" s="17" t="inlineStr">
        <is>
          <t>Tinggi</t>
        </is>
      </c>
    </row>
    <row r="151" s="1">
      <c r="A151" s="17">
        <f>RANDBETWEEN(2,164)</f>
        <v/>
      </c>
      <c r="B151" s="17">
        <f t="array" ref="B151">INDEX(Data_DBD!$B:$B,$A151)</f>
        <v/>
      </c>
      <c r="C151" s="17">
        <f t="array" ref="C151">INDEX(Data_DBD!$C:$C,$A151)</f>
        <v/>
      </c>
      <c r="D151" s="17">
        <f t="array" ref="D151">INDEX(Data_DBD!$D:$D,$A151)</f>
        <v/>
      </c>
      <c r="E151" s="17">
        <f t="array" ref="E151">INDEX(Data_DBD!$E:$E,$A151)</f>
        <v/>
      </c>
      <c r="F151" s="17">
        <f t="array" ref="F151">INDEX(Data_DBD!$F:$F,$A151)</f>
        <v/>
      </c>
      <c r="H151" s="17" t="n">
        <v>159</v>
      </c>
      <c r="I151" s="17" t="n">
        <v>17</v>
      </c>
      <c r="J151" s="17" t="n">
        <v>2</v>
      </c>
      <c r="K151" s="17" t="n">
        <v>21</v>
      </c>
      <c r="L151" s="17" t="n">
        <v>0</v>
      </c>
      <c r="M151" s="17" t="inlineStr">
        <is>
          <t>Tinggi</t>
        </is>
      </c>
    </row>
    <row r="152" s="1">
      <c r="A152" s="17">
        <f>RANDBETWEEN(2,164)</f>
        <v/>
      </c>
      <c r="B152" s="17">
        <f t="array" ref="B152">INDEX(Data_DBD!$B:$B,$A152)</f>
        <v/>
      </c>
      <c r="C152" s="17">
        <f t="array" ref="C152">INDEX(Data_DBD!$C:$C,$A152)</f>
        <v/>
      </c>
      <c r="D152" s="17">
        <f t="array" ref="D152">INDEX(Data_DBD!$D:$D,$A152)</f>
        <v/>
      </c>
      <c r="E152" s="17">
        <f t="array" ref="E152">INDEX(Data_DBD!$E:$E,$A152)</f>
        <v/>
      </c>
      <c r="F152" s="17">
        <f t="array" ref="F152">INDEX(Data_DBD!$F:$F,$A152)</f>
        <v/>
      </c>
      <c r="H152" s="17" t="n">
        <v>96</v>
      </c>
      <c r="I152" s="17" t="n">
        <v>56</v>
      </c>
      <c r="J152" s="17" t="n">
        <v>4</v>
      </c>
      <c r="K152" s="17" t="n">
        <v>18</v>
      </c>
      <c r="L152" s="17" t="n">
        <v>0</v>
      </c>
      <c r="M152" s="17" t="inlineStr">
        <is>
          <t>Tinggi</t>
        </is>
      </c>
    </row>
    <row r="153" s="1">
      <c r="A153" s="17">
        <f>RANDBETWEEN(2,164)</f>
        <v/>
      </c>
      <c r="B153" s="17">
        <f t="array" ref="B153">INDEX(Data_DBD!$B:$B,$A153)</f>
        <v/>
      </c>
      <c r="C153" s="17">
        <f t="array" ref="C153">INDEX(Data_DBD!$C:$C,$A153)</f>
        <v/>
      </c>
      <c r="D153" s="17">
        <f t="array" ref="D153">INDEX(Data_DBD!$D:$D,$A153)</f>
        <v/>
      </c>
      <c r="E153" s="17">
        <f t="array" ref="E153">INDEX(Data_DBD!$E:$E,$A153)</f>
        <v/>
      </c>
      <c r="F153" s="17">
        <f t="array" ref="F153">INDEX(Data_DBD!$F:$F,$A153)</f>
        <v/>
      </c>
      <c r="H153" s="17" t="n">
        <v>4</v>
      </c>
      <c r="I153" s="17" t="n">
        <v>23</v>
      </c>
      <c r="J153" s="17" t="n">
        <v>5</v>
      </c>
      <c r="K153" s="17" t="n">
        <v>12</v>
      </c>
      <c r="L153" s="17" t="n">
        <v>0</v>
      </c>
      <c r="M153" s="17" t="inlineStr">
        <is>
          <t>Sedang</t>
        </is>
      </c>
    </row>
    <row r="154" s="1">
      <c r="A154" s="17">
        <f>RANDBETWEEN(2,164)</f>
        <v/>
      </c>
      <c r="B154" s="17">
        <f t="array" ref="B154">INDEX(Data_DBD!$B:$B,$A154)</f>
        <v/>
      </c>
      <c r="C154" s="17">
        <f t="array" ref="C154">INDEX(Data_DBD!$C:$C,$A154)</f>
        <v/>
      </c>
      <c r="D154" s="17">
        <f t="array" ref="D154">INDEX(Data_DBD!$D:$D,$A154)</f>
        <v/>
      </c>
      <c r="E154" s="17">
        <f t="array" ref="E154">INDEX(Data_DBD!$E:$E,$A154)</f>
        <v/>
      </c>
      <c r="F154" s="17">
        <f t="array" ref="F154">INDEX(Data_DBD!$F:$F,$A154)</f>
        <v/>
      </c>
      <c r="H154" s="17" t="n">
        <v>88</v>
      </c>
      <c r="I154" s="17" t="n">
        <v>20</v>
      </c>
      <c r="J154" s="17" t="n">
        <v>4</v>
      </c>
      <c r="K154" s="17" t="n">
        <v>13</v>
      </c>
      <c r="L154" s="17" t="n">
        <v>1</v>
      </c>
      <c r="M154" s="17" t="inlineStr">
        <is>
          <t>Sedang</t>
        </is>
      </c>
    </row>
    <row r="155" s="1">
      <c r="A155" s="17">
        <f>RANDBETWEEN(2,164)</f>
        <v/>
      </c>
      <c r="B155" s="17">
        <f t="array" ref="B155">INDEX(Data_DBD!$B:$B,$A155)</f>
        <v/>
      </c>
      <c r="C155" s="17">
        <f t="array" ref="C155">INDEX(Data_DBD!$C:$C,$A155)</f>
        <v/>
      </c>
      <c r="D155" s="17">
        <f t="array" ref="D155">INDEX(Data_DBD!$D:$D,$A155)</f>
        <v/>
      </c>
      <c r="E155" s="17">
        <f t="array" ref="E155">INDEX(Data_DBD!$E:$E,$A155)</f>
        <v/>
      </c>
      <c r="F155" s="17">
        <f t="array" ref="F155">INDEX(Data_DBD!$F:$F,$A155)</f>
        <v/>
      </c>
      <c r="H155" s="17" t="n">
        <v>11</v>
      </c>
      <c r="I155" s="17" t="n">
        <v>24</v>
      </c>
      <c r="J155" s="17" t="n">
        <v>5</v>
      </c>
      <c r="K155" s="17" t="n">
        <v>12</v>
      </c>
      <c r="L155" s="17" t="n">
        <v>1</v>
      </c>
      <c r="M155" s="17" t="inlineStr">
        <is>
          <t>Sedang</t>
        </is>
      </c>
    </row>
    <row r="156" s="1">
      <c r="A156" s="17">
        <f>RANDBETWEEN(2,164)</f>
        <v/>
      </c>
      <c r="B156" s="17">
        <f t="array" ref="B156">INDEX(Data_DBD!$B:$B,$A156)</f>
        <v/>
      </c>
      <c r="C156" s="17">
        <f t="array" ref="C156">INDEX(Data_DBD!$C:$C,$A156)</f>
        <v/>
      </c>
      <c r="D156" s="17">
        <f t="array" ref="D156">INDEX(Data_DBD!$D:$D,$A156)</f>
        <v/>
      </c>
      <c r="E156" s="17">
        <f t="array" ref="E156">INDEX(Data_DBD!$E:$E,$A156)</f>
        <v/>
      </c>
      <c r="F156" s="17">
        <f t="array" ref="F156">INDEX(Data_DBD!$F:$F,$A156)</f>
        <v/>
      </c>
      <c r="H156" s="17" t="n">
        <v>114</v>
      </c>
      <c r="I156" s="17" t="n">
        <v>14</v>
      </c>
      <c r="J156" s="17" t="n">
        <v>2</v>
      </c>
      <c r="K156" s="17" t="n">
        <v>33</v>
      </c>
      <c r="L156" s="17" t="n">
        <v>1</v>
      </c>
      <c r="M156" s="17" t="inlineStr">
        <is>
          <t>Tinggi</t>
        </is>
      </c>
    </row>
    <row r="157" s="1">
      <c r="A157" s="17">
        <f>RANDBETWEEN(2,164)</f>
        <v/>
      </c>
      <c r="B157" s="17">
        <f t="array" ref="B157">INDEX(Data_DBD!$B:$B,$A157)</f>
        <v/>
      </c>
      <c r="C157" s="17">
        <f t="array" ref="C157">INDEX(Data_DBD!$C:$C,$A157)</f>
        <v/>
      </c>
      <c r="D157" s="17">
        <f t="array" ref="D157">INDEX(Data_DBD!$D:$D,$A157)</f>
        <v/>
      </c>
      <c r="E157" s="17">
        <f t="array" ref="E157">INDEX(Data_DBD!$E:$E,$A157)</f>
        <v/>
      </c>
      <c r="F157" s="17">
        <f t="array" ref="F157">INDEX(Data_DBD!$F:$F,$A157)</f>
        <v/>
      </c>
      <c r="H157" s="17" t="n">
        <v>87</v>
      </c>
      <c r="I157" s="17" t="n">
        <v>21</v>
      </c>
      <c r="J157" s="17" t="n">
        <v>3</v>
      </c>
      <c r="K157" s="17" t="n">
        <v>13</v>
      </c>
      <c r="L157" s="17" t="n">
        <v>0</v>
      </c>
      <c r="M157" s="17" t="inlineStr">
        <is>
          <t>Sedang</t>
        </is>
      </c>
    </row>
    <row r="158" s="1">
      <c r="A158" s="17">
        <f>RANDBETWEEN(2,164)</f>
        <v/>
      </c>
      <c r="B158" s="17">
        <f t="array" ref="B158">INDEX(Data_DBD!$B:$B,$A158)</f>
        <v/>
      </c>
      <c r="C158" s="17">
        <f t="array" ref="C158">INDEX(Data_DBD!$C:$C,$A158)</f>
        <v/>
      </c>
      <c r="D158" s="17">
        <f t="array" ref="D158">INDEX(Data_DBD!$D:$D,$A158)</f>
        <v/>
      </c>
      <c r="E158" s="17">
        <f t="array" ref="E158">INDEX(Data_DBD!$E:$E,$A158)</f>
        <v/>
      </c>
      <c r="F158" s="17">
        <f t="array" ref="F158">INDEX(Data_DBD!$F:$F,$A158)</f>
        <v/>
      </c>
      <c r="H158" s="17" t="n">
        <v>103</v>
      </c>
      <c r="I158" s="17" t="n">
        <v>22</v>
      </c>
      <c r="J158" s="17" t="n">
        <v>5</v>
      </c>
      <c r="K158" s="17" t="n">
        <v>18</v>
      </c>
      <c r="L158" s="17" t="n">
        <v>0</v>
      </c>
      <c r="M158" s="17" t="inlineStr">
        <is>
          <t>Tinggi</t>
        </is>
      </c>
    </row>
    <row r="159" s="1">
      <c r="A159" s="17">
        <f>RANDBETWEEN(2,164)</f>
        <v/>
      </c>
      <c r="B159" s="17">
        <f t="array" ref="B159">INDEX(Data_DBD!$B:$B,$A159)</f>
        <v/>
      </c>
      <c r="C159" s="17">
        <f t="array" ref="C159">INDEX(Data_DBD!$C:$C,$A159)</f>
        <v/>
      </c>
      <c r="D159" s="17">
        <f t="array" ref="D159">INDEX(Data_DBD!$D:$D,$A159)</f>
        <v/>
      </c>
      <c r="E159" s="17">
        <f t="array" ref="E159">INDEX(Data_DBD!$E:$E,$A159)</f>
        <v/>
      </c>
      <c r="F159" s="17">
        <f t="array" ref="F159">INDEX(Data_DBD!$F:$F,$A159)</f>
        <v/>
      </c>
      <c r="H159" s="17" t="n">
        <v>156</v>
      </c>
      <c r="I159" s="17" t="n">
        <v>5</v>
      </c>
      <c r="J159" s="17" t="n">
        <v>2</v>
      </c>
      <c r="K159" s="17" t="n">
        <v>21</v>
      </c>
      <c r="L159" s="17" t="n">
        <v>0</v>
      </c>
      <c r="M159" s="17" t="inlineStr">
        <is>
          <t>Tinggi</t>
        </is>
      </c>
    </row>
    <row r="160" s="1">
      <c r="A160" s="17">
        <f>RANDBETWEEN(2,164)</f>
        <v/>
      </c>
      <c r="B160" s="17">
        <f t="array" ref="B160">INDEX(Data_DBD!$B:$B,$A160)</f>
        <v/>
      </c>
      <c r="C160" s="17">
        <f t="array" ref="C160">INDEX(Data_DBD!$C:$C,$A160)</f>
        <v/>
      </c>
      <c r="D160" s="17">
        <f t="array" ref="D160">INDEX(Data_DBD!$D:$D,$A160)</f>
        <v/>
      </c>
      <c r="E160" s="17">
        <f t="array" ref="E160">INDEX(Data_DBD!$E:$E,$A160)</f>
        <v/>
      </c>
      <c r="F160" s="17">
        <f t="array" ref="F160">INDEX(Data_DBD!$F:$F,$A160)</f>
        <v/>
      </c>
      <c r="H160" s="17" t="n">
        <v>143</v>
      </c>
      <c r="I160" s="17" t="n">
        <v>20</v>
      </c>
      <c r="J160" s="17" t="n">
        <v>4</v>
      </c>
      <c r="K160" s="17" t="n">
        <v>21</v>
      </c>
      <c r="L160" s="17" t="n">
        <v>1</v>
      </c>
      <c r="M160" s="17" t="inlineStr">
        <is>
          <t>Tinggi</t>
        </is>
      </c>
    </row>
    <row r="161" s="1">
      <c r="A161" s="17">
        <f>RANDBETWEEN(2,164)</f>
        <v/>
      </c>
      <c r="B161" s="17">
        <f t="array" ref="B161">INDEX(Data_DBD!$B:$B,$A161)</f>
        <v/>
      </c>
      <c r="C161" s="17">
        <f t="array" ref="C161">INDEX(Data_DBD!$C:$C,$A161)</f>
        <v/>
      </c>
      <c r="D161" s="17">
        <f t="array" ref="D161">INDEX(Data_DBD!$D:$D,$A161)</f>
        <v/>
      </c>
      <c r="E161" s="17">
        <f t="array" ref="E161">INDEX(Data_DBD!$E:$E,$A161)</f>
        <v/>
      </c>
      <c r="F161" s="17">
        <f t="array" ref="F161">INDEX(Data_DBD!$F:$F,$A161)</f>
        <v/>
      </c>
      <c r="H161" s="17" t="n">
        <v>43</v>
      </c>
      <c r="I161" s="17" t="n">
        <v>15</v>
      </c>
      <c r="J161" s="17" t="n">
        <v>4</v>
      </c>
      <c r="K161" s="17" t="n">
        <v>13</v>
      </c>
      <c r="L161" s="17" t="n">
        <v>0</v>
      </c>
      <c r="M161" s="17" t="inlineStr">
        <is>
          <t>Sedang</t>
        </is>
      </c>
    </row>
    <row r="162" s="1">
      <c r="A162" s="17">
        <f>RANDBETWEEN(2,164)</f>
        <v/>
      </c>
      <c r="B162" s="17">
        <f t="array" ref="B162">INDEX(Data_DBD!$B:$B,$A162)</f>
        <v/>
      </c>
      <c r="C162" s="17">
        <f t="array" ref="C162">INDEX(Data_DBD!$C:$C,$A162)</f>
        <v/>
      </c>
      <c r="D162" s="17">
        <f t="array" ref="D162">INDEX(Data_DBD!$D:$D,$A162)</f>
        <v/>
      </c>
      <c r="E162" s="17">
        <f t="array" ref="E162">INDEX(Data_DBD!$E:$E,$A162)</f>
        <v/>
      </c>
      <c r="F162" s="17">
        <f t="array" ref="F162">INDEX(Data_DBD!$F:$F,$A162)</f>
        <v/>
      </c>
      <c r="H162" s="17" t="n">
        <v>95</v>
      </c>
      <c r="I162" s="17" t="n">
        <v>11</v>
      </c>
      <c r="J162" s="17" t="n">
        <v>3</v>
      </c>
      <c r="K162" s="17" t="n">
        <v>18</v>
      </c>
      <c r="L162" s="17" t="n">
        <v>1</v>
      </c>
      <c r="M162" s="17" t="inlineStr">
        <is>
          <t>Tinggi</t>
        </is>
      </c>
    </row>
    <row r="163" s="1">
      <c r="A163" s="17">
        <f>RANDBETWEEN(2,164)</f>
        <v/>
      </c>
      <c r="B163" s="17">
        <f t="array" ref="B163">INDEX(Data_DBD!$B:$B,$A163)</f>
        <v/>
      </c>
      <c r="C163" s="17">
        <f t="array" ref="C163">INDEX(Data_DBD!$C:$C,$A163)</f>
        <v/>
      </c>
      <c r="D163" s="17">
        <f t="array" ref="D163">INDEX(Data_DBD!$D:$D,$A163)</f>
        <v/>
      </c>
      <c r="E163" s="17">
        <f t="array" ref="E163">INDEX(Data_DBD!$E:$E,$A163)</f>
        <v/>
      </c>
      <c r="F163" s="17">
        <f t="array" ref="F163">INDEX(Data_DBD!$F:$F,$A163)</f>
        <v/>
      </c>
      <c r="H163" s="17" t="n">
        <v>114</v>
      </c>
      <c r="I163" s="17" t="n">
        <v>14</v>
      </c>
      <c r="J163" s="17" t="n">
        <v>2</v>
      </c>
      <c r="K163" s="17" t="n">
        <v>33</v>
      </c>
      <c r="L163" s="17" t="n">
        <v>1</v>
      </c>
      <c r="M163" s="17" t="inlineStr">
        <is>
          <t>Tinggi</t>
        </is>
      </c>
    </row>
    <row r="164" s="1">
      <c r="A164" s="17">
        <f>RANDBETWEEN(2,164)</f>
        <v/>
      </c>
      <c r="B164" s="17">
        <f t="array" ref="B164">INDEX(Data_DBD!$B:$B,$A164)</f>
        <v/>
      </c>
      <c r="C164" s="17">
        <f t="array" ref="C164">INDEX(Data_DBD!$C:$C,$A164)</f>
        <v/>
      </c>
      <c r="D164" s="17">
        <f t="array" ref="D164">INDEX(Data_DBD!$D:$D,$A164)</f>
        <v/>
      </c>
      <c r="E164" s="17">
        <f t="array" ref="E164">INDEX(Data_DBD!$E:$E,$A164)</f>
        <v/>
      </c>
      <c r="F164" s="17">
        <f t="array" ref="F164">INDEX(Data_DBD!$F:$F,$A164)</f>
        <v/>
      </c>
      <c r="H164" s="17" t="n">
        <v>151</v>
      </c>
      <c r="I164" s="17" t="n">
        <v>24</v>
      </c>
      <c r="J164" s="17" t="n">
        <v>3</v>
      </c>
      <c r="K164" s="17" t="n">
        <v>21</v>
      </c>
      <c r="L164" s="17" t="n">
        <v>0</v>
      </c>
      <c r="M164" s="17" t="inlineStr">
        <is>
          <t>Tinggi</t>
        </is>
      </c>
    </row>
    <row r="165" s="1">
      <c r="I165">
        <f>AVERAGE(I2:I164)</f>
        <v/>
      </c>
      <c r="J165">
        <f>AVERAGE(J2:J164)</f>
        <v/>
      </c>
      <c r="K165">
        <f>AVERAGE(K2:K164)</f>
        <v/>
      </c>
      <c r="L165">
        <f>AVERAGE(L2:L164)</f>
        <v/>
      </c>
    </row>
    <row r="166" s="1">
      <c r="B166" t="n">
        <v>66</v>
      </c>
    </row>
    <row r="168" s="1">
      <c r="E168" s="21" t="inlineStr">
        <is>
          <t>USIA</t>
        </is>
      </c>
      <c r="J168" s="21" t="inlineStr">
        <is>
          <t>LAMA RAWAT INAP</t>
        </is>
      </c>
      <c r="O168" s="21" t="inlineStr">
        <is>
          <t>JUMLAH KASUS PER BULAN</t>
        </is>
      </c>
      <c r="T168" s="21" t="inlineStr">
        <is>
          <t>JENIS KELAMIN</t>
        </is>
      </c>
    </row>
    <row r="169" s="1">
      <c r="E169" s="17" t="inlineStr">
        <is>
          <t>Usia</t>
        </is>
      </c>
      <c r="F169" s="17">
        <f>AVERAGEIF($I$2:$I$164,"&lt;="&amp;$I$165)</f>
        <v/>
      </c>
      <c r="G169" s="17">
        <f>AVERAGEIF($I$2:$I$164,"&gt;"&amp;$I$165)</f>
        <v/>
      </c>
      <c r="J169" s="17" t="inlineStr">
        <is>
          <t>Lama rawat inap</t>
        </is>
      </c>
      <c r="K169" s="17">
        <f>AVERAGEIF($J$2:$J$164,"&lt;="&amp;$J$165)</f>
        <v/>
      </c>
      <c r="L169" s="17">
        <f>AVERAGEIF($J$2:$J$164,"&gt;"&amp;$J$165)</f>
        <v/>
      </c>
      <c r="O169" s="17" t="inlineStr">
        <is>
          <t>Jumlah kasus perbulan</t>
        </is>
      </c>
      <c r="P169" s="17">
        <f>AVERAGEIF($K$2:$K$164,"&lt;="&amp;$K$165)</f>
        <v/>
      </c>
      <c r="Q169" s="17">
        <f>AVERAGEIF($K$2:$K$164,"&gt;"&amp;$K$165)</f>
        <v/>
      </c>
      <c r="T169" s="17" t="inlineStr">
        <is>
          <t>Jenis kelamin</t>
        </is>
      </c>
      <c r="U169" s="17">
        <f>AVERAGEIF($L$2:$L$164,"&lt;="&amp;$L$165)</f>
        <v/>
      </c>
      <c r="V169" s="17">
        <f>AVERAGEIF($L$2:$L$164,"&gt;"&amp;$L$165)</f>
        <v/>
      </c>
    </row>
    <row r="170" s="1">
      <c r="E170" s="17">
        <f t="array" ref="E170:E332">IF($I$2:$I$164&lt;$F$169,"kiri",IF($I$2:$I$164&lt;$G$169,"tengah","kanan"))</f>
        <v/>
      </c>
      <c r="F170" s="17" t="inlineStr">
        <is>
          <t>Kanan &gt; 51.19</t>
        </is>
      </c>
      <c r="G170" s="17" t="n"/>
      <c r="J170" s="17">
        <f t="array" ref="J170:J332">IF($J$2:$J$164&lt;$K$169,"kiri",IF($J$2:$J$164&lt;$L$169,"tengah","kanan"))</f>
        <v/>
      </c>
      <c r="K170" s="17" t="inlineStr">
        <is>
          <t>Kanan &gt; 4.73</t>
        </is>
      </c>
      <c r="L170" s="17" t="n"/>
      <c r="O170" s="17">
        <f t="array" ref="O170:O332">IF($K$2:$K$164&lt;$P$169,"kiri",IF($K$2:$K$164&lt;$Q$169,"tengah","kanan"))</f>
        <v/>
      </c>
      <c r="P170" s="17" t="inlineStr">
        <is>
          <t>Kanan &gt; 25.95</t>
        </is>
      </c>
      <c r="Q170" s="17" t="n"/>
      <c r="T170" s="17">
        <f t="array" ref="T170:T332">IF($L$2:$L$164&lt;$U$169,"kiri",IF($L$2:$L$164&lt;$V$169,"tengah","kanan"))</f>
        <v/>
      </c>
      <c r="U170" s="17" t="inlineStr">
        <is>
          <t>Kanan &gt; 1</t>
        </is>
      </c>
      <c r="V170" s="17" t="n"/>
    </row>
    <row r="171" s="1">
      <c r="E171" s="17" t="inlineStr">
        <is>
          <t>tengah</t>
        </is>
      </c>
      <c r="F171" s="17">
        <f>COUNTIFS($E$170:$E$332,"Kanan",$M$2:$M$164,"Tinggi")</f>
        <v/>
      </c>
      <c r="G171" s="17">
        <f>F171/30</f>
        <v/>
      </c>
      <c r="J171" s="17" t="inlineStr">
        <is>
          <t>tengah</t>
        </is>
      </c>
      <c r="K171" s="17">
        <f>COUNTIFS($J$170:$J$332,"Kanan",$M$2:$M$164,"Tinggi")</f>
        <v/>
      </c>
      <c r="L171" s="17">
        <f>K171/35</f>
        <v/>
      </c>
      <c r="O171" s="17" t="inlineStr">
        <is>
          <t>kanan</t>
        </is>
      </c>
      <c r="P171" s="17">
        <f>COUNTIFS($O$170:$O$332,"Kanan",$M$2:$M$164,"Tinggi")</f>
        <v/>
      </c>
      <c r="Q171" s="17">
        <f>P171/34</f>
        <v/>
      </c>
      <c r="T171" s="17" t="inlineStr">
        <is>
          <t>tengah</t>
        </is>
      </c>
      <c r="U171" s="17">
        <f>COUNTIFS($T$170:$T$332,"Kanan",$M$2:$M$164,"Tinggi")</f>
        <v/>
      </c>
      <c r="V171" s="17">
        <f>U171/79</f>
        <v/>
      </c>
    </row>
    <row r="172" s="1">
      <c r="E172" s="17" t="inlineStr">
        <is>
          <t>tengah</t>
        </is>
      </c>
      <c r="F172" s="17">
        <f>COUNTIFS($E$170:$E$332,"Kanan",$M$2:$M$164,"Sedang")</f>
        <v/>
      </c>
      <c r="G172" s="17">
        <f>F172/30</f>
        <v/>
      </c>
      <c r="J172" s="17" t="inlineStr">
        <is>
          <t>tengah</t>
        </is>
      </c>
      <c r="K172" s="17">
        <f>COUNTIFS($J$170:$J$332,"Kanan",$M$2:$M$164,"Sedang")</f>
        <v/>
      </c>
      <c r="L172" s="17">
        <f>K172/35</f>
        <v/>
      </c>
      <c r="O172" s="17" t="inlineStr">
        <is>
          <t>kanan</t>
        </is>
      </c>
      <c r="P172" s="17">
        <f>COUNTIFS($O$170:$O$332,"Kanan",$M$2:$M$164,"Sedang")</f>
        <v/>
      </c>
      <c r="Q172" s="17">
        <f>P172/27</f>
        <v/>
      </c>
      <c r="T172" s="17" t="inlineStr">
        <is>
          <t>kanan</t>
        </is>
      </c>
      <c r="U172" s="17">
        <f>COUNTIFS($T$170:$T$332,"Kanan",$M$2:$M$164,"Sedang")</f>
        <v/>
      </c>
      <c r="V172" s="17">
        <f>U172/79</f>
        <v/>
      </c>
    </row>
    <row r="173" s="1">
      <c r="E173" s="17" t="inlineStr">
        <is>
          <t>kanan</t>
        </is>
      </c>
      <c r="F173" s="17">
        <f>COUNTIFS($E$170:$E$332,"Kanan",$M$2:$M$164,"Rendah")</f>
        <v/>
      </c>
      <c r="G173" s="17">
        <f>F173/30</f>
        <v/>
      </c>
      <c r="J173" s="17" t="inlineStr">
        <is>
          <t>kanan</t>
        </is>
      </c>
      <c r="K173" s="17">
        <f>COUNTIFS($J$170:$J$332,"Kanan",$M$2:$M$164,"Rendah")</f>
        <v/>
      </c>
      <c r="L173" s="17">
        <f>K173/35</f>
        <v/>
      </c>
      <c r="O173" s="17" t="inlineStr">
        <is>
          <t>tengah</t>
        </is>
      </c>
      <c r="P173" s="17">
        <f>COUNTIFS($O$170:$O$332,"Kanan",$M$2:$M$164,"Rendah")</f>
        <v/>
      </c>
      <c r="Q173" s="17">
        <f>P173/27</f>
        <v/>
      </c>
      <c r="T173" s="17" t="inlineStr">
        <is>
          <t>kanan</t>
        </is>
      </c>
      <c r="U173" s="17">
        <f>COUNTIFS($T$170:$T$332,"Kanan",$M$2:$M$164,"Rendah")</f>
        <v/>
      </c>
      <c r="V173" s="17">
        <f>U173/79</f>
        <v/>
      </c>
    </row>
    <row r="174" s="1">
      <c r="E174" s="17" t="inlineStr">
        <is>
          <t>kiri</t>
        </is>
      </c>
      <c r="F174" s="17" t="inlineStr">
        <is>
          <t>Entropy</t>
        </is>
      </c>
      <c r="G174" s="17">
        <f>-(IFERROR(G171*LOG(G171,2),0)+IFERROR(G172*LOG(G172,2),0)+IFERROR(G173*LOG(G173,2),0))</f>
        <v/>
      </c>
      <c r="J174" s="17" t="inlineStr">
        <is>
          <t>tengah</t>
        </is>
      </c>
      <c r="K174" s="17" t="inlineStr">
        <is>
          <t>Entropy</t>
        </is>
      </c>
      <c r="L174" s="17">
        <f>-(IFERROR(L171*LOG(L171,2),0)+IFERROR(L172*LOG(L172,2),0)+IFERROR(L173*LOG(L173,2),0))</f>
        <v/>
      </c>
      <c r="O174" s="17" t="inlineStr">
        <is>
          <t>kiri</t>
        </is>
      </c>
      <c r="P174" s="17" t="inlineStr">
        <is>
          <t>Entropy</t>
        </is>
      </c>
      <c r="Q174" s="17">
        <f>-(IFERROR(Q171*LOG(Q171,2),0)+IFERROR(Q172*LOG(Q172,2),0)+IFERROR(Q173*LOG(Q173,2),0))</f>
        <v/>
      </c>
      <c r="T174" s="17" t="inlineStr">
        <is>
          <t>kanan</t>
        </is>
      </c>
      <c r="U174" s="17" t="inlineStr">
        <is>
          <t>Entropy</t>
        </is>
      </c>
      <c r="V174" s="17">
        <f>-(IFERROR(V171*LOG(V171,2),0)+IFERROR(V172*LOG(V172,2),0)+IFERROR(V173*LOG(V173,2),0))</f>
        <v/>
      </c>
    </row>
    <row r="175" s="1">
      <c r="E175" s="17" t="inlineStr">
        <is>
          <t>tengah</t>
        </is>
      </c>
      <c r="F175" s="17" t="n"/>
      <c r="G175" s="17">
        <f>SUM(F171:F173)/163</f>
        <v/>
      </c>
      <c r="J175" s="17" t="inlineStr">
        <is>
          <t>tengah</t>
        </is>
      </c>
      <c r="K175" s="17" t="n"/>
      <c r="L175" s="17">
        <f>SUM(K171:K173)/163</f>
        <v/>
      </c>
      <c r="O175" s="17" t="inlineStr">
        <is>
          <t>kanan</t>
        </is>
      </c>
      <c r="P175" s="17" t="n"/>
      <c r="Q175" s="17">
        <f>SUM(P171:P173)/163</f>
        <v/>
      </c>
      <c r="T175" s="17" t="inlineStr">
        <is>
          <t>tengah</t>
        </is>
      </c>
      <c r="U175" s="17" t="n"/>
      <c r="V175" s="17">
        <f>SUM(U171:U173)/163</f>
        <v/>
      </c>
    </row>
    <row r="176" s="1">
      <c r="E176" s="17" t="inlineStr">
        <is>
          <t>tengah</t>
        </is>
      </c>
      <c r="F176" s="17" t="n"/>
      <c r="G176" s="23">
        <f>G174*G175</f>
        <v/>
      </c>
      <c r="J176" s="17" t="inlineStr">
        <is>
          <t>kanan</t>
        </is>
      </c>
      <c r="K176" s="17" t="n"/>
      <c r="L176" s="23">
        <f>L174*L175</f>
        <v/>
      </c>
      <c r="O176" s="17" t="inlineStr">
        <is>
          <t>kanan</t>
        </is>
      </c>
      <c r="P176" s="17" t="n"/>
      <c r="Q176" s="23">
        <f>Q174*Q175</f>
        <v/>
      </c>
      <c r="T176" s="17" t="inlineStr">
        <is>
          <t>tengah</t>
        </is>
      </c>
      <c r="U176" s="17" t="n"/>
      <c r="V176" s="23">
        <f>V174*V175</f>
        <v/>
      </c>
    </row>
    <row r="177" s="1">
      <c r="E177" s="17" t="inlineStr">
        <is>
          <t>tengah</t>
        </is>
      </c>
      <c r="F177" s="17" t="n"/>
      <c r="G177" s="17" t="n"/>
      <c r="J177" s="17" t="inlineStr">
        <is>
          <t>kanan</t>
        </is>
      </c>
      <c r="K177" s="17" t="n"/>
      <c r="L177" s="17" t="n"/>
      <c r="O177" s="17" t="inlineStr">
        <is>
          <t>tengah</t>
        </is>
      </c>
      <c r="P177" s="17" t="n"/>
      <c r="Q177" s="17" t="n"/>
      <c r="T177" s="17" t="inlineStr">
        <is>
          <t>kanan</t>
        </is>
      </c>
      <c r="U177" s="17" t="n"/>
      <c r="V177" s="17" t="n"/>
    </row>
    <row r="178" s="1">
      <c r="E178" s="17" t="inlineStr">
        <is>
          <t>tengah</t>
        </is>
      </c>
      <c r="F178" s="17" t="n"/>
      <c r="G178" s="17" t="n"/>
      <c r="J178" s="17" t="inlineStr">
        <is>
          <t>tengah</t>
        </is>
      </c>
      <c r="K178" s="17" t="n"/>
      <c r="L178" s="17" t="n"/>
      <c r="O178" s="17" t="inlineStr">
        <is>
          <t>kanan</t>
        </is>
      </c>
      <c r="P178" s="17" t="n"/>
      <c r="Q178" s="17" t="n"/>
      <c r="T178" s="17" t="inlineStr">
        <is>
          <t>tengah</t>
        </is>
      </c>
      <c r="U178" s="17" t="n"/>
      <c r="V178" s="17" t="n"/>
    </row>
    <row r="179" s="1">
      <c r="E179" s="17" t="inlineStr">
        <is>
          <t>kiri</t>
        </is>
      </c>
      <c r="F179" s="17" t="inlineStr">
        <is>
          <t>Kiri&lt;16.82</t>
        </is>
      </c>
      <c r="G179" s="17" t="n"/>
      <c r="J179" s="17" t="inlineStr">
        <is>
          <t>kanan</t>
        </is>
      </c>
      <c r="K179" s="17" t="inlineStr">
        <is>
          <t>Kiri&lt;2.37</t>
        </is>
      </c>
      <c r="L179" s="17" t="n"/>
      <c r="O179" s="17" t="inlineStr">
        <is>
          <t>tengah</t>
        </is>
      </c>
      <c r="P179" s="17" t="inlineStr">
        <is>
          <t>Kiri&lt;11.31</t>
        </is>
      </c>
      <c r="Q179" s="17" t="n"/>
      <c r="T179" s="17" t="inlineStr">
        <is>
          <t>kanan</t>
        </is>
      </c>
      <c r="U179" s="17" t="inlineStr">
        <is>
          <t>Kiri&lt;0</t>
        </is>
      </c>
      <c r="V179" s="17" t="n"/>
    </row>
    <row r="180" s="1">
      <c r="E180" s="17" t="inlineStr">
        <is>
          <t>tengah</t>
        </is>
      </c>
      <c r="F180" s="17">
        <f>COUNTIFS($E$170:$E$332,"Kiri",$M$2:$M$164,"Tinggi")</f>
        <v/>
      </c>
      <c r="G180" s="17">
        <f>F180/43</f>
        <v/>
      </c>
      <c r="J180" s="17" t="inlineStr">
        <is>
          <t>tengah</t>
        </is>
      </c>
      <c r="K180" s="17">
        <f>COUNTIFS($J$170:$J$332,"Kiri",$M$2:$M$164,"Tinggi")</f>
        <v/>
      </c>
      <c r="L180" s="17">
        <f>K180/42</f>
        <v/>
      </c>
      <c r="O180" s="17" t="inlineStr">
        <is>
          <t>tengah</t>
        </is>
      </c>
      <c r="P180" s="17">
        <f>COUNTIFS($O$170:$O$332,"Kiri",$M$2:$M$164,"Tinggi")</f>
        <v/>
      </c>
      <c r="Q180" s="17">
        <f>P180/57</f>
        <v/>
      </c>
      <c r="T180" s="17" t="inlineStr">
        <is>
          <t>kanan</t>
        </is>
      </c>
      <c r="U180" s="17">
        <f>COUNTIFS($T$170:$T$332,"Kiri",$M$2:$M$164,"Tinggi")</f>
        <v/>
      </c>
      <c r="V180" s="17">
        <f>U180/78</f>
        <v/>
      </c>
    </row>
    <row r="181" s="1">
      <c r="E181" s="17" t="inlineStr">
        <is>
          <t>kiri</t>
        </is>
      </c>
      <c r="F181" s="17">
        <f>COUNTIFS($E$170:$E$332,"Kiri",$M$2:$M$164,"Sedang")</f>
        <v/>
      </c>
      <c r="G181" s="17">
        <f>F181/43</f>
        <v/>
      </c>
      <c r="J181" s="17" t="inlineStr">
        <is>
          <t>tengah</t>
        </is>
      </c>
      <c r="K181" s="17">
        <f>COUNTIFS($J$170:$J$332,"Kiri",$M$2:$M$164,"Sedang")</f>
        <v/>
      </c>
      <c r="L181" s="17">
        <f>K181/42</f>
        <v/>
      </c>
      <c r="O181" s="17" t="inlineStr">
        <is>
          <t>kanan</t>
        </is>
      </c>
      <c r="P181" s="17">
        <f>COUNTIFS($O$170:$O$332,"Kiri",$M$2:$M$164,"Sedang")</f>
        <v/>
      </c>
      <c r="Q181" s="17">
        <f>P181/28</f>
        <v/>
      </c>
      <c r="T181" s="17" t="inlineStr">
        <is>
          <t>tengah</t>
        </is>
      </c>
      <c r="U181" s="17">
        <f>COUNTIFS($T$170:$T$332,"Kiri",$M$2:$M$164,"Sedang")</f>
        <v/>
      </c>
      <c r="V181" s="17">
        <f>U181/78</f>
        <v/>
      </c>
    </row>
    <row r="182" s="1">
      <c r="E182" s="17" t="inlineStr">
        <is>
          <t>tengah</t>
        </is>
      </c>
      <c r="F182" s="17">
        <f>COUNTIFS($E$170:$E$332,"Kiri",$M$2:$M$164,"Rendah")</f>
        <v/>
      </c>
      <c r="G182" s="17">
        <f>F182/43</f>
        <v/>
      </c>
      <c r="J182" s="17" t="inlineStr">
        <is>
          <t>tengah</t>
        </is>
      </c>
      <c r="K182" s="17">
        <f>COUNTIFS($J$170:$J$332,"Kiri",$M$2:$M$164,"Rendah")</f>
        <v/>
      </c>
      <c r="L182" s="17">
        <f>K182/42</f>
        <v/>
      </c>
      <c r="O182" s="17" t="inlineStr">
        <is>
          <t>tengah</t>
        </is>
      </c>
      <c r="P182" s="17">
        <f>COUNTIFS($O$170:$O$332,"Kiri",$M$2:$M$164,"Rendah")</f>
        <v/>
      </c>
      <c r="Q182" s="17">
        <f>P182/28</f>
        <v/>
      </c>
      <c r="T182" s="17" t="inlineStr">
        <is>
          <t>tengah</t>
        </is>
      </c>
      <c r="U182" s="17">
        <f>COUNTIFS($T$170:$T$332,"Kiri",$M$2:$M$164,"Rendah")</f>
        <v/>
      </c>
      <c r="V182" s="17">
        <f>U182/78</f>
        <v/>
      </c>
    </row>
    <row r="183" s="1">
      <c r="E183" s="17" t="inlineStr">
        <is>
          <t>tengah</t>
        </is>
      </c>
      <c r="F183" s="17" t="inlineStr">
        <is>
          <t>Entropy</t>
        </is>
      </c>
      <c r="G183" s="17">
        <f>-(IFERROR(G180*LOG(G180,2),0)+IFERROR(G181*LOG(G181,2),0)+IFERROR(G182*LOG(G182,2),0))</f>
        <v/>
      </c>
      <c r="J183" s="17" t="inlineStr">
        <is>
          <t>tengah</t>
        </is>
      </c>
      <c r="K183" s="17" t="inlineStr">
        <is>
          <t>Entropy</t>
        </is>
      </c>
      <c r="L183" s="17">
        <f>-(IFERROR(L180*LOG(L180,2),0)+IFERROR(L181*LOG(L181,2),0)+IFERROR(L182*LOG(L182,2),0))</f>
        <v/>
      </c>
      <c r="O183" s="17" t="inlineStr">
        <is>
          <t>tengah</t>
        </is>
      </c>
      <c r="P183" s="17" t="inlineStr">
        <is>
          <t>Entropy</t>
        </is>
      </c>
      <c r="Q183" s="17">
        <f>-(IFERROR(Q180*LOG(Q180,2),0)+IFERROR(Q181*LOG(Q181,2),0)+IFERROR(Q182*LOG(Q182,2),0))</f>
        <v/>
      </c>
      <c r="T183" s="17" t="inlineStr">
        <is>
          <t>tengah</t>
        </is>
      </c>
      <c r="U183" s="17" t="inlineStr">
        <is>
          <t>Entropy</t>
        </is>
      </c>
      <c r="V183" s="17">
        <f>-(IFERROR(V180*LOG(V180,2),0)+IFERROR(V181*LOG(V181,2),0)+IFERROR(V182*LOG(V182,2),0))</f>
        <v/>
      </c>
    </row>
    <row r="184" s="1">
      <c r="E184" s="17" t="inlineStr">
        <is>
          <t>kiri</t>
        </is>
      </c>
      <c r="F184" s="17" t="n"/>
      <c r="G184" s="17">
        <f>SUM(F180:F182)/163</f>
        <v/>
      </c>
      <c r="J184" s="17" t="inlineStr">
        <is>
          <t>kiri</t>
        </is>
      </c>
      <c r="K184" s="17" t="n"/>
      <c r="L184" s="17">
        <f>SUM(K180:K182)/163</f>
        <v/>
      </c>
      <c r="O184" s="17" t="inlineStr">
        <is>
          <t>kanan</t>
        </is>
      </c>
      <c r="P184" s="17" t="n"/>
      <c r="Q184" s="17">
        <f>SUM(P180:P182)/163</f>
        <v/>
      </c>
      <c r="T184" s="17" t="inlineStr">
        <is>
          <t>kanan</t>
        </is>
      </c>
      <c r="U184" s="17" t="n"/>
      <c r="V184" s="17">
        <f>SUM(U180:U182)/163</f>
        <v/>
      </c>
    </row>
    <row r="185" s="1">
      <c r="E185" s="17" t="inlineStr">
        <is>
          <t>tengah</t>
        </is>
      </c>
      <c r="F185" s="17" t="n"/>
      <c r="G185" s="23">
        <f>G183*G184</f>
        <v/>
      </c>
      <c r="J185" s="17" t="inlineStr">
        <is>
          <t>tengah</t>
        </is>
      </c>
      <c r="K185" s="17" t="n"/>
      <c r="L185" s="23">
        <f>L183*L184</f>
        <v/>
      </c>
      <c r="O185" s="17" t="inlineStr">
        <is>
          <t>tengah</t>
        </is>
      </c>
      <c r="P185" s="17" t="n"/>
      <c r="Q185" s="23">
        <f>Q183*Q184</f>
        <v/>
      </c>
      <c r="T185" s="17" t="inlineStr">
        <is>
          <t>tengah</t>
        </is>
      </c>
      <c r="U185" s="17" t="n"/>
      <c r="V185" s="23">
        <f>V183*V184</f>
        <v/>
      </c>
    </row>
    <row r="186" s="1">
      <c r="E186" s="17" t="inlineStr">
        <is>
          <t>kanan</t>
        </is>
      </c>
      <c r="F186" s="17" t="n"/>
      <c r="G186" s="17" t="n"/>
      <c r="J186" s="17" t="inlineStr">
        <is>
          <t>tengah</t>
        </is>
      </c>
      <c r="K186" s="17" t="n"/>
      <c r="L186" s="17" t="n"/>
      <c r="O186" s="17" t="inlineStr">
        <is>
          <t>tengah</t>
        </is>
      </c>
      <c r="P186" s="17" t="n"/>
      <c r="Q186" s="17" t="n"/>
      <c r="T186" s="17" t="inlineStr">
        <is>
          <t>tengah</t>
        </is>
      </c>
      <c r="U186" s="17" t="n"/>
      <c r="V186" s="17" t="n"/>
    </row>
    <row r="187" s="1">
      <c r="E187" s="17" t="inlineStr">
        <is>
          <t>tengah</t>
        </is>
      </c>
      <c r="F187" s="17" t="n"/>
      <c r="G187" s="17" t="n"/>
      <c r="J187" s="17" t="inlineStr">
        <is>
          <t>kanan</t>
        </is>
      </c>
      <c r="K187" s="17" t="n"/>
      <c r="L187" s="17" t="n"/>
      <c r="O187" s="17" t="inlineStr">
        <is>
          <t>tengah</t>
        </is>
      </c>
      <c r="P187" s="17" t="n"/>
      <c r="Q187" s="17" t="n"/>
      <c r="T187" s="17" t="inlineStr">
        <is>
          <t>tengah</t>
        </is>
      </c>
      <c r="U187" s="17" t="n"/>
      <c r="V187" s="17" t="n"/>
    </row>
    <row r="188" s="1">
      <c r="E188" s="17" t="inlineStr">
        <is>
          <t>kanan</t>
        </is>
      </c>
      <c r="F188" s="17" t="inlineStr">
        <is>
          <t>Tengah</t>
        </is>
      </c>
      <c r="G188" s="17" t="n"/>
      <c r="J188" s="17" t="inlineStr">
        <is>
          <t>kanan</t>
        </is>
      </c>
      <c r="K188" s="17" t="inlineStr">
        <is>
          <t>Tengah</t>
        </is>
      </c>
      <c r="L188" s="17" t="n"/>
      <c r="O188" s="17" t="inlineStr">
        <is>
          <t>tengah</t>
        </is>
      </c>
      <c r="P188" s="17" t="inlineStr">
        <is>
          <t>Tengah</t>
        </is>
      </c>
      <c r="Q188" s="17" t="n"/>
      <c r="T188" s="17" t="inlineStr">
        <is>
          <t>kanan</t>
        </is>
      </c>
      <c r="U188" s="17" t="inlineStr">
        <is>
          <t>Tengah</t>
        </is>
      </c>
      <c r="V188" s="17" t="n"/>
    </row>
    <row r="189" s="1">
      <c r="E189" s="17" t="inlineStr">
        <is>
          <t>tengah</t>
        </is>
      </c>
      <c r="F189" s="17">
        <f>COUNTIFS($E$170:$E$332,"Tengah",$M$2:$M$164,"Tinggi")</f>
        <v/>
      </c>
      <c r="G189" s="17">
        <f>F189/90</f>
        <v/>
      </c>
      <c r="J189" s="17" t="inlineStr">
        <is>
          <t>tengah</t>
        </is>
      </c>
      <c r="K189" s="17">
        <f>COUNTIFS($J$170:$J$332,"Tengah",$M$2:$M$164,"Tinggi")</f>
        <v/>
      </c>
      <c r="L189" s="17">
        <f>K189/86</f>
        <v/>
      </c>
      <c r="O189" s="17" t="inlineStr">
        <is>
          <t>tengah</t>
        </is>
      </c>
      <c r="P189" s="17">
        <f>COUNTIFS($O$170:$O$332,"Tengah",$M$2:$M$164,"Tinggi")</f>
        <v/>
      </c>
      <c r="Q189" s="17">
        <f>P189/101</f>
        <v/>
      </c>
      <c r="T189" s="17" t="inlineStr">
        <is>
          <t>tengah</t>
        </is>
      </c>
      <c r="U189" s="17">
        <f>COUNTIFS($T$170:$T$332,"Tengah",$M$2:$M$164,"Tinggi")</f>
        <v/>
      </c>
      <c r="V189" s="17">
        <f>U189/84</f>
        <v/>
      </c>
    </row>
    <row r="190" s="1">
      <c r="E190" s="17" t="inlineStr">
        <is>
          <t>kiri</t>
        </is>
      </c>
      <c r="F190" s="17">
        <f>COUNTIFS($E$170:$E$332,"Tengah",$M$2:$M$164,"Sedang")</f>
        <v/>
      </c>
      <c r="G190" s="17">
        <f>F190/90</f>
        <v/>
      </c>
      <c r="J190" s="17" t="inlineStr">
        <is>
          <t>tengah</t>
        </is>
      </c>
      <c r="K190" s="17">
        <f>COUNTIFS($J$170:$J$332,"Tengah",$M$2:$M$164,"Sedang")</f>
        <v/>
      </c>
      <c r="L190" s="17">
        <f>K190/86</f>
        <v/>
      </c>
      <c r="O190" s="17" t="inlineStr">
        <is>
          <t>kanan</t>
        </is>
      </c>
      <c r="P190" s="17">
        <f>COUNTIFS($O$170:$O$332,"Tengah",$M$2:$M$164,"Sedang")</f>
        <v/>
      </c>
      <c r="Q190" s="17">
        <f>P190/101</f>
        <v/>
      </c>
      <c r="T190" s="17" t="inlineStr">
        <is>
          <t>kanan</t>
        </is>
      </c>
      <c r="U190" s="17">
        <f>COUNTIFS($T$170:$T$332,"Tengah",$M$2:$M$164,"Sedang")</f>
        <v/>
      </c>
      <c r="V190" s="17">
        <f>U190/84</f>
        <v/>
      </c>
    </row>
    <row r="191" s="1">
      <c r="E191" s="17" t="inlineStr">
        <is>
          <t>tengah</t>
        </is>
      </c>
      <c r="F191" s="17">
        <f>COUNTIFS($E$170:$E$332,"Tengah",$M$2:$M$164,"Rendah")</f>
        <v/>
      </c>
      <c r="G191" s="17">
        <f>F191/90</f>
        <v/>
      </c>
      <c r="J191" s="17" t="inlineStr">
        <is>
          <t>tengah</t>
        </is>
      </c>
      <c r="K191" s="17">
        <f>COUNTIFS($J$170:$J$332,"Tengah",$M$2:$M$164,"Rendah")</f>
        <v/>
      </c>
      <c r="L191" s="17">
        <f>K191/86</f>
        <v/>
      </c>
      <c r="O191" s="17" t="inlineStr">
        <is>
          <t>tengah</t>
        </is>
      </c>
      <c r="P191" s="17">
        <f>COUNTIFS($O$170:$O$332,"Tengah",$M$2:$M$164,"Rendah")</f>
        <v/>
      </c>
      <c r="Q191" s="17">
        <f>P191/101</f>
        <v/>
      </c>
      <c r="T191" s="17" t="inlineStr">
        <is>
          <t>tengah</t>
        </is>
      </c>
      <c r="U191" s="17">
        <f>COUNTIFS($T$170:$T$332,"Tengah",$M$2:$M$164,"Rendah")</f>
        <v/>
      </c>
      <c r="V191" s="17">
        <f>U191/84</f>
        <v/>
      </c>
    </row>
    <row r="192" s="1">
      <c r="E192" s="17" t="inlineStr">
        <is>
          <t>tengah</t>
        </is>
      </c>
      <c r="F192" s="17" t="inlineStr">
        <is>
          <t>Entropy</t>
        </is>
      </c>
      <c r="G192" s="17">
        <f>-(IFERROR(G189*LOG(G189,2),0)+IFERROR(G190*LOG(G190,2),0)+IFERROR(G191*LOG(G191,2),0))</f>
        <v/>
      </c>
      <c r="J192" s="17" t="inlineStr">
        <is>
          <t>kiri</t>
        </is>
      </c>
      <c r="K192" s="17" t="inlineStr">
        <is>
          <t>Entropy</t>
        </is>
      </c>
      <c r="L192" s="17">
        <f>-(IFERROR(L189*LOG(L189,2),0)+IFERROR(L190*LOG(L190,2),0)+IFERROR(L191*LOG(L191,2),0))</f>
        <v/>
      </c>
      <c r="O192" s="17" t="inlineStr">
        <is>
          <t>tengah</t>
        </is>
      </c>
      <c r="P192" s="17" t="inlineStr">
        <is>
          <t>Entropy</t>
        </is>
      </c>
      <c r="Q192" s="17">
        <f>-(IFERROR(Q189*LOG(Q189,2),0)+IFERROR(Q190*LOG(Q190,2),0)+IFERROR(Q191*LOG(Q191,2),0))</f>
        <v/>
      </c>
      <c r="T192" s="17" t="inlineStr">
        <is>
          <t>kanan</t>
        </is>
      </c>
      <c r="U192" s="17" t="inlineStr">
        <is>
          <t>Entropy</t>
        </is>
      </c>
      <c r="V192" s="17">
        <f>-(IFERROR(V189*LOG(V189,2),0)+IFERROR(V190*LOG(V190,2),0)+IFERROR(V191*LOG(V191,2),0))</f>
        <v/>
      </c>
    </row>
    <row r="193" s="1">
      <c r="E193" s="17" t="inlineStr">
        <is>
          <t>tengah</t>
        </is>
      </c>
      <c r="F193" s="17" t="n"/>
      <c r="G193" s="17">
        <f>SUM(F189:F191)/163</f>
        <v/>
      </c>
      <c r="J193" s="17" t="inlineStr">
        <is>
          <t>tengah</t>
        </is>
      </c>
      <c r="K193" s="17" t="n"/>
      <c r="L193" s="17">
        <f>SUM(K189:K191)/163</f>
        <v/>
      </c>
      <c r="O193" s="17" t="inlineStr">
        <is>
          <t>kanan</t>
        </is>
      </c>
      <c r="P193" s="17" t="n"/>
      <c r="Q193" s="17">
        <f>SUM(P189:P191)/163</f>
        <v/>
      </c>
      <c r="T193" s="17" t="inlineStr">
        <is>
          <t>kanan</t>
        </is>
      </c>
      <c r="U193" s="17" t="n"/>
      <c r="V193" s="17">
        <f>SUM(U189:U191)/163</f>
        <v/>
      </c>
    </row>
    <row r="194" s="1">
      <c r="E194" s="17" t="inlineStr">
        <is>
          <t>tengah</t>
        </is>
      </c>
      <c r="F194" s="17" t="n"/>
      <c r="G194" s="23">
        <f>G192*G193</f>
        <v/>
      </c>
      <c r="J194" s="17" t="inlineStr">
        <is>
          <t>tengah</t>
        </is>
      </c>
      <c r="K194" s="17" t="n"/>
      <c r="L194" s="23">
        <f>L192*L193</f>
        <v/>
      </c>
      <c r="O194" s="17" t="inlineStr">
        <is>
          <t>tengah</t>
        </is>
      </c>
      <c r="P194" s="17" t="n"/>
      <c r="Q194" s="23">
        <f>Q192*Q193</f>
        <v/>
      </c>
      <c r="T194" s="17" t="inlineStr">
        <is>
          <t>kanan</t>
        </is>
      </c>
      <c r="U194" s="17" t="n"/>
      <c r="V194" s="23">
        <f>V192*V193</f>
        <v/>
      </c>
    </row>
    <row r="195" s="1">
      <c r="E195" s="17" t="inlineStr">
        <is>
          <t>tengah</t>
        </is>
      </c>
      <c r="F195" s="17" t="n"/>
      <c r="G195" s="17" t="n"/>
      <c r="J195" s="17" t="inlineStr">
        <is>
          <t>kanan</t>
        </is>
      </c>
      <c r="K195" s="17" t="n"/>
      <c r="L195" s="17" t="n"/>
      <c r="O195" s="17" t="inlineStr">
        <is>
          <t>tengah</t>
        </is>
      </c>
      <c r="P195" s="17" t="n"/>
      <c r="Q195" s="17" t="n"/>
      <c r="T195" s="17" t="inlineStr">
        <is>
          <t>kanan</t>
        </is>
      </c>
      <c r="U195" s="17" t="n"/>
      <c r="V195" s="17" t="n"/>
    </row>
    <row r="196" s="1">
      <c r="E196" s="17" t="inlineStr">
        <is>
          <t>tengah</t>
        </is>
      </c>
      <c r="F196" s="17" t="inlineStr">
        <is>
          <t>IG</t>
        </is>
      </c>
      <c r="G196" s="17" t="n"/>
      <c r="J196" s="17" t="inlineStr">
        <is>
          <t>tengah</t>
        </is>
      </c>
      <c r="K196" s="17" t="inlineStr">
        <is>
          <t>IG</t>
        </is>
      </c>
      <c r="L196" s="17" t="n"/>
      <c r="O196" s="17" t="inlineStr">
        <is>
          <t>kiri</t>
        </is>
      </c>
      <c r="P196" s="17" t="inlineStr">
        <is>
          <t>IG</t>
        </is>
      </c>
      <c r="Q196" s="17" t="n"/>
      <c r="T196" s="17" t="inlineStr">
        <is>
          <t>kanan</t>
        </is>
      </c>
      <c r="U196" s="17" t="inlineStr">
        <is>
          <t>IG</t>
        </is>
      </c>
      <c r="V196" s="17" t="n"/>
    </row>
    <row r="197" s="1">
      <c r="E197" s="17" t="inlineStr">
        <is>
          <t>tengah</t>
        </is>
      </c>
      <c r="F197" s="24">
        <f>P5-(G176+G185+G194)</f>
        <v/>
      </c>
      <c r="G197" s="17" t="n"/>
      <c r="J197" s="17" t="inlineStr">
        <is>
          <t>tengah</t>
        </is>
      </c>
      <c r="K197" s="24">
        <f>P5-(L176+L185+L194)</f>
        <v/>
      </c>
      <c r="L197" s="17" t="n"/>
      <c r="O197" s="17" t="inlineStr">
        <is>
          <t>kanan</t>
        </is>
      </c>
      <c r="P197" s="24">
        <f>P5-(Q176+Q185+Q194)</f>
        <v/>
      </c>
      <c r="Q197" s="17" t="n"/>
      <c r="T197" s="17" t="inlineStr">
        <is>
          <t>kanan</t>
        </is>
      </c>
      <c r="U197" s="24">
        <f>P5-(V176+V185+V194)</f>
        <v/>
      </c>
      <c r="V197" s="17" t="n"/>
    </row>
    <row r="198" s="1">
      <c r="E198" s="17" t="inlineStr">
        <is>
          <t>kanan</t>
        </is>
      </c>
      <c r="F198" s="17" t="n"/>
      <c r="G198" s="17" t="n"/>
      <c r="J198" s="17" t="inlineStr">
        <is>
          <t>kanan</t>
        </is>
      </c>
      <c r="K198" s="17" t="n"/>
      <c r="L198" s="17" t="n"/>
      <c r="O198" s="17" t="inlineStr">
        <is>
          <t>tengah</t>
        </is>
      </c>
      <c r="P198" s="17" t="n"/>
      <c r="Q198" s="17" t="n"/>
      <c r="T198" s="17" t="inlineStr">
        <is>
          <t>tengah</t>
        </is>
      </c>
      <c r="U198" s="17" t="n"/>
      <c r="V198" s="17" t="n"/>
    </row>
    <row r="199" s="1">
      <c r="E199" s="17" t="inlineStr">
        <is>
          <t>kiri</t>
        </is>
      </c>
      <c r="F199" s="17" t="n"/>
      <c r="G199" s="17" t="n"/>
      <c r="J199" s="17" t="inlineStr">
        <is>
          <t>kiri</t>
        </is>
      </c>
      <c r="K199" s="17" t="n"/>
      <c r="L199" s="17" t="n"/>
      <c r="O199" s="17" t="inlineStr">
        <is>
          <t>tengah</t>
        </is>
      </c>
      <c r="P199" s="17" t="n"/>
      <c r="Q199" s="17" t="n"/>
      <c r="T199" s="17" t="inlineStr">
        <is>
          <t>tengah</t>
        </is>
      </c>
      <c r="U199" s="17" t="n"/>
      <c r="V199" s="17" t="n"/>
    </row>
    <row r="200" s="1">
      <c r="E200" s="17" t="inlineStr">
        <is>
          <t>kanan</t>
        </is>
      </c>
      <c r="F200" s="17" t="n"/>
      <c r="G200" s="17" t="n"/>
      <c r="J200" s="17" t="inlineStr">
        <is>
          <t>tengah</t>
        </is>
      </c>
      <c r="K200" s="17" t="n"/>
      <c r="L200" s="17" t="n"/>
      <c r="O200" s="17" t="inlineStr">
        <is>
          <t>tengah</t>
        </is>
      </c>
      <c r="P200" s="17" t="n"/>
      <c r="Q200" s="17" t="n"/>
      <c r="T200" s="17" t="inlineStr">
        <is>
          <t>kanan</t>
        </is>
      </c>
      <c r="U200" s="17" t="n"/>
      <c r="V200" s="17" t="n"/>
    </row>
    <row r="201" s="1">
      <c r="E201" s="17" t="inlineStr">
        <is>
          <t>kiri</t>
        </is>
      </c>
      <c r="F201" s="17" t="n"/>
      <c r="G201" s="17" t="n"/>
      <c r="J201" s="17" t="inlineStr">
        <is>
          <t>tengah</t>
        </is>
      </c>
      <c r="K201" s="17" t="n"/>
      <c r="L201" s="17" t="n"/>
      <c r="O201" s="17" t="inlineStr">
        <is>
          <t>tengah</t>
        </is>
      </c>
      <c r="P201" s="17" t="n"/>
      <c r="Q201" s="17" t="n"/>
      <c r="T201" s="17" t="inlineStr">
        <is>
          <t>tengah</t>
        </is>
      </c>
      <c r="U201" s="17" t="n"/>
      <c r="V201" s="17" t="n"/>
    </row>
    <row r="202" s="1">
      <c r="E202" s="17" t="inlineStr">
        <is>
          <t>kiri</t>
        </is>
      </c>
      <c r="F202" s="17" t="n"/>
      <c r="G202" s="17" t="n"/>
      <c r="J202" s="17" t="inlineStr">
        <is>
          <t>tengah</t>
        </is>
      </c>
      <c r="K202" s="17" t="n"/>
      <c r="L202" s="17" t="n"/>
      <c r="O202" s="17" t="inlineStr">
        <is>
          <t>kiri</t>
        </is>
      </c>
      <c r="P202" s="17" t="n"/>
      <c r="Q202" s="17" t="n"/>
      <c r="T202" s="17" t="inlineStr">
        <is>
          <t>tengah</t>
        </is>
      </c>
      <c r="U202" s="17" t="n"/>
      <c r="V202" s="17" t="n"/>
    </row>
    <row r="203" s="1">
      <c r="E203" s="17" t="inlineStr">
        <is>
          <t>kiri</t>
        </is>
      </c>
      <c r="F203" s="17" t="n"/>
      <c r="G203" s="17" t="n"/>
      <c r="J203" s="17" t="inlineStr">
        <is>
          <t>kanan</t>
        </is>
      </c>
      <c r="K203" s="17" t="n"/>
      <c r="L203" s="17" t="n"/>
      <c r="O203" s="17" t="inlineStr">
        <is>
          <t>tengah</t>
        </is>
      </c>
      <c r="P203" s="17" t="n"/>
      <c r="Q203" s="17" t="n"/>
      <c r="T203" s="17" t="inlineStr">
        <is>
          <t>kanan</t>
        </is>
      </c>
      <c r="U203" s="17" t="n"/>
      <c r="V203" s="17" t="n"/>
    </row>
    <row r="204" s="1">
      <c r="E204" s="17" t="inlineStr">
        <is>
          <t>kanan</t>
        </is>
      </c>
      <c r="F204" s="17" t="n"/>
      <c r="G204" s="17" t="n"/>
      <c r="J204" s="17" t="inlineStr">
        <is>
          <t>kiri</t>
        </is>
      </c>
      <c r="K204" s="17" t="n"/>
      <c r="L204" s="17" t="n"/>
      <c r="O204" s="17" t="inlineStr">
        <is>
          <t>kiri</t>
        </is>
      </c>
      <c r="P204" s="17" t="n"/>
      <c r="Q204" s="17" t="n"/>
      <c r="T204" s="17" t="inlineStr">
        <is>
          <t>tengah</t>
        </is>
      </c>
      <c r="U204" s="17" t="n"/>
      <c r="V204" s="17" t="n"/>
    </row>
    <row r="205" s="1">
      <c r="E205" s="17" t="inlineStr">
        <is>
          <t>tengah</t>
        </is>
      </c>
      <c r="F205" s="17" t="n"/>
      <c r="G205" s="17" t="n"/>
      <c r="J205" s="17" t="inlineStr">
        <is>
          <t>kiri</t>
        </is>
      </c>
      <c r="K205" s="17" t="n"/>
      <c r="L205" s="17" t="n"/>
      <c r="O205" s="17" t="inlineStr">
        <is>
          <t>kiri</t>
        </is>
      </c>
      <c r="P205" s="17" t="n"/>
      <c r="Q205" s="17" t="n"/>
      <c r="T205" s="17" t="inlineStr">
        <is>
          <t>kanan</t>
        </is>
      </c>
      <c r="U205" s="17" t="n"/>
      <c r="V205" s="17" t="n"/>
    </row>
    <row r="206" s="1">
      <c r="E206" s="17" t="inlineStr">
        <is>
          <t>kiri</t>
        </is>
      </c>
      <c r="F206" s="17" t="n"/>
      <c r="G206" s="17" t="n"/>
      <c r="J206" s="17" t="inlineStr">
        <is>
          <t>kanan</t>
        </is>
      </c>
      <c r="K206" s="17" t="n"/>
      <c r="L206" s="17" t="n"/>
      <c r="O206" s="17" t="inlineStr">
        <is>
          <t>tengah</t>
        </is>
      </c>
      <c r="P206" s="17" t="n"/>
      <c r="Q206" s="17" t="n"/>
      <c r="T206" s="17" t="inlineStr">
        <is>
          <t>kanan</t>
        </is>
      </c>
      <c r="U206" s="17" t="n"/>
      <c r="V206" s="17" t="n"/>
    </row>
    <row r="207" s="1">
      <c r="E207" s="17" t="inlineStr">
        <is>
          <t>kanan</t>
        </is>
      </c>
      <c r="F207" s="17" t="n"/>
      <c r="G207" s="17" t="n"/>
      <c r="J207" s="17" t="inlineStr">
        <is>
          <t>tengah</t>
        </is>
      </c>
      <c r="K207" s="17" t="n"/>
      <c r="L207" s="17" t="n"/>
      <c r="O207" s="17" t="inlineStr">
        <is>
          <t>kiri</t>
        </is>
      </c>
      <c r="P207" s="17" t="n"/>
      <c r="Q207" s="17" t="n"/>
      <c r="T207" s="17" t="inlineStr">
        <is>
          <t>tengah</t>
        </is>
      </c>
      <c r="U207" s="17" t="n"/>
      <c r="V207" s="17" t="n"/>
    </row>
    <row r="208" s="1">
      <c r="E208" s="17" t="inlineStr">
        <is>
          <t>tengah</t>
        </is>
      </c>
      <c r="F208" s="17" t="n"/>
      <c r="G208" s="17" t="n"/>
      <c r="J208" s="17" t="inlineStr">
        <is>
          <t>tengah</t>
        </is>
      </c>
      <c r="K208" s="17" t="n"/>
      <c r="L208" s="17" t="n"/>
      <c r="O208" s="17" t="inlineStr">
        <is>
          <t>tengah</t>
        </is>
      </c>
      <c r="P208" s="17" t="n"/>
      <c r="Q208" s="17" t="n"/>
      <c r="T208" s="17" t="inlineStr">
        <is>
          <t>kanan</t>
        </is>
      </c>
      <c r="U208" s="17" t="n"/>
      <c r="V208" s="17" t="n"/>
    </row>
    <row r="209" s="1">
      <c r="E209" s="17" t="inlineStr">
        <is>
          <t>tengah</t>
        </is>
      </c>
      <c r="F209" s="17" t="n"/>
      <c r="G209" s="17" t="n"/>
      <c r="J209" s="17" t="inlineStr">
        <is>
          <t>tengah</t>
        </is>
      </c>
      <c r="K209" s="17" t="n"/>
      <c r="L209" s="17" t="n"/>
      <c r="O209" s="17" t="inlineStr">
        <is>
          <t>tengah</t>
        </is>
      </c>
      <c r="P209" s="17" t="n"/>
      <c r="Q209" s="17" t="n"/>
      <c r="T209" s="17" t="inlineStr">
        <is>
          <t>tengah</t>
        </is>
      </c>
      <c r="U209" s="17" t="n"/>
      <c r="V209" s="17" t="n"/>
    </row>
    <row r="210" s="1">
      <c r="E210" s="17" t="inlineStr">
        <is>
          <t>tengah</t>
        </is>
      </c>
      <c r="F210" s="17" t="n"/>
      <c r="G210" s="17" t="n"/>
      <c r="J210" s="17" t="inlineStr">
        <is>
          <t>tengah</t>
        </is>
      </c>
      <c r="K210" s="17" t="n"/>
      <c r="L210" s="17" t="n"/>
      <c r="O210" s="17" t="inlineStr">
        <is>
          <t>tengah</t>
        </is>
      </c>
      <c r="P210" s="17" t="n"/>
      <c r="Q210" s="17" t="n"/>
      <c r="T210" s="17" t="inlineStr">
        <is>
          <t>kanan</t>
        </is>
      </c>
      <c r="U210" s="17" t="n"/>
      <c r="V210" s="17" t="n"/>
    </row>
    <row r="211" s="1">
      <c r="E211" s="17" t="inlineStr">
        <is>
          <t>tengah</t>
        </is>
      </c>
      <c r="F211" s="17" t="n"/>
      <c r="G211" s="17" t="n"/>
      <c r="J211" s="17" t="inlineStr">
        <is>
          <t>tengah</t>
        </is>
      </c>
      <c r="K211" s="17" t="n"/>
      <c r="L211" s="17" t="n"/>
      <c r="O211" s="17" t="inlineStr">
        <is>
          <t>kanan</t>
        </is>
      </c>
      <c r="P211" s="17" t="n"/>
      <c r="Q211" s="17" t="n"/>
      <c r="T211" s="17" t="inlineStr">
        <is>
          <t>kanan</t>
        </is>
      </c>
      <c r="U211" s="17" t="n"/>
      <c r="V211" s="17" t="n"/>
    </row>
    <row r="212" s="1">
      <c r="E212" s="17" t="inlineStr">
        <is>
          <t>kiri</t>
        </is>
      </c>
      <c r="F212" s="17" t="n"/>
      <c r="G212" s="17" t="n"/>
      <c r="J212" s="17" t="inlineStr">
        <is>
          <t>tengah</t>
        </is>
      </c>
      <c r="K212" s="17" t="n"/>
      <c r="L212" s="17" t="n"/>
      <c r="O212" s="17" t="inlineStr">
        <is>
          <t>kiri</t>
        </is>
      </c>
      <c r="P212" s="17" t="n"/>
      <c r="Q212" s="17" t="n"/>
      <c r="T212" s="17" t="inlineStr">
        <is>
          <t>tengah</t>
        </is>
      </c>
      <c r="U212" s="17" t="n"/>
      <c r="V212" s="17" t="n"/>
    </row>
    <row r="213" s="1">
      <c r="E213" s="17" t="inlineStr">
        <is>
          <t>tengah</t>
        </is>
      </c>
      <c r="F213" s="17" t="n"/>
      <c r="G213" s="17" t="n"/>
      <c r="J213" s="17" t="inlineStr">
        <is>
          <t>tengah</t>
        </is>
      </c>
      <c r="K213" s="17" t="n"/>
      <c r="L213" s="17" t="n"/>
      <c r="O213" s="17" t="inlineStr">
        <is>
          <t>tengah</t>
        </is>
      </c>
      <c r="P213" s="17" t="n"/>
      <c r="Q213" s="17" t="n"/>
      <c r="T213" s="17" t="inlineStr">
        <is>
          <t>kanan</t>
        </is>
      </c>
      <c r="U213" s="17" t="n"/>
      <c r="V213" s="17" t="n"/>
    </row>
    <row r="214" s="1">
      <c r="E214" s="17" t="inlineStr">
        <is>
          <t>kiri</t>
        </is>
      </c>
      <c r="F214" s="17" t="n"/>
      <c r="G214" s="17" t="n"/>
      <c r="J214" s="17" t="inlineStr">
        <is>
          <t>tengah</t>
        </is>
      </c>
      <c r="K214" s="17" t="n"/>
      <c r="L214" s="17" t="n"/>
      <c r="O214" s="17" t="inlineStr">
        <is>
          <t>tengah</t>
        </is>
      </c>
      <c r="P214" s="17" t="n"/>
      <c r="Q214" s="17" t="n"/>
      <c r="T214" s="17" t="inlineStr">
        <is>
          <t>tengah</t>
        </is>
      </c>
      <c r="U214" s="17" t="n"/>
      <c r="V214" s="17" t="n"/>
    </row>
    <row r="215" s="1">
      <c r="E215" s="17" t="inlineStr">
        <is>
          <t>tengah</t>
        </is>
      </c>
      <c r="F215" s="17" t="n"/>
      <c r="G215" s="17" t="n"/>
      <c r="J215" s="17" t="inlineStr">
        <is>
          <t>tengah</t>
        </is>
      </c>
      <c r="K215" s="17" t="n"/>
      <c r="L215" s="17" t="n"/>
      <c r="O215" s="17" t="inlineStr">
        <is>
          <t>kiri</t>
        </is>
      </c>
      <c r="P215" s="17" t="n"/>
      <c r="Q215" s="17" t="n"/>
      <c r="T215" s="17" t="inlineStr">
        <is>
          <t>kanan</t>
        </is>
      </c>
      <c r="U215" s="17" t="n"/>
      <c r="V215" s="17" t="n"/>
    </row>
    <row r="216" s="1">
      <c r="E216" s="17" t="inlineStr">
        <is>
          <t>tengah</t>
        </is>
      </c>
      <c r="F216" s="17" t="n"/>
      <c r="G216" s="17" t="n"/>
      <c r="J216" s="17" t="inlineStr">
        <is>
          <t>tengah</t>
        </is>
      </c>
      <c r="K216" s="17" t="n"/>
      <c r="L216" s="17" t="n"/>
      <c r="O216" s="17" t="inlineStr">
        <is>
          <t>tengah</t>
        </is>
      </c>
      <c r="P216" s="17" t="n"/>
      <c r="Q216" s="17" t="n"/>
      <c r="T216" s="17" t="inlineStr">
        <is>
          <t>tengah</t>
        </is>
      </c>
      <c r="U216" s="17" t="n"/>
      <c r="V216" s="17" t="n"/>
    </row>
    <row r="217" s="1">
      <c r="E217" s="17" t="inlineStr">
        <is>
          <t>tengah</t>
        </is>
      </c>
      <c r="F217" s="17" t="n"/>
      <c r="G217" s="17" t="n"/>
      <c r="J217" s="17" t="inlineStr">
        <is>
          <t>tengah</t>
        </is>
      </c>
      <c r="K217" s="17" t="n"/>
      <c r="L217" s="17" t="n"/>
      <c r="O217" s="17" t="inlineStr">
        <is>
          <t>kanan</t>
        </is>
      </c>
      <c r="P217" s="17" t="n"/>
      <c r="Q217" s="17" t="n"/>
      <c r="T217" s="17" t="inlineStr">
        <is>
          <t>kanan</t>
        </is>
      </c>
      <c r="U217" s="17" t="n"/>
      <c r="V217" s="17" t="n"/>
    </row>
    <row r="218" s="1">
      <c r="E218" s="17" t="inlineStr">
        <is>
          <t>kiri</t>
        </is>
      </c>
      <c r="F218" s="17" t="n"/>
      <c r="G218" s="17" t="n"/>
      <c r="J218" s="17" t="inlineStr">
        <is>
          <t>kiri</t>
        </is>
      </c>
      <c r="K218" s="17" t="n"/>
      <c r="L218" s="17" t="n"/>
      <c r="O218" s="17" t="inlineStr">
        <is>
          <t>tengah</t>
        </is>
      </c>
      <c r="P218" s="17" t="n"/>
      <c r="Q218" s="17" t="n"/>
      <c r="T218" s="17" t="inlineStr">
        <is>
          <t>tengah</t>
        </is>
      </c>
      <c r="U218" s="17" t="n"/>
      <c r="V218" s="17" t="n"/>
    </row>
    <row r="219" s="1">
      <c r="E219" s="17" t="inlineStr">
        <is>
          <t>kanan</t>
        </is>
      </c>
      <c r="F219" s="17" t="n"/>
      <c r="G219" s="17" t="n"/>
      <c r="J219" s="17" t="inlineStr">
        <is>
          <t>kanan</t>
        </is>
      </c>
      <c r="K219" s="17" t="n"/>
      <c r="L219" s="17" t="n"/>
      <c r="O219" s="17" t="inlineStr">
        <is>
          <t>tengah</t>
        </is>
      </c>
      <c r="P219" s="17" t="n"/>
      <c r="Q219" s="17" t="n"/>
      <c r="T219" s="17" t="inlineStr">
        <is>
          <t>tengah</t>
        </is>
      </c>
      <c r="U219" s="17" t="n"/>
      <c r="V219" s="17" t="n"/>
    </row>
    <row r="220" s="1">
      <c r="E220" s="17" t="inlineStr">
        <is>
          <t>kanan</t>
        </is>
      </c>
      <c r="F220" s="17" t="n"/>
      <c r="G220" s="17" t="n"/>
      <c r="J220" s="17" t="inlineStr">
        <is>
          <t>kanan</t>
        </is>
      </c>
      <c r="K220" s="17" t="n"/>
      <c r="L220" s="17" t="n"/>
      <c r="O220" s="17" t="inlineStr">
        <is>
          <t>tengah</t>
        </is>
      </c>
      <c r="P220" s="17" t="n"/>
      <c r="Q220" s="17" t="n"/>
      <c r="T220" s="17" t="inlineStr">
        <is>
          <t>tengah</t>
        </is>
      </c>
      <c r="U220" s="17" t="n"/>
      <c r="V220" s="17" t="n"/>
    </row>
    <row r="221" s="1">
      <c r="E221" s="17" t="inlineStr">
        <is>
          <t>tengah</t>
        </is>
      </c>
      <c r="F221" s="17" t="n"/>
      <c r="G221" s="17" t="n"/>
      <c r="J221" s="17" t="inlineStr">
        <is>
          <t>kanan</t>
        </is>
      </c>
      <c r="K221" s="17" t="n"/>
      <c r="L221" s="17" t="n"/>
      <c r="O221" s="17" t="inlineStr">
        <is>
          <t>tengah</t>
        </is>
      </c>
      <c r="P221" s="17" t="n"/>
      <c r="Q221" s="17" t="n"/>
      <c r="T221" s="17" t="inlineStr">
        <is>
          <t>tengah</t>
        </is>
      </c>
      <c r="U221" s="17" t="n"/>
      <c r="V221" s="17" t="n"/>
    </row>
    <row r="222" s="1">
      <c r="E222" s="17" t="inlineStr">
        <is>
          <t>kiri</t>
        </is>
      </c>
      <c r="F222" s="17" t="n"/>
      <c r="G222" s="17" t="n"/>
      <c r="J222" s="17" t="inlineStr">
        <is>
          <t>tengah</t>
        </is>
      </c>
      <c r="K222" s="17" t="n"/>
      <c r="L222" s="17" t="n"/>
      <c r="O222" s="17" t="inlineStr">
        <is>
          <t>kiri</t>
        </is>
      </c>
      <c r="P222" s="17" t="n"/>
      <c r="Q222" s="17" t="n"/>
      <c r="T222" s="17" t="inlineStr">
        <is>
          <t>kanan</t>
        </is>
      </c>
      <c r="U222" s="17" t="n"/>
      <c r="V222" s="17" t="n"/>
    </row>
    <row r="223" s="1">
      <c r="E223" s="17" t="inlineStr">
        <is>
          <t>kiri</t>
        </is>
      </c>
      <c r="F223" s="17" t="n"/>
      <c r="G223" s="17" t="n"/>
      <c r="J223" s="17" t="inlineStr">
        <is>
          <t>tengah</t>
        </is>
      </c>
      <c r="K223" s="17" t="n"/>
      <c r="L223" s="17" t="n"/>
      <c r="O223" s="17" t="inlineStr">
        <is>
          <t>tengah</t>
        </is>
      </c>
      <c r="P223" s="17" t="n"/>
      <c r="Q223" s="17" t="n"/>
      <c r="T223" s="17" t="inlineStr">
        <is>
          <t>tengah</t>
        </is>
      </c>
      <c r="U223" s="17" t="n"/>
      <c r="V223" s="17" t="n"/>
    </row>
    <row r="224" s="1">
      <c r="E224" s="17" t="inlineStr">
        <is>
          <t>kanan</t>
        </is>
      </c>
      <c r="F224" s="17" t="n"/>
      <c r="G224" s="17" t="n"/>
      <c r="J224" s="17" t="inlineStr">
        <is>
          <t>kanan</t>
        </is>
      </c>
      <c r="K224" s="17" t="n"/>
      <c r="L224" s="17" t="n"/>
      <c r="O224" s="17" t="inlineStr">
        <is>
          <t>tengah</t>
        </is>
      </c>
      <c r="P224" s="17" t="n"/>
      <c r="Q224" s="17" t="n"/>
      <c r="T224" s="17" t="inlineStr">
        <is>
          <t>tengah</t>
        </is>
      </c>
      <c r="U224" s="17" t="n"/>
      <c r="V224" s="17" t="n"/>
    </row>
    <row r="225" s="1">
      <c r="E225" s="17" t="inlineStr">
        <is>
          <t>kiri</t>
        </is>
      </c>
      <c r="F225" s="17" t="n"/>
      <c r="G225" s="17" t="n"/>
      <c r="J225" s="17" t="inlineStr">
        <is>
          <t>kiri</t>
        </is>
      </c>
      <c r="K225" s="17" t="n"/>
      <c r="L225" s="17" t="n"/>
      <c r="O225" s="17" t="inlineStr">
        <is>
          <t>tengah</t>
        </is>
      </c>
      <c r="P225" s="17" t="n"/>
      <c r="Q225" s="17" t="n"/>
      <c r="T225" s="17" t="inlineStr">
        <is>
          <t>kanan</t>
        </is>
      </c>
      <c r="U225" s="17" t="n"/>
      <c r="V225" s="17" t="n"/>
    </row>
    <row r="226" s="1">
      <c r="E226" s="17" t="inlineStr">
        <is>
          <t>tengah</t>
        </is>
      </c>
      <c r="F226" s="17" t="n"/>
      <c r="G226" s="17" t="n"/>
      <c r="J226" s="17" t="inlineStr">
        <is>
          <t>tengah</t>
        </is>
      </c>
      <c r="K226" s="17" t="n"/>
      <c r="L226" s="17" t="n"/>
      <c r="O226" s="17" t="inlineStr">
        <is>
          <t>tengah</t>
        </is>
      </c>
      <c r="P226" s="17" t="n"/>
      <c r="Q226" s="17" t="n"/>
      <c r="T226" s="17" t="inlineStr">
        <is>
          <t>kanan</t>
        </is>
      </c>
      <c r="U226" s="17" t="n"/>
      <c r="V226" s="17" t="n"/>
    </row>
    <row r="227" s="1">
      <c r="E227" s="17" t="inlineStr">
        <is>
          <t>tengah</t>
        </is>
      </c>
      <c r="F227" s="17" t="n"/>
      <c r="G227" s="17" t="n"/>
      <c r="J227" s="17" t="inlineStr">
        <is>
          <t>tengah</t>
        </is>
      </c>
      <c r="K227" s="17" t="n"/>
      <c r="L227" s="17" t="n"/>
      <c r="O227" s="17" t="inlineStr">
        <is>
          <t>tengah</t>
        </is>
      </c>
      <c r="P227" s="17" t="n"/>
      <c r="Q227" s="17" t="n"/>
      <c r="T227" s="17" t="inlineStr">
        <is>
          <t>tengah</t>
        </is>
      </c>
      <c r="U227" s="17" t="n"/>
      <c r="V227" s="17" t="n"/>
    </row>
    <row r="228" s="1">
      <c r="E228" s="17" t="inlineStr">
        <is>
          <t>tengah</t>
        </is>
      </c>
      <c r="F228" s="17" t="n"/>
      <c r="G228" s="17" t="n"/>
      <c r="J228" s="17" t="inlineStr">
        <is>
          <t>tengah</t>
        </is>
      </c>
      <c r="K228" s="17" t="n"/>
      <c r="L228" s="17" t="n"/>
      <c r="O228" s="17" t="inlineStr">
        <is>
          <t>kiri</t>
        </is>
      </c>
      <c r="P228" s="17" t="n"/>
      <c r="Q228" s="17" t="n"/>
      <c r="T228" s="17" t="inlineStr">
        <is>
          <t>kanan</t>
        </is>
      </c>
      <c r="U228" s="17" t="n"/>
      <c r="V228" s="17" t="n"/>
    </row>
    <row r="229" s="1">
      <c r="E229" s="17" t="inlineStr">
        <is>
          <t>kanan</t>
        </is>
      </c>
      <c r="F229" s="17" t="n"/>
      <c r="G229" s="17" t="n"/>
      <c r="J229" s="17" t="inlineStr">
        <is>
          <t>tengah</t>
        </is>
      </c>
      <c r="K229" s="17" t="n"/>
      <c r="L229" s="17" t="n"/>
      <c r="O229" s="17" t="inlineStr">
        <is>
          <t>kiri</t>
        </is>
      </c>
      <c r="P229" s="17" t="n"/>
      <c r="Q229" s="17" t="n"/>
      <c r="T229" s="17" t="inlineStr">
        <is>
          <t>kanan</t>
        </is>
      </c>
      <c r="U229" s="17" t="n"/>
      <c r="V229" s="17" t="n"/>
    </row>
    <row r="230" s="1">
      <c r="E230" s="17" t="inlineStr">
        <is>
          <t>tengah</t>
        </is>
      </c>
      <c r="F230" s="17" t="n"/>
      <c r="G230" s="17" t="n"/>
      <c r="J230" s="17" t="inlineStr">
        <is>
          <t>tengah</t>
        </is>
      </c>
      <c r="K230" s="17" t="n"/>
      <c r="L230" s="17" t="n"/>
      <c r="O230" s="17" t="inlineStr">
        <is>
          <t>kanan</t>
        </is>
      </c>
      <c r="P230" s="17" t="n"/>
      <c r="Q230" s="17" t="n"/>
      <c r="T230" s="17" t="inlineStr">
        <is>
          <t>tengah</t>
        </is>
      </c>
      <c r="U230" s="17" t="n"/>
      <c r="V230" s="17" t="n"/>
    </row>
    <row r="231" s="1">
      <c r="E231" s="17" t="inlineStr">
        <is>
          <t>tengah</t>
        </is>
      </c>
      <c r="F231" s="17" t="n"/>
      <c r="G231" s="17" t="n"/>
      <c r="J231" s="17" t="inlineStr">
        <is>
          <t>tengah</t>
        </is>
      </c>
      <c r="K231" s="17" t="n"/>
      <c r="L231" s="17" t="n"/>
      <c r="O231" s="17" t="inlineStr">
        <is>
          <t>tengah</t>
        </is>
      </c>
      <c r="P231" s="17" t="n"/>
      <c r="Q231" s="17" t="n"/>
      <c r="T231" s="17" t="inlineStr">
        <is>
          <t>tengah</t>
        </is>
      </c>
      <c r="U231" s="17" t="n"/>
      <c r="V231" s="17" t="n"/>
    </row>
    <row r="232" s="1">
      <c r="E232" s="17" t="inlineStr">
        <is>
          <t>kiri</t>
        </is>
      </c>
      <c r="F232" s="17" t="n"/>
      <c r="G232" s="17" t="n"/>
      <c r="J232" s="17" t="inlineStr">
        <is>
          <t>kanan</t>
        </is>
      </c>
      <c r="K232" s="17" t="n"/>
      <c r="L232" s="17" t="n"/>
      <c r="O232" s="17" t="inlineStr">
        <is>
          <t>kiri</t>
        </is>
      </c>
      <c r="P232" s="17" t="n"/>
      <c r="Q232" s="17" t="n"/>
      <c r="T232" s="17" t="inlineStr">
        <is>
          <t>tengah</t>
        </is>
      </c>
      <c r="U232" s="17" t="n"/>
      <c r="V232" s="17" t="n"/>
    </row>
    <row r="233" s="1">
      <c r="E233" s="17" t="inlineStr">
        <is>
          <t>kanan</t>
        </is>
      </c>
      <c r="F233" s="17" t="n"/>
      <c r="G233" s="17" t="n"/>
      <c r="J233" s="17" t="inlineStr">
        <is>
          <t>kanan</t>
        </is>
      </c>
      <c r="K233" s="17" t="n"/>
      <c r="L233" s="17" t="n"/>
      <c r="O233" s="17" t="inlineStr">
        <is>
          <t>tengah</t>
        </is>
      </c>
      <c r="P233" s="17" t="n"/>
      <c r="Q233" s="17" t="n"/>
      <c r="T233" s="17" t="inlineStr">
        <is>
          <t>kanan</t>
        </is>
      </c>
      <c r="U233" s="17" t="n"/>
      <c r="V233" s="17" t="n"/>
    </row>
    <row r="234" s="1">
      <c r="E234" s="17" t="inlineStr">
        <is>
          <t>kanan</t>
        </is>
      </c>
      <c r="F234" s="17" t="n"/>
      <c r="G234" s="17" t="n"/>
      <c r="J234" s="17" t="inlineStr">
        <is>
          <t>tengah</t>
        </is>
      </c>
      <c r="K234" s="17" t="n"/>
      <c r="L234" s="17" t="n"/>
      <c r="O234" s="17" t="inlineStr">
        <is>
          <t>kanan</t>
        </is>
      </c>
      <c r="P234" s="17" t="n"/>
      <c r="Q234" s="17" t="n"/>
      <c r="T234" s="17" t="inlineStr">
        <is>
          <t>kanan</t>
        </is>
      </c>
      <c r="U234" s="17" t="n"/>
      <c r="V234" s="17" t="n"/>
    </row>
    <row r="235" s="1">
      <c r="E235" s="17" t="inlineStr">
        <is>
          <t>tengah</t>
        </is>
      </c>
      <c r="F235" s="17" t="n"/>
      <c r="G235" s="17" t="n"/>
      <c r="J235" s="17" t="inlineStr">
        <is>
          <t>tengah</t>
        </is>
      </c>
      <c r="K235" s="17" t="n"/>
      <c r="L235" s="17" t="n"/>
      <c r="O235" s="17" t="inlineStr">
        <is>
          <t>kanan</t>
        </is>
      </c>
      <c r="P235" s="17" t="n"/>
      <c r="Q235" s="17" t="n"/>
      <c r="T235" s="17" t="inlineStr">
        <is>
          <t>kanan</t>
        </is>
      </c>
      <c r="U235" s="17" t="n"/>
      <c r="V235" s="17" t="n"/>
    </row>
    <row r="236" s="1">
      <c r="E236" s="17" t="inlineStr">
        <is>
          <t>kiri</t>
        </is>
      </c>
      <c r="F236" s="17" t="n"/>
      <c r="G236" s="17" t="n"/>
      <c r="J236" s="17" t="inlineStr">
        <is>
          <t>kiri</t>
        </is>
      </c>
      <c r="K236" s="17" t="n"/>
      <c r="L236" s="17" t="n"/>
      <c r="O236" s="17" t="inlineStr">
        <is>
          <t>kanan</t>
        </is>
      </c>
      <c r="P236" s="17" t="n"/>
      <c r="Q236" s="17" t="n"/>
      <c r="T236" s="17" t="inlineStr">
        <is>
          <t>tengah</t>
        </is>
      </c>
      <c r="U236" s="17" t="n"/>
      <c r="V236" s="17" t="n"/>
    </row>
    <row r="237" s="1">
      <c r="E237" s="17" t="inlineStr">
        <is>
          <t>kanan</t>
        </is>
      </c>
      <c r="F237" s="17" t="n"/>
      <c r="G237" s="17" t="n"/>
      <c r="J237" s="17" t="inlineStr">
        <is>
          <t>tengah</t>
        </is>
      </c>
      <c r="K237" s="17" t="n"/>
      <c r="L237" s="17" t="n"/>
      <c r="O237" s="17" t="inlineStr">
        <is>
          <t>tengah</t>
        </is>
      </c>
      <c r="P237" s="17" t="n"/>
      <c r="Q237" s="17" t="n"/>
      <c r="T237" s="17" t="inlineStr">
        <is>
          <t>tengah</t>
        </is>
      </c>
      <c r="U237" s="17" t="n"/>
      <c r="V237" s="17" t="n"/>
    </row>
    <row r="238" s="1">
      <c r="E238" s="17" t="inlineStr">
        <is>
          <t>kiri</t>
        </is>
      </c>
      <c r="F238" s="17" t="n"/>
      <c r="G238" s="17" t="n"/>
      <c r="J238" s="17" t="inlineStr">
        <is>
          <t>kiri</t>
        </is>
      </c>
      <c r="K238" s="17" t="n"/>
      <c r="L238" s="17" t="n"/>
      <c r="O238" s="17" t="inlineStr">
        <is>
          <t>kanan</t>
        </is>
      </c>
      <c r="P238" s="17" t="n"/>
      <c r="Q238" s="17" t="n"/>
      <c r="T238" s="17" t="inlineStr">
        <is>
          <t>tengah</t>
        </is>
      </c>
      <c r="U238" s="17" t="n"/>
      <c r="V238" s="17" t="n"/>
    </row>
    <row r="239" s="1">
      <c r="E239" s="17" t="inlineStr">
        <is>
          <t>tengah</t>
        </is>
      </c>
      <c r="F239" s="17" t="n"/>
      <c r="G239" s="17" t="n"/>
      <c r="J239" s="17" t="inlineStr">
        <is>
          <t>tengah</t>
        </is>
      </c>
      <c r="K239" s="17" t="n"/>
      <c r="L239" s="17" t="n"/>
      <c r="O239" s="17" t="inlineStr">
        <is>
          <t>tengah</t>
        </is>
      </c>
      <c r="P239" s="17" t="n"/>
      <c r="Q239" s="17" t="n"/>
      <c r="T239" s="17" t="inlineStr">
        <is>
          <t>tengah</t>
        </is>
      </c>
      <c r="U239" s="17" t="n"/>
      <c r="V239" s="17" t="n"/>
    </row>
    <row r="240" s="1">
      <c r="E240" s="17" t="inlineStr">
        <is>
          <t>kiri</t>
        </is>
      </c>
      <c r="F240" s="17" t="n"/>
      <c r="G240" s="17" t="n"/>
      <c r="J240" s="17" t="inlineStr">
        <is>
          <t>tengah</t>
        </is>
      </c>
      <c r="K240" s="17" t="n"/>
      <c r="L240" s="17" t="n"/>
      <c r="O240" s="17" t="inlineStr">
        <is>
          <t>kiri</t>
        </is>
      </c>
      <c r="P240" s="17" t="n"/>
      <c r="Q240" s="17" t="n"/>
      <c r="T240" s="17" t="inlineStr">
        <is>
          <t>kanan</t>
        </is>
      </c>
      <c r="U240" s="17" t="n"/>
      <c r="V240" s="17" t="n"/>
    </row>
    <row r="241" s="1">
      <c r="E241" s="17" t="inlineStr">
        <is>
          <t>tengah</t>
        </is>
      </c>
      <c r="F241" s="17" t="n"/>
      <c r="G241" s="17" t="n"/>
      <c r="J241" s="17" t="inlineStr">
        <is>
          <t>kiri</t>
        </is>
      </c>
      <c r="K241" s="17" t="n"/>
      <c r="L241" s="17" t="n"/>
      <c r="O241" s="17" t="inlineStr">
        <is>
          <t>kiri</t>
        </is>
      </c>
      <c r="P241" s="17" t="n"/>
      <c r="Q241" s="17" t="n"/>
      <c r="T241" s="17" t="inlineStr">
        <is>
          <t>kanan</t>
        </is>
      </c>
      <c r="U241" s="17" t="n"/>
      <c r="V241" s="17" t="n"/>
    </row>
    <row r="242" s="1">
      <c r="E242" s="17" t="inlineStr">
        <is>
          <t>tengah</t>
        </is>
      </c>
      <c r="F242" s="17" t="n"/>
      <c r="G242" s="17" t="n"/>
      <c r="J242" s="17" t="inlineStr">
        <is>
          <t>kanan</t>
        </is>
      </c>
      <c r="K242" s="17" t="n"/>
      <c r="L242" s="17" t="n"/>
      <c r="O242" s="17" t="inlineStr">
        <is>
          <t>tengah</t>
        </is>
      </c>
      <c r="P242" s="17" t="n"/>
      <c r="Q242" s="17" t="n"/>
      <c r="T242" s="17" t="inlineStr">
        <is>
          <t>tengah</t>
        </is>
      </c>
      <c r="U242" s="17" t="n"/>
      <c r="V242" s="17" t="n"/>
    </row>
    <row r="243" s="1">
      <c r="E243" s="17" t="inlineStr">
        <is>
          <t>kiri</t>
        </is>
      </c>
      <c r="F243" s="17" t="n"/>
      <c r="G243" s="17" t="n"/>
      <c r="J243" s="17" t="inlineStr">
        <is>
          <t>kanan</t>
        </is>
      </c>
      <c r="K243" s="17" t="n"/>
      <c r="L243" s="17" t="n"/>
      <c r="O243" s="17" t="inlineStr">
        <is>
          <t>kiri</t>
        </is>
      </c>
      <c r="P243" s="17" t="n"/>
      <c r="Q243" s="17" t="n"/>
      <c r="T243" s="17" t="inlineStr">
        <is>
          <t>tengah</t>
        </is>
      </c>
      <c r="U243" s="17" t="n"/>
      <c r="V243" s="17" t="n"/>
    </row>
    <row r="244" s="1">
      <c r="E244" s="17" t="inlineStr">
        <is>
          <t>kanan</t>
        </is>
      </c>
      <c r="F244" s="17" t="n"/>
      <c r="G244" s="17" t="n"/>
      <c r="J244" s="17" t="inlineStr">
        <is>
          <t>tengah</t>
        </is>
      </c>
      <c r="K244" s="17" t="n"/>
      <c r="L244" s="17" t="n"/>
      <c r="O244" s="17" t="inlineStr">
        <is>
          <t>tengah</t>
        </is>
      </c>
      <c r="P244" s="17" t="n"/>
      <c r="Q244" s="17" t="n"/>
      <c r="T244" s="17" t="inlineStr">
        <is>
          <t>tengah</t>
        </is>
      </c>
      <c r="U244" s="17" t="n"/>
      <c r="V244" s="17" t="n"/>
    </row>
    <row r="245" s="1">
      <c r="E245" s="17" t="inlineStr">
        <is>
          <t>kiri</t>
        </is>
      </c>
      <c r="F245" s="17" t="n"/>
      <c r="G245" s="17" t="n"/>
      <c r="J245" s="17" t="inlineStr">
        <is>
          <t>tengah</t>
        </is>
      </c>
      <c r="K245" s="17" t="n"/>
      <c r="L245" s="17" t="n"/>
      <c r="O245" s="17" t="inlineStr">
        <is>
          <t>kanan</t>
        </is>
      </c>
      <c r="P245" s="17" t="n"/>
      <c r="Q245" s="17" t="n"/>
      <c r="T245" s="17" t="inlineStr">
        <is>
          <t>kanan</t>
        </is>
      </c>
      <c r="U245" s="17" t="n"/>
      <c r="V245" s="17" t="n"/>
    </row>
    <row r="246" s="1">
      <c r="E246" s="17" t="inlineStr">
        <is>
          <t>kanan</t>
        </is>
      </c>
      <c r="F246" s="17" t="n"/>
      <c r="G246" s="17" t="n"/>
      <c r="J246" s="17" t="inlineStr">
        <is>
          <t>tengah</t>
        </is>
      </c>
      <c r="K246" s="17" t="n"/>
      <c r="L246" s="17" t="n"/>
      <c r="O246" s="17" t="inlineStr">
        <is>
          <t>tengah</t>
        </is>
      </c>
      <c r="P246" s="17" t="n"/>
      <c r="Q246" s="17" t="n"/>
      <c r="T246" s="17" t="inlineStr">
        <is>
          <t>kanan</t>
        </is>
      </c>
      <c r="U246" s="17" t="n"/>
      <c r="V246" s="17" t="n"/>
    </row>
    <row r="247" s="1">
      <c r="E247" s="17" t="inlineStr">
        <is>
          <t>kanan</t>
        </is>
      </c>
      <c r="F247" s="17" t="n"/>
      <c r="G247" s="17" t="n"/>
      <c r="J247" s="17" t="inlineStr">
        <is>
          <t>kiri</t>
        </is>
      </c>
      <c r="K247" s="17" t="n"/>
      <c r="L247" s="17" t="n"/>
      <c r="O247" s="17" t="inlineStr">
        <is>
          <t>kiri</t>
        </is>
      </c>
      <c r="P247" s="17" t="n"/>
      <c r="Q247" s="17" t="n"/>
      <c r="T247" s="17" t="inlineStr">
        <is>
          <t>tengah</t>
        </is>
      </c>
      <c r="U247" s="17" t="n"/>
      <c r="V247" s="17" t="n"/>
    </row>
    <row r="248" s="1">
      <c r="E248" s="17" t="inlineStr">
        <is>
          <t>kiri</t>
        </is>
      </c>
      <c r="F248" s="17" t="n"/>
      <c r="G248" s="17" t="n"/>
      <c r="J248" s="17" t="inlineStr">
        <is>
          <t>tengah</t>
        </is>
      </c>
      <c r="K248" s="17" t="n"/>
      <c r="L248" s="17" t="n"/>
      <c r="O248" s="17" t="inlineStr">
        <is>
          <t>kanan</t>
        </is>
      </c>
      <c r="P248" s="17" t="n"/>
      <c r="Q248" s="17" t="n"/>
      <c r="T248" s="17" t="inlineStr">
        <is>
          <t>tengah</t>
        </is>
      </c>
      <c r="U248" s="17" t="n"/>
      <c r="V248" s="17" t="n"/>
    </row>
    <row r="249" s="1">
      <c r="E249" s="17" t="inlineStr">
        <is>
          <t>kiri</t>
        </is>
      </c>
      <c r="F249" s="17" t="n"/>
      <c r="G249" s="17" t="n"/>
      <c r="J249" s="17" t="inlineStr">
        <is>
          <t>kiri</t>
        </is>
      </c>
      <c r="K249" s="17" t="n"/>
      <c r="L249" s="17" t="n"/>
      <c r="O249" s="17" t="inlineStr">
        <is>
          <t>tengah</t>
        </is>
      </c>
      <c r="P249" s="17" t="n"/>
      <c r="Q249" s="17" t="n"/>
      <c r="T249" s="17" t="inlineStr">
        <is>
          <t>tengah</t>
        </is>
      </c>
      <c r="U249" s="17" t="n"/>
      <c r="V249" s="17" t="n"/>
    </row>
    <row r="250" s="1">
      <c r="E250" s="17" t="inlineStr">
        <is>
          <t>kiri</t>
        </is>
      </c>
      <c r="F250" s="17" t="n"/>
      <c r="G250" s="17" t="n"/>
      <c r="J250" s="17" t="inlineStr">
        <is>
          <t>kiri</t>
        </is>
      </c>
      <c r="K250" s="17" t="n"/>
      <c r="L250" s="17" t="n"/>
      <c r="O250" s="17" t="inlineStr">
        <is>
          <t>kanan</t>
        </is>
      </c>
      <c r="P250" s="17" t="n"/>
      <c r="Q250" s="17" t="n"/>
      <c r="T250" s="17" t="inlineStr">
        <is>
          <t>tengah</t>
        </is>
      </c>
      <c r="U250" s="17" t="n"/>
      <c r="V250" s="17" t="n"/>
    </row>
    <row r="251" s="1">
      <c r="E251" s="17" t="inlineStr">
        <is>
          <t>kiri</t>
        </is>
      </c>
      <c r="F251" s="17" t="n"/>
      <c r="G251" s="17" t="n"/>
      <c r="J251" s="17" t="inlineStr">
        <is>
          <t>tengah</t>
        </is>
      </c>
      <c r="K251" s="17" t="n"/>
      <c r="L251" s="17" t="n"/>
      <c r="O251" s="17" t="inlineStr">
        <is>
          <t>tengah</t>
        </is>
      </c>
      <c r="P251" s="17" t="n"/>
      <c r="Q251" s="17" t="n"/>
      <c r="T251" s="17" t="inlineStr">
        <is>
          <t>kanan</t>
        </is>
      </c>
      <c r="U251" s="17" t="n"/>
      <c r="V251" s="17" t="n"/>
    </row>
    <row r="252" s="1">
      <c r="E252" s="17" t="inlineStr">
        <is>
          <t>kanan</t>
        </is>
      </c>
      <c r="F252" s="17" t="n"/>
      <c r="G252" s="17" t="n"/>
      <c r="J252" s="17" t="inlineStr">
        <is>
          <t>kiri</t>
        </is>
      </c>
      <c r="K252" s="17" t="n"/>
      <c r="L252" s="17" t="n"/>
      <c r="O252" s="17" t="inlineStr">
        <is>
          <t>tengah</t>
        </is>
      </c>
      <c r="P252" s="17" t="n"/>
      <c r="Q252" s="17" t="n"/>
      <c r="T252" s="17" t="inlineStr">
        <is>
          <t>tengah</t>
        </is>
      </c>
      <c r="U252" s="17" t="n"/>
      <c r="V252" s="17" t="n"/>
    </row>
    <row r="253" s="1">
      <c r="E253" s="17" t="inlineStr">
        <is>
          <t>kiri</t>
        </is>
      </c>
      <c r="F253" s="17" t="n"/>
      <c r="G253" s="17" t="n"/>
      <c r="J253" s="17" t="inlineStr">
        <is>
          <t>kiri</t>
        </is>
      </c>
      <c r="K253" s="17" t="n"/>
      <c r="L253" s="17" t="n"/>
      <c r="O253" s="17" t="inlineStr">
        <is>
          <t>tengah</t>
        </is>
      </c>
      <c r="P253" s="17" t="n"/>
      <c r="Q253" s="17" t="n"/>
      <c r="T253" s="17" t="inlineStr">
        <is>
          <t>kanan</t>
        </is>
      </c>
      <c r="U253" s="17" t="n"/>
      <c r="V253" s="17" t="n"/>
    </row>
    <row r="254" s="1">
      <c r="E254" s="17" t="inlineStr">
        <is>
          <t>tengah</t>
        </is>
      </c>
      <c r="F254" s="17" t="n"/>
      <c r="G254" s="17" t="n"/>
      <c r="J254" s="17" t="inlineStr">
        <is>
          <t>kiri</t>
        </is>
      </c>
      <c r="K254" s="17" t="n"/>
      <c r="L254" s="17" t="n"/>
      <c r="O254" s="17" t="inlineStr">
        <is>
          <t>tengah</t>
        </is>
      </c>
      <c r="P254" s="17" t="n"/>
      <c r="Q254" s="17" t="n"/>
      <c r="T254" s="17" t="inlineStr">
        <is>
          <t>tengah</t>
        </is>
      </c>
      <c r="U254" s="17" t="n"/>
      <c r="V254" s="17" t="n"/>
    </row>
    <row r="255" s="1">
      <c r="E255" s="17" t="inlineStr">
        <is>
          <t>tengah</t>
        </is>
      </c>
      <c r="F255" s="17" t="n"/>
      <c r="G255" s="17" t="n"/>
      <c r="J255" s="17" t="inlineStr">
        <is>
          <t>kiri</t>
        </is>
      </c>
      <c r="K255" s="17" t="n"/>
      <c r="L255" s="17" t="n"/>
      <c r="O255" s="17" t="inlineStr">
        <is>
          <t>kiri</t>
        </is>
      </c>
      <c r="P255" s="17" t="n"/>
      <c r="Q255" s="17" t="n"/>
      <c r="T255" s="17" t="inlineStr">
        <is>
          <t>kanan</t>
        </is>
      </c>
      <c r="U255" s="17" t="n"/>
      <c r="V255" s="17" t="n"/>
    </row>
    <row r="256" s="1">
      <c r="E256" s="17" t="inlineStr">
        <is>
          <t>tengah</t>
        </is>
      </c>
      <c r="F256" s="17" t="n"/>
      <c r="G256" s="17" t="n"/>
      <c r="J256" s="17" t="inlineStr">
        <is>
          <t>kanan</t>
        </is>
      </c>
      <c r="K256" s="17" t="n"/>
      <c r="L256" s="17" t="n"/>
      <c r="O256" s="17" t="inlineStr">
        <is>
          <t>tengah</t>
        </is>
      </c>
      <c r="P256" s="17" t="n"/>
      <c r="Q256" s="17" t="n"/>
      <c r="T256" s="17" t="inlineStr">
        <is>
          <t>tengah</t>
        </is>
      </c>
      <c r="U256" s="17" t="n"/>
      <c r="V256" s="17" t="n"/>
    </row>
    <row r="257" s="1">
      <c r="E257" s="17" t="inlineStr">
        <is>
          <t>kanan</t>
        </is>
      </c>
      <c r="F257" s="17" t="n"/>
      <c r="G257" s="17" t="n"/>
      <c r="J257" s="17" t="inlineStr">
        <is>
          <t>tengah</t>
        </is>
      </c>
      <c r="K257" s="17" t="n"/>
      <c r="L257" s="17" t="n"/>
      <c r="O257" s="17" t="inlineStr">
        <is>
          <t>tengah</t>
        </is>
      </c>
      <c r="P257" s="17" t="n"/>
      <c r="Q257" s="17" t="n"/>
      <c r="T257" s="17" t="inlineStr">
        <is>
          <t>kanan</t>
        </is>
      </c>
      <c r="U257" s="17" t="n"/>
      <c r="V257" s="17" t="n"/>
    </row>
    <row r="258" s="1">
      <c r="E258" s="17" t="inlineStr">
        <is>
          <t>kiri</t>
        </is>
      </c>
      <c r="F258" s="17" t="n"/>
      <c r="G258" s="17" t="n"/>
      <c r="J258" s="17" t="inlineStr">
        <is>
          <t>tengah</t>
        </is>
      </c>
      <c r="K258" s="17" t="n"/>
      <c r="L258" s="17" t="n"/>
      <c r="O258" s="17" t="inlineStr">
        <is>
          <t>kiri</t>
        </is>
      </c>
      <c r="P258" s="17" t="n"/>
      <c r="Q258" s="17" t="n"/>
      <c r="T258" s="17" t="inlineStr">
        <is>
          <t>tengah</t>
        </is>
      </c>
      <c r="U258" s="17" t="n"/>
      <c r="V258" s="17" t="n"/>
    </row>
    <row r="259" s="1">
      <c r="E259" s="17" t="inlineStr">
        <is>
          <t>tengah</t>
        </is>
      </c>
      <c r="F259" s="17" t="n"/>
      <c r="G259" s="17" t="n"/>
      <c r="J259" s="17" t="inlineStr">
        <is>
          <t>kanan</t>
        </is>
      </c>
      <c r="K259" s="17" t="n"/>
      <c r="L259" s="17" t="n"/>
      <c r="O259" s="17" t="inlineStr">
        <is>
          <t>tengah</t>
        </is>
      </c>
      <c r="P259" s="17" t="n"/>
      <c r="Q259" s="17" t="n"/>
      <c r="T259" s="17" t="inlineStr">
        <is>
          <t>tengah</t>
        </is>
      </c>
      <c r="U259" s="17" t="n"/>
      <c r="V259" s="17" t="n"/>
    </row>
    <row r="260" s="1">
      <c r="E260" s="17" t="inlineStr">
        <is>
          <t>tengah</t>
        </is>
      </c>
      <c r="F260" s="17" t="n"/>
      <c r="G260" s="17" t="n"/>
      <c r="J260" s="17" t="inlineStr">
        <is>
          <t>tengah</t>
        </is>
      </c>
      <c r="K260" s="17" t="n"/>
      <c r="L260" s="17" t="n"/>
      <c r="O260" s="17" t="inlineStr">
        <is>
          <t>tengah</t>
        </is>
      </c>
      <c r="P260" s="17" t="n"/>
      <c r="Q260" s="17" t="n"/>
      <c r="T260" s="17" t="inlineStr">
        <is>
          <t>kanan</t>
        </is>
      </c>
      <c r="U260" s="17" t="n"/>
      <c r="V260" s="17" t="n"/>
    </row>
    <row r="261" s="1">
      <c r="E261" s="17" t="inlineStr">
        <is>
          <t>tengah</t>
        </is>
      </c>
      <c r="F261" s="17" t="n"/>
      <c r="G261" s="17" t="n"/>
      <c r="J261" s="17" t="inlineStr">
        <is>
          <t>kanan</t>
        </is>
      </c>
      <c r="K261" s="17" t="n"/>
      <c r="L261" s="17" t="n"/>
      <c r="O261" s="17" t="inlineStr">
        <is>
          <t>tengah</t>
        </is>
      </c>
      <c r="P261" s="17" t="n"/>
      <c r="Q261" s="17" t="n"/>
      <c r="T261" s="17" t="inlineStr">
        <is>
          <t>kanan</t>
        </is>
      </c>
      <c r="U261" s="17" t="n"/>
      <c r="V261" s="17" t="n"/>
    </row>
    <row r="262" s="1">
      <c r="E262" s="17" t="inlineStr">
        <is>
          <t>tengah</t>
        </is>
      </c>
      <c r="F262" s="17" t="n"/>
      <c r="G262" s="17" t="n"/>
      <c r="J262" s="17" t="inlineStr">
        <is>
          <t>kiri</t>
        </is>
      </c>
      <c r="K262" s="17" t="n"/>
      <c r="L262" s="17" t="n"/>
      <c r="O262" s="17" t="inlineStr">
        <is>
          <t>tengah</t>
        </is>
      </c>
      <c r="P262" s="17" t="n"/>
      <c r="Q262" s="17" t="n"/>
      <c r="T262" s="17" t="inlineStr">
        <is>
          <t>tengah</t>
        </is>
      </c>
      <c r="U262" s="17" t="n"/>
      <c r="V262" s="17" t="n"/>
    </row>
    <row r="263" s="1">
      <c r="E263" s="17" t="inlineStr">
        <is>
          <t>tengah</t>
        </is>
      </c>
      <c r="F263" s="17" t="n"/>
      <c r="G263" s="17" t="n"/>
      <c r="J263" s="17" t="inlineStr">
        <is>
          <t>kiri</t>
        </is>
      </c>
      <c r="K263" s="17" t="n"/>
      <c r="L263" s="17" t="n"/>
      <c r="O263" s="17" t="inlineStr">
        <is>
          <t>kanan</t>
        </is>
      </c>
      <c r="P263" s="17" t="n"/>
      <c r="Q263" s="17" t="n"/>
      <c r="T263" s="17" t="inlineStr">
        <is>
          <t>tengah</t>
        </is>
      </c>
      <c r="U263" s="17" t="n"/>
      <c r="V263" s="17" t="n"/>
    </row>
    <row r="264" s="1">
      <c r="E264" s="17" t="inlineStr">
        <is>
          <t>tengah</t>
        </is>
      </c>
      <c r="F264" s="17" t="n"/>
      <c r="G264" s="17" t="n"/>
      <c r="J264" s="17" t="inlineStr">
        <is>
          <t>tengah</t>
        </is>
      </c>
      <c r="K264" s="17" t="n"/>
      <c r="L264" s="17" t="n"/>
      <c r="O264" s="17" t="inlineStr">
        <is>
          <t>kanan</t>
        </is>
      </c>
      <c r="P264" s="17" t="n"/>
      <c r="Q264" s="17" t="n"/>
      <c r="T264" s="17" t="inlineStr">
        <is>
          <t>kanan</t>
        </is>
      </c>
      <c r="U264" s="17" t="n"/>
      <c r="V264" s="17" t="n"/>
    </row>
    <row r="265" s="1">
      <c r="E265" s="17" t="inlineStr">
        <is>
          <t>tengah</t>
        </is>
      </c>
      <c r="F265" s="17" t="n"/>
      <c r="G265" s="17" t="n"/>
      <c r="J265" s="17" t="inlineStr">
        <is>
          <t>tengah</t>
        </is>
      </c>
      <c r="K265" s="17" t="n"/>
      <c r="L265" s="17" t="n"/>
      <c r="O265" s="17" t="inlineStr">
        <is>
          <t>kanan</t>
        </is>
      </c>
      <c r="P265" s="17" t="n"/>
      <c r="Q265" s="17" t="n"/>
      <c r="T265" s="17" t="inlineStr">
        <is>
          <t>kanan</t>
        </is>
      </c>
      <c r="U265" s="17" t="n"/>
      <c r="V265" s="17" t="n"/>
    </row>
    <row r="266" s="1">
      <c r="E266" s="17" t="inlineStr">
        <is>
          <t>kanan</t>
        </is>
      </c>
      <c r="F266" s="17" t="n"/>
      <c r="G266" s="17" t="n"/>
      <c r="J266" s="17" t="inlineStr">
        <is>
          <t>tengah</t>
        </is>
      </c>
      <c r="K266" s="17" t="n"/>
      <c r="L266" s="17" t="n"/>
      <c r="O266" s="17" t="inlineStr">
        <is>
          <t>tengah</t>
        </is>
      </c>
      <c r="P266" s="17" t="n"/>
      <c r="Q266" s="17" t="n"/>
      <c r="T266" s="17" t="inlineStr">
        <is>
          <t>kanan</t>
        </is>
      </c>
      <c r="U266" s="17" t="n"/>
      <c r="V266" s="17" t="n"/>
    </row>
    <row r="267" s="1">
      <c r="E267" s="17" t="inlineStr">
        <is>
          <t>kiri</t>
        </is>
      </c>
      <c r="F267" s="17" t="n"/>
      <c r="G267" s="17" t="n"/>
      <c r="J267" s="17" t="inlineStr">
        <is>
          <t>tengah</t>
        </is>
      </c>
      <c r="K267" s="17" t="n"/>
      <c r="L267" s="17" t="n"/>
      <c r="O267" s="17" t="inlineStr">
        <is>
          <t>kiri</t>
        </is>
      </c>
      <c r="P267" s="17" t="n"/>
      <c r="Q267" s="17" t="n"/>
      <c r="T267" s="17" t="inlineStr">
        <is>
          <t>tengah</t>
        </is>
      </c>
      <c r="U267" s="17" t="n"/>
      <c r="V267" s="17" t="n"/>
    </row>
    <row r="268" s="1">
      <c r="E268" s="17" t="inlineStr">
        <is>
          <t>tengah</t>
        </is>
      </c>
      <c r="F268" s="17" t="n"/>
      <c r="G268" s="17" t="n"/>
      <c r="J268" s="17" t="inlineStr">
        <is>
          <t>kiri</t>
        </is>
      </c>
      <c r="K268" s="17" t="n"/>
      <c r="L268" s="17" t="n"/>
      <c r="O268" s="17" t="inlineStr">
        <is>
          <t>tengah</t>
        </is>
      </c>
      <c r="P268" s="17" t="n"/>
      <c r="Q268" s="17" t="n"/>
      <c r="T268" s="17" t="inlineStr">
        <is>
          <t>tengah</t>
        </is>
      </c>
      <c r="U268" s="17" t="n"/>
      <c r="V268" s="17" t="n"/>
    </row>
    <row r="269" s="1">
      <c r="E269" s="17" t="inlineStr">
        <is>
          <t>kanan</t>
        </is>
      </c>
      <c r="F269" s="17" t="n"/>
      <c r="G269" s="17" t="n"/>
      <c r="J269" s="17" t="inlineStr">
        <is>
          <t>tengah</t>
        </is>
      </c>
      <c r="K269" s="17" t="n"/>
      <c r="L269" s="17" t="n"/>
      <c r="O269" s="17" t="inlineStr">
        <is>
          <t>kiri</t>
        </is>
      </c>
      <c r="P269" s="17" t="n"/>
      <c r="Q269" s="17" t="n"/>
      <c r="T269" s="17" t="inlineStr">
        <is>
          <t>kanan</t>
        </is>
      </c>
      <c r="U269" s="17" t="n"/>
      <c r="V269" s="17" t="n"/>
    </row>
    <row r="270" s="1">
      <c r="E270" s="17" t="inlineStr">
        <is>
          <t>tengah</t>
        </is>
      </c>
      <c r="F270" s="17" t="n"/>
      <c r="G270" s="17" t="n"/>
      <c r="J270" s="17" t="inlineStr">
        <is>
          <t>kanan</t>
        </is>
      </c>
      <c r="K270" s="17" t="n"/>
      <c r="L270" s="17" t="n"/>
      <c r="O270" s="17" t="inlineStr">
        <is>
          <t>tengah</t>
        </is>
      </c>
      <c r="P270" s="17" t="n"/>
      <c r="Q270" s="17" t="n"/>
      <c r="T270" s="17" t="inlineStr">
        <is>
          <t>kanan</t>
        </is>
      </c>
      <c r="U270" s="17" t="n"/>
      <c r="V270" s="17" t="n"/>
    </row>
    <row r="271" s="1">
      <c r="E271" s="17" t="inlineStr">
        <is>
          <t>tengah</t>
        </is>
      </c>
      <c r="F271" s="17" t="n"/>
      <c r="G271" s="17" t="n"/>
      <c r="J271" s="17" t="inlineStr">
        <is>
          <t>tengah</t>
        </is>
      </c>
      <c r="K271" s="17" t="n"/>
      <c r="L271" s="17" t="n"/>
      <c r="O271" s="17" t="inlineStr">
        <is>
          <t>kiri</t>
        </is>
      </c>
      <c r="P271" s="17" t="n"/>
      <c r="Q271" s="17" t="n"/>
      <c r="T271" s="17" t="inlineStr">
        <is>
          <t>kanan</t>
        </is>
      </c>
      <c r="U271" s="17" t="n"/>
      <c r="V271" s="17" t="n"/>
    </row>
    <row r="272" s="1">
      <c r="E272" s="17" t="inlineStr">
        <is>
          <t>tengah</t>
        </is>
      </c>
      <c r="F272" s="17" t="n"/>
      <c r="G272" s="17" t="n"/>
      <c r="J272" s="17" t="inlineStr">
        <is>
          <t>tengah</t>
        </is>
      </c>
      <c r="K272" s="17" t="n"/>
      <c r="L272" s="17" t="n"/>
      <c r="O272" s="17" t="inlineStr">
        <is>
          <t>tengah</t>
        </is>
      </c>
      <c r="P272" s="17" t="n"/>
      <c r="Q272" s="17" t="n"/>
      <c r="T272" s="17" t="inlineStr">
        <is>
          <t>tengah</t>
        </is>
      </c>
      <c r="U272" s="17" t="n"/>
      <c r="V272" s="17" t="n"/>
    </row>
    <row r="273" s="1">
      <c r="E273" s="17" t="inlineStr">
        <is>
          <t>tengah</t>
        </is>
      </c>
      <c r="F273" s="17" t="n"/>
      <c r="G273" s="17" t="n"/>
      <c r="J273" s="17" t="inlineStr">
        <is>
          <t>tengah</t>
        </is>
      </c>
      <c r="K273" s="17" t="n"/>
      <c r="L273" s="17" t="n"/>
      <c r="O273" s="17" t="inlineStr">
        <is>
          <t>tengah</t>
        </is>
      </c>
      <c r="P273" s="17" t="n"/>
      <c r="Q273" s="17" t="n"/>
      <c r="T273" s="17" t="inlineStr">
        <is>
          <t>kanan</t>
        </is>
      </c>
      <c r="U273" s="17" t="n"/>
      <c r="V273" s="17" t="n"/>
    </row>
    <row r="274" s="1">
      <c r="E274" s="17" t="inlineStr">
        <is>
          <t>tengah</t>
        </is>
      </c>
      <c r="F274" s="17" t="n"/>
      <c r="G274" s="17" t="n"/>
      <c r="J274" s="17" t="inlineStr">
        <is>
          <t>kanan</t>
        </is>
      </c>
      <c r="K274" s="17" t="n"/>
      <c r="L274" s="17" t="n"/>
      <c r="O274" s="17" t="inlineStr">
        <is>
          <t>tengah</t>
        </is>
      </c>
      <c r="P274" s="17" t="n"/>
      <c r="Q274" s="17" t="n"/>
      <c r="T274" s="17" t="inlineStr">
        <is>
          <t>kanan</t>
        </is>
      </c>
      <c r="U274" s="17" t="n"/>
      <c r="V274" s="17" t="n"/>
    </row>
    <row r="275" s="1">
      <c r="E275" s="17" t="inlineStr">
        <is>
          <t>tengah</t>
        </is>
      </c>
      <c r="F275" s="17" t="n"/>
      <c r="G275" s="17" t="n"/>
      <c r="J275" s="17" t="inlineStr">
        <is>
          <t>kiri</t>
        </is>
      </c>
      <c r="K275" s="17" t="n"/>
      <c r="L275" s="17" t="n"/>
      <c r="O275" s="17" t="inlineStr">
        <is>
          <t>kanan</t>
        </is>
      </c>
      <c r="P275" s="17" t="n"/>
      <c r="Q275" s="17" t="n"/>
      <c r="T275" s="17" t="inlineStr">
        <is>
          <t>tengah</t>
        </is>
      </c>
      <c r="U275" s="17" t="n"/>
      <c r="V275" s="17" t="n"/>
    </row>
    <row r="276" s="1">
      <c r="E276" s="17" t="inlineStr">
        <is>
          <t>kiri</t>
        </is>
      </c>
      <c r="F276" s="17" t="n"/>
      <c r="G276" s="17" t="n"/>
      <c r="J276" s="17" t="inlineStr">
        <is>
          <t>tengah</t>
        </is>
      </c>
      <c r="K276" s="17" t="n"/>
      <c r="L276" s="17" t="n"/>
      <c r="O276" s="17" t="inlineStr">
        <is>
          <t>tengah</t>
        </is>
      </c>
      <c r="P276" s="17" t="n"/>
      <c r="Q276" s="17" t="n"/>
      <c r="T276" s="17" t="inlineStr">
        <is>
          <t>kanan</t>
        </is>
      </c>
      <c r="U276" s="17" t="n"/>
      <c r="V276" s="17" t="n"/>
    </row>
    <row r="277" s="1">
      <c r="E277" s="17" t="inlineStr">
        <is>
          <t>tengah</t>
        </is>
      </c>
      <c r="F277" s="17" t="n"/>
      <c r="G277" s="17" t="n"/>
      <c r="J277" s="17" t="inlineStr">
        <is>
          <t>tengah</t>
        </is>
      </c>
      <c r="K277" s="17" t="n"/>
      <c r="L277" s="17" t="n"/>
      <c r="O277" s="17" t="inlineStr">
        <is>
          <t>tengah</t>
        </is>
      </c>
      <c r="P277" s="17" t="n"/>
      <c r="Q277" s="17" t="n"/>
      <c r="T277" s="17" t="inlineStr">
        <is>
          <t>tengah</t>
        </is>
      </c>
      <c r="U277" s="17" t="n"/>
      <c r="V277" s="17" t="n"/>
    </row>
    <row r="278" s="1">
      <c r="E278" s="17" t="inlineStr">
        <is>
          <t>tengah</t>
        </is>
      </c>
      <c r="F278" s="17" t="n"/>
      <c r="G278" s="17" t="n"/>
      <c r="J278" s="17" t="inlineStr">
        <is>
          <t>kiri</t>
        </is>
      </c>
      <c r="K278" s="17" t="n"/>
      <c r="L278" s="17" t="n"/>
      <c r="O278" s="17" t="inlineStr">
        <is>
          <t>kiri</t>
        </is>
      </c>
      <c r="P278" s="17" t="n"/>
      <c r="Q278" s="17" t="n"/>
      <c r="T278" s="17" t="inlineStr">
        <is>
          <t>tengah</t>
        </is>
      </c>
      <c r="U278" s="17" t="n"/>
      <c r="V278" s="17" t="n"/>
    </row>
    <row r="279" s="1">
      <c r="E279" s="17" t="inlineStr">
        <is>
          <t>tengah</t>
        </is>
      </c>
      <c r="F279" s="17" t="n"/>
      <c r="G279" s="17" t="n"/>
      <c r="J279" s="17" t="inlineStr">
        <is>
          <t>kanan</t>
        </is>
      </c>
      <c r="K279" s="17" t="n"/>
      <c r="L279" s="17" t="n"/>
      <c r="O279" s="17" t="inlineStr">
        <is>
          <t>tengah</t>
        </is>
      </c>
      <c r="P279" s="17" t="n"/>
      <c r="Q279" s="17" t="n"/>
      <c r="T279" s="17" t="inlineStr">
        <is>
          <t>kanan</t>
        </is>
      </c>
      <c r="U279" s="17" t="n"/>
      <c r="V279" s="17" t="n"/>
    </row>
    <row r="280" s="1">
      <c r="E280" s="17" t="inlineStr">
        <is>
          <t>tengah</t>
        </is>
      </c>
      <c r="F280" s="17" t="n"/>
      <c r="G280" s="17" t="n"/>
      <c r="J280" s="17" t="inlineStr">
        <is>
          <t>kiri</t>
        </is>
      </c>
      <c r="K280" s="17" t="n"/>
      <c r="L280" s="17" t="n"/>
      <c r="O280" s="17" t="inlineStr">
        <is>
          <t>tengah</t>
        </is>
      </c>
      <c r="P280" s="17" t="n"/>
      <c r="Q280" s="17" t="n"/>
      <c r="T280" s="17" t="inlineStr">
        <is>
          <t>tengah</t>
        </is>
      </c>
      <c r="U280" s="17" t="n"/>
      <c r="V280" s="17" t="n"/>
    </row>
    <row r="281" s="1">
      <c r="E281" s="17" t="inlineStr">
        <is>
          <t>tengah</t>
        </is>
      </c>
      <c r="F281" s="17" t="n"/>
      <c r="G281" s="17" t="n"/>
      <c r="J281" s="17" t="inlineStr">
        <is>
          <t>tengah</t>
        </is>
      </c>
      <c r="K281" s="17" t="n"/>
      <c r="L281" s="17" t="n"/>
      <c r="O281" s="17" t="inlineStr">
        <is>
          <t>tengah</t>
        </is>
      </c>
      <c r="P281" s="17" t="n"/>
      <c r="Q281" s="17" t="n"/>
      <c r="T281" s="17" t="inlineStr">
        <is>
          <t>kanan</t>
        </is>
      </c>
      <c r="U281" s="17" t="n"/>
      <c r="V281" s="17" t="n"/>
    </row>
    <row r="282" s="1">
      <c r="E282" s="17" t="inlineStr">
        <is>
          <t>tengah</t>
        </is>
      </c>
      <c r="F282" s="17" t="n"/>
      <c r="G282" s="17" t="n"/>
      <c r="J282" s="17" t="inlineStr">
        <is>
          <t>tengah</t>
        </is>
      </c>
      <c r="K282" s="17" t="n"/>
      <c r="L282" s="17" t="n"/>
      <c r="O282" s="17" t="inlineStr">
        <is>
          <t>tengah</t>
        </is>
      </c>
      <c r="P282" s="17" t="n"/>
      <c r="Q282" s="17" t="n"/>
      <c r="T282" s="17" t="inlineStr">
        <is>
          <t>kanan</t>
        </is>
      </c>
      <c r="U282" s="17" t="n"/>
      <c r="V282" s="17" t="n"/>
    </row>
    <row r="283" s="1">
      <c r="E283" s="17" t="inlineStr">
        <is>
          <t>tengah</t>
        </is>
      </c>
      <c r="F283" s="17" t="n"/>
      <c r="G283" s="17" t="n"/>
      <c r="J283" s="17" t="inlineStr">
        <is>
          <t>tengah</t>
        </is>
      </c>
      <c r="K283" s="17" t="n"/>
      <c r="L283" s="17" t="n"/>
      <c r="O283" s="17" t="inlineStr">
        <is>
          <t>kiri</t>
        </is>
      </c>
      <c r="P283" s="17" t="n"/>
      <c r="Q283" s="17" t="n"/>
      <c r="T283" s="17" t="inlineStr">
        <is>
          <t>kanan</t>
        </is>
      </c>
      <c r="U283" s="17" t="n"/>
      <c r="V283" s="17" t="n"/>
    </row>
    <row r="284" s="1">
      <c r="E284" s="17" t="inlineStr">
        <is>
          <t>kiri</t>
        </is>
      </c>
      <c r="F284" s="17" t="n"/>
      <c r="G284" s="17" t="n"/>
      <c r="J284" s="17" t="inlineStr">
        <is>
          <t>tengah</t>
        </is>
      </c>
      <c r="K284" s="17" t="n"/>
      <c r="L284" s="17" t="n"/>
      <c r="O284" s="17" t="inlineStr">
        <is>
          <t>tengah</t>
        </is>
      </c>
      <c r="P284" s="17" t="n"/>
      <c r="Q284" s="17" t="n"/>
      <c r="T284" s="17" t="inlineStr">
        <is>
          <t>tengah</t>
        </is>
      </c>
      <c r="U284" s="17" t="n"/>
      <c r="V284" s="17" t="n"/>
    </row>
    <row r="285" s="1">
      <c r="E285" s="17" t="inlineStr">
        <is>
          <t>tengah</t>
        </is>
      </c>
      <c r="F285" s="17" t="n"/>
      <c r="G285" s="17" t="n"/>
      <c r="J285" s="17" t="inlineStr">
        <is>
          <t>kiri</t>
        </is>
      </c>
      <c r="K285" s="17" t="n"/>
      <c r="L285" s="17" t="n"/>
      <c r="O285" s="17" t="inlineStr">
        <is>
          <t>tengah</t>
        </is>
      </c>
      <c r="P285" s="17" t="n"/>
      <c r="Q285" s="17" t="n"/>
      <c r="T285" s="17" t="inlineStr">
        <is>
          <t>kanan</t>
        </is>
      </c>
      <c r="U285" s="17" t="n"/>
      <c r="V285" s="17" t="n"/>
    </row>
    <row r="286" s="1">
      <c r="E286" s="17" t="inlineStr">
        <is>
          <t>tengah</t>
        </is>
      </c>
      <c r="F286" s="17" t="n"/>
      <c r="G286" s="17" t="n"/>
      <c r="J286" s="17" t="inlineStr">
        <is>
          <t>kanan</t>
        </is>
      </c>
      <c r="K286" s="17" t="n"/>
      <c r="L286" s="17" t="n"/>
      <c r="O286" s="17" t="inlineStr">
        <is>
          <t>tengah</t>
        </is>
      </c>
      <c r="P286" s="17" t="n"/>
      <c r="Q286" s="17" t="n"/>
      <c r="T286" s="17" t="inlineStr">
        <is>
          <t>tengah</t>
        </is>
      </c>
      <c r="U286" s="17" t="n"/>
      <c r="V286" s="17" t="n"/>
    </row>
    <row r="287" s="1">
      <c r="E287" s="17" t="inlineStr">
        <is>
          <t>tengah</t>
        </is>
      </c>
      <c r="F287" s="17" t="n"/>
      <c r="G287" s="17" t="n"/>
      <c r="J287" s="17" t="inlineStr">
        <is>
          <t>kiri</t>
        </is>
      </c>
      <c r="K287" s="17" t="n"/>
      <c r="L287" s="17" t="n"/>
      <c r="O287" s="17" t="inlineStr">
        <is>
          <t>tengah</t>
        </is>
      </c>
      <c r="P287" s="17" t="n"/>
      <c r="Q287" s="17" t="n"/>
      <c r="T287" s="17" t="inlineStr">
        <is>
          <t>tengah</t>
        </is>
      </c>
      <c r="U287" s="17" t="n"/>
      <c r="V287" s="17" t="n"/>
    </row>
    <row r="288" s="1">
      <c r="E288" s="17" t="inlineStr">
        <is>
          <t>tengah</t>
        </is>
      </c>
      <c r="F288" s="17" t="n"/>
      <c r="G288" s="17" t="n"/>
      <c r="J288" s="17" t="inlineStr">
        <is>
          <t>kiri</t>
        </is>
      </c>
      <c r="K288" s="17" t="n"/>
      <c r="L288" s="17" t="n"/>
      <c r="O288" s="17" t="inlineStr">
        <is>
          <t>tengah</t>
        </is>
      </c>
      <c r="P288" s="17" t="n"/>
      <c r="Q288" s="17" t="n"/>
      <c r="T288" s="17" t="inlineStr">
        <is>
          <t>tengah</t>
        </is>
      </c>
      <c r="U288" s="17" t="n"/>
      <c r="V288" s="17" t="n"/>
    </row>
    <row r="289" s="1">
      <c r="E289" s="17" t="inlineStr">
        <is>
          <t>tengah</t>
        </is>
      </c>
      <c r="F289" s="17" t="n"/>
      <c r="G289" s="17" t="n"/>
      <c r="J289" s="17" t="inlineStr">
        <is>
          <t>tengah</t>
        </is>
      </c>
      <c r="K289" s="17" t="n"/>
      <c r="L289" s="17" t="n"/>
      <c r="O289" s="17" t="inlineStr">
        <is>
          <t>kanan</t>
        </is>
      </c>
      <c r="P289" s="17" t="n"/>
      <c r="Q289" s="17" t="n"/>
      <c r="T289" s="17" t="inlineStr">
        <is>
          <t>kanan</t>
        </is>
      </c>
      <c r="U289" s="17" t="n"/>
      <c r="V289" s="17" t="n"/>
    </row>
    <row r="290" s="1">
      <c r="E290" s="17" t="inlineStr">
        <is>
          <t>tengah</t>
        </is>
      </c>
      <c r="F290" s="17" t="n"/>
      <c r="G290" s="17" t="n"/>
      <c r="J290" s="17" t="inlineStr">
        <is>
          <t>tengah</t>
        </is>
      </c>
      <c r="K290" s="17" t="n"/>
      <c r="L290" s="17" t="n"/>
      <c r="O290" s="17" t="inlineStr">
        <is>
          <t>tengah</t>
        </is>
      </c>
      <c r="P290" s="17" t="n"/>
      <c r="Q290" s="17" t="n"/>
      <c r="T290" s="17" t="inlineStr">
        <is>
          <t>tengah</t>
        </is>
      </c>
      <c r="U290" s="17" t="n"/>
      <c r="V290" s="17" t="n"/>
    </row>
    <row r="291" s="1">
      <c r="E291" s="17" t="inlineStr">
        <is>
          <t>kanan</t>
        </is>
      </c>
      <c r="F291" s="17" t="n"/>
      <c r="G291" s="17" t="n"/>
      <c r="J291" s="17" t="inlineStr">
        <is>
          <t>tengah</t>
        </is>
      </c>
      <c r="K291" s="17" t="n"/>
      <c r="L291" s="17" t="n"/>
      <c r="O291" s="17" t="inlineStr">
        <is>
          <t>tengah</t>
        </is>
      </c>
      <c r="P291" s="17" t="n"/>
      <c r="Q291" s="17" t="n"/>
      <c r="T291" s="17" t="inlineStr">
        <is>
          <t>kanan</t>
        </is>
      </c>
      <c r="U291" s="17" t="n"/>
      <c r="V291" s="17" t="n"/>
    </row>
    <row r="292" s="1">
      <c r="E292" s="17" t="inlineStr">
        <is>
          <t>tengah</t>
        </is>
      </c>
      <c r="F292" s="17" t="n"/>
      <c r="G292" s="17" t="n"/>
      <c r="J292" s="17" t="inlineStr">
        <is>
          <t>kiri</t>
        </is>
      </c>
      <c r="K292" s="17" t="n"/>
      <c r="L292" s="17" t="n"/>
      <c r="O292" s="17" t="inlineStr">
        <is>
          <t>tengah</t>
        </is>
      </c>
      <c r="P292" s="17" t="n"/>
      <c r="Q292" s="17" t="n"/>
      <c r="T292" s="17" t="inlineStr">
        <is>
          <t>kanan</t>
        </is>
      </c>
      <c r="U292" s="17" t="n"/>
      <c r="V292" s="17" t="n"/>
    </row>
    <row r="293" s="1">
      <c r="E293" s="17" t="inlineStr">
        <is>
          <t>tengah</t>
        </is>
      </c>
      <c r="F293" s="17" t="n"/>
      <c r="G293" s="17" t="n"/>
      <c r="J293" s="17" t="inlineStr">
        <is>
          <t>kiri</t>
        </is>
      </c>
      <c r="K293" s="17" t="n"/>
      <c r="L293" s="17" t="n"/>
      <c r="O293" s="17" t="inlineStr">
        <is>
          <t>tengah</t>
        </is>
      </c>
      <c r="P293" s="17" t="n"/>
      <c r="Q293" s="17" t="n"/>
      <c r="T293" s="17" t="inlineStr">
        <is>
          <t>tengah</t>
        </is>
      </c>
      <c r="U293" s="17" t="n"/>
      <c r="V293" s="17" t="n"/>
    </row>
    <row r="294" s="1">
      <c r="E294" s="17" t="inlineStr">
        <is>
          <t>kiri</t>
        </is>
      </c>
      <c r="F294" s="17" t="n"/>
      <c r="G294" s="17" t="n"/>
      <c r="J294" s="17" t="inlineStr">
        <is>
          <t>tengah</t>
        </is>
      </c>
      <c r="K294" s="17" t="n"/>
      <c r="L294" s="17" t="n"/>
      <c r="O294" s="17" t="inlineStr">
        <is>
          <t>tengah</t>
        </is>
      </c>
      <c r="P294" s="17" t="n"/>
      <c r="Q294" s="17" t="n"/>
      <c r="T294" s="17" t="inlineStr">
        <is>
          <t>tengah</t>
        </is>
      </c>
      <c r="U294" s="17" t="n"/>
      <c r="V294" s="17" t="n"/>
    </row>
    <row r="295" s="1">
      <c r="E295" s="17" t="inlineStr">
        <is>
          <t>kiri</t>
        </is>
      </c>
      <c r="F295" s="17" t="n"/>
      <c r="G295" s="17" t="n"/>
      <c r="J295" s="17" t="inlineStr">
        <is>
          <t>kiri</t>
        </is>
      </c>
      <c r="K295" s="17" t="n"/>
      <c r="L295" s="17" t="n"/>
      <c r="O295" s="17" t="inlineStr">
        <is>
          <t>tengah</t>
        </is>
      </c>
      <c r="P295" s="17" t="n"/>
      <c r="Q295" s="17" t="n"/>
      <c r="T295" s="17" t="inlineStr">
        <is>
          <t>kanan</t>
        </is>
      </c>
      <c r="U295" s="17" t="n"/>
      <c r="V295" s="17" t="n"/>
    </row>
    <row r="296" s="1">
      <c r="E296" s="17" t="inlineStr">
        <is>
          <t>kanan</t>
        </is>
      </c>
      <c r="F296" s="17" t="n"/>
      <c r="G296" s="17" t="n"/>
      <c r="J296" s="17" t="inlineStr">
        <is>
          <t>tengah</t>
        </is>
      </c>
      <c r="K296" s="17" t="n"/>
      <c r="L296" s="17" t="n"/>
      <c r="O296" s="17" t="inlineStr">
        <is>
          <t>tengah</t>
        </is>
      </c>
      <c r="P296" s="17" t="n"/>
      <c r="Q296" s="17" t="n"/>
      <c r="T296" s="17" t="inlineStr">
        <is>
          <t>tengah</t>
        </is>
      </c>
      <c r="U296" s="17" t="n"/>
      <c r="V296" s="17" t="n"/>
    </row>
    <row r="297" s="1">
      <c r="E297" s="17" t="inlineStr">
        <is>
          <t>kiri</t>
        </is>
      </c>
      <c r="F297" s="17" t="n"/>
      <c r="G297" s="17" t="n"/>
      <c r="J297" s="17" t="inlineStr">
        <is>
          <t>kanan</t>
        </is>
      </c>
      <c r="K297" s="17" t="n"/>
      <c r="L297" s="17" t="n"/>
      <c r="O297" s="17" t="inlineStr">
        <is>
          <t>kiri</t>
        </is>
      </c>
      <c r="P297" s="17" t="n"/>
      <c r="Q297" s="17" t="n"/>
      <c r="T297" s="17" t="inlineStr">
        <is>
          <t>tengah</t>
        </is>
      </c>
      <c r="U297" s="17" t="n"/>
      <c r="V297" s="17" t="n"/>
    </row>
    <row r="298" s="1">
      <c r="E298" s="17" t="inlineStr">
        <is>
          <t>tengah</t>
        </is>
      </c>
      <c r="F298" s="17" t="n"/>
      <c r="G298" s="17" t="n"/>
      <c r="J298" s="17" t="inlineStr">
        <is>
          <t>kanan</t>
        </is>
      </c>
      <c r="K298" s="17" t="n"/>
      <c r="L298" s="17" t="n"/>
      <c r="O298" s="17" t="inlineStr">
        <is>
          <t>kanan</t>
        </is>
      </c>
      <c r="P298" s="17" t="n"/>
      <c r="Q298" s="17" t="n"/>
      <c r="T298" s="17" t="inlineStr">
        <is>
          <t>tengah</t>
        </is>
      </c>
      <c r="U298" s="17" t="n"/>
      <c r="V298" s="17" t="n"/>
    </row>
    <row r="299" s="1">
      <c r="E299" s="17" t="inlineStr">
        <is>
          <t>tengah</t>
        </is>
      </c>
      <c r="F299" s="17" t="n"/>
      <c r="G299" s="17" t="n"/>
      <c r="J299" s="17" t="inlineStr">
        <is>
          <t>tengah</t>
        </is>
      </c>
      <c r="K299" s="17" t="n"/>
      <c r="L299" s="17" t="n"/>
      <c r="O299" s="17" t="inlineStr">
        <is>
          <t>tengah</t>
        </is>
      </c>
      <c r="P299" s="17" t="n"/>
      <c r="Q299" s="17" t="n"/>
      <c r="T299" s="17" t="inlineStr">
        <is>
          <t>tengah</t>
        </is>
      </c>
      <c r="U299" s="17" t="n"/>
      <c r="V299" s="17" t="n"/>
    </row>
    <row r="300" s="1">
      <c r="E300" s="17" t="inlineStr">
        <is>
          <t>kiri</t>
        </is>
      </c>
      <c r="F300" s="17" t="n"/>
      <c r="G300" s="17" t="n"/>
      <c r="J300" s="17" t="inlineStr">
        <is>
          <t>tengah</t>
        </is>
      </c>
      <c r="K300" s="17" t="n"/>
      <c r="L300" s="17" t="n"/>
      <c r="O300" s="17" t="inlineStr">
        <is>
          <t>kanan</t>
        </is>
      </c>
      <c r="P300" s="17" t="n"/>
      <c r="Q300" s="17" t="n"/>
      <c r="T300" s="17" t="inlineStr">
        <is>
          <t>kanan</t>
        </is>
      </c>
      <c r="U300" s="17" t="n"/>
      <c r="V300" s="17" t="n"/>
    </row>
    <row r="301" s="1">
      <c r="E301" s="17" t="inlineStr">
        <is>
          <t>tengah</t>
        </is>
      </c>
      <c r="F301" s="17" t="n"/>
      <c r="G301" s="17" t="n"/>
      <c r="J301" s="17" t="inlineStr">
        <is>
          <t>kiri</t>
        </is>
      </c>
      <c r="K301" s="17" t="n"/>
      <c r="L301" s="17" t="n"/>
      <c r="O301" s="17" t="inlineStr">
        <is>
          <t>tengah</t>
        </is>
      </c>
      <c r="P301" s="17" t="n"/>
      <c r="Q301" s="17" t="n"/>
      <c r="T301" s="17" t="inlineStr">
        <is>
          <t>kanan</t>
        </is>
      </c>
      <c r="U301" s="17" t="n"/>
      <c r="V301" s="17" t="n"/>
    </row>
    <row r="302" s="1">
      <c r="E302" s="17" t="inlineStr">
        <is>
          <t>tengah</t>
        </is>
      </c>
      <c r="F302" s="17" t="n"/>
      <c r="G302" s="17" t="n"/>
      <c r="J302" s="17" t="inlineStr">
        <is>
          <t>kiri</t>
        </is>
      </c>
      <c r="K302" s="17" t="n"/>
      <c r="L302" s="17" t="n"/>
      <c r="O302" s="17" t="inlineStr">
        <is>
          <t>kiri</t>
        </is>
      </c>
      <c r="P302" s="17" t="n"/>
      <c r="Q302" s="17" t="n"/>
      <c r="T302" s="17" t="inlineStr">
        <is>
          <t>kanan</t>
        </is>
      </c>
      <c r="U302" s="17" t="n"/>
      <c r="V302" s="17" t="n"/>
    </row>
    <row r="303" s="1">
      <c r="E303" s="17" t="inlineStr">
        <is>
          <t>tengah</t>
        </is>
      </c>
      <c r="F303" s="17" t="n"/>
      <c r="G303" s="17" t="n"/>
      <c r="J303" s="17" t="inlineStr">
        <is>
          <t>kanan</t>
        </is>
      </c>
      <c r="K303" s="17" t="n"/>
      <c r="L303" s="17" t="n"/>
      <c r="O303" s="17" t="inlineStr">
        <is>
          <t>tengah</t>
        </is>
      </c>
      <c r="P303" s="17" t="n"/>
      <c r="Q303" s="17" t="n"/>
      <c r="T303" s="17" t="inlineStr">
        <is>
          <t>kanan</t>
        </is>
      </c>
      <c r="U303" s="17" t="n"/>
      <c r="V303" s="17" t="n"/>
    </row>
    <row r="304" s="1">
      <c r="E304" s="17" t="inlineStr">
        <is>
          <t>tengah</t>
        </is>
      </c>
      <c r="F304" s="17" t="n"/>
      <c r="G304" s="17" t="n"/>
      <c r="J304" s="17" t="inlineStr">
        <is>
          <t>kanan</t>
        </is>
      </c>
      <c r="K304" s="17" t="n"/>
      <c r="L304" s="17" t="n"/>
      <c r="O304" s="17" t="inlineStr">
        <is>
          <t>tengah</t>
        </is>
      </c>
      <c r="P304" s="17" t="n"/>
      <c r="Q304" s="17" t="n"/>
      <c r="T304" s="17" t="inlineStr">
        <is>
          <t>kanan</t>
        </is>
      </c>
      <c r="U304" s="17" t="n"/>
      <c r="V304" s="17" t="n"/>
    </row>
    <row r="305" s="1">
      <c r="E305" s="17" t="inlineStr">
        <is>
          <t>kanan</t>
        </is>
      </c>
      <c r="F305" s="17" t="n"/>
      <c r="G305" s="17" t="n"/>
      <c r="J305" s="17" t="inlineStr">
        <is>
          <t>kiri</t>
        </is>
      </c>
      <c r="K305" s="17" t="n"/>
      <c r="L305" s="17" t="n"/>
      <c r="O305" s="17" t="inlineStr">
        <is>
          <t>kanan</t>
        </is>
      </c>
      <c r="P305" s="17" t="n"/>
      <c r="Q305" s="17" t="n"/>
      <c r="T305" s="17" t="inlineStr">
        <is>
          <t>kanan</t>
        </is>
      </c>
      <c r="U305" s="17" t="n"/>
      <c r="V305" s="17" t="n"/>
    </row>
    <row r="306" s="1">
      <c r="E306" s="17" t="inlineStr">
        <is>
          <t>kiri</t>
        </is>
      </c>
      <c r="F306" s="17" t="n"/>
      <c r="G306" s="17" t="n"/>
      <c r="J306" s="17" t="inlineStr">
        <is>
          <t>kiri</t>
        </is>
      </c>
      <c r="K306" s="17" t="n"/>
      <c r="L306" s="17" t="n"/>
      <c r="O306" s="17" t="inlineStr">
        <is>
          <t>tengah</t>
        </is>
      </c>
      <c r="P306" s="17" t="n"/>
      <c r="Q306" s="17" t="n"/>
      <c r="T306" s="17" t="inlineStr">
        <is>
          <t>kanan</t>
        </is>
      </c>
      <c r="U306" s="17" t="n"/>
      <c r="V306" s="17" t="n"/>
    </row>
    <row r="307" s="1">
      <c r="E307" s="17" t="inlineStr">
        <is>
          <t>tengah</t>
        </is>
      </c>
      <c r="F307" s="17" t="n"/>
      <c r="G307" s="17" t="n"/>
      <c r="J307" s="17" t="inlineStr">
        <is>
          <t>tengah</t>
        </is>
      </c>
      <c r="K307" s="17" t="n"/>
      <c r="L307" s="17" t="n"/>
      <c r="O307" s="17" t="inlineStr">
        <is>
          <t>kiri</t>
        </is>
      </c>
      <c r="P307" s="17" t="n"/>
      <c r="Q307" s="17" t="n"/>
      <c r="T307" s="17" t="inlineStr">
        <is>
          <t>kanan</t>
        </is>
      </c>
      <c r="U307" s="17" t="n"/>
      <c r="V307" s="17" t="n"/>
    </row>
    <row r="308" s="1">
      <c r="E308" s="17" t="inlineStr">
        <is>
          <t>kanan</t>
        </is>
      </c>
      <c r="F308" s="17" t="n"/>
      <c r="G308" s="17" t="n"/>
      <c r="J308" s="17" t="inlineStr">
        <is>
          <t>kanan</t>
        </is>
      </c>
      <c r="K308" s="17" t="n"/>
      <c r="L308" s="17" t="n"/>
      <c r="O308" s="17" t="inlineStr">
        <is>
          <t>tengah</t>
        </is>
      </c>
      <c r="P308" s="17" t="n"/>
      <c r="Q308" s="17" t="n"/>
      <c r="T308" s="17" t="inlineStr">
        <is>
          <t>tengah</t>
        </is>
      </c>
      <c r="U308" s="17" t="n"/>
      <c r="V308" s="17" t="n"/>
    </row>
    <row r="309" s="1">
      <c r="E309" s="17" t="inlineStr">
        <is>
          <t>tengah</t>
        </is>
      </c>
      <c r="F309" s="17" t="n"/>
      <c r="G309" s="17" t="n"/>
      <c r="J309" s="17" t="inlineStr">
        <is>
          <t>tengah</t>
        </is>
      </c>
      <c r="K309" s="17" t="n"/>
      <c r="L309" s="17" t="n"/>
      <c r="O309" s="17" t="inlineStr">
        <is>
          <t>tengah</t>
        </is>
      </c>
      <c r="P309" s="17" t="n"/>
      <c r="Q309" s="17" t="n"/>
      <c r="T309" s="17" t="inlineStr">
        <is>
          <t>tengah</t>
        </is>
      </c>
      <c r="U309" s="17" t="n"/>
      <c r="V309" s="17" t="n"/>
    </row>
    <row r="310" s="1">
      <c r="E310" s="17" t="inlineStr">
        <is>
          <t>kiri</t>
        </is>
      </c>
      <c r="F310" s="17" t="n"/>
      <c r="G310" s="17" t="n"/>
      <c r="J310" s="17" t="inlineStr">
        <is>
          <t>tengah</t>
        </is>
      </c>
      <c r="K310" s="17" t="n"/>
      <c r="L310" s="17" t="n"/>
      <c r="O310" s="17" t="inlineStr">
        <is>
          <t>kanan</t>
        </is>
      </c>
      <c r="P310" s="17" t="n"/>
      <c r="Q310" s="17" t="n"/>
      <c r="T310" s="17" t="inlineStr">
        <is>
          <t>tengah</t>
        </is>
      </c>
      <c r="U310" s="17" t="n"/>
      <c r="V310" s="17" t="n"/>
    </row>
    <row r="311" s="1">
      <c r="E311" s="17" t="inlineStr">
        <is>
          <t>kiri</t>
        </is>
      </c>
      <c r="F311" s="17" t="n"/>
      <c r="G311" s="17" t="n"/>
      <c r="J311" s="17" t="inlineStr">
        <is>
          <t>kiri</t>
        </is>
      </c>
      <c r="K311" s="17" t="n"/>
      <c r="L311" s="17" t="n"/>
      <c r="O311" s="17" t="inlineStr">
        <is>
          <t>kanan</t>
        </is>
      </c>
      <c r="P311" s="17" t="n"/>
      <c r="Q311" s="17" t="n"/>
      <c r="T311" s="17" t="inlineStr">
        <is>
          <t>tengah</t>
        </is>
      </c>
      <c r="U311" s="17" t="n"/>
      <c r="V311" s="17" t="n"/>
    </row>
    <row r="312" s="1">
      <c r="E312" s="17" t="inlineStr">
        <is>
          <t>kanan</t>
        </is>
      </c>
      <c r="F312" s="17" t="n"/>
      <c r="G312" s="17" t="n"/>
      <c r="J312" s="17" t="inlineStr">
        <is>
          <t>kiri</t>
        </is>
      </c>
      <c r="K312" s="17" t="n"/>
      <c r="L312" s="17" t="n"/>
      <c r="O312" s="17" t="inlineStr">
        <is>
          <t>kiri</t>
        </is>
      </c>
      <c r="P312" s="17" t="n"/>
      <c r="Q312" s="17" t="n"/>
      <c r="T312" s="17" t="inlineStr">
        <is>
          <t>tengah</t>
        </is>
      </c>
      <c r="U312" s="17" t="n"/>
      <c r="V312" s="17" t="n"/>
    </row>
    <row r="313" s="1">
      <c r="E313" s="17" t="inlineStr">
        <is>
          <t>tengah</t>
        </is>
      </c>
      <c r="F313" s="17" t="n"/>
      <c r="G313" s="17" t="n"/>
      <c r="J313" s="17" t="inlineStr">
        <is>
          <t>tengah</t>
        </is>
      </c>
      <c r="K313" s="17" t="n"/>
      <c r="L313" s="17" t="n"/>
      <c r="O313" s="17" t="inlineStr">
        <is>
          <t>kanan</t>
        </is>
      </c>
      <c r="P313" s="17" t="n"/>
      <c r="Q313" s="17" t="n"/>
      <c r="T313" s="17" t="inlineStr">
        <is>
          <t>kanan</t>
        </is>
      </c>
      <c r="U313" s="17" t="n"/>
      <c r="V313" s="17" t="n"/>
    </row>
    <row r="314" s="1">
      <c r="E314" s="17" t="inlineStr">
        <is>
          <t>kanan</t>
        </is>
      </c>
      <c r="F314" s="17" t="n"/>
      <c r="G314" s="17" t="n"/>
      <c r="J314" s="17" t="inlineStr">
        <is>
          <t>kanan</t>
        </is>
      </c>
      <c r="K314" s="17" t="n"/>
      <c r="L314" s="17" t="n"/>
      <c r="O314" s="17" t="inlineStr">
        <is>
          <t>tengah</t>
        </is>
      </c>
      <c r="P314" s="17" t="n"/>
      <c r="Q314" s="17" t="n"/>
      <c r="T314" s="17" t="inlineStr">
        <is>
          <t>tengah</t>
        </is>
      </c>
      <c r="U314" s="17" t="n"/>
      <c r="V314" s="17" t="n"/>
    </row>
    <row r="315" s="1">
      <c r="E315" s="17" t="inlineStr">
        <is>
          <t>tengah</t>
        </is>
      </c>
      <c r="F315" s="17" t="n"/>
      <c r="G315" s="17" t="n"/>
      <c r="J315" s="17" t="inlineStr">
        <is>
          <t>kanan</t>
        </is>
      </c>
      <c r="K315" s="17" t="n"/>
      <c r="L315" s="17" t="n"/>
      <c r="O315" s="17" t="inlineStr">
        <is>
          <t>tengah</t>
        </is>
      </c>
      <c r="P315" s="17" t="n"/>
      <c r="Q315" s="17" t="n"/>
      <c r="T315" s="17" t="inlineStr">
        <is>
          <t>kanan</t>
        </is>
      </c>
      <c r="U315" s="17" t="n"/>
      <c r="V315" s="17" t="n"/>
    </row>
    <row r="316" s="1">
      <c r="E316" s="17" t="inlineStr">
        <is>
          <t>kanan</t>
        </is>
      </c>
      <c r="F316" s="17" t="n"/>
      <c r="G316" s="17" t="n"/>
      <c r="J316" s="17" t="inlineStr">
        <is>
          <t>kiri</t>
        </is>
      </c>
      <c r="K316" s="17" t="n"/>
      <c r="L316" s="17" t="n"/>
      <c r="O316" s="17" t="inlineStr">
        <is>
          <t>tengah</t>
        </is>
      </c>
      <c r="P316" s="17" t="n"/>
      <c r="Q316" s="17" t="n"/>
      <c r="T316" s="17" t="inlineStr">
        <is>
          <t>tengah</t>
        </is>
      </c>
      <c r="U316" s="17" t="n"/>
      <c r="V316" s="17" t="n"/>
    </row>
    <row r="317" s="1">
      <c r="E317" s="17" t="inlineStr">
        <is>
          <t>tengah</t>
        </is>
      </c>
      <c r="F317" s="17" t="n"/>
      <c r="G317" s="17" t="n"/>
      <c r="J317" s="17" t="inlineStr">
        <is>
          <t>tengah</t>
        </is>
      </c>
      <c r="K317" s="17" t="n"/>
      <c r="L317" s="17" t="n"/>
      <c r="O317" s="17" t="inlineStr">
        <is>
          <t>kanan</t>
        </is>
      </c>
      <c r="P317" s="17" t="n"/>
      <c r="Q317" s="17" t="n"/>
      <c r="T317" s="17" t="inlineStr">
        <is>
          <t>kanan</t>
        </is>
      </c>
      <c r="U317" s="17" t="n"/>
      <c r="V317" s="17" t="n"/>
    </row>
    <row r="318" s="1">
      <c r="E318" s="17" t="inlineStr">
        <is>
          <t>tengah</t>
        </is>
      </c>
      <c r="F318" s="17" t="n"/>
      <c r="G318" s="17" t="n"/>
      <c r="J318" s="17" t="inlineStr">
        <is>
          <t>kiri</t>
        </is>
      </c>
      <c r="K318" s="17" t="n"/>
      <c r="L318" s="17" t="n"/>
      <c r="O318" s="17" t="inlineStr">
        <is>
          <t>tengah</t>
        </is>
      </c>
      <c r="P318" s="17" t="n"/>
      <c r="Q318" s="17" t="n"/>
      <c r="T318" s="17" t="inlineStr">
        <is>
          <t>kanan</t>
        </is>
      </c>
      <c r="U318" s="17" t="n"/>
      <c r="V318" s="17" t="n"/>
    </row>
    <row r="319" s="1">
      <c r="E319" s="17" t="inlineStr">
        <is>
          <t>tengah</t>
        </is>
      </c>
      <c r="F319" s="17" t="n"/>
      <c r="G319" s="17" t="n"/>
      <c r="J319" s="17" t="inlineStr">
        <is>
          <t>kiri</t>
        </is>
      </c>
      <c r="K319" s="17" t="n"/>
      <c r="L319" s="17" t="n"/>
      <c r="O319" s="17" t="inlineStr">
        <is>
          <t>tengah</t>
        </is>
      </c>
      <c r="P319" s="17" t="n"/>
      <c r="Q319" s="17" t="n"/>
      <c r="T319" s="17" t="inlineStr">
        <is>
          <t>tengah</t>
        </is>
      </c>
      <c r="U319" s="17" t="n"/>
      <c r="V319" s="17" t="n"/>
    </row>
    <row r="320" s="1">
      <c r="E320" s="17" t="inlineStr">
        <is>
          <t>kanan</t>
        </is>
      </c>
      <c r="F320" s="17" t="n"/>
      <c r="G320" s="17" t="n"/>
      <c r="J320" s="17" t="inlineStr">
        <is>
          <t>tengah</t>
        </is>
      </c>
      <c r="K320" s="17" t="n"/>
      <c r="L320" s="17" t="n"/>
      <c r="O320" s="17" t="inlineStr">
        <is>
          <t>tengah</t>
        </is>
      </c>
      <c r="P320" s="17" t="n"/>
      <c r="Q320" s="17" t="n"/>
      <c r="T320" s="17" t="inlineStr">
        <is>
          <t>tengah</t>
        </is>
      </c>
      <c r="U320" s="17" t="n"/>
      <c r="V320" s="17" t="n"/>
    </row>
    <row r="321" s="1">
      <c r="E321" s="17" t="inlineStr">
        <is>
          <t>tengah</t>
        </is>
      </c>
      <c r="F321" s="17" t="n"/>
      <c r="G321" s="17" t="n"/>
      <c r="J321" s="17" t="inlineStr">
        <is>
          <t>kanan</t>
        </is>
      </c>
      <c r="K321" s="17" t="n"/>
      <c r="L321" s="17" t="n"/>
      <c r="O321" s="17" t="inlineStr">
        <is>
          <t>tengah</t>
        </is>
      </c>
      <c r="P321" s="17" t="n"/>
      <c r="Q321" s="17" t="n"/>
      <c r="T321" s="17" t="inlineStr">
        <is>
          <t>tengah</t>
        </is>
      </c>
      <c r="U321" s="17" t="n"/>
      <c r="V321" s="17" t="n"/>
    </row>
    <row r="322" s="1">
      <c r="E322" s="17" t="inlineStr">
        <is>
          <t>tengah</t>
        </is>
      </c>
      <c r="F322" s="17" t="n"/>
      <c r="G322" s="17" t="n"/>
      <c r="J322" s="17" t="inlineStr">
        <is>
          <t>tengah</t>
        </is>
      </c>
      <c r="K322" s="17" t="n"/>
      <c r="L322" s="17" t="n"/>
      <c r="O322" s="17" t="inlineStr">
        <is>
          <t>tengah</t>
        </is>
      </c>
      <c r="P322" s="17" t="n"/>
      <c r="Q322" s="17" t="n"/>
      <c r="T322" s="17" t="inlineStr">
        <is>
          <t>kanan</t>
        </is>
      </c>
      <c r="U322" s="17" t="n"/>
      <c r="V322" s="17" t="n"/>
    </row>
    <row r="323" s="1">
      <c r="E323" s="17" t="inlineStr">
        <is>
          <t>tengah</t>
        </is>
      </c>
      <c r="F323" s="17" t="n"/>
      <c r="G323" s="17" t="n"/>
      <c r="J323" s="17" t="inlineStr">
        <is>
          <t>kanan</t>
        </is>
      </c>
      <c r="K323" s="17" t="n"/>
      <c r="L323" s="17" t="n"/>
      <c r="O323" s="17" t="inlineStr">
        <is>
          <t>tengah</t>
        </is>
      </c>
      <c r="P323" s="17" t="n"/>
      <c r="Q323" s="17" t="n"/>
      <c r="T323" s="17" t="inlineStr">
        <is>
          <t>kanan</t>
        </is>
      </c>
      <c r="U323" s="17" t="n"/>
      <c r="V323" s="17" t="n"/>
    </row>
    <row r="324" s="1">
      <c r="E324" s="17" t="inlineStr">
        <is>
          <t>kiri</t>
        </is>
      </c>
      <c r="F324" s="17" t="n"/>
      <c r="G324" s="17" t="n"/>
      <c r="J324" s="17" t="inlineStr">
        <is>
          <t>kiri</t>
        </is>
      </c>
      <c r="K324" s="17" t="n"/>
      <c r="L324" s="17" t="n"/>
      <c r="O324" s="17" t="inlineStr">
        <is>
          <t>kanan</t>
        </is>
      </c>
      <c r="P324" s="17" t="n"/>
      <c r="Q324" s="17" t="n"/>
      <c r="T324" s="17" t="inlineStr">
        <is>
          <t>kanan</t>
        </is>
      </c>
      <c r="U324" s="17" t="n"/>
      <c r="V324" s="17" t="n"/>
    </row>
    <row r="325" s="1">
      <c r="E325" s="17" t="inlineStr">
        <is>
          <t>tengah</t>
        </is>
      </c>
      <c r="F325" s="17" t="n"/>
      <c r="G325" s="17" t="n"/>
      <c r="J325" s="17" t="inlineStr">
        <is>
          <t>tengah</t>
        </is>
      </c>
      <c r="K325" s="17" t="n"/>
      <c r="L325" s="17" t="n"/>
      <c r="O325" s="17" t="inlineStr">
        <is>
          <t>tengah</t>
        </is>
      </c>
      <c r="P325" s="17" t="n"/>
      <c r="Q325" s="17" t="n"/>
      <c r="T325" s="17" t="inlineStr">
        <is>
          <t>tengah</t>
        </is>
      </c>
      <c r="U325" s="17" t="n"/>
      <c r="V325" s="17" t="n"/>
    </row>
    <row r="326" s="1">
      <c r="E326" s="17" t="inlineStr">
        <is>
          <t>tengah</t>
        </is>
      </c>
      <c r="F326" s="17" t="n"/>
      <c r="G326" s="17" t="n"/>
      <c r="J326" s="17" t="inlineStr">
        <is>
          <t>kanan</t>
        </is>
      </c>
      <c r="K326" s="17" t="n"/>
      <c r="L326" s="17" t="n"/>
      <c r="O326" s="17" t="inlineStr">
        <is>
          <t>tengah</t>
        </is>
      </c>
      <c r="P326" s="17" t="n"/>
      <c r="Q326" s="17" t="n"/>
      <c r="T326" s="17" t="inlineStr">
        <is>
          <t>tengah</t>
        </is>
      </c>
      <c r="U326" s="17" t="n"/>
      <c r="V326" s="17" t="n"/>
    </row>
    <row r="327" s="1">
      <c r="E327" s="17" t="inlineStr">
        <is>
          <t>kiri</t>
        </is>
      </c>
      <c r="F327" s="17" t="n"/>
      <c r="G327" s="17" t="n"/>
      <c r="J327" s="17" t="inlineStr">
        <is>
          <t>kiri</t>
        </is>
      </c>
      <c r="K327" s="17" t="n"/>
      <c r="L327" s="17" t="n"/>
      <c r="O327" s="17" t="inlineStr">
        <is>
          <t>tengah</t>
        </is>
      </c>
      <c r="P327" s="17" t="n"/>
      <c r="Q327" s="17" t="n"/>
      <c r="T327" s="17" t="inlineStr">
        <is>
          <t>tengah</t>
        </is>
      </c>
      <c r="U327" s="17" t="n"/>
      <c r="V327" s="17" t="n"/>
    </row>
    <row r="328" s="1">
      <c r="E328" s="17" t="inlineStr">
        <is>
          <t>tengah</t>
        </is>
      </c>
      <c r="F328" s="17" t="n"/>
      <c r="G328" s="17" t="n"/>
      <c r="J328" s="17" t="inlineStr">
        <is>
          <t>tengah</t>
        </is>
      </c>
      <c r="K328" s="17" t="n"/>
      <c r="L328" s="17" t="n"/>
      <c r="O328" s="17" t="inlineStr">
        <is>
          <t>tengah</t>
        </is>
      </c>
      <c r="P328" s="17" t="n"/>
      <c r="Q328" s="17" t="n"/>
      <c r="T328" s="17" t="inlineStr">
        <is>
          <t>kanan</t>
        </is>
      </c>
      <c r="U328" s="17" t="n"/>
      <c r="V328" s="17" t="n"/>
    </row>
    <row r="329" s="1">
      <c r="E329" s="17" t="inlineStr">
        <is>
          <t>kiri</t>
        </is>
      </c>
      <c r="F329" s="17" t="n"/>
      <c r="G329" s="17" t="n"/>
      <c r="J329" s="17" t="inlineStr">
        <is>
          <t>tengah</t>
        </is>
      </c>
      <c r="K329" s="17" t="n"/>
      <c r="L329" s="17" t="n"/>
      <c r="O329" s="17" t="inlineStr">
        <is>
          <t>tengah</t>
        </is>
      </c>
      <c r="P329" s="17" t="n"/>
      <c r="Q329" s="17" t="n"/>
      <c r="T329" s="17" t="inlineStr">
        <is>
          <t>tengah</t>
        </is>
      </c>
      <c r="U329" s="17" t="n"/>
      <c r="V329" s="17" t="n"/>
    </row>
    <row r="330" s="1">
      <c r="E330" s="17" t="inlineStr">
        <is>
          <t>kiri</t>
        </is>
      </c>
      <c r="F330" s="17" t="n"/>
      <c r="G330" s="17" t="n"/>
      <c r="J330" s="17" t="inlineStr">
        <is>
          <t>tengah</t>
        </is>
      </c>
      <c r="K330" s="17" t="n"/>
      <c r="L330" s="17" t="n"/>
      <c r="O330" s="17" t="inlineStr">
        <is>
          <t>tengah</t>
        </is>
      </c>
      <c r="P330" s="17" t="n"/>
      <c r="Q330" s="17" t="n"/>
      <c r="T330" s="17" t="inlineStr">
        <is>
          <t>kanan</t>
        </is>
      </c>
      <c r="U330" s="17" t="n"/>
      <c r="V330" s="17" t="n"/>
    </row>
    <row r="331" s="1">
      <c r="E331" s="17" t="inlineStr">
        <is>
          <t>kiri</t>
        </is>
      </c>
      <c r="F331" s="17" t="n"/>
      <c r="G331" s="17" t="n"/>
      <c r="J331" s="17" t="inlineStr">
        <is>
          <t>kiri</t>
        </is>
      </c>
      <c r="K331" s="17" t="n"/>
      <c r="L331" s="17" t="n"/>
      <c r="O331" s="17" t="inlineStr">
        <is>
          <t>kanan</t>
        </is>
      </c>
      <c r="P331" s="17" t="n"/>
      <c r="Q331" s="17" t="n"/>
      <c r="T331" s="17" t="inlineStr">
        <is>
          <t>kanan</t>
        </is>
      </c>
      <c r="U331" s="17" t="n"/>
      <c r="V331" s="17" t="n"/>
    </row>
    <row r="332" s="1">
      <c r="E332" s="17" t="inlineStr">
        <is>
          <t>tengah</t>
        </is>
      </c>
      <c r="F332" s="17" t="n"/>
      <c r="G332" s="17" t="n"/>
      <c r="J332" s="17" t="inlineStr">
        <is>
          <t>tengah</t>
        </is>
      </c>
      <c r="K332" s="17" t="n"/>
      <c r="L332" s="17" t="n"/>
      <c r="O332" s="17" t="inlineStr">
        <is>
          <t>tengah</t>
        </is>
      </c>
      <c r="P332" s="17" t="n"/>
      <c r="Q332" s="17" t="n"/>
      <c r="T332" s="17" t="inlineStr">
        <is>
          <t>tengah</t>
        </is>
      </c>
      <c r="U332" s="17" t="n"/>
      <c r="V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32"/>
  <sheetViews>
    <sheetView topLeftCell="G4" zoomScale="93" zoomScaleNormal="93" workbookViewId="0">
      <selection activeCell="R175" sqref="R175"/>
    </sheetView>
  </sheetViews>
  <sheetFormatPr baseColWidth="8" defaultColWidth="8.6" defaultRowHeight="15"/>
  <cols>
    <col width="15.8592592592593" customWidth="1" style="1" min="3" max="3"/>
    <col width="13.2888888888889" customWidth="1" style="1" min="4" max="4"/>
    <col width="13.8592592592593" customWidth="1" style="1" min="5" max="5"/>
    <col width="12" customWidth="1" style="1" min="6" max="6"/>
    <col width="18.2888888888889" customWidth="1" style="1" min="9" max="9"/>
    <col width="15.8592592592593" customWidth="1" style="1" min="10" max="10"/>
    <col width="13.8592592592593" customWidth="1" style="1" min="12" max="12"/>
    <col width="14.2888888888889" customWidth="1" style="1" min="13" max="13"/>
    <col width="12.8592592592593" customWidth="1" style="1" min="14" max="14"/>
    <col width="16.8592592592593" customWidth="1" style="1" min="15" max="15"/>
  </cols>
  <sheetData>
    <row r="1" s="1">
      <c r="A1" s="16" t="inlineStr">
        <is>
          <t>No</t>
        </is>
      </c>
      <c r="B1" s="16" t="inlineStr">
        <is>
          <t>Usia</t>
        </is>
      </c>
      <c r="C1" s="16" t="inlineStr">
        <is>
          <t>Lama Rawat Inap</t>
        </is>
      </c>
      <c r="D1" s="16" t="inlineStr">
        <is>
          <t>Jenis Kelamin</t>
        </is>
      </c>
      <c r="E1" s="16" t="inlineStr">
        <is>
          <t>Tingkat Resiko</t>
        </is>
      </c>
      <c r="H1" s="17" t="inlineStr">
        <is>
          <t>No</t>
        </is>
      </c>
      <c r="I1" s="17" t="inlineStr">
        <is>
          <t>Usia</t>
        </is>
      </c>
      <c r="J1" s="17" t="inlineStr">
        <is>
          <t>Lama Rawat Inap</t>
        </is>
      </c>
      <c r="K1" s="17" t="inlineStr">
        <is>
          <t>Jenis Kelamin</t>
        </is>
      </c>
      <c r="L1" s="17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INDEX(Data_DBD!$B:$B,$A2)</f>
        <v/>
      </c>
      <c r="C2" s="17">
        <f t="array" ref="C2">INDEX(Data_DBD!$C:$C,$A2)</f>
        <v/>
      </c>
      <c r="D2" s="17">
        <f t="array" ref="D2">INDEX(Data_DBD!$E:$E,$A2)</f>
        <v/>
      </c>
      <c r="E2" s="17">
        <f t="array" ref="E2">INDEX(Data_DBD!$F:$F,$A2)</f>
        <v/>
      </c>
      <c r="H2" s="17" t="n">
        <v>144</v>
      </c>
      <c r="I2" s="17" t="n">
        <v>61</v>
      </c>
      <c r="J2" s="17" t="n">
        <v>4</v>
      </c>
      <c r="K2" s="17" t="n">
        <v>1</v>
      </c>
      <c r="L2" s="17" t="inlineStr">
        <is>
          <t>Tinggi</t>
        </is>
      </c>
      <c r="O2" s="19" t="inlineStr">
        <is>
          <t>Tinggi</t>
        </is>
      </c>
      <c r="P2" s="19">
        <f>COUNTIF(L2:L164,"Tinggi")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INDEX(Data_DBD!$B:$B,$A3)</f>
        <v/>
      </c>
      <c r="C3" s="17">
        <f t="array" ref="C3">INDEX(Data_DBD!$C:$C,$A3)</f>
        <v/>
      </c>
      <c r="D3" s="17">
        <f t="array" ref="D3">INDEX(Data_DBD!$E:$E,$A3)</f>
        <v/>
      </c>
      <c r="E3" s="17">
        <f t="array" ref="E3">INDEX(Data_DBD!$F:$F,$A3)</f>
        <v/>
      </c>
      <c r="H3" s="17" t="n">
        <v>2</v>
      </c>
      <c r="I3" s="17" t="n">
        <v>34</v>
      </c>
      <c r="J3" s="17" t="n">
        <v>3</v>
      </c>
      <c r="K3" s="17" t="n">
        <v>0</v>
      </c>
      <c r="L3" s="17" t="inlineStr">
        <is>
          <t>Sedang</t>
        </is>
      </c>
      <c r="O3" s="19" t="inlineStr">
        <is>
          <t>Sedang</t>
        </is>
      </c>
      <c r="P3" s="19">
        <f>COUNTIF(L2:L164,"Sedang")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INDEX(Data_DBD!$B:$B,$A4)</f>
        <v/>
      </c>
      <c r="C4" s="17">
        <f t="array" ref="C4">INDEX(Data_DBD!$C:$C,$A4)</f>
        <v/>
      </c>
      <c r="D4" s="17">
        <f t="array" ref="D4">INDEX(Data_DBD!$E:$E,$A4)</f>
        <v/>
      </c>
      <c r="E4" s="17">
        <f t="array" ref="E4">INDEX(Data_DBD!$F:$F,$A4)</f>
        <v/>
      </c>
      <c r="H4" s="17" t="n">
        <v>150</v>
      </c>
      <c r="I4" s="17" t="n">
        <v>61</v>
      </c>
      <c r="J4" s="17" t="n">
        <v>5</v>
      </c>
      <c r="K4" s="17" t="n">
        <v>1</v>
      </c>
      <c r="L4" s="17" t="inlineStr">
        <is>
          <t>Tinggi</t>
        </is>
      </c>
      <c r="O4" s="19" t="inlineStr">
        <is>
          <t>Rendah</t>
        </is>
      </c>
      <c r="P4" s="19">
        <f>COUNTIF(L2:L164,"Rendah")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INDEX(Data_DBD!$B:$B,$A5)</f>
        <v/>
      </c>
      <c r="C5" s="17">
        <f t="array" ref="C5">INDEX(Data_DBD!$C:$C,$A5)</f>
        <v/>
      </c>
      <c r="D5" s="17">
        <f t="array" ref="D5">INDEX(Data_DBD!$E:$E,$A5)</f>
        <v/>
      </c>
      <c r="E5" s="17">
        <f t="array" ref="E5">INDEX(Data_DBD!$F:$F,$A5)</f>
        <v/>
      </c>
      <c r="H5" s="17" t="n">
        <v>22</v>
      </c>
      <c r="I5" s="17" t="n">
        <v>6</v>
      </c>
      <c r="J5" s="17" t="n">
        <v>3</v>
      </c>
      <c r="K5" s="17" t="n">
        <v>0</v>
      </c>
      <c r="L5" s="17" t="inlineStr">
        <is>
          <t>Sedang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INDEX(Data_DBD!$B:$B,$A6)</f>
        <v/>
      </c>
      <c r="C6" s="17">
        <f t="array" ref="C6">INDEX(Data_DBD!$C:$C,$A6)</f>
        <v/>
      </c>
      <c r="D6" s="17">
        <f t="array" ref="D6">INDEX(Data_DBD!$E:$E,$A6)</f>
        <v/>
      </c>
      <c r="E6" s="17">
        <f t="array" ref="E6">INDEX(Data_DBD!$F:$F,$A6)</f>
        <v/>
      </c>
      <c r="H6" s="17" t="n">
        <v>27</v>
      </c>
      <c r="I6" s="17" t="n">
        <v>37</v>
      </c>
      <c r="J6" s="17" t="n">
        <v>4</v>
      </c>
      <c r="K6" s="17" t="n">
        <v>1</v>
      </c>
      <c r="L6" s="17" t="inlineStr">
        <is>
          <t>Sedang</t>
        </is>
      </c>
    </row>
    <row r="7" s="1">
      <c r="A7" s="17">
        <f>RANDBETWEEN(2,164)</f>
        <v/>
      </c>
      <c r="B7" s="17">
        <f t="array" ref="B7">INDEX(Data_DBD!$B:$B,$A7)</f>
        <v/>
      </c>
      <c r="C7" s="17">
        <f t="array" ref="C7">INDEX(Data_DBD!$C:$C,$A7)</f>
        <v/>
      </c>
      <c r="D7" s="17">
        <f t="array" ref="D7">INDEX(Data_DBD!$E:$E,$A7)</f>
        <v/>
      </c>
      <c r="E7" s="17">
        <f t="array" ref="E7">INDEX(Data_DBD!$F:$F,$A7)</f>
        <v/>
      </c>
      <c r="H7" s="17" t="n">
        <v>41</v>
      </c>
      <c r="I7" s="17" t="n">
        <v>8</v>
      </c>
      <c r="J7" s="17" t="n">
        <v>4</v>
      </c>
      <c r="K7" s="17" t="n">
        <v>0</v>
      </c>
      <c r="L7" s="17" t="inlineStr">
        <is>
          <t>Sedang</t>
        </is>
      </c>
    </row>
    <row r="8" s="1">
      <c r="A8" s="17">
        <f>RANDBETWEEN(2,164)</f>
        <v/>
      </c>
      <c r="B8" s="17">
        <f t="array" ref="B8">INDEX(Data_DBD!$B:$B,$A8)</f>
        <v/>
      </c>
      <c r="C8" s="17">
        <f t="array" ref="C8">INDEX(Data_DBD!$C:$C,$A8)</f>
        <v/>
      </c>
      <c r="D8" s="17">
        <f t="array" ref="D8">INDEX(Data_DBD!$E:$E,$A8)</f>
        <v/>
      </c>
      <c r="E8" s="17">
        <f t="array" ref="E8">INDEX(Data_DBD!$F:$F,$A8)</f>
        <v/>
      </c>
      <c r="H8" s="17" t="n">
        <v>97</v>
      </c>
      <c r="I8" s="17" t="n">
        <v>16</v>
      </c>
      <c r="J8" s="17" t="n">
        <v>2</v>
      </c>
      <c r="K8" s="17" t="n">
        <v>1</v>
      </c>
      <c r="L8" s="17" t="inlineStr">
        <is>
          <t>Tinggi</t>
        </is>
      </c>
    </row>
    <row r="9" s="1">
      <c r="A9" s="17">
        <f>RANDBETWEEN(2,164)</f>
        <v/>
      </c>
      <c r="B9" s="17">
        <f t="array" ref="B9">INDEX(Data_DBD!$B:$B,$A9)</f>
        <v/>
      </c>
      <c r="C9" s="17">
        <f t="array" ref="C9">INDEX(Data_DBD!$C:$C,$A9)</f>
        <v/>
      </c>
      <c r="D9" s="17">
        <f t="array" ref="D9">INDEX(Data_DBD!$E:$E,$A9)</f>
        <v/>
      </c>
      <c r="E9" s="17">
        <f t="array" ref="E9">INDEX(Data_DBD!$F:$F,$A9)</f>
        <v/>
      </c>
      <c r="H9" s="17" t="n">
        <v>2</v>
      </c>
      <c r="I9" s="17" t="n">
        <v>34</v>
      </c>
      <c r="J9" s="17" t="n">
        <v>3</v>
      </c>
      <c r="K9" s="17" t="n">
        <v>0</v>
      </c>
      <c r="L9" s="17" t="inlineStr">
        <is>
          <t>Sedang</t>
        </is>
      </c>
    </row>
    <row r="10" s="1">
      <c r="A10" s="17">
        <f>RANDBETWEEN(2,164)</f>
        <v/>
      </c>
      <c r="B10" s="17">
        <f t="array" ref="B10">INDEX(Data_DBD!$B:$B,$A10)</f>
        <v/>
      </c>
      <c r="C10" s="17">
        <f t="array" ref="C10">INDEX(Data_DBD!$C:$C,$A10)</f>
        <v/>
      </c>
      <c r="D10" s="17">
        <f t="array" ref="D10">INDEX(Data_DBD!$E:$E,$A10)</f>
        <v/>
      </c>
      <c r="E10" s="17">
        <f t="array" ref="E10">INDEX(Data_DBD!$F:$F,$A10)</f>
        <v/>
      </c>
      <c r="H10" s="17" t="n">
        <v>69</v>
      </c>
      <c r="I10" s="17" t="n">
        <v>24</v>
      </c>
      <c r="J10" s="17" t="n">
        <v>4</v>
      </c>
      <c r="K10" s="17" t="n">
        <v>1</v>
      </c>
      <c r="L10" s="17" t="inlineStr">
        <is>
          <t>Sedang</t>
        </is>
      </c>
    </row>
    <row r="11" s="1">
      <c r="A11" s="17">
        <f>RANDBETWEEN(2,164)</f>
        <v/>
      </c>
      <c r="B11" s="17">
        <f t="array" ref="B11">INDEX(Data_DBD!$B:$B,$A11)</f>
        <v/>
      </c>
      <c r="C11" s="17">
        <f t="array" ref="C11">INDEX(Data_DBD!$C:$C,$A11)</f>
        <v/>
      </c>
      <c r="D11" s="17">
        <f t="array" ref="D11">INDEX(Data_DBD!$E:$E,$A11)</f>
        <v/>
      </c>
      <c r="E11" s="17">
        <f t="array" ref="E11">INDEX(Data_DBD!$F:$F,$A11)</f>
        <v/>
      </c>
      <c r="H11" s="17" t="n">
        <v>111</v>
      </c>
      <c r="I11" s="17" t="n">
        <v>25</v>
      </c>
      <c r="J11" s="17" t="n">
        <v>4</v>
      </c>
      <c r="K11" s="17" t="n">
        <v>0</v>
      </c>
      <c r="L11" s="17" t="inlineStr">
        <is>
          <t>Tinggi</t>
        </is>
      </c>
    </row>
    <row r="12" s="1">
      <c r="A12" s="17">
        <f>RANDBETWEEN(2,164)</f>
        <v/>
      </c>
      <c r="B12" s="17">
        <f t="array" ref="B12">INDEX(Data_DBD!$B:$B,$A12)</f>
        <v/>
      </c>
      <c r="C12" s="17">
        <f t="array" ref="C12">INDEX(Data_DBD!$C:$C,$A12)</f>
        <v/>
      </c>
      <c r="D12" s="17">
        <f t="array" ref="D12">INDEX(Data_DBD!$E:$E,$A12)</f>
        <v/>
      </c>
      <c r="E12" s="17">
        <f t="array" ref="E12">INDEX(Data_DBD!$F:$F,$A12)</f>
        <v/>
      </c>
      <c r="H12" s="17" t="n">
        <v>93</v>
      </c>
      <c r="I12" s="17" t="n">
        <v>65</v>
      </c>
      <c r="J12" s="17" t="n">
        <v>4</v>
      </c>
      <c r="K12" s="17" t="n">
        <v>0</v>
      </c>
      <c r="L12" s="17" t="inlineStr">
        <is>
          <t>Tinggi</t>
        </is>
      </c>
    </row>
    <row r="13" s="1">
      <c r="A13" s="17">
        <f>RANDBETWEEN(2,164)</f>
        <v/>
      </c>
      <c r="B13" s="17">
        <f t="array" ref="B13">INDEX(Data_DBD!$B:$B,$A13)</f>
        <v/>
      </c>
      <c r="C13" s="17">
        <f t="array" ref="C13">INDEX(Data_DBD!$C:$C,$A13)</f>
        <v/>
      </c>
      <c r="D13" s="17">
        <f t="array" ref="D13">INDEX(Data_DBD!$E:$E,$A13)</f>
        <v/>
      </c>
      <c r="E13" s="17">
        <f t="array" ref="E13">INDEX(Data_DBD!$F:$F,$A13)</f>
        <v/>
      </c>
      <c r="H13" s="17" t="n">
        <v>91</v>
      </c>
      <c r="I13" s="17" t="n">
        <v>35</v>
      </c>
      <c r="J13" s="17" t="n">
        <v>1</v>
      </c>
      <c r="K13" s="17" t="n">
        <v>1</v>
      </c>
      <c r="L13" s="17" t="inlineStr">
        <is>
          <t>Tinggi</t>
        </is>
      </c>
    </row>
    <row r="14" s="1">
      <c r="A14" s="17">
        <f>RANDBETWEEN(2,164)</f>
        <v/>
      </c>
      <c r="B14" s="17">
        <f t="array" ref="B14">INDEX(Data_DBD!$B:$B,$A14)</f>
        <v/>
      </c>
      <c r="C14" s="17">
        <f t="array" ref="C14">INDEX(Data_DBD!$C:$C,$A14)</f>
        <v/>
      </c>
      <c r="D14" s="17">
        <f t="array" ref="D14">INDEX(Data_DBD!$E:$E,$A14)</f>
        <v/>
      </c>
      <c r="E14" s="17">
        <f t="array" ref="E14">INDEX(Data_DBD!$F:$F,$A14)</f>
        <v/>
      </c>
      <c r="H14" s="17" t="n">
        <v>118</v>
      </c>
      <c r="I14" s="17" t="n">
        <v>67</v>
      </c>
      <c r="J14" s="17" t="n">
        <v>4</v>
      </c>
      <c r="K14" s="17" t="n">
        <v>1</v>
      </c>
      <c r="L14" s="17" t="inlineStr">
        <is>
          <t>Tinggi</t>
        </is>
      </c>
    </row>
    <row r="15" s="1">
      <c r="A15" s="17">
        <f>RANDBETWEEN(2,164)</f>
        <v/>
      </c>
      <c r="B15" s="17">
        <f t="array" ref="B15">INDEX(Data_DBD!$B:$B,$A15)</f>
        <v/>
      </c>
      <c r="C15" s="17">
        <f t="array" ref="C15">INDEX(Data_DBD!$C:$C,$A15)</f>
        <v/>
      </c>
      <c r="D15" s="17">
        <f t="array" ref="D15">INDEX(Data_DBD!$E:$E,$A15)</f>
        <v/>
      </c>
      <c r="E15" s="17">
        <f t="array" ref="E15">INDEX(Data_DBD!$F:$F,$A15)</f>
        <v/>
      </c>
      <c r="H15" s="17" t="n">
        <v>65</v>
      </c>
      <c r="I15" s="17" t="n">
        <v>49</v>
      </c>
      <c r="J15" s="17" t="n">
        <v>3</v>
      </c>
      <c r="K15" s="17" t="n">
        <v>0</v>
      </c>
      <c r="L15" s="17" t="inlineStr">
        <is>
          <t>Sedang</t>
        </is>
      </c>
    </row>
    <row r="16" s="1">
      <c r="A16" s="17">
        <f>RANDBETWEEN(2,164)</f>
        <v/>
      </c>
      <c r="B16" s="17">
        <f t="array" ref="B16">INDEX(Data_DBD!$B:$B,$A16)</f>
        <v/>
      </c>
      <c r="C16" s="17">
        <f t="array" ref="C16">INDEX(Data_DBD!$C:$C,$A16)</f>
        <v/>
      </c>
      <c r="D16" s="17">
        <f t="array" ref="D16">INDEX(Data_DBD!$E:$E,$A16)</f>
        <v/>
      </c>
      <c r="E16" s="17">
        <f t="array" ref="E16">INDEX(Data_DBD!$F:$F,$A16)</f>
        <v/>
      </c>
      <c r="H16" s="17" t="n">
        <v>93</v>
      </c>
      <c r="I16" s="17" t="n">
        <v>65</v>
      </c>
      <c r="J16" s="17" t="n">
        <v>4</v>
      </c>
      <c r="K16" s="17" t="n">
        <v>0</v>
      </c>
      <c r="L16" s="17" t="inlineStr">
        <is>
          <t>Tinggi</t>
        </is>
      </c>
    </row>
    <row r="17" s="1">
      <c r="A17" s="17">
        <f>RANDBETWEEN(2,164)</f>
        <v/>
      </c>
      <c r="B17" s="17">
        <f t="array" ref="B17">INDEX(Data_DBD!$B:$B,$A17)</f>
        <v/>
      </c>
      <c r="C17" s="17">
        <f t="array" ref="C17">INDEX(Data_DBD!$C:$C,$A17)</f>
        <v/>
      </c>
      <c r="D17" s="17">
        <f t="array" ref="D17">INDEX(Data_DBD!$E:$E,$A17)</f>
        <v/>
      </c>
      <c r="E17" s="17">
        <f t="array" ref="E17">INDEX(Data_DBD!$F:$F,$A17)</f>
        <v/>
      </c>
      <c r="H17" s="17" t="n">
        <v>121</v>
      </c>
      <c r="I17" s="17" t="n">
        <v>82</v>
      </c>
      <c r="J17" s="17" t="n">
        <v>5</v>
      </c>
      <c r="K17" s="17" t="n">
        <v>1</v>
      </c>
      <c r="L17" s="17" t="inlineStr">
        <is>
          <t>Tinggi</t>
        </is>
      </c>
    </row>
    <row r="18" s="1">
      <c r="A18" s="17">
        <f>RANDBETWEEN(2,164)</f>
        <v/>
      </c>
      <c r="B18" s="17">
        <f t="array" ref="B18">INDEX(Data_DBD!$B:$B,$A18)</f>
        <v/>
      </c>
      <c r="C18" s="17">
        <f t="array" ref="C18">INDEX(Data_DBD!$C:$C,$A18)</f>
        <v/>
      </c>
      <c r="D18" s="17">
        <f t="array" ref="D18">INDEX(Data_DBD!$E:$E,$A18)</f>
        <v/>
      </c>
      <c r="E18" s="17">
        <f t="array" ref="E18">INDEX(Data_DBD!$F:$F,$A18)</f>
        <v/>
      </c>
      <c r="H18" s="17" t="n">
        <v>148</v>
      </c>
      <c r="I18" s="17" t="n">
        <v>55</v>
      </c>
      <c r="J18" s="17" t="n">
        <v>3</v>
      </c>
      <c r="K18" s="17" t="n">
        <v>1</v>
      </c>
      <c r="L18" s="17" t="inlineStr">
        <is>
          <t>Tinggi</t>
        </is>
      </c>
    </row>
    <row r="19" s="1">
      <c r="A19" s="17">
        <f>RANDBETWEEN(2,164)</f>
        <v/>
      </c>
      <c r="B19" s="17">
        <f t="array" ref="B19">INDEX(Data_DBD!$B:$B,$A19)</f>
        <v/>
      </c>
      <c r="C19" s="17">
        <f t="array" ref="C19">INDEX(Data_DBD!$C:$C,$A19)</f>
        <v/>
      </c>
      <c r="D19" s="17">
        <f t="array" ref="D19">INDEX(Data_DBD!$E:$E,$A19)</f>
        <v/>
      </c>
      <c r="E19" s="17">
        <f t="array" ref="E19">INDEX(Data_DBD!$F:$F,$A19)</f>
        <v/>
      </c>
      <c r="H19" s="17" t="n">
        <v>67</v>
      </c>
      <c r="I19" s="17" t="n">
        <v>21</v>
      </c>
      <c r="J19" s="17" t="n">
        <v>3</v>
      </c>
      <c r="K19" s="17" t="n">
        <v>1</v>
      </c>
      <c r="L19" s="17" t="inlineStr">
        <is>
          <t>Sedang</t>
        </is>
      </c>
    </row>
    <row r="20" s="1">
      <c r="A20" s="17">
        <f>RANDBETWEEN(2,164)</f>
        <v/>
      </c>
      <c r="B20" s="17">
        <f t="array" ref="B20">INDEX(Data_DBD!$B:$B,$A20)</f>
        <v/>
      </c>
      <c r="C20" s="17">
        <f t="array" ref="C20">INDEX(Data_DBD!$C:$C,$A20)</f>
        <v/>
      </c>
      <c r="D20" s="17">
        <f t="array" ref="D20">INDEX(Data_DBD!$E:$E,$A20)</f>
        <v/>
      </c>
      <c r="E20" s="17">
        <f t="array" ref="E20">INDEX(Data_DBD!$F:$F,$A20)</f>
        <v/>
      </c>
      <c r="H20" s="17" t="n">
        <v>5</v>
      </c>
      <c r="I20" s="17" t="n">
        <v>18</v>
      </c>
      <c r="J20" s="17" t="n">
        <v>2</v>
      </c>
      <c r="K20" s="17" t="n">
        <v>1</v>
      </c>
      <c r="L20" s="17" t="inlineStr">
        <is>
          <t>Sedang</t>
        </is>
      </c>
    </row>
    <row r="21" s="1">
      <c r="A21" s="17">
        <f>RANDBETWEEN(2,164)</f>
        <v/>
      </c>
      <c r="B21" s="17">
        <f t="array" ref="B21">INDEX(Data_DBD!$B:$B,$A21)</f>
        <v/>
      </c>
      <c r="C21" s="17">
        <f t="array" ref="C21">INDEX(Data_DBD!$C:$C,$A21)</f>
        <v/>
      </c>
      <c r="D21" s="17">
        <f t="array" ref="D21">INDEX(Data_DBD!$E:$E,$A21)</f>
        <v/>
      </c>
      <c r="E21" s="17">
        <f t="array" ref="E21">INDEX(Data_DBD!$F:$F,$A21)</f>
        <v/>
      </c>
      <c r="H21" s="17" t="n">
        <v>45</v>
      </c>
      <c r="I21" s="17" t="n">
        <v>75</v>
      </c>
      <c r="J21" s="17" t="n">
        <v>3</v>
      </c>
      <c r="K21" s="17" t="n">
        <v>1</v>
      </c>
      <c r="L21" s="17" t="inlineStr">
        <is>
          <t>Sedang</t>
        </is>
      </c>
    </row>
    <row r="22" s="1">
      <c r="A22" s="17">
        <f>RANDBETWEEN(2,164)</f>
        <v/>
      </c>
      <c r="B22" s="17">
        <f t="array" ref="B22">INDEX(Data_DBD!$B:$B,$A22)</f>
        <v/>
      </c>
      <c r="C22" s="17">
        <f t="array" ref="C22">INDEX(Data_DBD!$C:$C,$A22)</f>
        <v/>
      </c>
      <c r="D22" s="17">
        <f t="array" ref="D22">INDEX(Data_DBD!$E:$E,$A22)</f>
        <v/>
      </c>
      <c r="E22" s="17">
        <f t="array" ref="E22">INDEX(Data_DBD!$F:$F,$A22)</f>
        <v/>
      </c>
      <c r="H22" s="17" t="n">
        <v>159</v>
      </c>
      <c r="I22" s="17" t="n">
        <v>17</v>
      </c>
      <c r="J22" s="17" t="n">
        <v>2</v>
      </c>
      <c r="K22" s="17" t="n">
        <v>0</v>
      </c>
      <c r="L22" s="17" t="inlineStr">
        <is>
          <t>Tinggi</t>
        </is>
      </c>
    </row>
    <row r="23" s="1">
      <c r="A23" s="17">
        <f>RANDBETWEEN(2,164)</f>
        <v/>
      </c>
      <c r="B23" s="17">
        <f t="array" ref="B23">INDEX(Data_DBD!$B:$B,$A23)</f>
        <v/>
      </c>
      <c r="C23" s="17">
        <f t="array" ref="C23">INDEX(Data_DBD!$C:$C,$A23)</f>
        <v/>
      </c>
      <c r="D23" s="17">
        <f t="array" ref="D23">INDEX(Data_DBD!$E:$E,$A23)</f>
        <v/>
      </c>
      <c r="E23" s="17">
        <f t="array" ref="E23">INDEX(Data_DBD!$F:$F,$A23)</f>
        <v/>
      </c>
      <c r="H23" s="17" t="n">
        <v>10</v>
      </c>
      <c r="I23" s="17" t="n">
        <v>18</v>
      </c>
      <c r="J23" s="17" t="n">
        <v>5</v>
      </c>
      <c r="K23" s="17" t="n">
        <v>0</v>
      </c>
      <c r="L23" s="17" t="inlineStr">
        <is>
          <t>Sedang</t>
        </is>
      </c>
    </row>
    <row r="24" s="1">
      <c r="A24" s="17">
        <f>RANDBETWEEN(2,164)</f>
        <v/>
      </c>
      <c r="B24" s="17">
        <f t="array" ref="B24">INDEX(Data_DBD!$B:$B,$A24)</f>
        <v/>
      </c>
      <c r="C24" s="17">
        <f t="array" ref="C24">INDEX(Data_DBD!$C:$C,$A24)</f>
        <v/>
      </c>
      <c r="D24" s="17">
        <f t="array" ref="D24">INDEX(Data_DBD!$E:$E,$A24)</f>
        <v/>
      </c>
      <c r="E24" s="17">
        <f t="array" ref="E24">INDEX(Data_DBD!$F:$F,$A24)</f>
        <v/>
      </c>
      <c r="H24" s="17" t="n">
        <v>145</v>
      </c>
      <c r="I24" s="17" t="n">
        <v>28</v>
      </c>
      <c r="J24" s="17" t="n">
        <v>4</v>
      </c>
      <c r="K24" s="17" t="n">
        <v>1</v>
      </c>
      <c r="L24" s="17" t="inlineStr">
        <is>
          <t>Tinggi</t>
        </is>
      </c>
    </row>
    <row r="25" s="1">
      <c r="A25" s="17">
        <f>RANDBETWEEN(2,164)</f>
        <v/>
      </c>
      <c r="B25" s="17">
        <f t="array" ref="B25">INDEX(Data_DBD!$B:$B,$A25)</f>
        <v/>
      </c>
      <c r="C25" s="17">
        <f t="array" ref="C25">INDEX(Data_DBD!$C:$C,$A25)</f>
        <v/>
      </c>
      <c r="D25" s="17">
        <f t="array" ref="D25">INDEX(Data_DBD!$E:$E,$A25)</f>
        <v/>
      </c>
      <c r="E25" s="17">
        <f t="array" ref="E25">INDEX(Data_DBD!$F:$F,$A25)</f>
        <v/>
      </c>
      <c r="H25" s="17" t="n">
        <v>11</v>
      </c>
      <c r="I25" s="17" t="n">
        <v>24</v>
      </c>
      <c r="J25" s="17" t="n">
        <v>5</v>
      </c>
      <c r="K25" s="17" t="n">
        <v>1</v>
      </c>
      <c r="L25" s="17" t="inlineStr">
        <is>
          <t>Sedang</t>
        </is>
      </c>
    </row>
    <row r="26" s="1">
      <c r="A26" s="17">
        <f>RANDBETWEEN(2,164)</f>
        <v/>
      </c>
      <c r="B26" s="17">
        <f t="array" ref="B26">INDEX(Data_DBD!$B:$B,$A26)</f>
        <v/>
      </c>
      <c r="C26" s="17">
        <f t="array" ref="C26">INDEX(Data_DBD!$C:$C,$A26)</f>
        <v/>
      </c>
      <c r="D26" s="17">
        <f t="array" ref="D26">INDEX(Data_DBD!$E:$E,$A26)</f>
        <v/>
      </c>
      <c r="E26" s="17">
        <f t="array" ref="E26">INDEX(Data_DBD!$F:$F,$A26)</f>
        <v/>
      </c>
      <c r="H26" s="17" t="n">
        <v>126</v>
      </c>
      <c r="I26" s="17" t="n">
        <v>51</v>
      </c>
      <c r="J26" s="17" t="n">
        <v>3</v>
      </c>
      <c r="K26" s="17" t="n">
        <v>1</v>
      </c>
      <c r="L26" s="17" t="inlineStr">
        <is>
          <t>Tinggi</t>
        </is>
      </c>
    </row>
    <row r="27" s="1">
      <c r="A27" s="17">
        <f>RANDBETWEEN(2,164)</f>
        <v/>
      </c>
      <c r="B27" s="17">
        <f t="array" ref="B27">INDEX(Data_DBD!$B:$B,$A27)</f>
        <v/>
      </c>
      <c r="C27" s="17">
        <f t="array" ref="C27">INDEX(Data_DBD!$C:$C,$A27)</f>
        <v/>
      </c>
      <c r="D27" s="17">
        <f t="array" ref="D27">INDEX(Data_DBD!$E:$E,$A27)</f>
        <v/>
      </c>
      <c r="E27" s="17">
        <f t="array" ref="E27">INDEX(Data_DBD!$F:$F,$A27)</f>
        <v/>
      </c>
      <c r="H27" s="17" t="n">
        <v>157</v>
      </c>
      <c r="I27" s="17" t="n">
        <v>15</v>
      </c>
      <c r="J27" s="17" t="n">
        <v>4</v>
      </c>
      <c r="K27" s="17" t="n">
        <v>1</v>
      </c>
      <c r="L27" s="17" t="inlineStr">
        <is>
          <t>Tinggi</t>
        </is>
      </c>
    </row>
    <row r="28" s="1">
      <c r="A28" s="17">
        <f>RANDBETWEEN(2,164)</f>
        <v/>
      </c>
      <c r="B28" s="17">
        <f t="array" ref="B28">INDEX(Data_DBD!$B:$B,$A28)</f>
        <v/>
      </c>
      <c r="C28" s="17">
        <f t="array" ref="C28">INDEX(Data_DBD!$C:$C,$A28)</f>
        <v/>
      </c>
      <c r="D28" s="17">
        <f t="array" ref="D28">INDEX(Data_DBD!$E:$E,$A28)</f>
        <v/>
      </c>
      <c r="E28" s="17">
        <f t="array" ref="E28">INDEX(Data_DBD!$F:$F,$A28)</f>
        <v/>
      </c>
      <c r="H28" s="17" t="n">
        <v>158</v>
      </c>
      <c r="I28" s="17" t="n">
        <v>5</v>
      </c>
      <c r="J28" s="17" t="n">
        <v>2</v>
      </c>
      <c r="K28" s="17" t="n">
        <v>0</v>
      </c>
      <c r="L28" s="17" t="inlineStr">
        <is>
          <t>Tinggi</t>
        </is>
      </c>
    </row>
    <row r="29" s="1">
      <c r="A29" s="17">
        <f>RANDBETWEEN(2,164)</f>
        <v/>
      </c>
      <c r="B29" s="17">
        <f t="array" ref="B29">INDEX(Data_DBD!$B:$B,$A29)</f>
        <v/>
      </c>
      <c r="C29" s="17">
        <f t="array" ref="C29">INDEX(Data_DBD!$C:$C,$A29)</f>
        <v/>
      </c>
      <c r="D29" s="17">
        <f t="array" ref="D29">INDEX(Data_DBD!$E:$E,$A29)</f>
        <v/>
      </c>
      <c r="E29" s="17">
        <f t="array" ref="E29">INDEX(Data_DBD!$F:$F,$A29)</f>
        <v/>
      </c>
      <c r="H29" s="17" t="n">
        <v>150</v>
      </c>
      <c r="I29" s="17" t="n">
        <v>61</v>
      </c>
      <c r="J29" s="17" t="n">
        <v>5</v>
      </c>
      <c r="K29" s="17" t="n">
        <v>1</v>
      </c>
      <c r="L29" s="17" t="inlineStr">
        <is>
          <t>Tinggi</t>
        </is>
      </c>
    </row>
    <row r="30" s="1">
      <c r="A30" s="17">
        <f>RANDBETWEEN(2,164)</f>
        <v/>
      </c>
      <c r="B30" s="17">
        <f t="array" ref="B30">INDEX(Data_DBD!$B:$B,$A30)</f>
        <v/>
      </c>
      <c r="C30" s="17">
        <f t="array" ref="C30">INDEX(Data_DBD!$C:$C,$A30)</f>
        <v/>
      </c>
      <c r="D30" s="17">
        <f t="array" ref="D30">INDEX(Data_DBD!$E:$E,$A30)</f>
        <v/>
      </c>
      <c r="E30" s="17">
        <f t="array" ref="E30">INDEX(Data_DBD!$F:$F,$A30)</f>
        <v/>
      </c>
      <c r="H30" s="17" t="n">
        <v>27</v>
      </c>
      <c r="I30" s="17" t="n">
        <v>37</v>
      </c>
      <c r="J30" s="17" t="n">
        <v>4</v>
      </c>
      <c r="K30" s="17" t="n">
        <v>1</v>
      </c>
      <c r="L30" s="17" t="inlineStr">
        <is>
          <t>Sedang</t>
        </is>
      </c>
    </row>
    <row r="31" s="1">
      <c r="A31" s="17">
        <f>RANDBETWEEN(2,164)</f>
        <v/>
      </c>
      <c r="B31" s="17">
        <f t="array" ref="B31">INDEX(Data_DBD!$B:$B,$A31)</f>
        <v/>
      </c>
      <c r="C31" s="17">
        <f t="array" ref="C31">INDEX(Data_DBD!$C:$C,$A31)</f>
        <v/>
      </c>
      <c r="D31" s="17">
        <f t="array" ref="D31">INDEX(Data_DBD!$E:$E,$A31)</f>
        <v/>
      </c>
      <c r="E31" s="17">
        <f t="array" ref="E31">INDEX(Data_DBD!$F:$F,$A31)</f>
        <v/>
      </c>
      <c r="H31" s="17" t="n">
        <v>145</v>
      </c>
      <c r="I31" s="17" t="n">
        <v>28</v>
      </c>
      <c r="J31" s="17" t="n">
        <v>4</v>
      </c>
      <c r="K31" s="17" t="n">
        <v>1</v>
      </c>
      <c r="L31" s="17" t="inlineStr">
        <is>
          <t>Tinggi</t>
        </is>
      </c>
    </row>
    <row r="32" s="1">
      <c r="A32" s="17">
        <f>RANDBETWEEN(2,164)</f>
        <v/>
      </c>
      <c r="B32" s="17">
        <f t="array" ref="B32">INDEX(Data_DBD!$B:$B,$A32)</f>
        <v/>
      </c>
      <c r="C32" s="17">
        <f t="array" ref="C32">INDEX(Data_DBD!$C:$C,$A32)</f>
        <v/>
      </c>
      <c r="D32" s="17">
        <f t="array" ref="D32">INDEX(Data_DBD!$E:$E,$A32)</f>
        <v/>
      </c>
      <c r="E32" s="17">
        <f t="array" ref="E32">INDEX(Data_DBD!$F:$F,$A32)</f>
        <v/>
      </c>
      <c r="H32" s="17" t="n">
        <v>104</v>
      </c>
      <c r="I32" s="17" t="n">
        <v>37</v>
      </c>
      <c r="J32" s="17" t="n">
        <v>4</v>
      </c>
      <c r="K32" s="17" t="n">
        <v>1</v>
      </c>
      <c r="L32" s="17" t="inlineStr">
        <is>
          <t>Tinggi</t>
        </is>
      </c>
    </row>
    <row r="33" s="1">
      <c r="A33" s="17">
        <f>RANDBETWEEN(2,164)</f>
        <v/>
      </c>
      <c r="B33" s="17">
        <f t="array" ref="B33">INDEX(Data_DBD!$B:$B,$A33)</f>
        <v/>
      </c>
      <c r="C33" s="17">
        <f t="array" ref="C33">INDEX(Data_DBD!$C:$C,$A33)</f>
        <v/>
      </c>
      <c r="D33" s="17">
        <f t="array" ref="D33">INDEX(Data_DBD!$E:$E,$A33)</f>
        <v/>
      </c>
      <c r="E33" s="17">
        <f t="array" ref="E33">INDEX(Data_DBD!$F:$F,$A33)</f>
        <v/>
      </c>
      <c r="H33" s="17" t="n">
        <v>53</v>
      </c>
      <c r="I33" s="17" t="n">
        <v>35</v>
      </c>
      <c r="J33" s="17" t="n">
        <v>4</v>
      </c>
      <c r="K33" s="17" t="n">
        <v>1</v>
      </c>
      <c r="L33" s="17" t="inlineStr">
        <is>
          <t>Sedang</t>
        </is>
      </c>
    </row>
    <row r="34" s="1">
      <c r="A34" s="17">
        <f>RANDBETWEEN(2,164)</f>
        <v/>
      </c>
      <c r="B34" s="17">
        <f t="array" ref="B34">INDEX(Data_DBD!$B:$B,$A34)</f>
        <v/>
      </c>
      <c r="C34" s="17">
        <f t="array" ref="C34">INDEX(Data_DBD!$C:$C,$A34)</f>
        <v/>
      </c>
      <c r="D34" s="17">
        <f t="array" ref="D34">INDEX(Data_DBD!$E:$E,$A34)</f>
        <v/>
      </c>
      <c r="E34" s="17">
        <f t="array" ref="E34">INDEX(Data_DBD!$F:$F,$A34)</f>
        <v/>
      </c>
      <c r="H34" s="17" t="n">
        <v>44</v>
      </c>
      <c r="I34" s="17" t="n">
        <v>28</v>
      </c>
      <c r="J34" s="17" t="n">
        <v>5</v>
      </c>
      <c r="K34" s="17" t="n">
        <v>1</v>
      </c>
      <c r="L34" s="17" t="inlineStr">
        <is>
          <t>Sedang</t>
        </is>
      </c>
    </row>
    <row r="35" s="1">
      <c r="A35" s="17">
        <f>RANDBETWEEN(2,164)</f>
        <v/>
      </c>
      <c r="B35" s="17">
        <f t="array" ref="B35">INDEX(Data_DBD!$B:$B,$A35)</f>
        <v/>
      </c>
      <c r="C35" s="17">
        <f t="array" ref="C35">INDEX(Data_DBD!$C:$C,$A35)</f>
        <v/>
      </c>
      <c r="D35" s="17">
        <f t="array" ref="D35">INDEX(Data_DBD!$E:$E,$A35)</f>
        <v/>
      </c>
      <c r="E35" s="17">
        <f t="array" ref="E35">INDEX(Data_DBD!$F:$F,$A35)</f>
        <v/>
      </c>
      <c r="H35" s="17" t="n">
        <v>115</v>
      </c>
      <c r="I35" s="17" t="n">
        <v>52</v>
      </c>
      <c r="J35" s="17" t="n">
        <v>3</v>
      </c>
      <c r="K35" s="17" t="n">
        <v>1</v>
      </c>
      <c r="L35" s="17" t="inlineStr">
        <is>
          <t>Tinggi</t>
        </is>
      </c>
    </row>
    <row r="36" s="1">
      <c r="A36" s="17">
        <f>RANDBETWEEN(2,164)</f>
        <v/>
      </c>
      <c r="B36" s="17">
        <f t="array" ref="B36">INDEX(Data_DBD!$B:$B,$A36)</f>
        <v/>
      </c>
      <c r="C36" s="17">
        <f t="array" ref="C36">INDEX(Data_DBD!$C:$C,$A36)</f>
        <v/>
      </c>
      <c r="D36" s="17">
        <f t="array" ref="D36">INDEX(Data_DBD!$E:$E,$A36)</f>
        <v/>
      </c>
      <c r="E36" s="17">
        <f t="array" ref="E36">INDEX(Data_DBD!$F:$F,$A36)</f>
        <v/>
      </c>
      <c r="H36" s="17" t="n">
        <v>127</v>
      </c>
      <c r="I36" s="17" t="n">
        <v>21</v>
      </c>
      <c r="J36" s="17" t="n">
        <v>2</v>
      </c>
      <c r="K36" s="17" t="n">
        <v>0</v>
      </c>
      <c r="L36" s="17" t="inlineStr">
        <is>
          <t>Tinggi</t>
        </is>
      </c>
    </row>
    <row r="37" s="1">
      <c r="A37" s="17">
        <f>RANDBETWEEN(2,164)</f>
        <v/>
      </c>
      <c r="B37" s="17">
        <f t="array" ref="B37">INDEX(Data_DBD!$B:$B,$A37)</f>
        <v/>
      </c>
      <c r="C37" s="17">
        <f t="array" ref="C37">INDEX(Data_DBD!$C:$C,$A37)</f>
        <v/>
      </c>
      <c r="D37" s="17">
        <f t="array" ref="D37">INDEX(Data_DBD!$E:$E,$A37)</f>
        <v/>
      </c>
      <c r="E37" s="17">
        <f t="array" ref="E37">INDEX(Data_DBD!$F:$F,$A37)</f>
        <v/>
      </c>
      <c r="H37" s="17" t="n">
        <v>68</v>
      </c>
      <c r="I37" s="17" t="n">
        <v>44</v>
      </c>
      <c r="J37" s="17" t="n">
        <v>5</v>
      </c>
      <c r="K37" s="17" t="n">
        <v>0</v>
      </c>
      <c r="L37" s="17" t="inlineStr">
        <is>
          <t>Sedang</t>
        </is>
      </c>
    </row>
    <row r="38" s="1">
      <c r="A38" s="17">
        <f>RANDBETWEEN(2,164)</f>
        <v/>
      </c>
      <c r="B38" s="17">
        <f t="array" ref="B38">INDEX(Data_DBD!$B:$B,$A38)</f>
        <v/>
      </c>
      <c r="C38" s="17">
        <f t="array" ref="C38">INDEX(Data_DBD!$C:$C,$A38)</f>
        <v/>
      </c>
      <c r="D38" s="17">
        <f t="array" ref="D38">INDEX(Data_DBD!$E:$E,$A38)</f>
        <v/>
      </c>
      <c r="E38" s="17">
        <f t="array" ref="E38">INDEX(Data_DBD!$F:$F,$A38)</f>
        <v/>
      </c>
      <c r="H38" s="17" t="n">
        <v>26</v>
      </c>
      <c r="I38" s="17" t="n">
        <v>75</v>
      </c>
      <c r="J38" s="17" t="n">
        <v>4</v>
      </c>
      <c r="K38" s="17" t="n">
        <v>1</v>
      </c>
      <c r="L38" s="17" t="inlineStr">
        <is>
          <t>Sedang</t>
        </is>
      </c>
    </row>
    <row r="39" s="1">
      <c r="A39" s="17">
        <f>RANDBETWEEN(2,164)</f>
        <v/>
      </c>
      <c r="B39" s="17">
        <f t="array" ref="B39">INDEX(Data_DBD!$B:$B,$A39)</f>
        <v/>
      </c>
      <c r="C39" s="17">
        <f t="array" ref="C39">INDEX(Data_DBD!$C:$C,$A39)</f>
        <v/>
      </c>
      <c r="D39" s="17">
        <f t="array" ref="D39">INDEX(Data_DBD!$E:$E,$A39)</f>
        <v/>
      </c>
      <c r="E39" s="17">
        <f t="array" ref="E39">INDEX(Data_DBD!$F:$F,$A39)</f>
        <v/>
      </c>
      <c r="H39" s="17" t="n">
        <v>157</v>
      </c>
      <c r="I39" s="17" t="n">
        <v>15</v>
      </c>
      <c r="J39" s="17" t="n">
        <v>4</v>
      </c>
      <c r="K39" s="17" t="n">
        <v>1</v>
      </c>
      <c r="L39" s="17" t="inlineStr">
        <is>
          <t>Tinggi</t>
        </is>
      </c>
    </row>
    <row r="40" s="1">
      <c r="A40" s="17">
        <f>RANDBETWEEN(2,164)</f>
        <v/>
      </c>
      <c r="B40" s="17">
        <f t="array" ref="B40">INDEX(Data_DBD!$B:$B,$A40)</f>
        <v/>
      </c>
      <c r="C40" s="17">
        <f t="array" ref="C40">INDEX(Data_DBD!$C:$C,$A40)</f>
        <v/>
      </c>
      <c r="D40" s="17">
        <f t="array" ref="D40">INDEX(Data_DBD!$E:$E,$A40)</f>
        <v/>
      </c>
      <c r="E40" s="17">
        <f t="array" ref="E40">INDEX(Data_DBD!$F:$F,$A40)</f>
        <v/>
      </c>
      <c r="H40" s="17" t="n">
        <v>10</v>
      </c>
      <c r="I40" s="17" t="n">
        <v>18</v>
      </c>
      <c r="J40" s="17" t="n">
        <v>5</v>
      </c>
      <c r="K40" s="17" t="n">
        <v>0</v>
      </c>
      <c r="L40" s="17" t="inlineStr">
        <is>
          <t>Sedang</t>
        </is>
      </c>
    </row>
    <row r="41" s="1">
      <c r="A41" s="17">
        <f>RANDBETWEEN(2,164)</f>
        <v/>
      </c>
      <c r="B41" s="17">
        <f t="array" ref="B41">INDEX(Data_DBD!$B:$B,$A41)</f>
        <v/>
      </c>
      <c r="C41" s="17">
        <f t="array" ref="C41">INDEX(Data_DBD!$C:$C,$A41)</f>
        <v/>
      </c>
      <c r="D41" s="17">
        <f t="array" ref="D41">INDEX(Data_DBD!$E:$E,$A41)</f>
        <v/>
      </c>
      <c r="E41" s="17">
        <f t="array" ref="E41">INDEX(Data_DBD!$F:$F,$A41)</f>
        <v/>
      </c>
      <c r="H41" s="17" t="n">
        <v>73</v>
      </c>
      <c r="I41" s="17" t="n">
        <v>15</v>
      </c>
      <c r="J41" s="17" t="n">
        <v>3</v>
      </c>
      <c r="K41" s="17" t="n">
        <v>1</v>
      </c>
      <c r="L41" s="17" t="inlineStr">
        <is>
          <t>Sedang</t>
        </is>
      </c>
    </row>
    <row r="42" s="1">
      <c r="A42" s="17">
        <f>RANDBETWEEN(2,164)</f>
        <v/>
      </c>
      <c r="B42" s="17">
        <f t="array" ref="B42">INDEX(Data_DBD!$B:$B,$A42)</f>
        <v/>
      </c>
      <c r="C42" s="17">
        <f t="array" ref="C42">INDEX(Data_DBD!$C:$C,$A42)</f>
        <v/>
      </c>
      <c r="D42" s="17">
        <f t="array" ref="D42">INDEX(Data_DBD!$E:$E,$A42)</f>
        <v/>
      </c>
      <c r="E42" s="17">
        <f t="array" ref="E42">INDEX(Data_DBD!$F:$F,$A42)</f>
        <v/>
      </c>
      <c r="H42" s="17" t="n">
        <v>133</v>
      </c>
      <c r="I42" s="17" t="n">
        <v>6</v>
      </c>
      <c r="J42" s="17" t="n">
        <v>4</v>
      </c>
      <c r="K42" s="17" t="n">
        <v>0</v>
      </c>
      <c r="L42" s="17" t="inlineStr">
        <is>
          <t>Tinggi</t>
        </is>
      </c>
    </row>
    <row r="43" s="1">
      <c r="A43" s="17">
        <f>RANDBETWEEN(2,164)</f>
        <v/>
      </c>
      <c r="B43" s="17">
        <f t="array" ref="B43">INDEX(Data_DBD!$B:$B,$A43)</f>
        <v/>
      </c>
      <c r="C43" s="17">
        <f t="array" ref="C43">INDEX(Data_DBD!$C:$C,$A43)</f>
        <v/>
      </c>
      <c r="D43" s="17">
        <f t="array" ref="D43">INDEX(Data_DBD!$E:$E,$A43)</f>
        <v/>
      </c>
      <c r="E43" s="17">
        <f t="array" ref="E43">INDEX(Data_DBD!$F:$F,$A43)</f>
        <v/>
      </c>
      <c r="H43" s="17" t="n">
        <v>79</v>
      </c>
      <c r="I43" s="17" t="n">
        <v>29</v>
      </c>
      <c r="J43" s="17" t="n">
        <v>3</v>
      </c>
      <c r="K43" s="17" t="n">
        <v>0</v>
      </c>
      <c r="L43" s="17" t="inlineStr">
        <is>
          <t>Sedang</t>
        </is>
      </c>
    </row>
    <row r="44" s="1">
      <c r="A44" s="17">
        <f>RANDBETWEEN(2,164)</f>
        <v/>
      </c>
      <c r="B44" s="17">
        <f t="array" ref="B44">INDEX(Data_DBD!$B:$B,$A44)</f>
        <v/>
      </c>
      <c r="C44" s="17">
        <f t="array" ref="C44">INDEX(Data_DBD!$C:$C,$A44)</f>
        <v/>
      </c>
      <c r="D44" s="17">
        <f t="array" ref="D44">INDEX(Data_DBD!$E:$E,$A44)</f>
        <v/>
      </c>
      <c r="E44" s="17">
        <f t="array" ref="E44">INDEX(Data_DBD!$F:$F,$A44)</f>
        <v/>
      </c>
      <c r="H44" s="17" t="n">
        <v>61</v>
      </c>
      <c r="I44" s="17" t="n">
        <v>29</v>
      </c>
      <c r="J44" s="17" t="n">
        <v>3</v>
      </c>
      <c r="K44" s="17" t="n">
        <v>1</v>
      </c>
      <c r="L44" s="17" t="inlineStr">
        <is>
          <t>Sedang</t>
        </is>
      </c>
    </row>
    <row r="45" s="1">
      <c r="A45" s="17">
        <f>RANDBETWEEN(2,164)</f>
        <v/>
      </c>
      <c r="B45" s="17">
        <f t="array" ref="B45">INDEX(Data_DBD!$B:$B,$A45)</f>
        <v/>
      </c>
      <c r="C45" s="17">
        <f t="array" ref="C45">INDEX(Data_DBD!$C:$C,$A45)</f>
        <v/>
      </c>
      <c r="D45" s="17">
        <f t="array" ref="D45">INDEX(Data_DBD!$E:$E,$A45)</f>
        <v/>
      </c>
      <c r="E45" s="17">
        <f t="array" ref="E45">INDEX(Data_DBD!$F:$F,$A45)</f>
        <v/>
      </c>
      <c r="H45" s="17" t="n">
        <v>102</v>
      </c>
      <c r="I45" s="17" t="n">
        <v>41</v>
      </c>
      <c r="J45" s="17" t="n">
        <v>4</v>
      </c>
      <c r="K45" s="17" t="n">
        <v>0</v>
      </c>
      <c r="L45" s="17" t="inlineStr">
        <is>
          <t>Tinggi</t>
        </is>
      </c>
    </row>
    <row r="46" s="1">
      <c r="A46" s="17">
        <f>RANDBETWEEN(2,164)</f>
        <v/>
      </c>
      <c r="B46" s="17">
        <f t="array" ref="B46">INDEX(Data_DBD!$B:$B,$A46)</f>
        <v/>
      </c>
      <c r="C46" s="17">
        <f t="array" ref="C46">INDEX(Data_DBD!$C:$C,$A46)</f>
        <v/>
      </c>
      <c r="D46" s="17">
        <f t="array" ref="D46">INDEX(Data_DBD!$E:$E,$A46)</f>
        <v/>
      </c>
      <c r="E46" s="17">
        <f t="array" ref="E46">INDEX(Data_DBD!$F:$F,$A46)</f>
        <v/>
      </c>
      <c r="H46" s="17" t="n">
        <v>129</v>
      </c>
      <c r="I46" s="17" t="n">
        <v>4</v>
      </c>
      <c r="J46" s="17" t="n">
        <v>3</v>
      </c>
      <c r="K46" s="17" t="n">
        <v>0</v>
      </c>
      <c r="L46" s="17" t="inlineStr">
        <is>
          <t>Tinggi</t>
        </is>
      </c>
    </row>
    <row r="47" s="1">
      <c r="A47" s="17">
        <f>RANDBETWEEN(2,164)</f>
        <v/>
      </c>
      <c r="B47" s="17">
        <f t="array" ref="B47">INDEX(Data_DBD!$B:$B,$A47)</f>
        <v/>
      </c>
      <c r="C47" s="17">
        <f t="array" ref="C47">INDEX(Data_DBD!$C:$C,$A47)</f>
        <v/>
      </c>
      <c r="D47" s="17">
        <f t="array" ref="D47">INDEX(Data_DBD!$E:$E,$A47)</f>
        <v/>
      </c>
      <c r="E47" s="17">
        <f t="array" ref="E47">INDEX(Data_DBD!$F:$F,$A47)</f>
        <v/>
      </c>
      <c r="H47" s="17" t="n">
        <v>120</v>
      </c>
      <c r="I47" s="17" t="n">
        <v>26</v>
      </c>
      <c r="J47" s="17" t="n">
        <v>4</v>
      </c>
      <c r="K47" s="17" t="n">
        <v>1</v>
      </c>
      <c r="L47" s="17" t="inlineStr">
        <is>
          <t>Tinggi</t>
        </is>
      </c>
    </row>
    <row r="48" s="1">
      <c r="A48" s="17">
        <f>RANDBETWEEN(2,164)</f>
        <v/>
      </c>
      <c r="B48" s="17">
        <f t="array" ref="B48">INDEX(Data_DBD!$B:$B,$A48)</f>
        <v/>
      </c>
      <c r="C48" s="17">
        <f t="array" ref="C48">INDEX(Data_DBD!$C:$C,$A48)</f>
        <v/>
      </c>
      <c r="D48" s="17">
        <f t="array" ref="D48">INDEX(Data_DBD!$E:$E,$A48)</f>
        <v/>
      </c>
      <c r="E48" s="17">
        <f t="array" ref="E48">INDEX(Data_DBD!$F:$F,$A48)</f>
        <v/>
      </c>
      <c r="H48" s="17" t="n">
        <v>102</v>
      </c>
      <c r="I48" s="17" t="n">
        <v>41</v>
      </c>
      <c r="J48" s="17" t="n">
        <v>4</v>
      </c>
      <c r="K48" s="17" t="n">
        <v>0</v>
      </c>
      <c r="L48" s="17" t="inlineStr">
        <is>
          <t>Tinggi</t>
        </is>
      </c>
    </row>
    <row r="49" s="1">
      <c r="A49" s="17">
        <f>RANDBETWEEN(2,164)</f>
        <v/>
      </c>
      <c r="B49" s="17">
        <f t="array" ref="B49">INDEX(Data_DBD!$B:$B,$A49)</f>
        <v/>
      </c>
      <c r="C49" s="17">
        <f t="array" ref="C49">INDEX(Data_DBD!$C:$C,$A49)</f>
        <v/>
      </c>
      <c r="D49" s="17">
        <f t="array" ref="D49">INDEX(Data_DBD!$E:$E,$A49)</f>
        <v/>
      </c>
      <c r="E49" s="17">
        <f t="array" ref="E49">INDEX(Data_DBD!$F:$F,$A49)</f>
        <v/>
      </c>
      <c r="H49" s="17" t="n">
        <v>30</v>
      </c>
      <c r="I49" s="17" t="n">
        <v>3</v>
      </c>
      <c r="J49" s="17" t="n">
        <v>2</v>
      </c>
      <c r="K49" s="17" t="n">
        <v>1</v>
      </c>
      <c r="L49" s="17" t="inlineStr">
        <is>
          <t>Sedang</t>
        </is>
      </c>
    </row>
    <row r="50" s="1">
      <c r="A50" s="17">
        <f>RANDBETWEEN(2,164)</f>
        <v/>
      </c>
      <c r="B50" s="17">
        <f t="array" ref="B50">INDEX(Data_DBD!$B:$B,$A50)</f>
        <v/>
      </c>
      <c r="C50" s="17">
        <f t="array" ref="C50">INDEX(Data_DBD!$C:$C,$A50)</f>
        <v/>
      </c>
      <c r="D50" s="17">
        <f t="array" ref="D50">INDEX(Data_DBD!$E:$E,$A50)</f>
        <v/>
      </c>
      <c r="E50" s="17">
        <f t="array" ref="E50">INDEX(Data_DBD!$F:$F,$A50)</f>
        <v/>
      </c>
      <c r="H50" s="17" t="n">
        <v>152</v>
      </c>
      <c r="I50" s="17" t="n">
        <v>47</v>
      </c>
      <c r="J50" s="17" t="n">
        <v>3</v>
      </c>
      <c r="K50" s="17" t="n">
        <v>1</v>
      </c>
      <c r="L50" s="17" t="inlineStr">
        <is>
          <t>Tinggi</t>
        </is>
      </c>
    </row>
    <row r="51" s="1">
      <c r="A51" s="17">
        <f>RANDBETWEEN(2,164)</f>
        <v/>
      </c>
      <c r="B51" s="17">
        <f t="array" ref="B51">INDEX(Data_DBD!$B:$B,$A51)</f>
        <v/>
      </c>
      <c r="C51" s="17">
        <f t="array" ref="C51">INDEX(Data_DBD!$C:$C,$A51)</f>
        <v/>
      </c>
      <c r="D51" s="17">
        <f t="array" ref="D51">INDEX(Data_DBD!$E:$E,$A51)</f>
        <v/>
      </c>
      <c r="E51" s="17">
        <f t="array" ref="E51">INDEX(Data_DBD!$F:$F,$A51)</f>
        <v/>
      </c>
      <c r="H51" s="17" t="n">
        <v>99</v>
      </c>
      <c r="I51" s="17" t="n">
        <v>4</v>
      </c>
      <c r="J51" s="17" t="n">
        <v>2</v>
      </c>
      <c r="K51" s="17" t="n">
        <v>1</v>
      </c>
      <c r="L51" s="17" t="inlineStr">
        <is>
          <t>Tinggi</t>
        </is>
      </c>
    </row>
    <row r="52" s="1">
      <c r="A52" s="17">
        <f>RANDBETWEEN(2,164)</f>
        <v/>
      </c>
      <c r="B52" s="17">
        <f t="array" ref="B52">INDEX(Data_DBD!$B:$B,$A52)</f>
        <v/>
      </c>
      <c r="C52" s="17">
        <f t="array" ref="C52">INDEX(Data_DBD!$C:$C,$A52)</f>
        <v/>
      </c>
      <c r="D52" s="17">
        <f t="array" ref="D52">INDEX(Data_DBD!$E:$E,$A52)</f>
        <v/>
      </c>
      <c r="E52" s="17">
        <f t="array" ref="E52">INDEX(Data_DBD!$F:$F,$A52)</f>
        <v/>
      </c>
      <c r="H52" s="17" t="n">
        <v>136</v>
      </c>
      <c r="I52" s="17" t="n">
        <v>6</v>
      </c>
      <c r="J52" s="17" t="n">
        <v>2</v>
      </c>
      <c r="K52" s="17" t="n">
        <v>0</v>
      </c>
      <c r="L52" s="17" t="inlineStr">
        <is>
          <t>Tinggi</t>
        </is>
      </c>
    </row>
    <row r="53" s="1">
      <c r="A53" s="17">
        <f>RANDBETWEEN(2,164)</f>
        <v/>
      </c>
      <c r="B53" s="17">
        <f t="array" ref="B53">INDEX(Data_DBD!$B:$B,$A53)</f>
        <v/>
      </c>
      <c r="C53" s="17">
        <f t="array" ref="C53">INDEX(Data_DBD!$C:$C,$A53)</f>
        <v/>
      </c>
      <c r="D53" s="17">
        <f t="array" ref="D53">INDEX(Data_DBD!$E:$E,$A53)</f>
        <v/>
      </c>
      <c r="E53" s="17">
        <f t="array" ref="E53">INDEX(Data_DBD!$F:$F,$A53)</f>
        <v/>
      </c>
      <c r="H53" s="17" t="n">
        <v>122</v>
      </c>
      <c r="I53" s="17" t="n">
        <v>28</v>
      </c>
      <c r="J53" s="17" t="n">
        <v>3</v>
      </c>
      <c r="K53" s="17" t="n">
        <v>1</v>
      </c>
      <c r="L53" s="17" t="inlineStr">
        <is>
          <t>Tinggi</t>
        </is>
      </c>
    </row>
    <row r="54" s="1">
      <c r="A54" s="17">
        <f>RANDBETWEEN(2,164)</f>
        <v/>
      </c>
      <c r="B54" s="17">
        <f t="array" ref="B54">INDEX(Data_DBD!$B:$B,$A54)</f>
        <v/>
      </c>
      <c r="C54" s="17">
        <f t="array" ref="C54">INDEX(Data_DBD!$C:$C,$A54)</f>
        <v/>
      </c>
      <c r="D54" s="17">
        <f t="array" ref="D54">INDEX(Data_DBD!$E:$E,$A54)</f>
        <v/>
      </c>
      <c r="E54" s="17">
        <f t="array" ref="E54">INDEX(Data_DBD!$F:$F,$A54)</f>
        <v/>
      </c>
      <c r="H54" s="17" t="n">
        <v>111</v>
      </c>
      <c r="I54" s="17" t="n">
        <v>25</v>
      </c>
      <c r="J54" s="17" t="n">
        <v>4</v>
      </c>
      <c r="K54" s="17" t="n">
        <v>0</v>
      </c>
      <c r="L54" s="17" t="inlineStr">
        <is>
          <t>Tinggi</t>
        </is>
      </c>
    </row>
    <row r="55" s="1">
      <c r="A55" s="17">
        <f>RANDBETWEEN(2,164)</f>
        <v/>
      </c>
      <c r="B55" s="17">
        <f t="array" ref="B55">INDEX(Data_DBD!$B:$B,$A55)</f>
        <v/>
      </c>
      <c r="C55" s="17">
        <f t="array" ref="C55">INDEX(Data_DBD!$C:$C,$A55)</f>
        <v/>
      </c>
      <c r="D55" s="17">
        <f t="array" ref="D55">INDEX(Data_DBD!$E:$E,$A55)</f>
        <v/>
      </c>
      <c r="E55" s="17">
        <f t="array" ref="E55">INDEX(Data_DBD!$F:$F,$A55)</f>
        <v/>
      </c>
      <c r="H55" s="17" t="n">
        <v>45</v>
      </c>
      <c r="I55" s="17" t="n">
        <v>75</v>
      </c>
      <c r="J55" s="17" t="n">
        <v>3</v>
      </c>
      <c r="K55" s="17" t="n">
        <v>1</v>
      </c>
      <c r="L55" s="17" t="inlineStr">
        <is>
          <t>Sedang</t>
        </is>
      </c>
    </row>
    <row r="56" s="1">
      <c r="A56" s="17">
        <f>RANDBETWEEN(2,164)</f>
        <v/>
      </c>
      <c r="B56" s="17">
        <f t="array" ref="B56">INDEX(Data_DBD!$B:$B,$A56)</f>
        <v/>
      </c>
      <c r="C56" s="17">
        <f t="array" ref="C56">INDEX(Data_DBD!$C:$C,$A56)</f>
        <v/>
      </c>
      <c r="D56" s="17">
        <f t="array" ref="D56">INDEX(Data_DBD!$E:$E,$A56)</f>
        <v/>
      </c>
      <c r="E56" s="17">
        <f t="array" ref="E56">INDEX(Data_DBD!$F:$F,$A56)</f>
        <v/>
      </c>
      <c r="H56" s="17" t="n">
        <v>87</v>
      </c>
      <c r="I56" s="17" t="n">
        <v>21</v>
      </c>
      <c r="J56" s="17" t="n">
        <v>3</v>
      </c>
      <c r="K56" s="17" t="n">
        <v>0</v>
      </c>
      <c r="L56" s="17" t="inlineStr">
        <is>
          <t>Sedang</t>
        </is>
      </c>
    </row>
    <row r="57" s="1">
      <c r="A57" s="17">
        <f>RANDBETWEEN(2,164)</f>
        <v/>
      </c>
      <c r="B57" s="17">
        <f t="array" ref="B57">INDEX(Data_DBD!$B:$B,$A57)</f>
        <v/>
      </c>
      <c r="C57" s="17">
        <f t="array" ref="C57">INDEX(Data_DBD!$C:$C,$A57)</f>
        <v/>
      </c>
      <c r="D57" s="17">
        <f t="array" ref="D57">INDEX(Data_DBD!$E:$E,$A57)</f>
        <v/>
      </c>
      <c r="E57" s="17">
        <f t="array" ref="E57">INDEX(Data_DBD!$F:$F,$A57)</f>
        <v/>
      </c>
      <c r="H57" s="17" t="n">
        <v>63</v>
      </c>
      <c r="I57" s="17" t="n">
        <v>25</v>
      </c>
      <c r="J57" s="17" t="n">
        <v>3</v>
      </c>
      <c r="K57" s="17" t="n">
        <v>0</v>
      </c>
      <c r="L57" s="17" t="inlineStr">
        <is>
          <t>Sedang</t>
        </is>
      </c>
    </row>
    <row r="58" s="1">
      <c r="A58" s="17">
        <f>RANDBETWEEN(2,164)</f>
        <v/>
      </c>
      <c r="B58" s="17">
        <f t="array" ref="B58">INDEX(Data_DBD!$B:$B,$A58)</f>
        <v/>
      </c>
      <c r="C58" s="17">
        <f t="array" ref="C58">INDEX(Data_DBD!$C:$C,$A58)</f>
        <v/>
      </c>
      <c r="D58" s="17">
        <f t="array" ref="D58">INDEX(Data_DBD!$E:$E,$A58)</f>
        <v/>
      </c>
      <c r="E58" s="17">
        <f t="array" ref="E58">INDEX(Data_DBD!$F:$F,$A58)</f>
        <v/>
      </c>
      <c r="H58" s="17" t="n">
        <v>27</v>
      </c>
      <c r="I58" s="17" t="n">
        <v>37</v>
      </c>
      <c r="J58" s="17" t="n">
        <v>4</v>
      </c>
      <c r="K58" s="17" t="n">
        <v>1</v>
      </c>
      <c r="L58" s="17" t="inlineStr">
        <is>
          <t>Sedang</t>
        </is>
      </c>
    </row>
    <row r="59" s="1">
      <c r="A59" s="17">
        <f>RANDBETWEEN(2,164)</f>
        <v/>
      </c>
      <c r="B59" s="17">
        <f t="array" ref="B59">INDEX(Data_DBD!$B:$B,$A59)</f>
        <v/>
      </c>
      <c r="C59" s="17">
        <f t="array" ref="C59">INDEX(Data_DBD!$C:$C,$A59)</f>
        <v/>
      </c>
      <c r="D59" s="17">
        <f t="array" ref="D59">INDEX(Data_DBD!$E:$E,$A59)</f>
        <v/>
      </c>
      <c r="E59" s="17">
        <f t="array" ref="E59">INDEX(Data_DBD!$F:$F,$A59)</f>
        <v/>
      </c>
      <c r="H59" s="17" t="n">
        <v>76</v>
      </c>
      <c r="I59" s="17" t="n">
        <v>70</v>
      </c>
      <c r="J59" s="17" t="n">
        <v>2</v>
      </c>
      <c r="K59" s="17" t="n">
        <v>0</v>
      </c>
      <c r="L59" s="17" t="inlineStr">
        <is>
          <t>Sedang</t>
        </is>
      </c>
    </row>
    <row r="60" s="1">
      <c r="A60" s="17">
        <f>RANDBETWEEN(2,164)</f>
        <v/>
      </c>
      <c r="B60" s="17">
        <f t="array" ref="B60">INDEX(Data_DBD!$B:$B,$A60)</f>
        <v/>
      </c>
      <c r="C60" s="17">
        <f t="array" ref="C60">INDEX(Data_DBD!$C:$C,$A60)</f>
        <v/>
      </c>
      <c r="D60" s="17">
        <f t="array" ref="D60">INDEX(Data_DBD!$E:$E,$A60)</f>
        <v/>
      </c>
      <c r="E60" s="17">
        <f t="array" ref="E60">INDEX(Data_DBD!$F:$F,$A60)</f>
        <v/>
      </c>
      <c r="H60" s="17" t="n">
        <v>63</v>
      </c>
      <c r="I60" s="17" t="n">
        <v>25</v>
      </c>
      <c r="J60" s="17" t="n">
        <v>3</v>
      </c>
      <c r="K60" s="17" t="n">
        <v>0</v>
      </c>
      <c r="L60" s="17" t="inlineStr">
        <is>
          <t>Sedang</t>
        </is>
      </c>
    </row>
    <row r="61" s="1">
      <c r="A61" s="17">
        <f>RANDBETWEEN(2,164)</f>
        <v/>
      </c>
      <c r="B61" s="17">
        <f t="array" ref="B61">INDEX(Data_DBD!$B:$B,$A61)</f>
        <v/>
      </c>
      <c r="C61" s="17">
        <f t="array" ref="C61">INDEX(Data_DBD!$C:$C,$A61)</f>
        <v/>
      </c>
      <c r="D61" s="17">
        <f t="array" ref="D61">INDEX(Data_DBD!$E:$E,$A61)</f>
        <v/>
      </c>
      <c r="E61" s="17">
        <f t="array" ref="E61">INDEX(Data_DBD!$F:$F,$A61)</f>
        <v/>
      </c>
      <c r="H61" s="17" t="n">
        <v>122</v>
      </c>
      <c r="I61" s="17" t="n">
        <v>28</v>
      </c>
      <c r="J61" s="17" t="n">
        <v>3</v>
      </c>
      <c r="K61" s="17" t="n">
        <v>1</v>
      </c>
      <c r="L61" s="17" t="inlineStr">
        <is>
          <t>Tinggi</t>
        </is>
      </c>
    </row>
    <row r="62" s="1">
      <c r="A62" s="17">
        <f>RANDBETWEEN(2,164)</f>
        <v/>
      </c>
      <c r="B62" s="17">
        <f t="array" ref="B62">INDEX(Data_DBD!$B:$B,$A62)</f>
        <v/>
      </c>
      <c r="C62" s="17">
        <f t="array" ref="C62">INDEX(Data_DBD!$C:$C,$A62)</f>
        <v/>
      </c>
      <c r="D62" s="17">
        <f t="array" ref="D62">INDEX(Data_DBD!$E:$E,$A62)</f>
        <v/>
      </c>
      <c r="E62" s="17">
        <f t="array" ref="E62">INDEX(Data_DBD!$F:$F,$A62)</f>
        <v/>
      </c>
      <c r="H62" s="17" t="n">
        <v>7</v>
      </c>
      <c r="I62" s="17" t="n">
        <v>12</v>
      </c>
      <c r="J62" s="17" t="n">
        <v>1</v>
      </c>
      <c r="K62" s="17" t="n">
        <v>1</v>
      </c>
      <c r="L62" s="17" t="inlineStr">
        <is>
          <t>Sedang</t>
        </is>
      </c>
    </row>
    <row r="63" s="1">
      <c r="A63" s="17">
        <f>RANDBETWEEN(2,164)</f>
        <v/>
      </c>
      <c r="B63" s="17">
        <f t="array" ref="B63">INDEX(Data_DBD!$B:$B,$A63)</f>
        <v/>
      </c>
      <c r="C63" s="17">
        <f t="array" ref="C63">INDEX(Data_DBD!$C:$C,$A63)</f>
        <v/>
      </c>
      <c r="D63" s="17">
        <f t="array" ref="D63">INDEX(Data_DBD!$E:$E,$A63)</f>
        <v/>
      </c>
      <c r="E63" s="17">
        <f t="array" ref="E63">INDEX(Data_DBD!$F:$F,$A63)</f>
        <v/>
      </c>
      <c r="H63" s="17" t="n">
        <v>157</v>
      </c>
      <c r="I63" s="17" t="n">
        <v>15</v>
      </c>
      <c r="J63" s="17" t="n">
        <v>4</v>
      </c>
      <c r="K63" s="17" t="n">
        <v>1</v>
      </c>
      <c r="L63" s="17" t="inlineStr">
        <is>
          <t>Tinggi</t>
        </is>
      </c>
    </row>
    <row r="64" s="1">
      <c r="A64" s="17">
        <f>RANDBETWEEN(2,164)</f>
        <v/>
      </c>
      <c r="B64" s="17">
        <f t="array" ref="B64">INDEX(Data_DBD!$B:$B,$A64)</f>
        <v/>
      </c>
      <c r="C64" s="17">
        <f t="array" ref="C64">INDEX(Data_DBD!$C:$C,$A64)</f>
        <v/>
      </c>
      <c r="D64" s="17">
        <f t="array" ref="D64">INDEX(Data_DBD!$E:$E,$A64)</f>
        <v/>
      </c>
      <c r="E64" s="17">
        <f t="array" ref="E64">INDEX(Data_DBD!$F:$F,$A64)</f>
        <v/>
      </c>
      <c r="H64" s="17" t="n">
        <v>19</v>
      </c>
      <c r="I64" s="17" t="n">
        <v>8</v>
      </c>
      <c r="J64" s="17" t="n">
        <v>4</v>
      </c>
      <c r="K64" s="17" t="n">
        <v>0</v>
      </c>
      <c r="L64" s="17" t="inlineStr">
        <is>
          <t>Rendah</t>
        </is>
      </c>
    </row>
    <row r="65" s="1">
      <c r="A65" s="17">
        <f>RANDBETWEEN(2,164)</f>
        <v/>
      </c>
      <c r="B65" s="17">
        <f t="array" ref="B65">INDEX(Data_DBD!$B:$B,$A65)</f>
        <v/>
      </c>
      <c r="C65" s="17">
        <f t="array" ref="C65">INDEX(Data_DBD!$C:$C,$A65)</f>
        <v/>
      </c>
      <c r="D65" s="17">
        <f t="array" ref="D65">INDEX(Data_DBD!$E:$E,$A65)</f>
        <v/>
      </c>
      <c r="E65" s="17">
        <f t="array" ref="E65">INDEX(Data_DBD!$F:$F,$A65)</f>
        <v/>
      </c>
      <c r="H65" s="17" t="n">
        <v>32</v>
      </c>
      <c r="I65" s="17" t="n">
        <v>54</v>
      </c>
      <c r="J65" s="17" t="n">
        <v>4</v>
      </c>
      <c r="K65" s="17" t="n">
        <v>0</v>
      </c>
      <c r="L65" s="17" t="inlineStr">
        <is>
          <t>Sedang</t>
        </is>
      </c>
    </row>
    <row r="66" s="1">
      <c r="A66" s="17">
        <f>RANDBETWEEN(2,164)</f>
        <v/>
      </c>
      <c r="B66" s="17">
        <f t="array" ref="B66">INDEX(Data_DBD!$B:$B,$A66)</f>
        <v/>
      </c>
      <c r="C66" s="17">
        <f t="array" ref="C66">INDEX(Data_DBD!$C:$C,$A66)</f>
        <v/>
      </c>
      <c r="D66" s="17">
        <f t="array" ref="D66">INDEX(Data_DBD!$E:$E,$A66)</f>
        <v/>
      </c>
      <c r="E66" s="17">
        <f t="array" ref="E66">INDEX(Data_DBD!$F:$F,$A66)</f>
        <v/>
      </c>
      <c r="H66" s="17" t="n">
        <v>126</v>
      </c>
      <c r="I66" s="17" t="n">
        <v>51</v>
      </c>
      <c r="J66" s="17" t="n">
        <v>3</v>
      </c>
      <c r="K66" s="17" t="n">
        <v>1</v>
      </c>
      <c r="L66" s="17" t="inlineStr">
        <is>
          <t>Tinggi</t>
        </is>
      </c>
    </row>
    <row r="67" s="1">
      <c r="A67" s="17">
        <f>RANDBETWEEN(2,164)</f>
        <v/>
      </c>
      <c r="B67" s="17">
        <f t="array" ref="B67">INDEX(Data_DBD!$B:$B,$A67)</f>
        <v/>
      </c>
      <c r="C67" s="17">
        <f t="array" ref="C67">INDEX(Data_DBD!$C:$C,$A67)</f>
        <v/>
      </c>
      <c r="D67" s="17">
        <f t="array" ref="D67">INDEX(Data_DBD!$E:$E,$A67)</f>
        <v/>
      </c>
      <c r="E67" s="17">
        <f t="array" ref="E67">INDEX(Data_DBD!$F:$F,$A67)</f>
        <v/>
      </c>
      <c r="H67" s="17" t="n">
        <v>109</v>
      </c>
      <c r="I67" s="17" t="n">
        <v>40</v>
      </c>
      <c r="J67" s="17" t="n">
        <v>3</v>
      </c>
      <c r="K67" s="17" t="n">
        <v>1</v>
      </c>
      <c r="L67" s="17" t="inlineStr">
        <is>
          <t>Tinggi</t>
        </is>
      </c>
    </row>
    <row r="68" s="1">
      <c r="A68" s="17">
        <f>RANDBETWEEN(2,164)</f>
        <v/>
      </c>
      <c r="B68" s="17">
        <f t="array" ref="B68">INDEX(Data_DBD!$B:$B,$A68)</f>
        <v/>
      </c>
      <c r="C68" s="17">
        <f t="array" ref="C68">INDEX(Data_DBD!$C:$C,$A68)</f>
        <v/>
      </c>
      <c r="D68" s="17">
        <f t="array" ref="D68">INDEX(Data_DBD!$E:$E,$A68)</f>
        <v/>
      </c>
      <c r="E68" s="17">
        <f t="array" ref="E68">INDEX(Data_DBD!$F:$F,$A68)</f>
        <v/>
      </c>
      <c r="H68" s="17" t="n">
        <v>79</v>
      </c>
      <c r="I68" s="17" t="n">
        <v>29</v>
      </c>
      <c r="J68" s="17" t="n">
        <v>3</v>
      </c>
      <c r="K68" s="17" t="n">
        <v>0</v>
      </c>
      <c r="L68" s="17" t="inlineStr">
        <is>
          <t>Sedang</t>
        </is>
      </c>
    </row>
    <row r="69" s="1">
      <c r="A69" s="17">
        <f>RANDBETWEEN(2,164)</f>
        <v/>
      </c>
      <c r="B69" s="17">
        <f t="array" ref="B69">INDEX(Data_DBD!$B:$B,$A69)</f>
        <v/>
      </c>
      <c r="C69" s="17">
        <f t="array" ref="C69">INDEX(Data_DBD!$C:$C,$A69)</f>
        <v/>
      </c>
      <c r="D69" s="17">
        <f t="array" ref="D69">INDEX(Data_DBD!$E:$E,$A69)</f>
        <v/>
      </c>
      <c r="E69" s="17">
        <f t="array" ref="E69">INDEX(Data_DBD!$F:$F,$A69)</f>
        <v/>
      </c>
      <c r="H69" s="17" t="n">
        <v>144</v>
      </c>
      <c r="I69" s="17" t="n">
        <v>61</v>
      </c>
      <c r="J69" s="17" t="n">
        <v>4</v>
      </c>
      <c r="K69" s="17" t="n">
        <v>1</v>
      </c>
      <c r="L69" s="17" t="inlineStr">
        <is>
          <t>Tinggi</t>
        </is>
      </c>
    </row>
    <row r="70" s="1">
      <c r="A70" s="17">
        <f>RANDBETWEEN(2,164)</f>
        <v/>
      </c>
      <c r="B70" s="17">
        <f t="array" ref="B70">INDEX(Data_DBD!$B:$B,$A70)</f>
        <v/>
      </c>
      <c r="C70" s="17">
        <f t="array" ref="C70">INDEX(Data_DBD!$C:$C,$A70)</f>
        <v/>
      </c>
      <c r="D70" s="17">
        <f t="array" ref="D70">INDEX(Data_DBD!$E:$E,$A70)</f>
        <v/>
      </c>
      <c r="E70" s="17">
        <f t="array" ref="E70">INDEX(Data_DBD!$F:$F,$A70)</f>
        <v/>
      </c>
      <c r="H70" s="17" t="n">
        <v>110</v>
      </c>
      <c r="I70" s="17" t="n">
        <v>42</v>
      </c>
      <c r="J70" s="17" t="n">
        <v>2</v>
      </c>
      <c r="K70" s="17" t="n">
        <v>1</v>
      </c>
      <c r="L70" s="17" t="inlineStr">
        <is>
          <t>Tinggi</t>
        </is>
      </c>
    </row>
    <row r="71" s="1">
      <c r="A71" s="17">
        <f>RANDBETWEEN(2,164)</f>
        <v/>
      </c>
      <c r="B71" s="17">
        <f t="array" ref="B71">INDEX(Data_DBD!$B:$B,$A71)</f>
        <v/>
      </c>
      <c r="C71" s="17">
        <f t="array" ref="C71">INDEX(Data_DBD!$C:$C,$A71)</f>
        <v/>
      </c>
      <c r="D71" s="17">
        <f t="array" ref="D71">INDEX(Data_DBD!$E:$E,$A71)</f>
        <v/>
      </c>
      <c r="E71" s="17">
        <f t="array" ref="E71">INDEX(Data_DBD!$F:$F,$A71)</f>
        <v/>
      </c>
      <c r="H71" s="17" t="n">
        <v>131</v>
      </c>
      <c r="I71" s="17" t="n">
        <v>10</v>
      </c>
      <c r="J71" s="17" t="n">
        <v>2</v>
      </c>
      <c r="K71" s="17" t="n">
        <v>0</v>
      </c>
      <c r="L71" s="17" t="inlineStr">
        <is>
          <t>Tinggi</t>
        </is>
      </c>
    </row>
    <row r="72" s="1">
      <c r="A72" s="17">
        <f>RANDBETWEEN(2,164)</f>
        <v/>
      </c>
      <c r="B72" s="17">
        <f t="array" ref="B72">INDEX(Data_DBD!$B:$B,$A72)</f>
        <v/>
      </c>
      <c r="C72" s="17">
        <f t="array" ref="C72">INDEX(Data_DBD!$C:$C,$A72)</f>
        <v/>
      </c>
      <c r="D72" s="17">
        <f t="array" ref="D72">INDEX(Data_DBD!$E:$E,$A72)</f>
        <v/>
      </c>
      <c r="E72" s="17">
        <f t="array" ref="E72">INDEX(Data_DBD!$F:$F,$A72)</f>
        <v/>
      </c>
      <c r="H72" s="17" t="n">
        <v>125</v>
      </c>
      <c r="I72" s="17" t="n">
        <v>39</v>
      </c>
      <c r="J72" s="17" t="n">
        <v>4</v>
      </c>
      <c r="K72" s="17" t="n">
        <v>0</v>
      </c>
      <c r="L72" s="17" t="inlineStr">
        <is>
          <t>Tinggi</t>
        </is>
      </c>
    </row>
    <row r="73" s="1">
      <c r="A73" s="17">
        <f>RANDBETWEEN(2,164)</f>
        <v/>
      </c>
      <c r="B73" s="17">
        <f t="array" ref="B73">INDEX(Data_DBD!$B:$B,$A73)</f>
        <v/>
      </c>
      <c r="C73" s="17">
        <f t="array" ref="C73">INDEX(Data_DBD!$C:$C,$A73)</f>
        <v/>
      </c>
      <c r="D73" s="17">
        <f t="array" ref="D73">INDEX(Data_DBD!$E:$E,$A73)</f>
        <v/>
      </c>
      <c r="E73" s="17">
        <f t="array" ref="E73">INDEX(Data_DBD!$F:$F,$A73)</f>
        <v/>
      </c>
      <c r="H73" s="17" t="n">
        <v>88</v>
      </c>
      <c r="I73" s="17" t="n">
        <v>20</v>
      </c>
      <c r="J73" s="17" t="n">
        <v>4</v>
      </c>
      <c r="K73" s="17" t="n">
        <v>1</v>
      </c>
      <c r="L73" s="17" t="inlineStr">
        <is>
          <t>Sedang</t>
        </is>
      </c>
    </row>
    <row r="74" s="1">
      <c r="A74" s="17">
        <f>RANDBETWEEN(2,164)</f>
        <v/>
      </c>
      <c r="B74" s="17">
        <f t="array" ref="B74">INDEX(Data_DBD!$B:$B,$A74)</f>
        <v/>
      </c>
      <c r="C74" s="17">
        <f t="array" ref="C74">INDEX(Data_DBD!$C:$C,$A74)</f>
        <v/>
      </c>
      <c r="D74" s="17">
        <f t="array" ref="D74">INDEX(Data_DBD!$E:$E,$A74)</f>
        <v/>
      </c>
      <c r="E74" s="17">
        <f t="array" ref="E74">INDEX(Data_DBD!$F:$F,$A74)</f>
        <v/>
      </c>
      <c r="H74" s="17" t="n">
        <v>77</v>
      </c>
      <c r="I74" s="17" t="n">
        <v>16</v>
      </c>
      <c r="J74" s="17" t="n">
        <v>4</v>
      </c>
      <c r="K74" s="17" t="n">
        <v>1</v>
      </c>
      <c r="L74" s="17" t="inlineStr">
        <is>
          <t>Sedang</t>
        </is>
      </c>
    </row>
    <row r="75" s="1">
      <c r="A75" s="17">
        <f>RANDBETWEEN(2,164)</f>
        <v/>
      </c>
      <c r="B75" s="17">
        <f t="array" ref="B75">INDEX(Data_DBD!$B:$B,$A75)</f>
        <v/>
      </c>
      <c r="C75" s="17">
        <f t="array" ref="C75">INDEX(Data_DBD!$C:$C,$A75)</f>
        <v/>
      </c>
      <c r="D75" s="17">
        <f t="array" ref="D75">INDEX(Data_DBD!$E:$E,$A75)</f>
        <v/>
      </c>
      <c r="E75" s="17">
        <f t="array" ref="E75">INDEX(Data_DBD!$F:$F,$A75)</f>
        <v/>
      </c>
      <c r="H75" s="17" t="n">
        <v>137</v>
      </c>
      <c r="I75" s="17" t="n">
        <v>3</v>
      </c>
      <c r="J75" s="17" t="n">
        <v>1</v>
      </c>
      <c r="K75" s="17" t="n">
        <v>1</v>
      </c>
      <c r="L75" s="17" t="inlineStr">
        <is>
          <t>Tinggi</t>
        </is>
      </c>
    </row>
    <row r="76" s="1">
      <c r="A76" s="17">
        <f>RANDBETWEEN(2,164)</f>
        <v/>
      </c>
      <c r="B76" s="17">
        <f t="array" ref="B76">INDEX(Data_DBD!$B:$B,$A76)</f>
        <v/>
      </c>
      <c r="C76" s="17">
        <f t="array" ref="C76">INDEX(Data_DBD!$C:$C,$A76)</f>
        <v/>
      </c>
      <c r="D76" s="17">
        <f t="array" ref="D76">INDEX(Data_DBD!$E:$E,$A76)</f>
        <v/>
      </c>
      <c r="E76" s="17">
        <f t="array" ref="E76">INDEX(Data_DBD!$F:$F,$A76)</f>
        <v/>
      </c>
      <c r="H76" s="17" t="n">
        <v>10</v>
      </c>
      <c r="I76" s="17" t="n">
        <v>18</v>
      </c>
      <c r="J76" s="17" t="n">
        <v>5</v>
      </c>
      <c r="K76" s="17" t="n">
        <v>0</v>
      </c>
      <c r="L76" s="17" t="inlineStr">
        <is>
          <t>Sedang</t>
        </is>
      </c>
    </row>
    <row r="77" s="1">
      <c r="A77" s="17">
        <f>RANDBETWEEN(2,164)</f>
        <v/>
      </c>
      <c r="B77" s="17">
        <f t="array" ref="B77">INDEX(Data_DBD!$B:$B,$A77)</f>
        <v/>
      </c>
      <c r="C77" s="17">
        <f t="array" ref="C77">INDEX(Data_DBD!$C:$C,$A77)</f>
        <v/>
      </c>
      <c r="D77" s="17">
        <f t="array" ref="D77">INDEX(Data_DBD!$E:$E,$A77)</f>
        <v/>
      </c>
      <c r="E77" s="17">
        <f t="array" ref="E77">INDEX(Data_DBD!$F:$F,$A77)</f>
        <v/>
      </c>
      <c r="H77" s="17" t="n">
        <v>51</v>
      </c>
      <c r="I77" s="17" t="n">
        <v>48</v>
      </c>
      <c r="J77" s="17" t="n">
        <v>4</v>
      </c>
      <c r="K77" s="17" t="n">
        <v>0</v>
      </c>
      <c r="L77" s="17" t="inlineStr">
        <is>
          <t>Sedang</t>
        </is>
      </c>
    </row>
    <row r="78" s="1">
      <c r="A78" s="17">
        <f>RANDBETWEEN(2,164)</f>
        <v/>
      </c>
      <c r="B78" s="17">
        <f t="array" ref="B78">INDEX(Data_DBD!$B:$B,$A78)</f>
        <v/>
      </c>
      <c r="C78" s="17">
        <f t="array" ref="C78">INDEX(Data_DBD!$C:$C,$A78)</f>
        <v/>
      </c>
      <c r="D78" s="17">
        <f t="array" ref="D78">INDEX(Data_DBD!$E:$E,$A78)</f>
        <v/>
      </c>
      <c r="E78" s="17">
        <f t="array" ref="E78">INDEX(Data_DBD!$F:$F,$A78)</f>
        <v/>
      </c>
      <c r="H78" s="17" t="n">
        <v>86</v>
      </c>
      <c r="I78" s="17" t="n">
        <v>23</v>
      </c>
      <c r="J78" s="17" t="n">
        <v>3</v>
      </c>
      <c r="K78" s="17" t="n">
        <v>0</v>
      </c>
      <c r="L78" s="17" t="inlineStr">
        <is>
          <t>Sedang</t>
        </is>
      </c>
    </row>
    <row r="79" s="1">
      <c r="A79" s="17">
        <f>RANDBETWEEN(2,164)</f>
        <v/>
      </c>
      <c r="B79" s="17">
        <f t="array" ref="B79">INDEX(Data_DBD!$B:$B,$A79)</f>
        <v/>
      </c>
      <c r="C79" s="17">
        <f t="array" ref="C79">INDEX(Data_DBD!$C:$C,$A79)</f>
        <v/>
      </c>
      <c r="D79" s="17">
        <f t="array" ref="D79">INDEX(Data_DBD!$E:$E,$A79)</f>
        <v/>
      </c>
      <c r="E79" s="17">
        <f t="array" ref="E79">INDEX(Data_DBD!$F:$F,$A79)</f>
        <v/>
      </c>
      <c r="H79" s="17" t="n">
        <v>146</v>
      </c>
      <c r="I79" s="17" t="n">
        <v>34</v>
      </c>
      <c r="J79" s="17" t="n">
        <v>2</v>
      </c>
      <c r="K79" s="17" t="n">
        <v>1</v>
      </c>
      <c r="L79" s="17" t="inlineStr">
        <is>
          <t>Tinggi</t>
        </is>
      </c>
    </row>
    <row r="80" s="1">
      <c r="A80" s="17">
        <f>RANDBETWEEN(2,164)</f>
        <v/>
      </c>
      <c r="B80" s="17">
        <f t="array" ref="B80">INDEX(Data_DBD!$B:$B,$A80)</f>
        <v/>
      </c>
      <c r="C80" s="17">
        <f t="array" ref="C80">INDEX(Data_DBD!$C:$C,$A80)</f>
        <v/>
      </c>
      <c r="D80" s="17">
        <f t="array" ref="D80">INDEX(Data_DBD!$E:$E,$A80)</f>
        <v/>
      </c>
      <c r="E80" s="17">
        <f t="array" ref="E80">INDEX(Data_DBD!$F:$F,$A80)</f>
        <v/>
      </c>
      <c r="H80" s="17" t="n">
        <v>15</v>
      </c>
      <c r="I80" s="17" t="n">
        <v>21</v>
      </c>
      <c r="J80" s="17" t="n">
        <v>2</v>
      </c>
      <c r="K80" s="17" t="n">
        <v>0</v>
      </c>
      <c r="L80" s="17" t="inlineStr">
        <is>
          <t>Rendah</t>
        </is>
      </c>
    </row>
    <row r="81" s="1">
      <c r="A81" s="17">
        <f>RANDBETWEEN(2,164)</f>
        <v/>
      </c>
      <c r="B81" s="17">
        <f t="array" ref="B81">INDEX(Data_DBD!$B:$B,$A81)</f>
        <v/>
      </c>
      <c r="C81" s="17">
        <f t="array" ref="C81">INDEX(Data_DBD!$C:$C,$A81)</f>
        <v/>
      </c>
      <c r="D81" s="17">
        <f t="array" ref="D81">INDEX(Data_DBD!$E:$E,$A81)</f>
        <v/>
      </c>
      <c r="E81" s="17">
        <f t="array" ref="E81">INDEX(Data_DBD!$F:$F,$A81)</f>
        <v/>
      </c>
      <c r="H81" s="17" t="n">
        <v>151</v>
      </c>
      <c r="I81" s="17" t="n">
        <v>24</v>
      </c>
      <c r="J81" s="17" t="n">
        <v>3</v>
      </c>
      <c r="K81" s="17" t="n">
        <v>0</v>
      </c>
      <c r="L81" s="17" t="inlineStr">
        <is>
          <t>Tinggi</t>
        </is>
      </c>
    </row>
    <row r="82" s="1">
      <c r="A82" s="17">
        <f>RANDBETWEEN(2,164)</f>
        <v/>
      </c>
      <c r="B82" s="17">
        <f t="array" ref="B82">INDEX(Data_DBD!$B:$B,$A82)</f>
        <v/>
      </c>
      <c r="C82" s="17">
        <f t="array" ref="C82">INDEX(Data_DBD!$C:$C,$A82)</f>
        <v/>
      </c>
      <c r="D82" s="17">
        <f t="array" ref="D82">INDEX(Data_DBD!$E:$E,$A82)</f>
        <v/>
      </c>
      <c r="E82" s="17">
        <f t="array" ref="E82">INDEX(Data_DBD!$F:$F,$A82)</f>
        <v/>
      </c>
      <c r="H82" s="17" t="n">
        <v>56</v>
      </c>
      <c r="I82" s="17" t="n">
        <v>4</v>
      </c>
      <c r="J82" s="17" t="n">
        <v>3</v>
      </c>
      <c r="K82" s="17" t="n">
        <v>0</v>
      </c>
      <c r="L82" s="17" t="inlineStr">
        <is>
          <t>Sedang</t>
        </is>
      </c>
    </row>
    <row r="83" s="1">
      <c r="A83" s="17">
        <f>RANDBETWEEN(2,164)</f>
        <v/>
      </c>
      <c r="B83" s="17">
        <f t="array" ref="B83">INDEX(Data_DBD!$B:$B,$A83)</f>
        <v/>
      </c>
      <c r="C83" s="17">
        <f t="array" ref="C83">INDEX(Data_DBD!$C:$C,$A83)</f>
        <v/>
      </c>
      <c r="D83" s="17">
        <f t="array" ref="D83">INDEX(Data_DBD!$E:$E,$A83)</f>
        <v/>
      </c>
      <c r="E83" s="17">
        <f t="array" ref="E83">INDEX(Data_DBD!$F:$F,$A83)</f>
        <v/>
      </c>
      <c r="H83" s="17" t="n">
        <v>70</v>
      </c>
      <c r="I83" s="17" t="n">
        <v>26</v>
      </c>
      <c r="J83" s="17" t="n">
        <v>3</v>
      </c>
      <c r="K83" s="17" t="n">
        <v>1</v>
      </c>
      <c r="L83" s="17" t="inlineStr">
        <is>
          <t>Sedang</t>
        </is>
      </c>
    </row>
    <row r="84" s="1">
      <c r="A84" s="17">
        <f>RANDBETWEEN(2,164)</f>
        <v/>
      </c>
      <c r="B84" s="17">
        <f t="array" ref="B84">INDEX(Data_DBD!$B:$B,$A84)</f>
        <v/>
      </c>
      <c r="C84" s="17">
        <f t="array" ref="C84">INDEX(Data_DBD!$C:$C,$A84)</f>
        <v/>
      </c>
      <c r="D84" s="17">
        <f t="array" ref="D84">INDEX(Data_DBD!$E:$E,$A84)</f>
        <v/>
      </c>
      <c r="E84" s="17">
        <f t="array" ref="E84">INDEX(Data_DBD!$F:$F,$A84)</f>
        <v/>
      </c>
      <c r="H84" s="17" t="n">
        <v>5</v>
      </c>
      <c r="I84" s="17" t="n">
        <v>18</v>
      </c>
      <c r="J84" s="17" t="n">
        <v>2</v>
      </c>
      <c r="K84" s="17" t="n">
        <v>1</v>
      </c>
      <c r="L84" s="17" t="inlineStr">
        <is>
          <t>Sedang</t>
        </is>
      </c>
    </row>
    <row r="85" s="1">
      <c r="A85" s="17">
        <f>RANDBETWEEN(2,164)</f>
        <v/>
      </c>
      <c r="B85" s="17">
        <f t="array" ref="B85">INDEX(Data_DBD!$B:$B,$A85)</f>
        <v/>
      </c>
      <c r="C85" s="17">
        <f t="array" ref="C85">INDEX(Data_DBD!$C:$C,$A85)</f>
        <v/>
      </c>
      <c r="D85" s="17">
        <f t="array" ref="D85">INDEX(Data_DBD!$E:$E,$A85)</f>
        <v/>
      </c>
      <c r="E85" s="17">
        <f t="array" ref="E85">INDEX(Data_DBD!$F:$F,$A85)</f>
        <v/>
      </c>
      <c r="H85" s="17" t="n">
        <v>66</v>
      </c>
      <c r="I85" s="17" t="n">
        <v>21</v>
      </c>
      <c r="J85" s="17" t="n">
        <v>5</v>
      </c>
      <c r="K85" s="17" t="n">
        <v>1</v>
      </c>
      <c r="L85" s="17" t="inlineStr">
        <is>
          <t>Sedang</t>
        </is>
      </c>
    </row>
    <row r="86" s="1">
      <c r="A86" s="17">
        <f>RANDBETWEEN(2,164)</f>
        <v/>
      </c>
      <c r="B86" s="17">
        <f t="array" ref="B86">INDEX(Data_DBD!$B:$B,$A86)</f>
        <v/>
      </c>
      <c r="C86" s="17">
        <f t="array" ref="C86">INDEX(Data_DBD!$C:$C,$A86)</f>
        <v/>
      </c>
      <c r="D86" s="17">
        <f t="array" ref="D86">INDEX(Data_DBD!$E:$E,$A86)</f>
        <v/>
      </c>
      <c r="E86" s="17">
        <f t="array" ref="E86">INDEX(Data_DBD!$F:$F,$A86)</f>
        <v/>
      </c>
      <c r="H86" s="17" t="n">
        <v>164</v>
      </c>
      <c r="I86" s="17" t="n">
        <v>10</v>
      </c>
      <c r="J86" s="17" t="n">
        <v>6</v>
      </c>
      <c r="K86" s="17" t="n">
        <v>0</v>
      </c>
      <c r="L86" s="17" t="inlineStr">
        <is>
          <t>Rendah</t>
        </is>
      </c>
    </row>
    <row r="87" s="1">
      <c r="A87" s="17">
        <f>RANDBETWEEN(2,164)</f>
        <v/>
      </c>
      <c r="B87" s="17">
        <f t="array" ref="B87">INDEX(Data_DBD!$B:$B,$A87)</f>
        <v/>
      </c>
      <c r="C87" s="17">
        <f t="array" ref="C87">INDEX(Data_DBD!$C:$C,$A87)</f>
        <v/>
      </c>
      <c r="D87" s="17">
        <f t="array" ref="D87">INDEX(Data_DBD!$E:$E,$A87)</f>
        <v/>
      </c>
      <c r="E87" s="17">
        <f t="array" ref="E87">INDEX(Data_DBD!$F:$F,$A87)</f>
        <v/>
      </c>
      <c r="H87" s="17" t="n">
        <v>148</v>
      </c>
      <c r="I87" s="17" t="n">
        <v>55</v>
      </c>
      <c r="J87" s="17" t="n">
        <v>3</v>
      </c>
      <c r="K87" s="17" t="n">
        <v>1</v>
      </c>
      <c r="L87" s="17" t="inlineStr">
        <is>
          <t>Tinggi</t>
        </is>
      </c>
    </row>
    <row r="88" s="1">
      <c r="A88" s="17">
        <f>RANDBETWEEN(2,164)</f>
        <v/>
      </c>
      <c r="B88" s="17">
        <f t="array" ref="B88">INDEX(Data_DBD!$B:$B,$A88)</f>
        <v/>
      </c>
      <c r="C88" s="17">
        <f t="array" ref="C88">INDEX(Data_DBD!$C:$C,$A88)</f>
        <v/>
      </c>
      <c r="D88" s="17">
        <f t="array" ref="D88">INDEX(Data_DBD!$E:$E,$A88)</f>
        <v/>
      </c>
      <c r="E88" s="17">
        <f t="array" ref="E88">INDEX(Data_DBD!$F:$F,$A88)</f>
        <v/>
      </c>
      <c r="H88" s="17" t="n">
        <v>11</v>
      </c>
      <c r="I88" s="17" t="n">
        <v>24</v>
      </c>
      <c r="J88" s="17" t="n">
        <v>5</v>
      </c>
      <c r="K88" s="17" t="n">
        <v>1</v>
      </c>
      <c r="L88" s="17" t="inlineStr">
        <is>
          <t>Sedang</t>
        </is>
      </c>
    </row>
    <row r="89" s="1">
      <c r="A89" s="17">
        <f>RANDBETWEEN(2,164)</f>
        <v/>
      </c>
      <c r="B89" s="17">
        <f t="array" ref="B89">INDEX(Data_DBD!$B:$B,$A89)</f>
        <v/>
      </c>
      <c r="C89" s="17">
        <f t="array" ref="C89">INDEX(Data_DBD!$C:$C,$A89)</f>
        <v/>
      </c>
      <c r="D89" s="17">
        <f t="array" ref="D89">INDEX(Data_DBD!$E:$E,$A89)</f>
        <v/>
      </c>
      <c r="E89" s="17">
        <f t="array" ref="E89">INDEX(Data_DBD!$F:$F,$A89)</f>
        <v/>
      </c>
      <c r="H89" s="17" t="n">
        <v>97</v>
      </c>
      <c r="I89" s="17" t="n">
        <v>16</v>
      </c>
      <c r="J89" s="17" t="n">
        <v>2</v>
      </c>
      <c r="K89" s="17" t="n">
        <v>1</v>
      </c>
      <c r="L89" s="17" t="inlineStr">
        <is>
          <t>Tinggi</t>
        </is>
      </c>
    </row>
    <row r="90" s="1">
      <c r="A90" s="17">
        <f>RANDBETWEEN(2,164)</f>
        <v/>
      </c>
      <c r="B90" s="17">
        <f t="array" ref="B90">INDEX(Data_DBD!$B:$B,$A90)</f>
        <v/>
      </c>
      <c r="C90" s="17">
        <f t="array" ref="C90">INDEX(Data_DBD!$C:$C,$A90)</f>
        <v/>
      </c>
      <c r="D90" s="17">
        <f t="array" ref="D90">INDEX(Data_DBD!$E:$E,$A90)</f>
        <v/>
      </c>
      <c r="E90" s="17">
        <f t="array" ref="E90">INDEX(Data_DBD!$F:$F,$A90)</f>
        <v/>
      </c>
      <c r="H90" s="17" t="n">
        <v>122</v>
      </c>
      <c r="I90" s="17" t="n">
        <v>28</v>
      </c>
      <c r="J90" s="17" t="n">
        <v>3</v>
      </c>
      <c r="K90" s="17" t="n">
        <v>1</v>
      </c>
      <c r="L90" s="17" t="inlineStr">
        <is>
          <t>Tinggi</t>
        </is>
      </c>
    </row>
    <row r="91" s="1">
      <c r="A91" s="17">
        <f>RANDBETWEEN(2,164)</f>
        <v/>
      </c>
      <c r="B91" s="17">
        <f t="array" ref="B91">INDEX(Data_DBD!$B:$B,$A91)</f>
        <v/>
      </c>
      <c r="C91" s="17">
        <f t="array" ref="C91">INDEX(Data_DBD!$C:$C,$A91)</f>
        <v/>
      </c>
      <c r="D91" s="17">
        <f t="array" ref="D91">INDEX(Data_DBD!$E:$E,$A91)</f>
        <v/>
      </c>
      <c r="E91" s="17">
        <f t="array" ref="E91">INDEX(Data_DBD!$F:$F,$A91)</f>
        <v/>
      </c>
      <c r="H91" s="17" t="n">
        <v>107</v>
      </c>
      <c r="I91" s="17" t="n">
        <v>48</v>
      </c>
      <c r="J91" s="17" t="n">
        <v>5</v>
      </c>
      <c r="K91" s="17" t="n">
        <v>0</v>
      </c>
      <c r="L91" s="17" t="inlineStr">
        <is>
          <t>Tinggi</t>
        </is>
      </c>
    </row>
    <row r="92" s="1">
      <c r="A92" s="17">
        <f>RANDBETWEEN(2,164)</f>
        <v/>
      </c>
      <c r="B92" s="17">
        <f t="array" ref="B92">INDEX(Data_DBD!$B:$B,$A92)</f>
        <v/>
      </c>
      <c r="C92" s="17">
        <f t="array" ref="C92">INDEX(Data_DBD!$C:$C,$A92)</f>
        <v/>
      </c>
      <c r="D92" s="17">
        <f t="array" ref="D92">INDEX(Data_DBD!$E:$E,$A92)</f>
        <v/>
      </c>
      <c r="E92" s="17">
        <f t="array" ref="E92">INDEX(Data_DBD!$F:$F,$A92)</f>
        <v/>
      </c>
      <c r="H92" s="17" t="n">
        <v>162</v>
      </c>
      <c r="I92" s="17" t="n">
        <v>22</v>
      </c>
      <c r="J92" s="17" t="n">
        <v>3</v>
      </c>
      <c r="K92" s="17" t="n">
        <v>1</v>
      </c>
      <c r="L92" s="17" t="inlineStr">
        <is>
          <t>Rendah</t>
        </is>
      </c>
    </row>
    <row r="93" s="1">
      <c r="A93" s="17">
        <f>RANDBETWEEN(2,164)</f>
        <v/>
      </c>
      <c r="B93" s="17">
        <f t="array" ref="B93">INDEX(Data_DBD!$B:$B,$A93)</f>
        <v/>
      </c>
      <c r="C93" s="17">
        <f t="array" ref="C93">INDEX(Data_DBD!$C:$C,$A93)</f>
        <v/>
      </c>
      <c r="D93" s="17">
        <f t="array" ref="D93">INDEX(Data_DBD!$E:$E,$A93)</f>
        <v/>
      </c>
      <c r="E93" s="17">
        <f t="array" ref="E93">INDEX(Data_DBD!$F:$F,$A93)</f>
        <v/>
      </c>
      <c r="H93" s="17" t="n">
        <v>21</v>
      </c>
      <c r="I93" s="17" t="n">
        <v>10</v>
      </c>
      <c r="J93" s="17" t="n">
        <v>5</v>
      </c>
      <c r="K93" s="17" t="n">
        <v>1</v>
      </c>
      <c r="L93" s="17" t="inlineStr">
        <is>
          <t>Sedang</t>
        </is>
      </c>
    </row>
    <row r="94" s="1">
      <c r="A94" s="17">
        <f>RANDBETWEEN(2,164)</f>
        <v/>
      </c>
      <c r="B94" s="17">
        <f t="array" ref="B94">INDEX(Data_DBD!$B:$B,$A94)</f>
        <v/>
      </c>
      <c r="C94" s="17">
        <f t="array" ref="C94">INDEX(Data_DBD!$C:$C,$A94)</f>
        <v/>
      </c>
      <c r="D94" s="17">
        <f t="array" ref="D94">INDEX(Data_DBD!$E:$E,$A94)</f>
        <v/>
      </c>
      <c r="E94" s="17">
        <f t="array" ref="E94">INDEX(Data_DBD!$F:$F,$A94)</f>
        <v/>
      </c>
      <c r="H94" s="17" t="n">
        <v>22</v>
      </c>
      <c r="I94" s="17" t="n">
        <v>6</v>
      </c>
      <c r="J94" s="17" t="n">
        <v>3</v>
      </c>
      <c r="K94" s="17" t="n">
        <v>0</v>
      </c>
      <c r="L94" s="17" t="inlineStr">
        <is>
          <t>Sedang</t>
        </is>
      </c>
    </row>
    <row r="95" s="1">
      <c r="A95" s="17">
        <f>RANDBETWEEN(2,164)</f>
        <v/>
      </c>
      <c r="B95" s="17">
        <f t="array" ref="B95">INDEX(Data_DBD!$B:$B,$A95)</f>
        <v/>
      </c>
      <c r="C95" s="17">
        <f t="array" ref="C95">INDEX(Data_DBD!$C:$C,$A95)</f>
        <v/>
      </c>
      <c r="D95" s="17">
        <f t="array" ref="D95">INDEX(Data_DBD!$E:$E,$A95)</f>
        <v/>
      </c>
      <c r="E95" s="17">
        <f t="array" ref="E95">INDEX(Data_DBD!$F:$F,$A95)</f>
        <v/>
      </c>
      <c r="H95" s="17" t="n">
        <v>96</v>
      </c>
      <c r="I95" s="17" t="n">
        <v>56</v>
      </c>
      <c r="J95" s="17" t="n">
        <v>4</v>
      </c>
      <c r="K95" s="17" t="n">
        <v>0</v>
      </c>
      <c r="L95" s="17" t="inlineStr">
        <is>
          <t>Tinggi</t>
        </is>
      </c>
    </row>
    <row r="96" s="1">
      <c r="A96" s="17">
        <f>RANDBETWEEN(2,164)</f>
        <v/>
      </c>
      <c r="B96" s="17">
        <f t="array" ref="B96">INDEX(Data_DBD!$B:$B,$A96)</f>
        <v/>
      </c>
      <c r="C96" s="17">
        <f t="array" ref="C96">INDEX(Data_DBD!$C:$C,$A96)</f>
        <v/>
      </c>
      <c r="D96" s="17">
        <f t="array" ref="D96">INDEX(Data_DBD!$E:$E,$A96)</f>
        <v/>
      </c>
      <c r="E96" s="17">
        <f t="array" ref="E96">INDEX(Data_DBD!$F:$F,$A96)</f>
        <v/>
      </c>
      <c r="H96" s="17" t="n">
        <v>92</v>
      </c>
      <c r="I96" s="17" t="n">
        <v>55</v>
      </c>
      <c r="J96" s="17" t="n">
        <v>7</v>
      </c>
      <c r="K96" s="17" t="n">
        <v>0</v>
      </c>
      <c r="L96" s="17" t="inlineStr">
        <is>
          <t>Tinggi</t>
        </is>
      </c>
    </row>
    <row r="97" s="1">
      <c r="A97" s="17">
        <f>RANDBETWEEN(2,164)</f>
        <v/>
      </c>
      <c r="B97" s="17">
        <f t="array" ref="B97">INDEX(Data_DBD!$B:$B,$A97)</f>
        <v/>
      </c>
      <c r="C97" s="17">
        <f t="array" ref="C97">INDEX(Data_DBD!$C:$C,$A97)</f>
        <v/>
      </c>
      <c r="D97" s="17">
        <f t="array" ref="D97">INDEX(Data_DBD!$E:$E,$A97)</f>
        <v/>
      </c>
      <c r="E97" s="17">
        <f t="array" ref="E97">INDEX(Data_DBD!$F:$F,$A97)</f>
        <v/>
      </c>
      <c r="H97" s="17" t="n">
        <v>158</v>
      </c>
      <c r="I97" s="17" t="n">
        <v>5</v>
      </c>
      <c r="J97" s="17" t="n">
        <v>2</v>
      </c>
      <c r="K97" s="17" t="n">
        <v>0</v>
      </c>
      <c r="L97" s="17" t="inlineStr">
        <is>
          <t>Tinggi</t>
        </is>
      </c>
    </row>
    <row r="98" s="1">
      <c r="A98" s="17">
        <f>RANDBETWEEN(2,164)</f>
        <v/>
      </c>
      <c r="B98" s="17">
        <f t="array" ref="B98">INDEX(Data_DBD!$B:$B,$A98)</f>
        <v/>
      </c>
      <c r="C98" s="17">
        <f t="array" ref="C98">INDEX(Data_DBD!$C:$C,$A98)</f>
        <v/>
      </c>
      <c r="D98" s="17">
        <f t="array" ref="D98">INDEX(Data_DBD!$E:$E,$A98)</f>
        <v/>
      </c>
      <c r="E98" s="17">
        <f t="array" ref="E98">INDEX(Data_DBD!$F:$F,$A98)</f>
        <v/>
      </c>
      <c r="H98" s="17" t="n">
        <v>113</v>
      </c>
      <c r="I98" s="17" t="n">
        <v>69</v>
      </c>
      <c r="J98" s="17" t="n">
        <v>1</v>
      </c>
      <c r="K98" s="17" t="n">
        <v>1</v>
      </c>
      <c r="L98" s="17" t="inlineStr">
        <is>
          <t>Tinggi</t>
        </is>
      </c>
    </row>
    <row r="99" s="1">
      <c r="A99" s="17">
        <f>RANDBETWEEN(2,164)</f>
        <v/>
      </c>
      <c r="B99" s="17">
        <f t="array" ref="B99">INDEX(Data_DBD!$B:$B,$A99)</f>
        <v/>
      </c>
      <c r="C99" s="17">
        <f t="array" ref="C99">INDEX(Data_DBD!$C:$C,$A99)</f>
        <v/>
      </c>
      <c r="D99" s="17">
        <f t="array" ref="D99">INDEX(Data_DBD!$E:$E,$A99)</f>
        <v/>
      </c>
      <c r="E99" s="17">
        <f t="array" ref="E99">INDEX(Data_DBD!$F:$F,$A99)</f>
        <v/>
      </c>
      <c r="H99" s="17" t="n">
        <v>57</v>
      </c>
      <c r="I99" s="17" t="n">
        <v>2</v>
      </c>
      <c r="J99" s="17" t="n">
        <v>2</v>
      </c>
      <c r="K99" s="17" t="n">
        <v>1</v>
      </c>
      <c r="L99" s="17" t="inlineStr">
        <is>
          <t>Sedang</t>
        </is>
      </c>
    </row>
    <row r="100" s="1">
      <c r="A100" s="17">
        <f>RANDBETWEEN(2,164)</f>
        <v/>
      </c>
      <c r="B100" s="17">
        <f t="array" ref="B100">INDEX(Data_DBD!$B:$B,$A100)</f>
        <v/>
      </c>
      <c r="C100" s="17">
        <f t="array" ref="C100">INDEX(Data_DBD!$C:$C,$A100)</f>
        <v/>
      </c>
      <c r="D100" s="17">
        <f t="array" ref="D100">INDEX(Data_DBD!$E:$E,$A100)</f>
        <v/>
      </c>
      <c r="E100" s="17">
        <f t="array" ref="E100">INDEX(Data_DBD!$F:$F,$A100)</f>
        <v/>
      </c>
      <c r="H100" s="17" t="n">
        <v>87</v>
      </c>
      <c r="I100" s="17" t="n">
        <v>21</v>
      </c>
      <c r="J100" s="17" t="n">
        <v>3</v>
      </c>
      <c r="K100" s="17" t="n">
        <v>0</v>
      </c>
      <c r="L100" s="17" t="inlineStr">
        <is>
          <t>Sedang</t>
        </is>
      </c>
    </row>
    <row r="101" s="1">
      <c r="A101" s="17">
        <f>RANDBETWEEN(2,164)</f>
        <v/>
      </c>
      <c r="B101" s="17">
        <f t="array" ref="B101">INDEX(Data_DBD!$B:$B,$A101)</f>
        <v/>
      </c>
      <c r="C101" s="17">
        <f t="array" ref="C101">INDEX(Data_DBD!$C:$C,$A101)</f>
        <v/>
      </c>
      <c r="D101" s="17">
        <f t="array" ref="D101">INDEX(Data_DBD!$E:$E,$A101)</f>
        <v/>
      </c>
      <c r="E101" s="17">
        <f t="array" ref="E101">INDEX(Data_DBD!$F:$F,$A101)</f>
        <v/>
      </c>
      <c r="H101" s="17" t="n">
        <v>72</v>
      </c>
      <c r="I101" s="17" t="n">
        <v>3</v>
      </c>
      <c r="J101" s="17" t="n">
        <v>5</v>
      </c>
      <c r="K101" s="17" t="n">
        <v>1</v>
      </c>
      <c r="L101" s="17" t="inlineStr">
        <is>
          <t>Sedang</t>
        </is>
      </c>
    </row>
    <row r="102" s="1">
      <c r="A102" s="17">
        <f>RANDBETWEEN(2,164)</f>
        <v/>
      </c>
      <c r="B102" s="17">
        <f t="array" ref="B102">INDEX(Data_DBD!$B:$B,$A102)</f>
        <v/>
      </c>
      <c r="C102" s="17">
        <f t="array" ref="C102">INDEX(Data_DBD!$C:$C,$A102)</f>
        <v/>
      </c>
      <c r="D102" s="17">
        <f t="array" ref="D102">INDEX(Data_DBD!$E:$E,$A102)</f>
        <v/>
      </c>
      <c r="E102" s="17">
        <f t="array" ref="E102">INDEX(Data_DBD!$F:$F,$A102)</f>
        <v/>
      </c>
      <c r="H102" s="17" t="n">
        <v>50</v>
      </c>
      <c r="I102" s="17" t="n">
        <v>19</v>
      </c>
      <c r="J102" s="17" t="n">
        <v>5</v>
      </c>
      <c r="K102" s="17" t="n">
        <v>0</v>
      </c>
      <c r="L102" s="17" t="inlineStr">
        <is>
          <t>Sedang</t>
        </is>
      </c>
    </row>
    <row r="103" s="1">
      <c r="A103" s="17">
        <f>RANDBETWEEN(2,164)</f>
        <v/>
      </c>
      <c r="B103" s="17">
        <f t="array" ref="B103">INDEX(Data_DBD!$B:$B,$A103)</f>
        <v/>
      </c>
      <c r="C103" s="17">
        <f t="array" ref="C103">INDEX(Data_DBD!$C:$C,$A103)</f>
        <v/>
      </c>
      <c r="D103" s="17">
        <f t="array" ref="D103">INDEX(Data_DBD!$E:$E,$A103)</f>
        <v/>
      </c>
      <c r="E103" s="17">
        <f t="array" ref="E103">INDEX(Data_DBD!$F:$F,$A103)</f>
        <v/>
      </c>
      <c r="H103" s="17" t="n">
        <v>114</v>
      </c>
      <c r="I103" s="17" t="n">
        <v>14</v>
      </c>
      <c r="J103" s="17" t="n">
        <v>2</v>
      </c>
      <c r="K103" s="17" t="n">
        <v>1</v>
      </c>
      <c r="L103" s="17" t="inlineStr">
        <is>
          <t>Tinggi</t>
        </is>
      </c>
    </row>
    <row r="104" s="1">
      <c r="A104" s="17">
        <f>RANDBETWEEN(2,164)</f>
        <v/>
      </c>
      <c r="B104" s="17">
        <f t="array" ref="B104">INDEX(Data_DBD!$B:$B,$A104)</f>
        <v/>
      </c>
      <c r="C104" s="17">
        <f t="array" ref="C104">INDEX(Data_DBD!$C:$C,$A104)</f>
        <v/>
      </c>
      <c r="D104" s="17">
        <f t="array" ref="D104">INDEX(Data_DBD!$E:$E,$A104)</f>
        <v/>
      </c>
      <c r="E104" s="17">
        <f t="array" ref="E104">INDEX(Data_DBD!$F:$F,$A104)</f>
        <v/>
      </c>
      <c r="H104" s="17" t="n">
        <v>26</v>
      </c>
      <c r="I104" s="17" t="n">
        <v>75</v>
      </c>
      <c r="J104" s="17" t="n">
        <v>4</v>
      </c>
      <c r="K104" s="17" t="n">
        <v>1</v>
      </c>
      <c r="L104" s="17" t="inlineStr">
        <is>
          <t>Sedang</t>
        </is>
      </c>
    </row>
    <row r="105" s="1">
      <c r="A105" s="17">
        <f>RANDBETWEEN(2,164)</f>
        <v/>
      </c>
      <c r="B105" s="17">
        <f t="array" ref="B105">INDEX(Data_DBD!$B:$B,$A105)</f>
        <v/>
      </c>
      <c r="C105" s="17">
        <f t="array" ref="C105">INDEX(Data_DBD!$C:$C,$A105)</f>
        <v/>
      </c>
      <c r="D105" s="17">
        <f t="array" ref="D105">INDEX(Data_DBD!$E:$E,$A105)</f>
        <v/>
      </c>
      <c r="E105" s="17">
        <f t="array" ref="E105">INDEX(Data_DBD!$F:$F,$A105)</f>
        <v/>
      </c>
      <c r="H105" s="17" t="n">
        <v>31</v>
      </c>
      <c r="I105" s="17" t="n">
        <v>64</v>
      </c>
      <c r="J105" s="17" t="n">
        <v>4</v>
      </c>
      <c r="K105" s="17" t="n">
        <v>1</v>
      </c>
      <c r="L105" s="17" t="inlineStr">
        <is>
          <t>Sedang</t>
        </is>
      </c>
    </row>
    <row r="106" s="1">
      <c r="A106" s="17">
        <f>RANDBETWEEN(2,164)</f>
        <v/>
      </c>
      <c r="B106" s="17">
        <f t="array" ref="B106">INDEX(Data_DBD!$B:$B,$A106)</f>
        <v/>
      </c>
      <c r="C106" s="17">
        <f t="array" ref="C106">INDEX(Data_DBD!$C:$C,$A106)</f>
        <v/>
      </c>
      <c r="D106" s="17">
        <f t="array" ref="D106">INDEX(Data_DBD!$E:$E,$A106)</f>
        <v/>
      </c>
      <c r="E106" s="17">
        <f t="array" ref="E106">INDEX(Data_DBD!$F:$F,$A106)</f>
        <v/>
      </c>
      <c r="H106" s="17" t="n">
        <v>15</v>
      </c>
      <c r="I106" s="17" t="n">
        <v>21</v>
      </c>
      <c r="J106" s="17" t="n">
        <v>2</v>
      </c>
      <c r="K106" s="17" t="n">
        <v>0</v>
      </c>
      <c r="L106" s="17" t="inlineStr">
        <is>
          <t>Rendah</t>
        </is>
      </c>
    </row>
    <row r="107" s="1">
      <c r="A107" s="17">
        <f>RANDBETWEEN(2,164)</f>
        <v/>
      </c>
      <c r="B107" s="17">
        <f t="array" ref="B107">INDEX(Data_DBD!$B:$B,$A107)</f>
        <v/>
      </c>
      <c r="C107" s="17">
        <f t="array" ref="C107">INDEX(Data_DBD!$C:$C,$A107)</f>
        <v/>
      </c>
      <c r="D107" s="17">
        <f t="array" ref="D107">INDEX(Data_DBD!$E:$E,$A107)</f>
        <v/>
      </c>
      <c r="E107" s="17">
        <f t="array" ref="E107">INDEX(Data_DBD!$F:$F,$A107)</f>
        <v/>
      </c>
      <c r="H107" s="17" t="n">
        <v>107</v>
      </c>
      <c r="I107" s="17" t="n">
        <v>48</v>
      </c>
      <c r="J107" s="17" t="n">
        <v>5</v>
      </c>
      <c r="K107" s="17" t="n">
        <v>0</v>
      </c>
      <c r="L107" s="17" t="inlineStr">
        <is>
          <t>Tinggi</t>
        </is>
      </c>
    </row>
    <row r="108" s="1">
      <c r="A108" s="17">
        <f>RANDBETWEEN(2,164)</f>
        <v/>
      </c>
      <c r="B108" s="17">
        <f t="array" ref="B108">INDEX(Data_DBD!$B:$B,$A108)</f>
        <v/>
      </c>
      <c r="C108" s="17">
        <f t="array" ref="C108">INDEX(Data_DBD!$C:$C,$A108)</f>
        <v/>
      </c>
      <c r="D108" s="17">
        <f t="array" ref="D108">INDEX(Data_DBD!$E:$E,$A108)</f>
        <v/>
      </c>
      <c r="E108" s="17">
        <f t="array" ref="E108">INDEX(Data_DBD!$F:$F,$A108)</f>
        <v/>
      </c>
      <c r="H108" s="17" t="n">
        <v>150</v>
      </c>
      <c r="I108" s="17" t="n">
        <v>61</v>
      </c>
      <c r="J108" s="17" t="n">
        <v>5</v>
      </c>
      <c r="K108" s="17" t="n">
        <v>1</v>
      </c>
      <c r="L108" s="17" t="inlineStr">
        <is>
          <t>Tinggi</t>
        </is>
      </c>
    </row>
    <row r="109" s="1">
      <c r="A109" s="17">
        <f>RANDBETWEEN(2,164)</f>
        <v/>
      </c>
      <c r="B109" s="17">
        <f t="array" ref="B109">INDEX(Data_DBD!$B:$B,$A109)</f>
        <v/>
      </c>
      <c r="C109" s="17">
        <f t="array" ref="C109">INDEX(Data_DBD!$C:$C,$A109)</f>
        <v/>
      </c>
      <c r="D109" s="17">
        <f t="array" ref="D109">INDEX(Data_DBD!$E:$E,$A109)</f>
        <v/>
      </c>
      <c r="E109" s="17">
        <f t="array" ref="E109">INDEX(Data_DBD!$F:$F,$A109)</f>
        <v/>
      </c>
      <c r="H109" s="17" t="n">
        <v>113</v>
      </c>
      <c r="I109" s="17" t="n">
        <v>69</v>
      </c>
      <c r="J109" s="17" t="n">
        <v>1</v>
      </c>
      <c r="K109" s="17" t="n">
        <v>1</v>
      </c>
      <c r="L109" s="17" t="inlineStr">
        <is>
          <t>Tinggi</t>
        </is>
      </c>
    </row>
    <row r="110" s="1">
      <c r="A110" s="17">
        <f>RANDBETWEEN(2,164)</f>
        <v/>
      </c>
      <c r="B110" s="17">
        <f t="array" ref="B110">INDEX(Data_DBD!$B:$B,$A110)</f>
        <v/>
      </c>
      <c r="C110" s="17">
        <f t="array" ref="C110">INDEX(Data_DBD!$C:$C,$A110)</f>
        <v/>
      </c>
      <c r="D110" s="17">
        <f t="array" ref="D110">INDEX(Data_DBD!$E:$E,$A110)</f>
        <v/>
      </c>
      <c r="E110" s="17">
        <f t="array" ref="E110">INDEX(Data_DBD!$F:$F,$A110)</f>
        <v/>
      </c>
      <c r="H110" s="17" t="n">
        <v>67</v>
      </c>
      <c r="I110" s="17" t="n">
        <v>21</v>
      </c>
      <c r="J110" s="17" t="n">
        <v>3</v>
      </c>
      <c r="K110" s="17" t="n">
        <v>1</v>
      </c>
      <c r="L110" s="17" t="inlineStr">
        <is>
          <t>Sedang</t>
        </is>
      </c>
    </row>
    <row r="111" s="1">
      <c r="A111" s="17">
        <f>RANDBETWEEN(2,164)</f>
        <v/>
      </c>
      <c r="B111" s="17">
        <f t="array" ref="B111">INDEX(Data_DBD!$B:$B,$A111)</f>
        <v/>
      </c>
      <c r="C111" s="17">
        <f t="array" ref="C111">INDEX(Data_DBD!$C:$C,$A111)</f>
        <v/>
      </c>
      <c r="D111" s="17">
        <f t="array" ref="D111">INDEX(Data_DBD!$E:$E,$A111)</f>
        <v/>
      </c>
      <c r="E111" s="17">
        <f t="array" ref="E111">INDEX(Data_DBD!$F:$F,$A111)</f>
        <v/>
      </c>
      <c r="H111" s="17" t="n">
        <v>125</v>
      </c>
      <c r="I111" s="17" t="n">
        <v>39</v>
      </c>
      <c r="J111" s="17" t="n">
        <v>4</v>
      </c>
      <c r="K111" s="17" t="n">
        <v>0</v>
      </c>
      <c r="L111" s="17" t="inlineStr">
        <is>
          <t>Tinggi</t>
        </is>
      </c>
    </row>
    <row r="112" s="1">
      <c r="A112" s="17">
        <f>RANDBETWEEN(2,164)</f>
        <v/>
      </c>
      <c r="B112" s="17">
        <f t="array" ref="B112">INDEX(Data_DBD!$B:$B,$A112)</f>
        <v/>
      </c>
      <c r="C112" s="17">
        <f t="array" ref="C112">INDEX(Data_DBD!$C:$C,$A112)</f>
        <v/>
      </c>
      <c r="D112" s="17">
        <f t="array" ref="D112">INDEX(Data_DBD!$E:$E,$A112)</f>
        <v/>
      </c>
      <c r="E112" s="17">
        <f t="array" ref="E112">INDEX(Data_DBD!$F:$F,$A112)</f>
        <v/>
      </c>
      <c r="H112" s="17" t="n">
        <v>13</v>
      </c>
      <c r="I112" s="17" t="n">
        <v>47</v>
      </c>
      <c r="J112" s="17" t="n">
        <v>2</v>
      </c>
      <c r="K112" s="17" t="n">
        <v>0</v>
      </c>
      <c r="L112" s="17" t="inlineStr">
        <is>
          <t>Sedang</t>
        </is>
      </c>
    </row>
    <row r="113" s="1">
      <c r="A113" s="17">
        <f>RANDBETWEEN(2,164)</f>
        <v/>
      </c>
      <c r="B113" s="17">
        <f t="array" ref="B113">INDEX(Data_DBD!$B:$B,$A113)</f>
        <v/>
      </c>
      <c r="C113" s="17">
        <f t="array" ref="C113">INDEX(Data_DBD!$C:$C,$A113)</f>
        <v/>
      </c>
      <c r="D113" s="17">
        <f t="array" ref="D113">INDEX(Data_DBD!$E:$E,$A113)</f>
        <v/>
      </c>
      <c r="E113" s="17">
        <f t="array" ref="E113">INDEX(Data_DBD!$F:$F,$A113)</f>
        <v/>
      </c>
      <c r="H113" s="17" t="n">
        <v>71</v>
      </c>
      <c r="I113" s="17" t="n">
        <v>84</v>
      </c>
      <c r="J113" s="17" t="n">
        <v>3</v>
      </c>
      <c r="K113" s="17" t="n">
        <v>0</v>
      </c>
      <c r="L113" s="17" t="inlineStr">
        <is>
          <t>Sedang</t>
        </is>
      </c>
    </row>
    <row r="114" s="1">
      <c r="A114" s="17">
        <f>RANDBETWEEN(2,164)</f>
        <v/>
      </c>
      <c r="B114" s="17">
        <f t="array" ref="B114">INDEX(Data_DBD!$B:$B,$A114)</f>
        <v/>
      </c>
      <c r="C114" s="17">
        <f t="array" ref="C114">INDEX(Data_DBD!$C:$C,$A114)</f>
        <v/>
      </c>
      <c r="D114" s="17">
        <f t="array" ref="D114">INDEX(Data_DBD!$E:$E,$A114)</f>
        <v/>
      </c>
      <c r="E114" s="17">
        <f t="array" ref="E114">INDEX(Data_DBD!$F:$F,$A114)</f>
        <v/>
      </c>
      <c r="H114" s="17" t="n">
        <v>58</v>
      </c>
      <c r="I114" s="17" t="n">
        <v>17</v>
      </c>
      <c r="J114" s="17" t="n">
        <v>3</v>
      </c>
      <c r="K114" s="17" t="n">
        <v>0</v>
      </c>
      <c r="L114" s="17" t="inlineStr">
        <is>
          <t>Sedang</t>
        </is>
      </c>
    </row>
    <row r="115" s="1">
      <c r="A115" s="17">
        <f>RANDBETWEEN(2,164)</f>
        <v/>
      </c>
      <c r="B115" s="17">
        <f t="array" ref="B115">INDEX(Data_DBD!$B:$B,$A115)</f>
        <v/>
      </c>
      <c r="C115" s="17">
        <f t="array" ref="C115">INDEX(Data_DBD!$C:$C,$A115)</f>
        <v/>
      </c>
      <c r="D115" s="17">
        <f t="array" ref="D115">INDEX(Data_DBD!$E:$E,$A115)</f>
        <v/>
      </c>
      <c r="E115" s="17">
        <f t="array" ref="E115">INDEX(Data_DBD!$F:$F,$A115)</f>
        <v/>
      </c>
      <c r="H115" s="17" t="n">
        <v>132</v>
      </c>
      <c r="I115" s="17" t="n">
        <v>10</v>
      </c>
      <c r="J115" s="17" t="n">
        <v>3</v>
      </c>
      <c r="K115" s="17" t="n">
        <v>1</v>
      </c>
      <c r="L115" s="17" t="inlineStr">
        <is>
          <t>Tinggi</t>
        </is>
      </c>
    </row>
    <row r="116" s="1">
      <c r="A116" s="17">
        <f>RANDBETWEEN(2,164)</f>
        <v/>
      </c>
      <c r="B116" s="17">
        <f t="array" ref="B116">INDEX(Data_DBD!$B:$B,$A116)</f>
        <v/>
      </c>
      <c r="C116" s="17">
        <f t="array" ref="C116">INDEX(Data_DBD!$C:$C,$A116)</f>
        <v/>
      </c>
      <c r="D116" s="17">
        <f t="array" ref="D116">INDEX(Data_DBD!$E:$E,$A116)</f>
        <v/>
      </c>
      <c r="E116" s="17">
        <f t="array" ref="E116">INDEX(Data_DBD!$F:$F,$A116)</f>
        <v/>
      </c>
      <c r="H116" s="17" t="n">
        <v>137</v>
      </c>
      <c r="I116" s="17" t="n">
        <v>3</v>
      </c>
      <c r="J116" s="17" t="n">
        <v>1</v>
      </c>
      <c r="K116" s="17" t="n">
        <v>1</v>
      </c>
      <c r="L116" s="17" t="inlineStr">
        <is>
          <t>Tinggi</t>
        </is>
      </c>
    </row>
    <row r="117" s="1">
      <c r="A117" s="17">
        <f>RANDBETWEEN(2,164)</f>
        <v/>
      </c>
      <c r="B117" s="17">
        <f t="array" ref="B117">INDEX(Data_DBD!$B:$B,$A117)</f>
        <v/>
      </c>
      <c r="C117" s="17">
        <f t="array" ref="C117">INDEX(Data_DBD!$C:$C,$A117)</f>
        <v/>
      </c>
      <c r="D117" s="17">
        <f t="array" ref="D117">INDEX(Data_DBD!$E:$E,$A117)</f>
        <v/>
      </c>
      <c r="E117" s="17">
        <f t="array" ref="E117">INDEX(Data_DBD!$F:$F,$A117)</f>
        <v/>
      </c>
      <c r="H117" s="17" t="n">
        <v>82</v>
      </c>
      <c r="I117" s="17" t="n">
        <v>28</v>
      </c>
      <c r="J117" s="17" t="n">
        <v>3</v>
      </c>
      <c r="K117" s="17" t="n">
        <v>1</v>
      </c>
      <c r="L117" s="17" t="inlineStr">
        <is>
          <t>Sedang</t>
        </is>
      </c>
    </row>
    <row r="118" s="1">
      <c r="A118" s="17">
        <f>RANDBETWEEN(2,164)</f>
        <v/>
      </c>
      <c r="B118" s="17">
        <f t="array" ref="B118">INDEX(Data_DBD!$B:$B,$A118)</f>
        <v/>
      </c>
      <c r="C118" s="17">
        <f t="array" ref="C118">INDEX(Data_DBD!$C:$C,$A118)</f>
        <v/>
      </c>
      <c r="D118" s="17">
        <f t="array" ref="D118">INDEX(Data_DBD!$E:$E,$A118)</f>
        <v/>
      </c>
      <c r="E118" s="17">
        <f t="array" ref="E118">INDEX(Data_DBD!$F:$F,$A118)</f>
        <v/>
      </c>
      <c r="H118" s="17" t="n">
        <v>97</v>
      </c>
      <c r="I118" s="17" t="n">
        <v>16</v>
      </c>
      <c r="J118" s="17" t="n">
        <v>2</v>
      </c>
      <c r="K118" s="17" t="n">
        <v>1</v>
      </c>
      <c r="L118" s="17" t="inlineStr">
        <is>
          <t>Tinggi</t>
        </is>
      </c>
    </row>
    <row r="119" s="1">
      <c r="A119" s="17">
        <f>RANDBETWEEN(2,164)</f>
        <v/>
      </c>
      <c r="B119" s="17">
        <f t="array" ref="B119">INDEX(Data_DBD!$B:$B,$A119)</f>
        <v/>
      </c>
      <c r="C119" s="17">
        <f t="array" ref="C119">INDEX(Data_DBD!$C:$C,$A119)</f>
        <v/>
      </c>
      <c r="D119" s="17">
        <f t="array" ref="D119">INDEX(Data_DBD!$E:$E,$A119)</f>
        <v/>
      </c>
      <c r="E119" s="17">
        <f t="array" ref="E119">INDEX(Data_DBD!$F:$F,$A119)</f>
        <v/>
      </c>
      <c r="H119" s="17" t="n">
        <v>39</v>
      </c>
      <c r="I119" s="17" t="n">
        <v>12</v>
      </c>
      <c r="J119" s="17" t="n">
        <v>5</v>
      </c>
      <c r="K119" s="17" t="n">
        <v>1</v>
      </c>
      <c r="L119" s="17" t="inlineStr">
        <is>
          <t>Sedang</t>
        </is>
      </c>
    </row>
    <row r="120" s="1">
      <c r="A120" s="17">
        <f>RANDBETWEEN(2,164)</f>
        <v/>
      </c>
      <c r="B120" s="17">
        <f t="array" ref="B120">INDEX(Data_DBD!$B:$B,$A120)</f>
        <v/>
      </c>
      <c r="C120" s="17">
        <f t="array" ref="C120">INDEX(Data_DBD!$C:$C,$A120)</f>
        <v/>
      </c>
      <c r="D120" s="17">
        <f t="array" ref="D120">INDEX(Data_DBD!$E:$E,$A120)</f>
        <v/>
      </c>
      <c r="E120" s="17">
        <f t="array" ref="E120">INDEX(Data_DBD!$F:$F,$A120)</f>
        <v/>
      </c>
      <c r="H120" s="17" t="n">
        <v>47</v>
      </c>
      <c r="I120" s="17" t="n">
        <v>19</v>
      </c>
      <c r="J120" s="17" t="n">
        <v>2</v>
      </c>
      <c r="K120" s="17" t="n">
        <v>0</v>
      </c>
      <c r="L120" s="17" t="inlineStr">
        <is>
          <t>Sedang</t>
        </is>
      </c>
    </row>
    <row r="121" s="1">
      <c r="A121" s="17">
        <f>RANDBETWEEN(2,164)</f>
        <v/>
      </c>
      <c r="B121" s="17">
        <f t="array" ref="B121">INDEX(Data_DBD!$B:$B,$A121)</f>
        <v/>
      </c>
      <c r="C121" s="17">
        <f t="array" ref="C121">INDEX(Data_DBD!$C:$C,$A121)</f>
        <v/>
      </c>
      <c r="D121" s="17">
        <f t="array" ref="D121">INDEX(Data_DBD!$E:$E,$A121)</f>
        <v/>
      </c>
      <c r="E121" s="17">
        <f t="array" ref="E121">INDEX(Data_DBD!$F:$F,$A121)</f>
        <v/>
      </c>
      <c r="H121" s="17" t="n">
        <v>87</v>
      </c>
      <c r="I121" s="17" t="n">
        <v>21</v>
      </c>
      <c r="J121" s="17" t="n">
        <v>3</v>
      </c>
      <c r="K121" s="17" t="n">
        <v>0</v>
      </c>
      <c r="L121" s="17" t="inlineStr">
        <is>
          <t>Sedang</t>
        </is>
      </c>
    </row>
    <row r="122" s="1">
      <c r="A122" s="17">
        <f>RANDBETWEEN(2,164)</f>
        <v/>
      </c>
      <c r="B122" s="17">
        <f t="array" ref="B122">INDEX(Data_DBD!$B:$B,$A122)</f>
        <v/>
      </c>
      <c r="C122" s="17">
        <f t="array" ref="C122">INDEX(Data_DBD!$C:$C,$A122)</f>
        <v/>
      </c>
      <c r="D122" s="17">
        <f t="array" ref="D122">INDEX(Data_DBD!$E:$E,$A122)</f>
        <v/>
      </c>
      <c r="E122" s="17">
        <f t="array" ref="E122">INDEX(Data_DBD!$F:$F,$A122)</f>
        <v/>
      </c>
      <c r="H122" s="17" t="n">
        <v>31</v>
      </c>
      <c r="I122" s="17" t="n">
        <v>64</v>
      </c>
      <c r="J122" s="17" t="n">
        <v>4</v>
      </c>
      <c r="K122" s="17" t="n">
        <v>1</v>
      </c>
      <c r="L122" s="17" t="inlineStr">
        <is>
          <t>Sedang</t>
        </is>
      </c>
    </row>
    <row r="123" s="1">
      <c r="A123" s="17">
        <f>RANDBETWEEN(2,164)</f>
        <v/>
      </c>
      <c r="B123" s="17">
        <f t="array" ref="B123">INDEX(Data_DBD!$B:$B,$A123)</f>
        <v/>
      </c>
      <c r="C123" s="17">
        <f t="array" ref="C123">INDEX(Data_DBD!$C:$C,$A123)</f>
        <v/>
      </c>
      <c r="D123" s="17">
        <f t="array" ref="D123">INDEX(Data_DBD!$E:$E,$A123)</f>
        <v/>
      </c>
      <c r="E123" s="17">
        <f t="array" ref="E123">INDEX(Data_DBD!$F:$F,$A123)</f>
        <v/>
      </c>
      <c r="H123" s="17" t="n">
        <v>78</v>
      </c>
      <c r="I123" s="17" t="n">
        <v>6</v>
      </c>
      <c r="J123" s="17" t="n">
        <v>3</v>
      </c>
      <c r="K123" s="17" t="n">
        <v>0</v>
      </c>
      <c r="L123" s="17" t="inlineStr">
        <is>
          <t>Sedang</t>
        </is>
      </c>
    </row>
    <row r="124" s="1">
      <c r="A124" s="17">
        <f>RANDBETWEEN(2,164)</f>
        <v/>
      </c>
      <c r="B124" s="17">
        <f t="array" ref="B124">INDEX(Data_DBD!$B:$B,$A124)</f>
        <v/>
      </c>
      <c r="C124" s="17">
        <f t="array" ref="C124">INDEX(Data_DBD!$C:$C,$A124)</f>
        <v/>
      </c>
      <c r="D124" s="17">
        <f t="array" ref="D124">INDEX(Data_DBD!$E:$E,$A124)</f>
        <v/>
      </c>
      <c r="E124" s="17">
        <f t="array" ref="E124">INDEX(Data_DBD!$F:$F,$A124)</f>
        <v/>
      </c>
      <c r="H124" s="17" t="n">
        <v>56</v>
      </c>
      <c r="I124" s="17" t="n">
        <v>4</v>
      </c>
      <c r="J124" s="17" t="n">
        <v>3</v>
      </c>
      <c r="K124" s="17" t="n">
        <v>0</v>
      </c>
      <c r="L124" s="17" t="inlineStr">
        <is>
          <t>Sedang</t>
        </is>
      </c>
    </row>
    <row r="125" s="1">
      <c r="A125" s="17">
        <f>RANDBETWEEN(2,164)</f>
        <v/>
      </c>
      <c r="B125" s="17">
        <f t="array" ref="B125">INDEX(Data_DBD!$B:$B,$A125)</f>
        <v/>
      </c>
      <c r="C125" s="17">
        <f t="array" ref="C125">INDEX(Data_DBD!$C:$C,$A125)</f>
        <v/>
      </c>
      <c r="D125" s="17">
        <f t="array" ref="D125">INDEX(Data_DBD!$E:$E,$A125)</f>
        <v/>
      </c>
      <c r="E125" s="17">
        <f t="array" ref="E125">INDEX(Data_DBD!$F:$F,$A125)</f>
        <v/>
      </c>
      <c r="H125" s="17" t="n">
        <v>62</v>
      </c>
      <c r="I125" s="17" t="n">
        <v>43</v>
      </c>
      <c r="J125" s="17" t="n">
        <v>4</v>
      </c>
      <c r="K125" s="17" t="n">
        <v>1</v>
      </c>
      <c r="L125" s="17" t="inlineStr">
        <is>
          <t>Sedang</t>
        </is>
      </c>
    </row>
    <row r="126" s="1">
      <c r="A126" s="17">
        <f>RANDBETWEEN(2,164)</f>
        <v/>
      </c>
      <c r="B126" s="17">
        <f t="array" ref="B126">INDEX(Data_DBD!$B:$B,$A126)</f>
        <v/>
      </c>
      <c r="C126" s="17">
        <f t="array" ref="C126">INDEX(Data_DBD!$C:$C,$A126)</f>
        <v/>
      </c>
      <c r="D126" s="17">
        <f t="array" ref="D126">INDEX(Data_DBD!$E:$E,$A126)</f>
        <v/>
      </c>
      <c r="E126" s="17">
        <f t="array" ref="E126">INDEX(Data_DBD!$F:$F,$A126)</f>
        <v/>
      </c>
      <c r="H126" s="17" t="n">
        <v>70</v>
      </c>
      <c r="I126" s="17" t="n">
        <v>26</v>
      </c>
      <c r="J126" s="17" t="n">
        <v>3</v>
      </c>
      <c r="K126" s="17" t="n">
        <v>1</v>
      </c>
      <c r="L126" s="17" t="inlineStr">
        <is>
          <t>Sedang</t>
        </is>
      </c>
    </row>
    <row r="127" s="1">
      <c r="A127" s="17">
        <f>RANDBETWEEN(2,164)</f>
        <v/>
      </c>
      <c r="B127" s="17">
        <f t="array" ref="B127">INDEX(Data_DBD!$B:$B,$A127)</f>
        <v/>
      </c>
      <c r="C127" s="17">
        <f t="array" ref="C127">INDEX(Data_DBD!$C:$C,$A127)</f>
        <v/>
      </c>
      <c r="D127" s="17">
        <f t="array" ref="D127">INDEX(Data_DBD!$E:$E,$A127)</f>
        <v/>
      </c>
      <c r="E127" s="17">
        <f t="array" ref="E127">INDEX(Data_DBD!$F:$F,$A127)</f>
        <v/>
      </c>
      <c r="H127" s="17" t="n">
        <v>100</v>
      </c>
      <c r="I127" s="17" t="n">
        <v>19</v>
      </c>
      <c r="J127" s="17" t="n">
        <v>6</v>
      </c>
      <c r="K127" s="17" t="n">
        <v>0</v>
      </c>
      <c r="L127" s="17" t="inlineStr">
        <is>
          <t>Tinggi</t>
        </is>
      </c>
    </row>
    <row r="128" s="1">
      <c r="A128" s="17">
        <f>RANDBETWEEN(2,164)</f>
        <v/>
      </c>
      <c r="B128" s="17">
        <f t="array" ref="B128">INDEX(Data_DBD!$B:$B,$A128)</f>
        <v/>
      </c>
      <c r="C128" s="17">
        <f t="array" ref="C128">INDEX(Data_DBD!$C:$C,$A128)</f>
        <v/>
      </c>
      <c r="D128" s="17">
        <f t="array" ref="D128">INDEX(Data_DBD!$E:$E,$A128)</f>
        <v/>
      </c>
      <c r="E128" s="17">
        <f t="array" ref="E128">INDEX(Data_DBD!$F:$F,$A128)</f>
        <v/>
      </c>
      <c r="H128" s="17" t="n">
        <v>93</v>
      </c>
      <c r="I128" s="17" t="n">
        <v>65</v>
      </c>
      <c r="J128" s="17" t="n">
        <v>4</v>
      </c>
      <c r="K128" s="17" t="n">
        <v>0</v>
      </c>
      <c r="L128" s="17" t="inlineStr">
        <is>
          <t>Tinggi</t>
        </is>
      </c>
    </row>
    <row r="129" s="1">
      <c r="A129" s="17">
        <f>RANDBETWEEN(2,164)</f>
        <v/>
      </c>
      <c r="B129" s="17">
        <f t="array" ref="B129">INDEX(Data_DBD!$B:$B,$A129)</f>
        <v/>
      </c>
      <c r="C129" s="17">
        <f t="array" ref="C129">INDEX(Data_DBD!$C:$C,$A129)</f>
        <v/>
      </c>
      <c r="D129" s="17">
        <f t="array" ref="D129">INDEX(Data_DBD!$E:$E,$A129)</f>
        <v/>
      </c>
      <c r="E129" s="17">
        <f t="array" ref="E129">INDEX(Data_DBD!$F:$F,$A129)</f>
        <v/>
      </c>
      <c r="H129" s="17" t="n">
        <v>48</v>
      </c>
      <c r="I129" s="17" t="n">
        <v>50</v>
      </c>
      <c r="J129" s="17" t="n">
        <v>5</v>
      </c>
      <c r="K129" s="17" t="n">
        <v>1</v>
      </c>
      <c r="L129" s="17" t="inlineStr">
        <is>
          <t>Sedang</t>
        </is>
      </c>
    </row>
    <row r="130" s="1">
      <c r="A130" s="17">
        <f>RANDBETWEEN(2,164)</f>
        <v/>
      </c>
      <c r="B130" s="17">
        <f t="array" ref="B130">INDEX(Data_DBD!$B:$B,$A130)</f>
        <v/>
      </c>
      <c r="C130" s="17">
        <f t="array" ref="C130">INDEX(Data_DBD!$C:$C,$A130)</f>
        <v/>
      </c>
      <c r="D130" s="17">
        <f t="array" ref="D130">INDEX(Data_DBD!$E:$E,$A130)</f>
        <v/>
      </c>
      <c r="E130" s="17">
        <f t="array" ref="E130">INDEX(Data_DBD!$F:$F,$A130)</f>
        <v/>
      </c>
      <c r="H130" s="17" t="n">
        <v>143</v>
      </c>
      <c r="I130" s="17" t="n">
        <v>20</v>
      </c>
      <c r="J130" s="17" t="n">
        <v>4</v>
      </c>
      <c r="K130" s="17" t="n">
        <v>1</v>
      </c>
      <c r="L130" s="17" t="inlineStr">
        <is>
          <t>Tinggi</t>
        </is>
      </c>
    </row>
    <row r="131" s="1">
      <c r="A131" s="17">
        <f>RANDBETWEEN(2,164)</f>
        <v/>
      </c>
      <c r="B131" s="17">
        <f t="array" ref="B131">INDEX(Data_DBD!$B:$B,$A131)</f>
        <v/>
      </c>
      <c r="C131" s="17">
        <f t="array" ref="C131">INDEX(Data_DBD!$C:$C,$A131)</f>
        <v/>
      </c>
      <c r="D131" s="17">
        <f t="array" ref="D131">INDEX(Data_DBD!$E:$E,$A131)</f>
        <v/>
      </c>
      <c r="E131" s="17">
        <f t="array" ref="E131">INDEX(Data_DBD!$F:$F,$A131)</f>
        <v/>
      </c>
      <c r="H131" s="17" t="n">
        <v>107</v>
      </c>
      <c r="I131" s="17" t="n">
        <v>48</v>
      </c>
      <c r="J131" s="17" t="n">
        <v>5</v>
      </c>
      <c r="K131" s="17" t="n">
        <v>0</v>
      </c>
      <c r="L131" s="17" t="inlineStr">
        <is>
          <t>Tinggi</t>
        </is>
      </c>
    </row>
    <row r="132" s="1">
      <c r="A132" s="17">
        <f>RANDBETWEEN(2,164)</f>
        <v/>
      </c>
      <c r="B132" s="17">
        <f t="array" ref="B132">INDEX(Data_DBD!$B:$B,$A132)</f>
        <v/>
      </c>
      <c r="C132" s="17">
        <f t="array" ref="C132">INDEX(Data_DBD!$C:$C,$A132)</f>
        <v/>
      </c>
      <c r="D132" s="17">
        <f t="array" ref="D132">INDEX(Data_DBD!$E:$E,$A132)</f>
        <v/>
      </c>
      <c r="E132" s="17">
        <f t="array" ref="E132">INDEX(Data_DBD!$F:$F,$A132)</f>
        <v/>
      </c>
      <c r="H132" s="17" t="n">
        <v>122</v>
      </c>
      <c r="I132" s="17" t="n">
        <v>28</v>
      </c>
      <c r="J132" s="17" t="n">
        <v>3</v>
      </c>
      <c r="K132" s="17" t="n">
        <v>1</v>
      </c>
      <c r="L132" s="17" t="inlineStr">
        <is>
          <t>Tinggi</t>
        </is>
      </c>
    </row>
    <row r="133" s="1">
      <c r="A133" s="17">
        <f>RANDBETWEEN(2,164)</f>
        <v/>
      </c>
      <c r="B133" s="17">
        <f t="array" ref="B133">INDEX(Data_DBD!$B:$B,$A133)</f>
        <v/>
      </c>
      <c r="C133" s="17">
        <f t="array" ref="C133">INDEX(Data_DBD!$C:$C,$A133)</f>
        <v/>
      </c>
      <c r="D133" s="17">
        <f t="array" ref="D133">INDEX(Data_DBD!$E:$E,$A133)</f>
        <v/>
      </c>
      <c r="E133" s="17">
        <f t="array" ref="E133">INDEX(Data_DBD!$F:$F,$A133)</f>
        <v/>
      </c>
      <c r="H133" s="17" t="n">
        <v>47</v>
      </c>
      <c r="I133" s="17" t="n">
        <v>19</v>
      </c>
      <c r="J133" s="17" t="n">
        <v>2</v>
      </c>
      <c r="K133" s="17" t="n">
        <v>0</v>
      </c>
      <c r="L133" s="17" t="inlineStr">
        <is>
          <t>Sedang</t>
        </is>
      </c>
    </row>
    <row r="134" s="1">
      <c r="A134" s="17">
        <f>RANDBETWEEN(2,164)</f>
        <v/>
      </c>
      <c r="B134" s="17">
        <f t="array" ref="B134">INDEX(Data_DBD!$B:$B,$A134)</f>
        <v/>
      </c>
      <c r="C134" s="17">
        <f t="array" ref="C134">INDEX(Data_DBD!$C:$C,$A134)</f>
        <v/>
      </c>
      <c r="D134" s="17">
        <f t="array" ref="D134">INDEX(Data_DBD!$E:$E,$A134)</f>
        <v/>
      </c>
      <c r="E134" s="17">
        <f t="array" ref="E134">INDEX(Data_DBD!$F:$F,$A134)</f>
        <v/>
      </c>
      <c r="H134" s="17" t="n">
        <v>123</v>
      </c>
      <c r="I134" s="17" t="n">
        <v>22</v>
      </c>
      <c r="J134" s="17" t="n">
        <v>4</v>
      </c>
      <c r="K134" s="17" t="n">
        <v>0</v>
      </c>
      <c r="L134" s="17" t="inlineStr">
        <is>
          <t>Tinggi</t>
        </is>
      </c>
    </row>
    <row r="135" s="1">
      <c r="A135" s="17">
        <f>RANDBETWEEN(2,164)</f>
        <v/>
      </c>
      <c r="B135" s="17">
        <f t="array" ref="B135">INDEX(Data_DBD!$B:$B,$A135)</f>
        <v/>
      </c>
      <c r="C135" s="17">
        <f t="array" ref="C135">INDEX(Data_DBD!$C:$C,$A135)</f>
        <v/>
      </c>
      <c r="D135" s="17">
        <f t="array" ref="D135">INDEX(Data_DBD!$E:$E,$A135)</f>
        <v/>
      </c>
      <c r="E135" s="17">
        <f t="array" ref="E135">INDEX(Data_DBD!$F:$F,$A135)</f>
        <v/>
      </c>
      <c r="H135" s="17" t="n">
        <v>97</v>
      </c>
      <c r="I135" s="17" t="n">
        <v>16</v>
      </c>
      <c r="J135" s="17" t="n">
        <v>2</v>
      </c>
      <c r="K135" s="17" t="n">
        <v>1</v>
      </c>
      <c r="L135" s="17" t="inlineStr">
        <is>
          <t>Tinggi</t>
        </is>
      </c>
    </row>
    <row r="136" s="1">
      <c r="A136" s="17">
        <f>RANDBETWEEN(2,164)</f>
        <v/>
      </c>
      <c r="B136" s="17">
        <f t="array" ref="B136">INDEX(Data_DBD!$B:$B,$A136)</f>
        <v/>
      </c>
      <c r="C136" s="17">
        <f t="array" ref="C136">INDEX(Data_DBD!$C:$C,$A136)</f>
        <v/>
      </c>
      <c r="D136" s="17">
        <f t="array" ref="D136">INDEX(Data_DBD!$E:$E,$A136)</f>
        <v/>
      </c>
      <c r="E136" s="17">
        <f t="array" ref="E136">INDEX(Data_DBD!$F:$F,$A136)</f>
        <v/>
      </c>
      <c r="H136" s="17" t="n">
        <v>106</v>
      </c>
      <c r="I136" s="17" t="n">
        <v>23</v>
      </c>
      <c r="J136" s="17" t="n">
        <v>3</v>
      </c>
      <c r="K136" s="17" t="n">
        <v>1</v>
      </c>
      <c r="L136" s="17" t="inlineStr">
        <is>
          <t>Tinggi</t>
        </is>
      </c>
    </row>
    <row r="137" s="1">
      <c r="A137" s="17">
        <f>RANDBETWEEN(2,164)</f>
        <v/>
      </c>
      <c r="B137" s="17">
        <f t="array" ref="B137">INDEX(Data_DBD!$B:$B,$A137)</f>
        <v/>
      </c>
      <c r="C137" s="17">
        <f t="array" ref="C137">INDEX(Data_DBD!$C:$C,$A137)</f>
        <v/>
      </c>
      <c r="D137" s="17">
        <f t="array" ref="D137">INDEX(Data_DBD!$E:$E,$A137)</f>
        <v/>
      </c>
      <c r="E137" s="17">
        <f t="array" ref="E137">INDEX(Data_DBD!$F:$F,$A137)</f>
        <v/>
      </c>
      <c r="H137" s="17" t="n">
        <v>10</v>
      </c>
      <c r="I137" s="17" t="n">
        <v>18</v>
      </c>
      <c r="J137" s="17" t="n">
        <v>5</v>
      </c>
      <c r="K137" s="17" t="n">
        <v>0</v>
      </c>
      <c r="L137" s="17" t="inlineStr">
        <is>
          <t>Sedang</t>
        </is>
      </c>
    </row>
    <row r="138" s="1">
      <c r="A138" s="17">
        <f>RANDBETWEEN(2,164)</f>
        <v/>
      </c>
      <c r="B138" s="17">
        <f t="array" ref="B138">INDEX(Data_DBD!$B:$B,$A138)</f>
        <v/>
      </c>
      <c r="C138" s="17">
        <f t="array" ref="C138">INDEX(Data_DBD!$C:$C,$A138)</f>
        <v/>
      </c>
      <c r="D138" s="17">
        <f t="array" ref="D138">INDEX(Data_DBD!$E:$E,$A138)</f>
        <v/>
      </c>
      <c r="E138" s="17">
        <f t="array" ref="E138">INDEX(Data_DBD!$F:$F,$A138)</f>
        <v/>
      </c>
      <c r="H138" s="17" t="n">
        <v>155</v>
      </c>
      <c r="I138" s="17" t="n">
        <v>19</v>
      </c>
      <c r="J138" s="17" t="n">
        <v>5</v>
      </c>
      <c r="K138" s="17" t="n">
        <v>1</v>
      </c>
      <c r="L138" s="17" t="inlineStr">
        <is>
          <t>Tinggi</t>
        </is>
      </c>
    </row>
    <row r="139" s="1">
      <c r="A139" s="17">
        <f>RANDBETWEEN(2,164)</f>
        <v/>
      </c>
      <c r="B139" s="17">
        <f t="array" ref="B139">INDEX(Data_DBD!$B:$B,$A139)</f>
        <v/>
      </c>
      <c r="C139" s="17">
        <f t="array" ref="C139">INDEX(Data_DBD!$C:$C,$A139)</f>
        <v/>
      </c>
      <c r="D139" s="17">
        <f t="array" ref="D139">INDEX(Data_DBD!$E:$E,$A139)</f>
        <v/>
      </c>
      <c r="E139" s="17">
        <f t="array" ref="E139">INDEX(Data_DBD!$F:$F,$A139)</f>
        <v/>
      </c>
      <c r="H139" s="17" t="n">
        <v>31</v>
      </c>
      <c r="I139" s="17" t="n">
        <v>64</v>
      </c>
      <c r="J139" s="17" t="n">
        <v>4</v>
      </c>
      <c r="K139" s="17" t="n">
        <v>1</v>
      </c>
      <c r="L139" s="17" t="inlineStr">
        <is>
          <t>Sedang</t>
        </is>
      </c>
    </row>
    <row r="140" s="1">
      <c r="A140" s="17">
        <f>RANDBETWEEN(2,164)</f>
        <v/>
      </c>
      <c r="B140" s="17">
        <f t="array" ref="B140">INDEX(Data_DBD!$B:$B,$A140)</f>
        <v/>
      </c>
      <c r="C140" s="17">
        <f t="array" ref="C140">INDEX(Data_DBD!$C:$C,$A140)</f>
        <v/>
      </c>
      <c r="D140" s="17">
        <f t="array" ref="D140">INDEX(Data_DBD!$E:$E,$A140)</f>
        <v/>
      </c>
      <c r="E140" s="17">
        <f t="array" ref="E140">INDEX(Data_DBD!$F:$F,$A140)</f>
        <v/>
      </c>
      <c r="H140" s="17" t="n">
        <v>163</v>
      </c>
      <c r="I140" s="17" t="n">
        <v>34</v>
      </c>
      <c r="J140" s="17" t="n">
        <v>4</v>
      </c>
      <c r="K140" s="17" t="n">
        <v>1</v>
      </c>
      <c r="L140" s="17" t="inlineStr">
        <is>
          <t>Rendah</t>
        </is>
      </c>
    </row>
    <row r="141" s="1">
      <c r="A141" s="17">
        <f>RANDBETWEEN(2,164)</f>
        <v/>
      </c>
      <c r="B141" s="17">
        <f t="array" ref="B141">INDEX(Data_DBD!$B:$B,$A141)</f>
        <v/>
      </c>
      <c r="C141" s="17">
        <f t="array" ref="C141">INDEX(Data_DBD!$C:$C,$A141)</f>
        <v/>
      </c>
      <c r="D141" s="17">
        <f t="array" ref="D141">INDEX(Data_DBD!$E:$E,$A141)</f>
        <v/>
      </c>
      <c r="E141" s="17">
        <f t="array" ref="E141">INDEX(Data_DBD!$F:$F,$A141)</f>
        <v/>
      </c>
      <c r="H141" s="17" t="n">
        <v>26</v>
      </c>
      <c r="I141" s="17" t="n">
        <v>75</v>
      </c>
      <c r="J141" s="17" t="n">
        <v>4</v>
      </c>
      <c r="K141" s="17" t="n">
        <v>1</v>
      </c>
      <c r="L141" s="17" t="inlineStr">
        <is>
          <t>Sedang</t>
        </is>
      </c>
    </row>
    <row r="142" s="1">
      <c r="A142" s="17">
        <f>RANDBETWEEN(2,164)</f>
        <v/>
      </c>
      <c r="B142" s="17">
        <f t="array" ref="B142">INDEX(Data_DBD!$B:$B,$A142)</f>
        <v/>
      </c>
      <c r="C142" s="17">
        <f t="array" ref="C142">INDEX(Data_DBD!$C:$C,$A142)</f>
        <v/>
      </c>
      <c r="D142" s="17">
        <f t="array" ref="D142">INDEX(Data_DBD!$E:$E,$A142)</f>
        <v/>
      </c>
      <c r="E142" s="17">
        <f t="array" ref="E142">INDEX(Data_DBD!$F:$F,$A142)</f>
        <v/>
      </c>
      <c r="H142" s="17" t="n">
        <v>90</v>
      </c>
      <c r="I142" s="17" t="n">
        <v>47</v>
      </c>
      <c r="J142" s="17" t="n">
        <v>3</v>
      </c>
      <c r="K142" s="17" t="n">
        <v>0</v>
      </c>
      <c r="L142" s="17" t="inlineStr">
        <is>
          <t>Tinggi</t>
        </is>
      </c>
    </row>
    <row r="143" s="1">
      <c r="A143" s="17">
        <f>RANDBETWEEN(2,164)</f>
        <v/>
      </c>
      <c r="B143" s="17">
        <f t="array" ref="B143">INDEX(Data_DBD!$B:$B,$A143)</f>
        <v/>
      </c>
      <c r="C143" s="17">
        <f t="array" ref="C143">INDEX(Data_DBD!$C:$C,$A143)</f>
        <v/>
      </c>
      <c r="D143" s="17">
        <f t="array" ref="D143">INDEX(Data_DBD!$E:$E,$A143)</f>
        <v/>
      </c>
      <c r="E143" s="17">
        <f t="array" ref="E143">INDEX(Data_DBD!$F:$F,$A143)</f>
        <v/>
      </c>
      <c r="H143" s="17" t="n">
        <v>59</v>
      </c>
      <c r="I143" s="17" t="n">
        <v>28</v>
      </c>
      <c r="J143" s="17" t="n">
        <v>4</v>
      </c>
      <c r="K143" s="17" t="n">
        <v>0</v>
      </c>
      <c r="L143" s="17" t="inlineStr">
        <is>
          <t>Sedang</t>
        </is>
      </c>
    </row>
    <row r="144" s="1">
      <c r="A144" s="17">
        <f>RANDBETWEEN(2,164)</f>
        <v/>
      </c>
      <c r="B144" s="17">
        <f t="array" ref="B144">INDEX(Data_DBD!$B:$B,$A144)</f>
        <v/>
      </c>
      <c r="C144" s="17">
        <f t="array" ref="C144">INDEX(Data_DBD!$C:$C,$A144)</f>
        <v/>
      </c>
      <c r="D144" s="17">
        <f t="array" ref="D144">INDEX(Data_DBD!$E:$E,$A144)</f>
        <v/>
      </c>
      <c r="E144" s="17">
        <f t="array" ref="E144">INDEX(Data_DBD!$F:$F,$A144)</f>
        <v/>
      </c>
      <c r="H144" s="17" t="n">
        <v>76</v>
      </c>
      <c r="I144" s="17" t="n">
        <v>70</v>
      </c>
      <c r="J144" s="17" t="n">
        <v>2</v>
      </c>
      <c r="K144" s="17" t="n">
        <v>0</v>
      </c>
      <c r="L144" s="17" t="inlineStr">
        <is>
          <t>Sedang</t>
        </is>
      </c>
    </row>
    <row r="145" s="1">
      <c r="A145" s="17">
        <f>RANDBETWEEN(2,164)</f>
        <v/>
      </c>
      <c r="B145" s="17">
        <f t="array" ref="B145">INDEX(Data_DBD!$B:$B,$A145)</f>
        <v/>
      </c>
      <c r="C145" s="17">
        <f t="array" ref="C145">INDEX(Data_DBD!$C:$C,$A145)</f>
        <v/>
      </c>
      <c r="D145" s="17">
        <f t="array" ref="D145">INDEX(Data_DBD!$E:$E,$A145)</f>
        <v/>
      </c>
      <c r="E145" s="17">
        <f t="array" ref="E145">INDEX(Data_DBD!$F:$F,$A145)</f>
        <v/>
      </c>
      <c r="H145" s="17" t="n">
        <v>144</v>
      </c>
      <c r="I145" s="17" t="n">
        <v>61</v>
      </c>
      <c r="J145" s="17" t="n">
        <v>4</v>
      </c>
      <c r="K145" s="17" t="n">
        <v>1</v>
      </c>
      <c r="L145" s="17" t="inlineStr">
        <is>
          <t>Tinggi</t>
        </is>
      </c>
    </row>
    <row r="146" s="1">
      <c r="A146" s="17">
        <f>RANDBETWEEN(2,164)</f>
        <v/>
      </c>
      <c r="B146" s="17">
        <f t="array" ref="B146">INDEX(Data_DBD!$B:$B,$A146)</f>
        <v/>
      </c>
      <c r="C146" s="17">
        <f t="array" ref="C146">INDEX(Data_DBD!$C:$C,$A146)</f>
        <v/>
      </c>
      <c r="D146" s="17">
        <f t="array" ref="D146">INDEX(Data_DBD!$E:$E,$A146)</f>
        <v/>
      </c>
      <c r="E146" s="17">
        <f t="array" ref="E146">INDEX(Data_DBD!$F:$F,$A146)</f>
        <v/>
      </c>
      <c r="H146" s="17" t="n">
        <v>14</v>
      </c>
      <c r="I146" s="17" t="n">
        <v>49</v>
      </c>
      <c r="J146" s="17" t="n">
        <v>4</v>
      </c>
      <c r="K146" s="17" t="n">
        <v>1</v>
      </c>
      <c r="L146" s="17" t="inlineStr">
        <is>
          <t>Rendah</t>
        </is>
      </c>
    </row>
    <row r="147" s="1">
      <c r="A147" s="17">
        <f>RANDBETWEEN(2,164)</f>
        <v/>
      </c>
      <c r="B147" s="17">
        <f t="array" ref="B147">INDEX(Data_DBD!$B:$B,$A147)</f>
        <v/>
      </c>
      <c r="C147" s="17">
        <f t="array" ref="C147">INDEX(Data_DBD!$C:$C,$A147)</f>
        <v/>
      </c>
      <c r="D147" s="17">
        <f t="array" ref="D147">INDEX(Data_DBD!$E:$E,$A147)</f>
        <v/>
      </c>
      <c r="E147" s="17">
        <f t="array" ref="E147">INDEX(Data_DBD!$F:$F,$A147)</f>
        <v/>
      </c>
      <c r="H147" s="17" t="n">
        <v>47</v>
      </c>
      <c r="I147" s="17" t="n">
        <v>19</v>
      </c>
      <c r="J147" s="17" t="n">
        <v>2</v>
      </c>
      <c r="K147" s="17" t="n">
        <v>0</v>
      </c>
      <c r="L147" s="17" t="inlineStr">
        <is>
          <t>Sedang</t>
        </is>
      </c>
    </row>
    <row r="148" s="1">
      <c r="A148" s="17">
        <f>RANDBETWEEN(2,164)</f>
        <v/>
      </c>
      <c r="B148" s="17">
        <f t="array" ref="B148">INDEX(Data_DBD!$B:$B,$A148)</f>
        <v/>
      </c>
      <c r="C148" s="17">
        <f t="array" ref="C148">INDEX(Data_DBD!$C:$C,$A148)</f>
        <v/>
      </c>
      <c r="D148" s="17">
        <f t="array" ref="D148">INDEX(Data_DBD!$E:$E,$A148)</f>
        <v/>
      </c>
      <c r="E148" s="17">
        <f t="array" ref="E148">INDEX(Data_DBD!$F:$F,$A148)</f>
        <v/>
      </c>
      <c r="H148" s="17" t="n">
        <v>139</v>
      </c>
      <c r="I148" s="17" t="n">
        <v>52</v>
      </c>
      <c r="J148" s="17" t="n">
        <v>7</v>
      </c>
      <c r="K148" s="17" t="n">
        <v>0</v>
      </c>
      <c r="L148" s="17" t="inlineStr">
        <is>
          <t>Tinggi</t>
        </is>
      </c>
    </row>
    <row r="149" s="1">
      <c r="A149" s="17">
        <f>RANDBETWEEN(2,164)</f>
        <v/>
      </c>
      <c r="B149" s="17">
        <f t="array" ref="B149">INDEX(Data_DBD!$B:$B,$A149)</f>
        <v/>
      </c>
      <c r="C149" s="17">
        <f t="array" ref="C149">INDEX(Data_DBD!$C:$C,$A149)</f>
        <v/>
      </c>
      <c r="D149" s="17">
        <f t="array" ref="D149">INDEX(Data_DBD!$E:$E,$A149)</f>
        <v/>
      </c>
      <c r="E149" s="17">
        <f t="array" ref="E149">INDEX(Data_DBD!$F:$F,$A149)</f>
        <v/>
      </c>
      <c r="H149" s="17" t="n">
        <v>49</v>
      </c>
      <c r="I149" s="17" t="n">
        <v>64</v>
      </c>
      <c r="J149" s="17" t="n">
        <v>5</v>
      </c>
      <c r="K149" s="17" t="n">
        <v>0</v>
      </c>
      <c r="L149" s="17" t="inlineStr">
        <is>
          <t>Sedang</t>
        </is>
      </c>
    </row>
    <row r="150" s="1">
      <c r="A150" s="17">
        <f>RANDBETWEEN(2,164)</f>
        <v/>
      </c>
      <c r="B150" s="17">
        <f t="array" ref="B150">INDEX(Data_DBD!$B:$B,$A150)</f>
        <v/>
      </c>
      <c r="C150" s="17">
        <f t="array" ref="C150">INDEX(Data_DBD!$C:$C,$A150)</f>
        <v/>
      </c>
      <c r="D150" s="17">
        <f t="array" ref="D150">INDEX(Data_DBD!$E:$E,$A150)</f>
        <v/>
      </c>
      <c r="E150" s="17">
        <f t="array" ref="E150">INDEX(Data_DBD!$F:$F,$A150)</f>
        <v/>
      </c>
      <c r="H150" s="17" t="n">
        <v>17</v>
      </c>
      <c r="I150" s="17" t="n">
        <v>2</v>
      </c>
      <c r="J150" s="17" t="n">
        <v>3</v>
      </c>
      <c r="K150" s="17" t="n">
        <v>0</v>
      </c>
      <c r="L150" s="17" t="inlineStr">
        <is>
          <t>Rendah</t>
        </is>
      </c>
    </row>
    <row r="151" s="1">
      <c r="A151" s="17">
        <f>RANDBETWEEN(2,164)</f>
        <v/>
      </c>
      <c r="B151" s="17">
        <f t="array" ref="B151">INDEX(Data_DBD!$B:$B,$A151)</f>
        <v/>
      </c>
      <c r="C151" s="17">
        <f t="array" ref="C151">INDEX(Data_DBD!$C:$C,$A151)</f>
        <v/>
      </c>
      <c r="D151" s="17">
        <f t="array" ref="D151">INDEX(Data_DBD!$E:$E,$A151)</f>
        <v/>
      </c>
      <c r="E151" s="17">
        <f t="array" ref="E151">INDEX(Data_DBD!$F:$F,$A151)</f>
        <v/>
      </c>
      <c r="H151" s="17" t="n">
        <v>27</v>
      </c>
      <c r="I151" s="17" t="n">
        <v>37</v>
      </c>
      <c r="J151" s="17" t="n">
        <v>4</v>
      </c>
      <c r="K151" s="17" t="n">
        <v>1</v>
      </c>
      <c r="L151" s="17" t="inlineStr">
        <is>
          <t>Sedang</t>
        </is>
      </c>
    </row>
    <row r="152" s="1">
      <c r="A152" s="17">
        <f>RANDBETWEEN(2,164)</f>
        <v/>
      </c>
      <c r="B152" s="17">
        <f t="array" ref="B152">INDEX(Data_DBD!$B:$B,$A152)</f>
        <v/>
      </c>
      <c r="C152" s="17">
        <f t="array" ref="C152">INDEX(Data_DBD!$C:$C,$A152)</f>
        <v/>
      </c>
      <c r="D152" s="17">
        <f t="array" ref="D152">INDEX(Data_DBD!$E:$E,$A152)</f>
        <v/>
      </c>
      <c r="E152" s="17">
        <f t="array" ref="E152">INDEX(Data_DBD!$F:$F,$A152)</f>
        <v/>
      </c>
      <c r="H152" s="17" t="n">
        <v>117</v>
      </c>
      <c r="I152" s="17" t="n">
        <v>49</v>
      </c>
      <c r="J152" s="17" t="n">
        <v>4</v>
      </c>
      <c r="K152" s="17" t="n">
        <v>1</v>
      </c>
      <c r="L152" s="17" t="inlineStr">
        <is>
          <t>Tinggi</t>
        </is>
      </c>
    </row>
    <row r="153" s="1">
      <c r="A153" s="17">
        <f>RANDBETWEEN(2,164)</f>
        <v/>
      </c>
      <c r="B153" s="17">
        <f t="array" ref="B153">INDEX(Data_DBD!$B:$B,$A153)</f>
        <v/>
      </c>
      <c r="C153" s="17">
        <f t="array" ref="C153">INDEX(Data_DBD!$C:$C,$A153)</f>
        <v/>
      </c>
      <c r="D153" s="17">
        <f t="array" ref="D153">INDEX(Data_DBD!$E:$E,$A153)</f>
        <v/>
      </c>
      <c r="E153" s="17">
        <f t="array" ref="E153">INDEX(Data_DBD!$F:$F,$A153)</f>
        <v/>
      </c>
      <c r="H153" s="17" t="n">
        <v>26</v>
      </c>
      <c r="I153" s="17" t="n">
        <v>75</v>
      </c>
      <c r="J153" s="17" t="n">
        <v>4</v>
      </c>
      <c r="K153" s="17" t="n">
        <v>1</v>
      </c>
      <c r="L153" s="17" t="inlineStr">
        <is>
          <t>Sedang</t>
        </is>
      </c>
    </row>
    <row r="154" s="1">
      <c r="A154" s="17">
        <f>RANDBETWEEN(2,164)</f>
        <v/>
      </c>
      <c r="B154" s="17">
        <f t="array" ref="B154">INDEX(Data_DBD!$B:$B,$A154)</f>
        <v/>
      </c>
      <c r="C154" s="17">
        <f t="array" ref="C154">INDEX(Data_DBD!$C:$C,$A154)</f>
        <v/>
      </c>
      <c r="D154" s="17">
        <f t="array" ref="D154">INDEX(Data_DBD!$E:$E,$A154)</f>
        <v/>
      </c>
      <c r="E154" s="17">
        <f t="array" ref="E154">INDEX(Data_DBD!$F:$F,$A154)</f>
        <v/>
      </c>
      <c r="H154" s="17" t="n">
        <v>120</v>
      </c>
      <c r="I154" s="17" t="n">
        <v>26</v>
      </c>
      <c r="J154" s="17" t="n">
        <v>4</v>
      </c>
      <c r="K154" s="17" t="n">
        <v>1</v>
      </c>
      <c r="L154" s="17" t="inlineStr">
        <is>
          <t>Tinggi</t>
        </is>
      </c>
    </row>
    <row r="155" s="1">
      <c r="A155" s="17">
        <f>RANDBETWEEN(2,164)</f>
        <v/>
      </c>
      <c r="B155" s="17">
        <f t="array" ref="B155">INDEX(Data_DBD!$B:$B,$A155)</f>
        <v/>
      </c>
      <c r="C155" s="17">
        <f t="array" ref="C155">INDEX(Data_DBD!$C:$C,$A155)</f>
        <v/>
      </c>
      <c r="D155" s="17">
        <f t="array" ref="D155">INDEX(Data_DBD!$E:$E,$A155)</f>
        <v/>
      </c>
      <c r="E155" s="17">
        <f t="array" ref="E155">INDEX(Data_DBD!$F:$F,$A155)</f>
        <v/>
      </c>
      <c r="H155" s="17" t="n">
        <v>120</v>
      </c>
      <c r="I155" s="17" t="n">
        <v>26</v>
      </c>
      <c r="J155" s="17" t="n">
        <v>4</v>
      </c>
      <c r="K155" s="17" t="n">
        <v>1</v>
      </c>
      <c r="L155" s="17" t="inlineStr">
        <is>
          <t>Tinggi</t>
        </is>
      </c>
    </row>
    <row r="156" s="1">
      <c r="A156" s="17">
        <f>RANDBETWEEN(2,164)</f>
        <v/>
      </c>
      <c r="B156" s="17">
        <f t="array" ref="B156">INDEX(Data_DBD!$B:$B,$A156)</f>
        <v/>
      </c>
      <c r="C156" s="17">
        <f t="array" ref="C156">INDEX(Data_DBD!$C:$C,$A156)</f>
        <v/>
      </c>
      <c r="D156" s="17">
        <f t="array" ref="D156">INDEX(Data_DBD!$E:$E,$A156)</f>
        <v/>
      </c>
      <c r="E156" s="17">
        <f t="array" ref="E156">INDEX(Data_DBD!$F:$F,$A156)</f>
        <v/>
      </c>
      <c r="H156" s="17" t="n">
        <v>46</v>
      </c>
      <c r="I156" s="17" t="n">
        <v>62</v>
      </c>
      <c r="J156" s="17" t="n">
        <v>2</v>
      </c>
      <c r="K156" s="17" t="n">
        <v>0</v>
      </c>
      <c r="L156" s="17" t="inlineStr">
        <is>
          <t>Sedang</t>
        </is>
      </c>
    </row>
    <row r="157" s="1">
      <c r="A157" s="17">
        <f>RANDBETWEEN(2,164)</f>
        <v/>
      </c>
      <c r="B157" s="17">
        <f t="array" ref="B157">INDEX(Data_DBD!$B:$B,$A157)</f>
        <v/>
      </c>
      <c r="C157" s="17">
        <f t="array" ref="C157">INDEX(Data_DBD!$C:$C,$A157)</f>
        <v/>
      </c>
      <c r="D157" s="17">
        <f t="array" ref="D157">INDEX(Data_DBD!$E:$E,$A157)</f>
        <v/>
      </c>
      <c r="E157" s="17">
        <f t="array" ref="E157">INDEX(Data_DBD!$F:$F,$A157)</f>
        <v/>
      </c>
      <c r="H157" s="17" t="n">
        <v>63</v>
      </c>
      <c r="I157" s="17" t="n">
        <v>25</v>
      </c>
      <c r="J157" s="17" t="n">
        <v>3</v>
      </c>
      <c r="K157" s="17" t="n">
        <v>0</v>
      </c>
      <c r="L157" s="17" t="inlineStr">
        <is>
          <t>Sedang</t>
        </is>
      </c>
    </row>
    <row r="158" s="1">
      <c r="A158" s="17">
        <f>RANDBETWEEN(2,164)</f>
        <v/>
      </c>
      <c r="B158" s="17">
        <f t="array" ref="B158">INDEX(Data_DBD!$B:$B,$A158)</f>
        <v/>
      </c>
      <c r="C158" s="17">
        <f t="array" ref="C158">INDEX(Data_DBD!$C:$C,$A158)</f>
        <v/>
      </c>
      <c r="D158" s="17">
        <f t="array" ref="D158">INDEX(Data_DBD!$E:$E,$A158)</f>
        <v/>
      </c>
      <c r="E158" s="17">
        <f t="array" ref="E158">INDEX(Data_DBD!$F:$F,$A158)</f>
        <v/>
      </c>
      <c r="H158" s="17" t="n">
        <v>110</v>
      </c>
      <c r="I158" s="17" t="n">
        <v>42</v>
      </c>
      <c r="J158" s="17" t="n">
        <v>2</v>
      </c>
      <c r="K158" s="17" t="n">
        <v>1</v>
      </c>
      <c r="L158" s="17" t="inlineStr">
        <is>
          <t>Tinggi</t>
        </is>
      </c>
    </row>
    <row r="159" s="1">
      <c r="A159" s="17">
        <f>RANDBETWEEN(2,164)</f>
        <v/>
      </c>
      <c r="B159" s="17">
        <f t="array" ref="B159">INDEX(Data_DBD!$B:$B,$A159)</f>
        <v/>
      </c>
      <c r="C159" s="17">
        <f t="array" ref="C159">INDEX(Data_DBD!$C:$C,$A159)</f>
        <v/>
      </c>
      <c r="D159" s="17">
        <f t="array" ref="D159">INDEX(Data_DBD!$E:$E,$A159)</f>
        <v/>
      </c>
      <c r="E159" s="17">
        <f t="array" ref="E159">INDEX(Data_DBD!$F:$F,$A159)</f>
        <v/>
      </c>
      <c r="H159" s="17" t="n">
        <v>65</v>
      </c>
      <c r="I159" s="17" t="n">
        <v>49</v>
      </c>
      <c r="J159" s="17" t="n">
        <v>3</v>
      </c>
      <c r="K159" s="17" t="n">
        <v>0</v>
      </c>
      <c r="L159" s="17" t="inlineStr">
        <is>
          <t>Sedang</t>
        </is>
      </c>
    </row>
    <row r="160" s="1">
      <c r="A160" s="17">
        <f>RANDBETWEEN(2,164)</f>
        <v/>
      </c>
      <c r="B160" s="17">
        <f t="array" ref="B160">INDEX(Data_DBD!$B:$B,$A160)</f>
        <v/>
      </c>
      <c r="C160" s="17">
        <f t="array" ref="C160">INDEX(Data_DBD!$C:$C,$A160)</f>
        <v/>
      </c>
      <c r="D160" s="17">
        <f t="array" ref="D160">INDEX(Data_DBD!$E:$E,$A160)</f>
        <v/>
      </c>
      <c r="E160" s="17">
        <f t="array" ref="E160">INDEX(Data_DBD!$F:$F,$A160)</f>
        <v/>
      </c>
      <c r="H160" s="17" t="n">
        <v>29</v>
      </c>
      <c r="I160" s="17" t="n">
        <v>19</v>
      </c>
      <c r="J160" s="17" t="n">
        <v>2</v>
      </c>
      <c r="K160" s="17" t="n">
        <v>1</v>
      </c>
      <c r="L160" s="17" t="inlineStr">
        <is>
          <t>Sedang</t>
        </is>
      </c>
    </row>
    <row r="161" s="1">
      <c r="A161" s="17">
        <f>RANDBETWEEN(2,164)</f>
        <v/>
      </c>
      <c r="B161" s="17">
        <f t="array" ref="B161">INDEX(Data_DBD!$B:$B,$A161)</f>
        <v/>
      </c>
      <c r="C161" s="17">
        <f t="array" ref="C161">INDEX(Data_DBD!$C:$C,$A161)</f>
        <v/>
      </c>
      <c r="D161" s="17">
        <f t="array" ref="D161">INDEX(Data_DBD!$E:$E,$A161)</f>
        <v/>
      </c>
      <c r="E161" s="17">
        <f t="array" ref="E161">INDEX(Data_DBD!$F:$F,$A161)</f>
        <v/>
      </c>
      <c r="H161" s="17" t="n">
        <v>72</v>
      </c>
      <c r="I161" s="17" t="n">
        <v>3</v>
      </c>
      <c r="J161" s="17" t="n">
        <v>5</v>
      </c>
      <c r="K161" s="17" t="n">
        <v>1</v>
      </c>
      <c r="L161" s="17" t="inlineStr">
        <is>
          <t>Sedang</t>
        </is>
      </c>
    </row>
    <row r="162" s="1">
      <c r="A162" s="17">
        <f>RANDBETWEEN(2,164)</f>
        <v/>
      </c>
      <c r="B162" s="17">
        <f t="array" ref="B162">INDEX(Data_DBD!$B:$B,$A162)</f>
        <v/>
      </c>
      <c r="C162" s="17">
        <f t="array" ref="C162">INDEX(Data_DBD!$C:$C,$A162)</f>
        <v/>
      </c>
      <c r="D162" s="17">
        <f t="array" ref="D162">INDEX(Data_DBD!$E:$E,$A162)</f>
        <v/>
      </c>
      <c r="E162" s="17">
        <f t="array" ref="E162">INDEX(Data_DBD!$F:$F,$A162)</f>
        <v/>
      </c>
      <c r="H162" s="17" t="n">
        <v>107</v>
      </c>
      <c r="I162" s="17" t="n">
        <v>48</v>
      </c>
      <c r="J162" s="17" t="n">
        <v>5</v>
      </c>
      <c r="K162" s="17" t="n">
        <v>0</v>
      </c>
      <c r="L162" s="17" t="inlineStr">
        <is>
          <t>Tinggi</t>
        </is>
      </c>
    </row>
    <row r="163" s="1">
      <c r="A163" s="17">
        <f>RANDBETWEEN(2,164)</f>
        <v/>
      </c>
      <c r="B163" s="17">
        <f t="array" ref="B163">INDEX(Data_DBD!$B:$B,$A163)</f>
        <v/>
      </c>
      <c r="C163" s="17">
        <f t="array" ref="C163">INDEX(Data_DBD!$C:$C,$A163)</f>
        <v/>
      </c>
      <c r="D163" s="17">
        <f t="array" ref="D163">INDEX(Data_DBD!$E:$E,$A163)</f>
        <v/>
      </c>
      <c r="E163" s="17">
        <f t="array" ref="E163">INDEX(Data_DBD!$F:$F,$A163)</f>
        <v/>
      </c>
      <c r="H163" s="17" t="n">
        <v>13</v>
      </c>
      <c r="I163" s="17" t="n">
        <v>47</v>
      </c>
      <c r="J163" s="17" t="n">
        <v>2</v>
      </c>
      <c r="K163" s="17" t="n">
        <v>0</v>
      </c>
      <c r="L163" s="17" t="inlineStr">
        <is>
          <t>Sedang</t>
        </is>
      </c>
    </row>
    <row r="164" s="1">
      <c r="A164" s="17">
        <f>RANDBETWEEN(2,164)</f>
        <v/>
      </c>
      <c r="B164" s="17">
        <f t="array" ref="B164">INDEX(Data_DBD!$B:$B,$A164)</f>
        <v/>
      </c>
      <c r="C164" s="17">
        <f t="array" ref="C164">INDEX(Data_DBD!$C:$C,$A164)</f>
        <v/>
      </c>
      <c r="D164" s="17">
        <f t="array" ref="D164">INDEX(Data_DBD!$E:$E,$A164)</f>
        <v/>
      </c>
      <c r="E164" s="17">
        <f t="array" ref="E164">INDEX(Data_DBD!$F:$F,$A164)</f>
        <v/>
      </c>
      <c r="H164" s="17" t="n">
        <v>163</v>
      </c>
      <c r="I164" s="17" t="n">
        <v>34</v>
      </c>
      <c r="J164" s="17" t="n">
        <v>4</v>
      </c>
      <c r="K164" s="17" t="n">
        <v>1</v>
      </c>
      <c r="L164" s="17" t="inlineStr">
        <is>
          <t>Rendah</t>
        </is>
      </c>
    </row>
    <row r="165" s="1">
      <c r="I165">
        <f>AVERAGE(I2:I164)</f>
        <v/>
      </c>
      <c r="J165">
        <f>AVERAGE(J2:J164)</f>
        <v/>
      </c>
      <c r="K165">
        <f>AVERAGE(K2:K164)</f>
        <v/>
      </c>
    </row>
    <row r="166" s="1">
      <c r="B166" t="n">
        <v>28</v>
      </c>
    </row>
    <row r="168" s="1">
      <c r="E168" s="21" t="inlineStr">
        <is>
          <t>USIA</t>
        </is>
      </c>
      <c r="I168" s="21" t="inlineStr">
        <is>
          <t>LAMA RAWAT INAP</t>
        </is>
      </c>
      <c r="M168" s="21" t="inlineStr">
        <is>
          <t>JENIS KELAMIN</t>
        </is>
      </c>
    </row>
    <row r="169" s="1">
      <c r="E169" s="17" t="inlineStr">
        <is>
          <t>Usia</t>
        </is>
      </c>
      <c r="F169" s="17">
        <f>AVERAGEIF($I$2:$I$164,"&lt;="&amp;$I$165)</f>
        <v/>
      </c>
      <c r="G169" s="17">
        <f>AVERAGEIF($I$2:$I$164,"&gt;"&amp;$I$165)</f>
        <v/>
      </c>
      <c r="I169" s="17" t="inlineStr">
        <is>
          <t>Lama rawat inap</t>
        </is>
      </c>
      <c r="J169" s="17">
        <f>AVERAGEIF($J$2:$J$164,"&lt;="&amp;$J$165)</f>
        <v/>
      </c>
      <c r="K169" s="17">
        <f>AVERAGEIF($J$2:$J$164,"&gt;"&amp;$J$165)</f>
        <v/>
      </c>
      <c r="M169" s="17" t="inlineStr">
        <is>
          <t>Jenis kelamin</t>
        </is>
      </c>
      <c r="N169" s="17">
        <f>AVERAGEIF($K$2:$K$164,"&lt;="&amp;$K$165)</f>
        <v/>
      </c>
      <c r="O169" s="17">
        <f>AVERAGEIF($K$2:$K$164,"&gt;"&amp;$K$165)</f>
        <v/>
      </c>
    </row>
    <row r="170" s="1">
      <c r="E170" s="17">
        <f t="array" ref="E170:E332">IF($I$2:$I$164&lt;$F$169,"kiri",IF($I$2:$I$164&lt;$G$169,"tengah","kanan"))</f>
        <v/>
      </c>
      <c r="F170" s="17" t="inlineStr">
        <is>
          <t>Kanan &gt; 53.39</t>
        </is>
      </c>
      <c r="G170" s="17" t="n"/>
      <c r="I170" s="17">
        <f t="array" ref="I170:I332">IF($J$2:$J$164&lt;$J$169,"kiri",IF($J$2:$J$164&lt;$K$169,"tengah","kanan"))</f>
        <v/>
      </c>
      <c r="J170" s="17" t="inlineStr">
        <is>
          <t>Kanan &gt; 4.74</t>
        </is>
      </c>
      <c r="K170" s="17" t="n"/>
      <c r="M170" s="17">
        <f t="array" ref="M170:M332">IF($K$2:$K$164&lt;$N$169,"kiri",IF($K$2:$K$164&lt;$O$169,"tengah","kanan"))</f>
        <v/>
      </c>
      <c r="N170" s="17" t="inlineStr">
        <is>
          <t>Kanan &gt; 1</t>
        </is>
      </c>
      <c r="O170" s="17" t="n"/>
    </row>
    <row r="171" s="1">
      <c r="E171" s="17" t="inlineStr">
        <is>
          <t>tengah</t>
        </is>
      </c>
      <c r="F171" s="17">
        <f>COUNTIFS($E$170:$E$332,"Kanan",$L$2:$L$164,"Tinggi")</f>
        <v/>
      </c>
      <c r="G171" s="17">
        <f>F171/32</f>
        <v/>
      </c>
      <c r="I171" s="17" t="inlineStr">
        <is>
          <t>tengah</t>
        </is>
      </c>
      <c r="J171" s="17">
        <f>COUNTIFS($I$170:$I$332,"Kanan",$L$2:$L$164,"Tinggi")</f>
        <v/>
      </c>
      <c r="K171" s="17">
        <f>J171/29</f>
        <v/>
      </c>
      <c r="M171" s="17" t="inlineStr">
        <is>
          <t>tengah</t>
        </is>
      </c>
      <c r="N171" s="17">
        <f>COUNTIFS($M$170:$M$332,"Kanan",$L$2:$L$164,"Tinggi")</f>
        <v/>
      </c>
      <c r="O171" s="17">
        <f>N171/91</f>
        <v/>
      </c>
    </row>
    <row r="172" s="1">
      <c r="E172" s="17" t="inlineStr">
        <is>
          <t>kanan</t>
        </is>
      </c>
      <c r="F172" s="17">
        <f>COUNTIFS($E$170:$E$332,"Kanan",$L$2:$L$164,"Sedang")</f>
        <v/>
      </c>
      <c r="G172" s="17">
        <f>F172/32</f>
        <v/>
      </c>
      <c r="I172" s="17" t="inlineStr">
        <is>
          <t>kanan</t>
        </is>
      </c>
      <c r="J172" s="17">
        <f>COUNTIFS($I$170:$I$332,"Kanan",$L$2:$L$164,"Sedang")</f>
        <v/>
      </c>
      <c r="K172" s="17">
        <f>J172/29</f>
        <v/>
      </c>
      <c r="M172" s="17" t="inlineStr">
        <is>
          <t>kanan</t>
        </is>
      </c>
      <c r="N172" s="17">
        <f>COUNTIFS($M$170:$M$332,"Kanan",$L$2:$L$164,"Sedang")</f>
        <v/>
      </c>
      <c r="O172" s="17">
        <f>N172/91</f>
        <v/>
      </c>
    </row>
    <row r="173" s="1">
      <c r="E173" s="17" t="inlineStr">
        <is>
          <t>kiri</t>
        </is>
      </c>
      <c r="F173" s="17">
        <f>COUNTIFS($E$170:$E$332,"Kanan",$L$2:$L$164,"Rendah")</f>
        <v/>
      </c>
      <c r="G173" s="17">
        <f>F173/32</f>
        <v/>
      </c>
      <c r="I173" s="17" t="inlineStr">
        <is>
          <t>tengah</t>
        </is>
      </c>
      <c r="J173" s="17">
        <f>COUNTIFS($I$170:$I$332,"Kanan",$L$2:$L$164,"Rendah")</f>
        <v/>
      </c>
      <c r="K173" s="17">
        <f>J173/29</f>
        <v/>
      </c>
      <c r="M173" s="17" t="inlineStr">
        <is>
          <t>tengah</t>
        </is>
      </c>
      <c r="N173" s="17">
        <f>COUNTIFS($M$170:$M$332,"Kanan",$L$2:$L$164,"Rendah")</f>
        <v/>
      </c>
      <c r="O173" s="17">
        <f>N173/91</f>
        <v/>
      </c>
    </row>
    <row r="174" s="1">
      <c r="E174" s="17" t="inlineStr">
        <is>
          <t>tengah</t>
        </is>
      </c>
      <c r="F174" s="17" t="inlineStr">
        <is>
          <t>Entropy</t>
        </is>
      </c>
      <c r="G174" s="17">
        <f>-(IFERROR(G171*LOG(G171,2),0)+IFERROR(G172*LOG(G172,2),0)+IFERROR(G173*LOG(G173,2),0))</f>
        <v/>
      </c>
      <c r="I174" s="17" t="inlineStr">
        <is>
          <t>tengah</t>
        </is>
      </c>
      <c r="J174" s="17" t="inlineStr">
        <is>
          <t>Entropy</t>
        </is>
      </c>
      <c r="K174" s="17">
        <f>-(IFERROR(K171*LOG(K171,2),0)+IFERROR(K172*LOG(K172,2),0)+IFERROR(K173*LOG(K173,2),0))</f>
        <v/>
      </c>
      <c r="M174" s="17" t="inlineStr">
        <is>
          <t>kanan</t>
        </is>
      </c>
      <c r="N174" s="17" t="inlineStr">
        <is>
          <t>Entropy</t>
        </is>
      </c>
      <c r="O174" s="17">
        <f>-(IFERROR(O171*LOG(O171,2),0)+IFERROR(O172*LOG(O172,2),0)+IFERROR(O173*LOG(O173,2),0))</f>
        <v/>
      </c>
    </row>
    <row r="175" s="1">
      <c r="E175" s="17" t="inlineStr">
        <is>
          <t>kiri</t>
        </is>
      </c>
      <c r="F175" s="17" t="n"/>
      <c r="G175" s="17">
        <f>SUM(F171:F173)/163</f>
        <v/>
      </c>
      <c r="I175" s="17" t="inlineStr">
        <is>
          <t>tengah</t>
        </is>
      </c>
      <c r="J175" s="17" t="n"/>
      <c r="K175" s="17">
        <f>SUM(J171:J173)/163</f>
        <v/>
      </c>
      <c r="M175" s="17" t="inlineStr">
        <is>
          <t>tengah</t>
        </is>
      </c>
      <c r="N175" s="17" t="n"/>
      <c r="O175" s="17">
        <f>SUM(N171:N173)/163</f>
        <v/>
      </c>
    </row>
    <row r="176" s="1">
      <c r="E176" s="17" t="inlineStr">
        <is>
          <t>kiri</t>
        </is>
      </c>
      <c r="F176" s="17" t="n"/>
      <c r="G176" s="23">
        <f>G174*G175</f>
        <v/>
      </c>
      <c r="I176" s="17" t="inlineStr">
        <is>
          <t>kiri</t>
        </is>
      </c>
      <c r="J176" s="17" t="n"/>
      <c r="K176" s="23">
        <f>K174*K175</f>
        <v/>
      </c>
      <c r="M176" s="17" t="inlineStr">
        <is>
          <t>kanan</t>
        </is>
      </c>
      <c r="N176" s="17" t="n"/>
      <c r="O176" s="23">
        <f>O174*O175</f>
        <v/>
      </c>
    </row>
    <row r="177" s="1">
      <c r="E177" s="17" t="inlineStr">
        <is>
          <t>tengah</t>
        </is>
      </c>
      <c r="F177" s="17" t="n"/>
      <c r="G177" s="17" t="n"/>
      <c r="I177" s="17" t="inlineStr">
        <is>
          <t>tengah</t>
        </is>
      </c>
      <c r="J177" s="17" t="n"/>
      <c r="K177" s="17" t="n"/>
      <c r="M177" s="17" t="inlineStr">
        <is>
          <t>tengah</t>
        </is>
      </c>
      <c r="N177" s="17" t="n"/>
      <c r="O177" s="17" t="n"/>
    </row>
    <row r="178" s="1">
      <c r="E178" s="17" t="inlineStr">
        <is>
          <t>tengah</t>
        </is>
      </c>
      <c r="F178" s="17" t="n"/>
      <c r="G178" s="17" t="n"/>
      <c r="I178" s="17" t="inlineStr">
        <is>
          <t>tengah</t>
        </is>
      </c>
      <c r="J178" s="17" t="n"/>
      <c r="K178" s="17" t="n"/>
      <c r="M178" s="17" t="inlineStr">
        <is>
          <t>kanan</t>
        </is>
      </c>
      <c r="N178" s="17" t="n"/>
      <c r="O178" s="17" t="n"/>
    </row>
    <row r="179" s="1">
      <c r="E179" s="17" t="inlineStr">
        <is>
          <t>tengah</t>
        </is>
      </c>
      <c r="F179" s="17" t="inlineStr">
        <is>
          <t>Kiri&lt;17.31</t>
        </is>
      </c>
      <c r="G179" s="17" t="n"/>
      <c r="I179" s="17" t="inlineStr">
        <is>
          <t>tengah</t>
        </is>
      </c>
      <c r="J179" s="17" t="inlineStr">
        <is>
          <t>Kiri&lt;2.49</t>
        </is>
      </c>
      <c r="K179" s="17" t="n"/>
      <c r="M179" s="17" t="inlineStr">
        <is>
          <t>tengah</t>
        </is>
      </c>
      <c r="N179" s="17" t="inlineStr">
        <is>
          <t>Kiri&lt;0</t>
        </is>
      </c>
      <c r="O179" s="17" t="n"/>
    </row>
    <row r="180" s="1">
      <c r="E180" s="17" t="inlineStr">
        <is>
          <t>kanan</t>
        </is>
      </c>
      <c r="F180" s="17">
        <f>COUNTIFS($E$170:$E$332,"Kiri",$L$2:$L$164,"Tinggi")</f>
        <v/>
      </c>
      <c r="G180" s="17">
        <f>F180/38</f>
        <v/>
      </c>
      <c r="I180" s="17" t="inlineStr">
        <is>
          <t>tengah</t>
        </is>
      </c>
      <c r="J180" s="17">
        <f>COUNTIFS($I$170:$I$332,"Kiri",$L$2:$L$164,"Tinggi")</f>
        <v/>
      </c>
      <c r="K180" s="17">
        <f>J180/36</f>
        <v/>
      </c>
      <c r="M180" s="17" t="inlineStr">
        <is>
          <t>tengah</t>
        </is>
      </c>
      <c r="N180" s="17">
        <f>COUNTIFS($M$170:$M$332,"Kiri",$L$2:$L$164,"Tinggi")</f>
        <v/>
      </c>
      <c r="O180" s="17">
        <f>N180/78</f>
        <v/>
      </c>
    </row>
    <row r="181" s="1">
      <c r="E181" s="17" t="inlineStr">
        <is>
          <t>tengah</t>
        </is>
      </c>
      <c r="F181" s="17">
        <f>COUNTIFS($E$170:$E$332,"Kiri",$L$2:$L$164,"Sedang")</f>
        <v/>
      </c>
      <c r="G181" s="17">
        <f>F181/38</f>
        <v/>
      </c>
      <c r="I181" s="17" t="inlineStr">
        <is>
          <t>kiri</t>
        </is>
      </c>
      <c r="J181" s="17">
        <f>COUNTIFS($I$170:$I$332,"Kiri",$L$2:$L$164,"Sedang")</f>
        <v/>
      </c>
      <c r="K181" s="17">
        <f>J181/36</f>
        <v/>
      </c>
      <c r="M181" s="17" t="inlineStr">
        <is>
          <t>kanan</t>
        </is>
      </c>
      <c r="N181" s="17">
        <f>COUNTIFS($T$170:$T$332,"Kiri",$M$2:$M$164,"Sedang")</f>
        <v/>
      </c>
      <c r="O181" s="17">
        <f>N181/78</f>
        <v/>
      </c>
    </row>
    <row r="182" s="1">
      <c r="E182" s="17" t="inlineStr">
        <is>
          <t>kanan</t>
        </is>
      </c>
      <c r="F182" s="17">
        <f>COUNTIFS($E$170:$E$332,"Kiri",$L$2:$L$164,"Rendah")</f>
        <v/>
      </c>
      <c r="G182" s="17">
        <f>F182/38</f>
        <v/>
      </c>
      <c r="I182" s="17" t="inlineStr">
        <is>
          <t>tengah</t>
        </is>
      </c>
      <c r="J182" s="17">
        <f>COUNTIFS($I$170:$I$332,"Kiri",$L$2:$L$164,"Rendah")</f>
        <v/>
      </c>
      <c r="K182" s="17">
        <f>J182/36</f>
        <v/>
      </c>
      <c r="M182" s="17" t="inlineStr">
        <is>
          <t>kanan</t>
        </is>
      </c>
      <c r="N182" s="17">
        <f>COUNTIFS($T$170:$T$332,"Kiri",$M$2:$M$164,"Rendah")</f>
        <v/>
      </c>
      <c r="O182" s="17">
        <f>N182/78</f>
        <v/>
      </c>
    </row>
    <row r="183" s="1">
      <c r="E183" s="17" t="inlineStr">
        <is>
          <t>tengah</t>
        </is>
      </c>
      <c r="F183" s="17" t="inlineStr">
        <is>
          <t>Entropy</t>
        </is>
      </c>
      <c r="G183" s="17">
        <f>-(IFERROR(G180*LOG(G180,2),0)+IFERROR(G181*LOG(G181,2),0)+IFERROR(G182*LOG(G182,2),0))</f>
        <v/>
      </c>
      <c r="I183" s="17" t="inlineStr">
        <is>
          <t>tengah</t>
        </is>
      </c>
      <c r="J183" s="17" t="inlineStr">
        <is>
          <t>Entropy</t>
        </is>
      </c>
      <c r="K183" s="17">
        <f>-(IFERROR(K180*LOG(K180,2),0)+IFERROR(K181*LOG(K181,2),0)+IFERROR(K182*LOG(K182,2),0))</f>
        <v/>
      </c>
      <c r="M183" s="17" t="inlineStr">
        <is>
          <t>tengah</t>
        </is>
      </c>
      <c r="N183" s="17" t="inlineStr">
        <is>
          <t>Entropy</t>
        </is>
      </c>
      <c r="O183" s="17">
        <f>-(IFERROR(O180*LOG(O180,2),0)+IFERROR(O181*LOG(O181,2),0)+IFERROR(O182*LOG(O182,2),0))</f>
        <v/>
      </c>
    </row>
    <row r="184" s="1">
      <c r="E184" s="17" t="inlineStr">
        <is>
          <t>kanan</t>
        </is>
      </c>
      <c r="F184" s="17" t="n"/>
      <c r="G184" s="17">
        <f>SUM(F180:F182)/163</f>
        <v/>
      </c>
      <c r="I184" s="17" t="inlineStr">
        <is>
          <t>tengah</t>
        </is>
      </c>
      <c r="J184" s="17" t="n"/>
      <c r="K184" s="17">
        <f>SUM(J180:J182)/163</f>
        <v/>
      </c>
      <c r="M184" s="17" t="inlineStr">
        <is>
          <t>tengah</t>
        </is>
      </c>
      <c r="N184" s="17" t="n"/>
      <c r="O184" s="17">
        <f>SUM(N180:N182)/163</f>
        <v/>
      </c>
    </row>
    <row r="185" s="1">
      <c r="E185" s="17" t="inlineStr">
        <is>
          <t>kanan</t>
        </is>
      </c>
      <c r="F185" s="17" t="n"/>
      <c r="G185" s="23">
        <f>G183*G184</f>
        <v/>
      </c>
      <c r="I185" s="17" t="inlineStr">
        <is>
          <t>kanan</t>
        </is>
      </c>
      <c r="J185" s="17" t="n"/>
      <c r="K185" s="23">
        <f>K183*K184</f>
        <v/>
      </c>
      <c r="M185" s="17" t="inlineStr">
        <is>
          <t>kanan</t>
        </is>
      </c>
      <c r="N185" s="17" t="n"/>
      <c r="O185" s="23">
        <f>O183*O184</f>
        <v/>
      </c>
    </row>
    <row r="186" s="1">
      <c r="E186" s="17" t="inlineStr">
        <is>
          <t>kanan</t>
        </is>
      </c>
      <c r="F186" s="17" t="n"/>
      <c r="G186" s="17" t="n"/>
      <c r="I186" s="17" t="inlineStr">
        <is>
          <t>tengah</t>
        </is>
      </c>
      <c r="J186" s="17" t="n"/>
      <c r="K186" s="17" t="n"/>
      <c r="M186" s="17" t="inlineStr">
        <is>
          <t>kanan</t>
        </is>
      </c>
      <c r="N186" s="17" t="n"/>
      <c r="O186" s="17" t="n"/>
    </row>
    <row r="187" s="1">
      <c r="E187" s="17" t="inlineStr">
        <is>
          <t>tengah</t>
        </is>
      </c>
      <c r="F187" s="17" t="n"/>
      <c r="G187" s="17" t="n"/>
      <c r="I187" s="17" t="inlineStr">
        <is>
          <t>tengah</t>
        </is>
      </c>
      <c r="J187" s="17" t="n"/>
      <c r="K187" s="17" t="n"/>
      <c r="M187" s="17" t="inlineStr">
        <is>
          <t>kanan</t>
        </is>
      </c>
      <c r="N187" s="17" t="n"/>
      <c r="O187" s="17" t="n"/>
    </row>
    <row r="188" s="1">
      <c r="E188" s="17" t="inlineStr">
        <is>
          <t>tengah</t>
        </is>
      </c>
      <c r="F188" s="17" t="inlineStr">
        <is>
          <t>Tengah</t>
        </is>
      </c>
      <c r="G188" s="17" t="n"/>
      <c r="I188" s="17" t="inlineStr">
        <is>
          <t>kiri</t>
        </is>
      </c>
      <c r="J188" s="17" t="inlineStr">
        <is>
          <t>Tengah</t>
        </is>
      </c>
      <c r="K188" s="17" t="n"/>
      <c r="M188" s="17" t="inlineStr">
        <is>
          <t>kanan</t>
        </is>
      </c>
      <c r="N188" s="17" t="inlineStr">
        <is>
          <t>Tengah</t>
        </is>
      </c>
      <c r="O188" s="17" t="n"/>
    </row>
    <row r="189" s="1">
      <c r="E189" s="17" t="inlineStr">
        <is>
          <t>kanan</t>
        </is>
      </c>
      <c r="F189" s="17">
        <f>COUNTIFS($E$170:$E$332,"Tengah",$L$2:$L$164,"Tinggi")</f>
        <v/>
      </c>
      <c r="G189" s="17">
        <f>F189/93</f>
        <v/>
      </c>
      <c r="I189" s="17" t="inlineStr">
        <is>
          <t>tengah</t>
        </is>
      </c>
      <c r="J189" s="17">
        <f>COUNTIFS($I$170:$I$332,"Tengah",$L$2:$L$164,"Tinggi")</f>
        <v/>
      </c>
      <c r="K189" s="17">
        <f>J189/98</f>
        <v/>
      </c>
      <c r="M189" s="17" t="inlineStr">
        <is>
          <t>kanan</t>
        </is>
      </c>
      <c r="N189" s="17">
        <f>COUNTIFS($M$170:$M$332,"Tengah",$L$2:$L$164,"Tinggi")</f>
        <v/>
      </c>
      <c r="O189" s="17">
        <f>N189/72</f>
        <v/>
      </c>
    </row>
    <row r="190" s="1">
      <c r="E190" s="17" t="inlineStr">
        <is>
          <t>kiri</t>
        </is>
      </c>
      <c r="F190" s="17">
        <f>COUNTIFS($E$170:$E$332,"Tengah",$L$2:$L$164,"Sedang")</f>
        <v/>
      </c>
      <c r="G190" s="17">
        <f>F190/93</f>
        <v/>
      </c>
      <c r="I190" s="17" t="inlineStr">
        <is>
          <t>kiri</t>
        </is>
      </c>
      <c r="J190" s="17">
        <f>COUNTIFS($I$170:$I$332,"Tengah",$L$2:$L$164,"Sedang")</f>
        <v/>
      </c>
      <c r="K190" s="17">
        <f>J190/98</f>
        <v/>
      </c>
      <c r="M190" s="17" t="inlineStr">
        <is>
          <t>tengah</t>
        </is>
      </c>
      <c r="N190" s="17">
        <f>COUNTIFS($M$170:$M$332,"Tengah",$L$2:$L$164,"Sedang")</f>
        <v/>
      </c>
      <c r="O190" s="17">
        <f>N190/72</f>
        <v/>
      </c>
    </row>
    <row r="191" s="1">
      <c r="E191" s="17" t="inlineStr">
        <is>
          <t>tengah</t>
        </is>
      </c>
      <c r="F191" s="17">
        <f>COUNTIFS($E$170:$E$332,"Tengah",$L$2:$L$164,"Rendah")</f>
        <v/>
      </c>
      <c r="G191" s="17">
        <f>F191/93</f>
        <v/>
      </c>
      <c r="I191" s="17" t="inlineStr">
        <is>
          <t>kanan</t>
        </is>
      </c>
      <c r="J191" s="17">
        <f>COUNTIFS($I$170:$I$332,"Tengah",$L$2:$L$164,"Rendah")</f>
        <v/>
      </c>
      <c r="K191" s="17">
        <f>J191/98</f>
        <v/>
      </c>
      <c r="M191" s="17" t="inlineStr">
        <is>
          <t>tengah</t>
        </is>
      </c>
      <c r="N191" s="17">
        <f>COUNTIFS($M$170:$M$332,"Tengah",$L$2:$L$164,"Rendah")</f>
        <v/>
      </c>
      <c r="O191" s="17">
        <f>N191/72</f>
        <v/>
      </c>
    </row>
    <row r="192" s="1">
      <c r="E192" s="17" t="inlineStr">
        <is>
          <t>tengah</t>
        </is>
      </c>
      <c r="F192" s="17" t="inlineStr">
        <is>
          <t>Entropy</t>
        </is>
      </c>
      <c r="G192" s="17">
        <f>-(IFERROR(G189*LOG(G189,2),0)+IFERROR(G190*LOG(G190,2),0)+IFERROR(G191*LOG(G191,2),0))</f>
        <v/>
      </c>
      <c r="I192" s="17" t="inlineStr">
        <is>
          <t>tengah</t>
        </is>
      </c>
      <c r="J192" s="17" t="inlineStr">
        <is>
          <t>Entropy</t>
        </is>
      </c>
      <c r="K192" s="17">
        <f>-(IFERROR(K189*LOG(K189,2),0)+IFERROR(K190*LOG(K190,2),0)+IFERROR(K191*LOG(K191,2),0))</f>
        <v/>
      </c>
      <c r="M192" s="17" t="inlineStr">
        <is>
          <t>kanan</t>
        </is>
      </c>
      <c r="N192" s="17" t="inlineStr">
        <is>
          <t>Entropy</t>
        </is>
      </c>
      <c r="O192" s="17">
        <f>-(IFERROR(O189*LOG(O189,2),0)+IFERROR(O190*LOG(O190,2),0)+IFERROR(O191*LOG(O191,2),0))</f>
        <v/>
      </c>
    </row>
    <row r="193" s="1">
      <c r="E193" s="17" t="inlineStr">
        <is>
          <t>tengah</t>
        </is>
      </c>
      <c r="F193" s="17" t="n"/>
      <c r="G193" s="17">
        <f>SUM(F189:F191)/163</f>
        <v/>
      </c>
      <c r="I193" s="17" t="inlineStr">
        <is>
          <t>kanan</t>
        </is>
      </c>
      <c r="J193" s="17" t="n"/>
      <c r="K193" s="17">
        <f>SUM(J189:J191)/163</f>
        <v/>
      </c>
      <c r="M193" s="17" t="inlineStr">
        <is>
          <t>kanan</t>
        </is>
      </c>
      <c r="N193" s="17" t="n"/>
      <c r="O193" s="17">
        <f>SUM(N189:N191)/163</f>
        <v/>
      </c>
    </row>
    <row r="194" s="1">
      <c r="E194" s="17" t="inlineStr">
        <is>
          <t>tengah</t>
        </is>
      </c>
      <c r="F194" s="17" t="n"/>
      <c r="G194" s="23">
        <f>G192*G193</f>
        <v/>
      </c>
      <c r="I194" s="17" t="inlineStr">
        <is>
          <t>tengah</t>
        </is>
      </c>
      <c r="J194" s="17" t="n"/>
      <c r="K194" s="23">
        <f>K192*K193</f>
        <v/>
      </c>
      <c r="M194" s="17" t="inlineStr">
        <is>
          <t>kanan</t>
        </is>
      </c>
      <c r="N194" s="17" t="n"/>
      <c r="O194" s="23">
        <f>O192*O193</f>
        <v/>
      </c>
    </row>
    <row r="195" s="1">
      <c r="E195" s="17" t="inlineStr">
        <is>
          <t>kiri</t>
        </is>
      </c>
      <c r="F195" s="17" t="n"/>
      <c r="G195" s="17" t="n"/>
      <c r="I195" s="17" t="inlineStr">
        <is>
          <t>tengah</t>
        </is>
      </c>
      <c r="J195" s="17" t="n"/>
      <c r="K195" s="17" t="n"/>
      <c r="M195" s="17" t="inlineStr">
        <is>
          <t>kanan</t>
        </is>
      </c>
      <c r="N195" s="17" t="n"/>
      <c r="O195" s="17" t="n"/>
    </row>
    <row r="196" s="1">
      <c r="E196" s="17" t="inlineStr">
        <is>
          <t>kiri</t>
        </is>
      </c>
      <c r="F196" s="17" t="inlineStr">
        <is>
          <t>IG</t>
        </is>
      </c>
      <c r="G196" s="17" t="n"/>
      <c r="I196" s="17" t="inlineStr">
        <is>
          <t>kiri</t>
        </is>
      </c>
      <c r="J196" s="17" t="inlineStr">
        <is>
          <t>IG</t>
        </is>
      </c>
      <c r="K196" s="17" t="n"/>
      <c r="M196" s="17" t="inlineStr">
        <is>
          <t>tengah</t>
        </is>
      </c>
      <c r="N196" s="17" t="inlineStr">
        <is>
          <t>IG</t>
        </is>
      </c>
      <c r="O196" s="17" t="n"/>
    </row>
    <row r="197" s="1">
      <c r="E197" s="17" t="inlineStr">
        <is>
          <t>kanan</t>
        </is>
      </c>
      <c r="F197" s="24">
        <f>P5-(G176+G185+G194)</f>
        <v/>
      </c>
      <c r="G197" s="17" t="n"/>
      <c r="I197" s="17" t="inlineStr">
        <is>
          <t>kanan</t>
        </is>
      </c>
      <c r="J197" s="24">
        <f>P5-(K176+K185+K194)</f>
        <v/>
      </c>
      <c r="K197" s="17" t="n"/>
      <c r="M197" s="17" t="inlineStr">
        <is>
          <t>kanan</t>
        </is>
      </c>
      <c r="N197" s="24">
        <f>P5-(O176+O185+O194)</f>
        <v/>
      </c>
      <c r="O197" s="17" t="n"/>
    </row>
    <row r="198" s="1">
      <c r="E198" s="17" t="inlineStr">
        <is>
          <t>tengah</t>
        </is>
      </c>
      <c r="F198" s="17" t="n"/>
      <c r="G198" s="17" t="n"/>
      <c r="I198" s="17" t="inlineStr">
        <is>
          <t>tengah</t>
        </is>
      </c>
      <c r="J198" s="17" t="n"/>
      <c r="K198" s="17" t="n"/>
      <c r="M198" s="17" t="inlineStr">
        <is>
          <t>kanan</t>
        </is>
      </c>
      <c r="N198" s="17" t="n"/>
      <c r="O198" s="17" t="n"/>
    </row>
    <row r="199" s="1">
      <c r="E199" s="17" t="inlineStr">
        <is>
          <t>tengah</t>
        </is>
      </c>
      <c r="F199" s="17" t="n"/>
      <c r="G199" s="17" t="n"/>
      <c r="I199" s="17" t="inlineStr">
        <is>
          <t>tengah</t>
        </is>
      </c>
      <c r="J199" s="17" t="n"/>
      <c r="K199" s="17" t="n"/>
      <c r="M199" s="17" t="inlineStr">
        <is>
          <t>kanan</t>
        </is>
      </c>
      <c r="N199" s="17" t="n"/>
      <c r="O199" s="17" t="n"/>
    </row>
    <row r="200" s="1">
      <c r="E200" s="17" t="inlineStr">
        <is>
          <t>tengah</t>
        </is>
      </c>
      <c r="F200" s="17" t="n"/>
      <c r="G200" s="17" t="n"/>
      <c r="I200" s="17" t="inlineStr">
        <is>
          <t>tengah</t>
        </is>
      </c>
      <c r="J200" s="17" t="n"/>
      <c r="K200" s="17" t="n"/>
      <c r="M200" s="17" t="inlineStr">
        <is>
          <t>kanan</t>
        </is>
      </c>
      <c r="N200" s="17" t="n"/>
      <c r="O200" s="17" t="n"/>
    </row>
    <row r="201" s="1">
      <c r="E201" s="17" t="inlineStr">
        <is>
          <t>tengah</t>
        </is>
      </c>
      <c r="F201" s="17" t="n"/>
      <c r="G201" s="17" t="n"/>
      <c r="I201" s="17" t="inlineStr">
        <is>
          <t>tengah</t>
        </is>
      </c>
      <c r="J201" s="17" t="n"/>
      <c r="K201" s="17" t="n"/>
      <c r="M201" s="17" t="inlineStr">
        <is>
          <t>kanan</t>
        </is>
      </c>
      <c r="N201" s="17" t="n"/>
      <c r="O201" s="17" t="n"/>
    </row>
    <row r="202" s="1">
      <c r="E202" s="17" t="inlineStr">
        <is>
          <t>tengah</t>
        </is>
      </c>
      <c r="F202" s="17" t="n"/>
      <c r="G202" s="17" t="n"/>
      <c r="I202" s="17" t="inlineStr">
        <is>
          <t>kanan</t>
        </is>
      </c>
      <c r="J202" s="17" t="n"/>
      <c r="K202" s="17" t="n"/>
      <c r="M202" s="17" t="inlineStr">
        <is>
          <t>kanan</t>
        </is>
      </c>
      <c r="N202" s="17" t="n"/>
      <c r="O202" s="17" t="n"/>
    </row>
    <row r="203" s="1">
      <c r="E203" s="17" t="inlineStr">
        <is>
          <t>tengah</t>
        </is>
      </c>
      <c r="F203" s="17" t="n"/>
      <c r="G203" s="17" t="n"/>
      <c r="I203" s="17" t="inlineStr">
        <is>
          <t>tengah</t>
        </is>
      </c>
      <c r="J203" s="17" t="n"/>
      <c r="K203" s="17" t="n"/>
      <c r="M203" s="17" t="inlineStr">
        <is>
          <t>kanan</t>
        </is>
      </c>
      <c r="N203" s="17" t="n"/>
      <c r="O203" s="17" t="n"/>
    </row>
    <row r="204" s="1">
      <c r="E204" s="17" t="inlineStr">
        <is>
          <t>tengah</t>
        </is>
      </c>
      <c r="F204" s="17" t="n"/>
      <c r="G204" s="17" t="n"/>
      <c r="I204" s="17" t="inlineStr">
        <is>
          <t>kiri</t>
        </is>
      </c>
      <c r="J204" s="17" t="n"/>
      <c r="K204" s="17" t="n"/>
      <c r="M204" s="17" t="inlineStr">
        <is>
          <t>tengah</t>
        </is>
      </c>
      <c r="N204" s="17" t="n"/>
      <c r="O204" s="17" t="n"/>
    </row>
    <row r="205" s="1">
      <c r="E205" s="17" t="inlineStr">
        <is>
          <t>tengah</t>
        </is>
      </c>
      <c r="F205" s="17" t="n"/>
      <c r="G205" s="17" t="n"/>
      <c r="I205" s="17" t="inlineStr">
        <is>
          <t>kanan</t>
        </is>
      </c>
      <c r="J205" s="17" t="n"/>
      <c r="K205" s="17" t="n"/>
      <c r="M205" s="17" t="inlineStr">
        <is>
          <t>tengah</t>
        </is>
      </c>
      <c r="N205" s="17" t="n"/>
      <c r="O205" s="17" t="n"/>
    </row>
    <row r="206" s="1">
      <c r="E206" s="17" t="inlineStr">
        <is>
          <t>kanan</t>
        </is>
      </c>
      <c r="F206" s="17" t="n"/>
      <c r="G206" s="17" t="n"/>
      <c r="I206" s="17" t="inlineStr">
        <is>
          <t>tengah</t>
        </is>
      </c>
      <c r="J206" s="17" t="n"/>
      <c r="K206" s="17" t="n"/>
      <c r="M206" s="17" t="inlineStr">
        <is>
          <t>kanan</t>
        </is>
      </c>
      <c r="N206" s="17" t="n"/>
      <c r="O206" s="17" t="n"/>
    </row>
    <row r="207" s="1">
      <c r="E207" s="17" t="inlineStr">
        <is>
          <t>kiri</t>
        </is>
      </c>
      <c r="F207" s="17" t="n"/>
      <c r="G207" s="17" t="n"/>
      <c r="I207" s="17" t="inlineStr">
        <is>
          <t>tengah</t>
        </is>
      </c>
      <c r="J207" s="17" t="n"/>
      <c r="K207" s="17" t="n"/>
      <c r="M207" s="17" t="inlineStr">
        <is>
          <t>kanan</t>
        </is>
      </c>
      <c r="N207" s="17" t="n"/>
      <c r="O207" s="17" t="n"/>
    </row>
    <row r="208" s="1">
      <c r="E208" s="17" t="inlineStr">
        <is>
          <t>tengah</t>
        </is>
      </c>
      <c r="F208" s="17" t="n"/>
      <c r="G208" s="17" t="n"/>
      <c r="I208" s="17" t="inlineStr">
        <is>
          <t>kanan</t>
        </is>
      </c>
      <c r="J208" s="17" t="n"/>
      <c r="K208" s="17" t="n"/>
      <c r="M208" s="17" t="inlineStr">
        <is>
          <t>tengah</t>
        </is>
      </c>
      <c r="N208" s="17" t="n"/>
      <c r="O208" s="17" t="n"/>
    </row>
    <row r="209" s="1">
      <c r="E209" s="17" t="inlineStr">
        <is>
          <t>kiri</t>
        </is>
      </c>
      <c r="F209" s="17" t="n"/>
      <c r="G209" s="17" t="n"/>
      <c r="I209" s="17" t="inlineStr">
        <is>
          <t>tengah</t>
        </is>
      </c>
      <c r="J209" s="17" t="n"/>
      <c r="K209" s="17" t="n"/>
      <c r="M209" s="17" t="inlineStr">
        <is>
          <t>kanan</t>
        </is>
      </c>
      <c r="N209" s="17" t="n"/>
      <c r="O209" s="17" t="n"/>
    </row>
    <row r="210" s="1">
      <c r="E210" s="17" t="inlineStr">
        <is>
          <t>kiri</t>
        </is>
      </c>
      <c r="F210" s="17" t="n"/>
      <c r="G210" s="17" t="n"/>
      <c r="I210" s="17" t="inlineStr">
        <is>
          <t>tengah</t>
        </is>
      </c>
      <c r="J210" s="17" t="n"/>
      <c r="K210" s="17" t="n"/>
      <c r="M210" s="17" t="inlineStr">
        <is>
          <t>tengah</t>
        </is>
      </c>
      <c r="N210" s="17" t="n"/>
      <c r="O210" s="17" t="n"/>
    </row>
    <row r="211" s="1">
      <c r="E211" s="17" t="inlineStr">
        <is>
          <t>tengah</t>
        </is>
      </c>
      <c r="F211" s="17" t="n"/>
      <c r="G211" s="17" t="n"/>
      <c r="I211" s="17" t="inlineStr">
        <is>
          <t>tengah</t>
        </is>
      </c>
      <c r="J211" s="17" t="n"/>
      <c r="K211" s="17" t="n"/>
      <c r="M211" s="17" t="inlineStr">
        <is>
          <t>tengah</t>
        </is>
      </c>
      <c r="N211" s="17" t="n"/>
      <c r="O211" s="17" t="n"/>
    </row>
    <row r="212" s="1">
      <c r="E212" s="17" t="inlineStr">
        <is>
          <t>tengah</t>
        </is>
      </c>
      <c r="F212" s="17" t="n"/>
      <c r="G212" s="17" t="n"/>
      <c r="I212" s="17" t="inlineStr">
        <is>
          <t>tengah</t>
        </is>
      </c>
      <c r="J212" s="17" t="n"/>
      <c r="K212" s="17" t="n"/>
      <c r="M212" s="17" t="inlineStr">
        <is>
          <t>kanan</t>
        </is>
      </c>
      <c r="N212" s="17" t="n"/>
      <c r="O212" s="17" t="n"/>
    </row>
    <row r="213" s="1">
      <c r="E213" s="17" t="inlineStr">
        <is>
          <t>tengah</t>
        </is>
      </c>
      <c r="F213" s="17" t="n"/>
      <c r="G213" s="17" t="n"/>
      <c r="I213" s="17" t="inlineStr">
        <is>
          <t>tengah</t>
        </is>
      </c>
      <c r="J213" s="17" t="n"/>
      <c r="K213" s="17" t="n"/>
      <c r="M213" s="17" t="inlineStr">
        <is>
          <t>tengah</t>
        </is>
      </c>
      <c r="N213" s="17" t="n"/>
      <c r="O213" s="17" t="n"/>
    </row>
    <row r="214" s="1">
      <c r="E214" s="17" t="inlineStr">
        <is>
          <t>kiri</t>
        </is>
      </c>
      <c r="F214" s="17" t="n"/>
      <c r="G214" s="17" t="n"/>
      <c r="I214" s="17" t="inlineStr">
        <is>
          <t>tengah</t>
        </is>
      </c>
      <c r="J214" s="17" t="n"/>
      <c r="K214" s="17" t="n"/>
      <c r="M214" s="17" t="inlineStr">
        <is>
          <t>tengah</t>
        </is>
      </c>
      <c r="N214" s="17" t="n"/>
      <c r="O214" s="17" t="n"/>
    </row>
    <row r="215" s="1">
      <c r="E215" s="17" t="inlineStr">
        <is>
          <t>tengah</t>
        </is>
      </c>
      <c r="F215" s="17" t="n"/>
      <c r="G215" s="17" t="n"/>
      <c r="I215" s="17" t="inlineStr">
        <is>
          <t>tengah</t>
        </is>
      </c>
      <c r="J215" s="17" t="n"/>
      <c r="K215" s="17" t="n"/>
      <c r="M215" s="17" t="inlineStr">
        <is>
          <t>kanan</t>
        </is>
      </c>
      <c r="N215" s="17" t="n"/>
      <c r="O215" s="17" t="n"/>
    </row>
    <row r="216" s="1">
      <c r="E216" s="17" t="inlineStr">
        <is>
          <t>tengah</t>
        </is>
      </c>
      <c r="F216" s="17" t="n"/>
      <c r="G216" s="17" t="n"/>
      <c r="I216" s="17" t="inlineStr">
        <is>
          <t>tengah</t>
        </is>
      </c>
      <c r="J216" s="17" t="n"/>
      <c r="K216" s="17" t="n"/>
      <c r="M216" s="17" t="inlineStr">
        <is>
          <t>tengah</t>
        </is>
      </c>
      <c r="N216" s="17" t="n"/>
      <c r="O216" s="17" t="n"/>
    </row>
    <row r="217" s="1">
      <c r="E217" s="17" t="inlineStr">
        <is>
          <t>kiri</t>
        </is>
      </c>
      <c r="F217" s="17" t="n"/>
      <c r="G217" s="17" t="n"/>
      <c r="I217" s="17" t="inlineStr">
        <is>
          <t>kiri</t>
        </is>
      </c>
      <c r="J217" s="17" t="n"/>
      <c r="K217" s="17" t="n"/>
      <c r="M217" s="17" t="inlineStr">
        <is>
          <t>kanan</t>
        </is>
      </c>
      <c r="N217" s="17" t="n"/>
      <c r="O217" s="17" t="n"/>
    </row>
    <row r="218" s="1">
      <c r="E218" s="17" t="inlineStr">
        <is>
          <t>tengah</t>
        </is>
      </c>
      <c r="F218" s="17" t="n"/>
      <c r="G218" s="17" t="n"/>
      <c r="I218" s="17" t="inlineStr">
        <is>
          <t>tengah</t>
        </is>
      </c>
      <c r="J218" s="17" t="n"/>
      <c r="K218" s="17" t="n"/>
      <c r="M218" s="17" t="inlineStr">
        <is>
          <t>kanan</t>
        </is>
      </c>
      <c r="N218" s="17" t="n"/>
      <c r="O218" s="17" t="n"/>
    </row>
    <row r="219" s="1">
      <c r="E219" s="17" t="inlineStr">
        <is>
          <t>kiri</t>
        </is>
      </c>
      <c r="F219" s="17" t="n"/>
      <c r="G219" s="17" t="n"/>
      <c r="I219" s="17" t="inlineStr">
        <is>
          <t>kiri</t>
        </is>
      </c>
      <c r="J219" s="17" t="n"/>
      <c r="K219" s="17" t="n"/>
      <c r="M219" s="17" t="inlineStr">
        <is>
          <t>kanan</t>
        </is>
      </c>
      <c r="N219" s="17" t="n"/>
      <c r="O219" s="17" t="n"/>
    </row>
    <row r="220" s="1">
      <c r="E220" s="17" t="inlineStr">
        <is>
          <t>kiri</t>
        </is>
      </c>
      <c r="F220" s="17" t="n"/>
      <c r="G220" s="17" t="n"/>
      <c r="I220" s="17" t="inlineStr">
        <is>
          <t>kiri</t>
        </is>
      </c>
      <c r="J220" s="17" t="n"/>
      <c r="K220" s="17" t="n"/>
      <c r="M220" s="17" t="inlineStr">
        <is>
          <t>tengah</t>
        </is>
      </c>
      <c r="N220" s="17" t="n"/>
      <c r="O220" s="17" t="n"/>
    </row>
    <row r="221" s="1">
      <c r="E221" s="17" t="inlineStr">
        <is>
          <t>tengah</t>
        </is>
      </c>
      <c r="F221" s="17" t="n"/>
      <c r="G221" s="17" t="n"/>
      <c r="I221" s="17" t="inlineStr">
        <is>
          <t>tengah</t>
        </is>
      </c>
      <c r="J221" s="17" t="n"/>
      <c r="K221" s="17" t="n"/>
      <c r="M221" s="17" t="inlineStr">
        <is>
          <t>kanan</t>
        </is>
      </c>
      <c r="N221" s="17" t="n"/>
      <c r="O221" s="17" t="n"/>
    </row>
    <row r="222" s="1">
      <c r="E222" s="17" t="inlineStr">
        <is>
          <t>tengah</t>
        </is>
      </c>
      <c r="F222" s="17" t="n"/>
      <c r="G222" s="17" t="n"/>
      <c r="I222" s="17" t="inlineStr">
        <is>
          <t>tengah</t>
        </is>
      </c>
      <c r="J222" s="17" t="n"/>
      <c r="K222" s="17" t="n"/>
      <c r="M222" s="17" t="inlineStr">
        <is>
          <t>tengah</t>
        </is>
      </c>
      <c r="N222" s="17" t="n"/>
      <c r="O222" s="17" t="n"/>
    </row>
    <row r="223" s="1">
      <c r="E223" s="17" t="inlineStr">
        <is>
          <t>kanan</t>
        </is>
      </c>
      <c r="F223" s="17" t="n"/>
      <c r="G223" s="17" t="n"/>
      <c r="I223" s="17" t="inlineStr">
        <is>
          <t>tengah</t>
        </is>
      </c>
      <c r="J223" s="17" t="n"/>
      <c r="K223" s="17" t="n"/>
      <c r="M223" s="17" t="inlineStr">
        <is>
          <t>kanan</t>
        </is>
      </c>
      <c r="N223" s="17" t="n"/>
      <c r="O223" s="17" t="n"/>
    </row>
    <row r="224" s="1">
      <c r="E224" s="17" t="inlineStr">
        <is>
          <t>tengah</t>
        </is>
      </c>
      <c r="F224" s="17" t="n"/>
      <c r="G224" s="17" t="n"/>
      <c r="I224" s="17" t="inlineStr">
        <is>
          <t>tengah</t>
        </is>
      </c>
      <c r="J224" s="17" t="n"/>
      <c r="K224" s="17" t="n"/>
      <c r="M224" s="17" t="inlineStr">
        <is>
          <t>tengah</t>
        </is>
      </c>
      <c r="N224" s="17" t="n"/>
      <c r="O224" s="17" t="n"/>
    </row>
    <row r="225" s="1">
      <c r="E225" s="17" t="inlineStr">
        <is>
          <t>tengah</t>
        </is>
      </c>
      <c r="F225" s="17" t="n"/>
      <c r="G225" s="17" t="n"/>
      <c r="I225" s="17" t="inlineStr">
        <is>
          <t>tengah</t>
        </is>
      </c>
      <c r="J225" s="17" t="n"/>
      <c r="K225" s="17" t="n"/>
      <c r="M225" s="17" t="inlineStr">
        <is>
          <t>tengah</t>
        </is>
      </c>
      <c r="N225" s="17" t="n"/>
      <c r="O225" s="17" t="n"/>
    </row>
    <row r="226" s="1">
      <c r="E226" s="17" t="inlineStr">
        <is>
          <t>tengah</t>
        </is>
      </c>
      <c r="F226" s="17" t="n"/>
      <c r="G226" s="17" t="n"/>
      <c r="I226" s="17" t="inlineStr">
        <is>
          <t>tengah</t>
        </is>
      </c>
      <c r="J226" s="17" t="n"/>
      <c r="K226" s="17" t="n"/>
      <c r="M226" s="17" t="inlineStr">
        <is>
          <t>kanan</t>
        </is>
      </c>
      <c r="N226" s="17" t="n"/>
      <c r="O226" s="17" t="n"/>
    </row>
    <row r="227" s="1">
      <c r="E227" s="17" t="inlineStr">
        <is>
          <t>kanan</t>
        </is>
      </c>
      <c r="F227" s="17" t="n"/>
      <c r="G227" s="17" t="n"/>
      <c r="I227" s="17" t="inlineStr">
        <is>
          <t>kiri</t>
        </is>
      </c>
      <c r="J227" s="17" t="n"/>
      <c r="K227" s="17" t="n"/>
      <c r="M227" s="17" t="inlineStr">
        <is>
          <t>tengah</t>
        </is>
      </c>
      <c r="N227" s="17" t="n"/>
      <c r="O227" s="17" t="n"/>
    </row>
    <row r="228" s="1">
      <c r="E228" s="17" t="inlineStr">
        <is>
          <t>tengah</t>
        </is>
      </c>
      <c r="F228" s="17" t="n"/>
      <c r="G228" s="17" t="n"/>
      <c r="I228" s="17" t="inlineStr">
        <is>
          <t>tengah</t>
        </is>
      </c>
      <c r="J228" s="17" t="n"/>
      <c r="K228" s="17" t="n"/>
      <c r="M228" s="17" t="inlineStr">
        <is>
          <t>tengah</t>
        </is>
      </c>
      <c r="N228" s="17" t="n"/>
      <c r="O228" s="17" t="n"/>
    </row>
    <row r="229" s="1">
      <c r="E229" s="17" t="inlineStr">
        <is>
          <t>tengah</t>
        </is>
      </c>
      <c r="F229" s="17" t="n"/>
      <c r="G229" s="17" t="n"/>
      <c r="I229" s="17" t="inlineStr">
        <is>
          <t>tengah</t>
        </is>
      </c>
      <c r="J229" s="17" t="n"/>
      <c r="K229" s="17" t="n"/>
      <c r="M229" s="17" t="inlineStr">
        <is>
          <t>kanan</t>
        </is>
      </c>
      <c r="N229" s="17" t="n"/>
      <c r="O229" s="17" t="n"/>
    </row>
    <row r="230" s="1">
      <c r="E230" s="17" t="inlineStr">
        <is>
          <t>kiri</t>
        </is>
      </c>
      <c r="F230" s="17" t="n"/>
      <c r="G230" s="17" t="n"/>
      <c r="I230" s="17" t="inlineStr">
        <is>
          <t>kiri</t>
        </is>
      </c>
      <c r="J230" s="17" t="n"/>
      <c r="K230" s="17" t="n"/>
      <c r="M230" s="17" t="inlineStr">
        <is>
          <t>kanan</t>
        </is>
      </c>
      <c r="N230" s="17" t="n"/>
      <c r="O230" s="17" t="n"/>
    </row>
    <row r="231" s="1">
      <c r="E231" s="17" t="inlineStr">
        <is>
          <t>kiri</t>
        </is>
      </c>
      <c r="F231" s="17" t="n"/>
      <c r="G231" s="17" t="n"/>
      <c r="I231" s="17" t="inlineStr">
        <is>
          <t>tengah</t>
        </is>
      </c>
      <c r="J231" s="17" t="n"/>
      <c r="K231" s="17" t="n"/>
      <c r="M231" s="17" t="inlineStr">
        <is>
          <t>kanan</t>
        </is>
      </c>
      <c r="N231" s="17" t="n"/>
      <c r="O231" s="17" t="n"/>
    </row>
    <row r="232" s="1">
      <c r="E232" s="17" t="inlineStr">
        <is>
          <t>kiri</t>
        </is>
      </c>
      <c r="F232" s="17" t="n"/>
      <c r="G232" s="17" t="n"/>
      <c r="I232" s="17" t="inlineStr">
        <is>
          <t>tengah</t>
        </is>
      </c>
      <c r="J232" s="17" t="n"/>
      <c r="K232" s="17" t="n"/>
      <c r="M232" s="17" t="inlineStr">
        <is>
          <t>tengah</t>
        </is>
      </c>
      <c r="N232" s="17" t="n"/>
      <c r="O232" s="17" t="n"/>
    </row>
    <row r="233" s="1">
      <c r="E233" s="17" t="inlineStr">
        <is>
          <t>kanan</t>
        </is>
      </c>
      <c r="F233" s="17" t="n"/>
      <c r="G233" s="17" t="n"/>
      <c r="I233" s="17" t="inlineStr">
        <is>
          <t>tengah</t>
        </is>
      </c>
      <c r="J233" s="17" t="n"/>
      <c r="K233" s="17" t="n"/>
      <c r="M233" s="17" t="inlineStr">
        <is>
          <t>tengah</t>
        </is>
      </c>
      <c r="N233" s="17" t="n"/>
      <c r="O233" s="17" t="n"/>
    </row>
    <row r="234" s="1">
      <c r="E234" s="17" t="inlineStr">
        <is>
          <t>tengah</t>
        </is>
      </c>
      <c r="F234" s="17" t="n"/>
      <c r="G234" s="17" t="n"/>
      <c r="I234" s="17" t="inlineStr">
        <is>
          <t>tengah</t>
        </is>
      </c>
      <c r="J234" s="17" t="n"/>
      <c r="K234" s="17" t="n"/>
      <c r="M234" s="17" t="inlineStr">
        <is>
          <t>kanan</t>
        </is>
      </c>
      <c r="N234" s="17" t="n"/>
      <c r="O234" s="17" t="n"/>
    </row>
    <row r="235" s="1">
      <c r="E235" s="17" t="inlineStr">
        <is>
          <t>tengah</t>
        </is>
      </c>
      <c r="F235" s="17" t="n"/>
      <c r="G235" s="17" t="n"/>
      <c r="I235" s="17" t="inlineStr">
        <is>
          <t>tengah</t>
        </is>
      </c>
      <c r="J235" s="17" t="n"/>
      <c r="K235" s="17" t="n"/>
      <c r="M235" s="17" t="inlineStr">
        <is>
          <t>kanan</t>
        </is>
      </c>
      <c r="N235" s="17" t="n"/>
      <c r="O235" s="17" t="n"/>
    </row>
    <row r="236" s="1">
      <c r="E236" s="17" t="inlineStr">
        <is>
          <t>tengah</t>
        </is>
      </c>
      <c r="F236" s="17" t="n"/>
      <c r="G236" s="17" t="n"/>
      <c r="I236" s="17" t="inlineStr">
        <is>
          <t>tengah</t>
        </is>
      </c>
      <c r="J236" s="17" t="n"/>
      <c r="K236" s="17" t="n"/>
      <c r="M236" s="17" t="inlineStr">
        <is>
          <t>tengah</t>
        </is>
      </c>
      <c r="N236" s="17" t="n"/>
      <c r="O236" s="17" t="n"/>
    </row>
    <row r="237" s="1">
      <c r="E237" s="17" t="inlineStr">
        <is>
          <t>kanan</t>
        </is>
      </c>
      <c r="F237" s="17" t="n"/>
      <c r="G237" s="17" t="n"/>
      <c r="I237" s="17" t="inlineStr">
        <is>
          <t>tengah</t>
        </is>
      </c>
      <c r="J237" s="17" t="n"/>
      <c r="K237" s="17" t="n"/>
      <c r="M237" s="17" t="inlineStr">
        <is>
          <t>kanan</t>
        </is>
      </c>
      <c r="N237" s="17" t="n"/>
      <c r="O237" s="17" t="n"/>
    </row>
    <row r="238" s="1">
      <c r="E238" s="17" t="inlineStr">
        <is>
          <t>tengah</t>
        </is>
      </c>
      <c r="F238" s="17" t="n"/>
      <c r="G238" s="17" t="n"/>
      <c r="I238" s="17" t="inlineStr">
        <is>
          <t>kiri</t>
        </is>
      </c>
      <c r="J238" s="17" t="n"/>
      <c r="K238" s="17" t="n"/>
      <c r="M238" s="17" t="inlineStr">
        <is>
          <t>kanan</t>
        </is>
      </c>
      <c r="N238" s="17" t="n"/>
      <c r="O238" s="17" t="n"/>
    </row>
    <row r="239" s="1">
      <c r="E239" s="17" t="inlineStr">
        <is>
          <t>kiri</t>
        </is>
      </c>
      <c r="F239" s="17" t="n"/>
      <c r="G239" s="17" t="n"/>
      <c r="I239" s="17" t="inlineStr">
        <is>
          <t>kiri</t>
        </is>
      </c>
      <c r="J239" s="17" t="n"/>
      <c r="K239" s="17" t="n"/>
      <c r="M239" s="17" t="inlineStr">
        <is>
          <t>tengah</t>
        </is>
      </c>
      <c r="N239" s="17" t="n"/>
      <c r="O239" s="17" t="n"/>
    </row>
    <row r="240" s="1">
      <c r="E240" s="17" t="inlineStr">
        <is>
          <t>tengah</t>
        </is>
      </c>
      <c r="F240" s="17" t="n"/>
      <c r="G240" s="17" t="n"/>
      <c r="I240" s="17" t="inlineStr">
        <is>
          <t>tengah</t>
        </is>
      </c>
      <c r="J240" s="17" t="n"/>
      <c r="K240" s="17" t="n"/>
      <c r="M240" s="17" t="inlineStr">
        <is>
          <t>tengah</t>
        </is>
      </c>
      <c r="N240" s="17" t="n"/>
      <c r="O240" s="17" t="n"/>
    </row>
    <row r="241" s="1">
      <c r="E241" s="17" t="inlineStr">
        <is>
          <t>tengah</t>
        </is>
      </c>
      <c r="F241" s="17" t="n"/>
      <c r="G241" s="17" t="n"/>
      <c r="I241" s="17" t="inlineStr">
        <is>
          <t>tengah</t>
        </is>
      </c>
      <c r="J241" s="17" t="n"/>
      <c r="K241" s="17" t="n"/>
      <c r="M241" s="17" t="inlineStr">
        <is>
          <t>kanan</t>
        </is>
      </c>
      <c r="N241" s="17" t="n"/>
      <c r="O241" s="17" t="n"/>
    </row>
    <row r="242" s="1">
      <c r="E242" s="17" t="inlineStr">
        <is>
          <t>kiri</t>
        </is>
      </c>
      <c r="F242" s="17" t="n"/>
      <c r="G242" s="17" t="n"/>
      <c r="I242" s="17" t="inlineStr">
        <is>
          <t>tengah</t>
        </is>
      </c>
      <c r="J242" s="17" t="n"/>
      <c r="K242" s="17" t="n"/>
      <c r="M242" s="17" t="inlineStr">
        <is>
          <t>kanan</t>
        </is>
      </c>
      <c r="N242" s="17" t="n"/>
      <c r="O242" s="17" t="n"/>
    </row>
    <row r="243" s="1">
      <c r="E243" s="17" t="inlineStr">
        <is>
          <t>kiri</t>
        </is>
      </c>
      <c r="F243" s="17" t="n"/>
      <c r="G243" s="17" t="n"/>
      <c r="I243" s="17" t="inlineStr">
        <is>
          <t>kiri</t>
        </is>
      </c>
      <c r="J243" s="17" t="n"/>
      <c r="K243" s="17" t="n"/>
      <c r="M243" s="17" t="inlineStr">
        <is>
          <t>kanan</t>
        </is>
      </c>
      <c r="N243" s="17" t="n"/>
      <c r="O243" s="17" t="n"/>
    </row>
    <row r="244" s="1">
      <c r="E244" s="17" t="inlineStr">
        <is>
          <t>tengah</t>
        </is>
      </c>
      <c r="F244" s="17" t="n"/>
      <c r="G244" s="17" t="n"/>
      <c r="I244" s="17" t="inlineStr">
        <is>
          <t>kanan</t>
        </is>
      </c>
      <c r="J244" s="17" t="n"/>
      <c r="K244" s="17" t="n"/>
      <c r="M244" s="17" t="inlineStr">
        <is>
          <t>tengah</t>
        </is>
      </c>
      <c r="N244" s="17" t="n"/>
      <c r="O244" s="17" t="n"/>
    </row>
    <row r="245" s="1">
      <c r="E245" s="17" t="inlineStr">
        <is>
          <t>tengah</t>
        </is>
      </c>
      <c r="F245" s="17" t="n"/>
      <c r="G245" s="17" t="n"/>
      <c r="I245" s="17" t="inlineStr">
        <is>
          <t>tengah</t>
        </is>
      </c>
      <c r="J245" s="17" t="n"/>
      <c r="K245" s="17" t="n"/>
      <c r="M245" s="17" t="inlineStr">
        <is>
          <t>tengah</t>
        </is>
      </c>
      <c r="N245" s="17" t="n"/>
      <c r="O245" s="17" t="n"/>
    </row>
    <row r="246" s="1">
      <c r="E246" s="17" t="inlineStr">
        <is>
          <t>tengah</t>
        </is>
      </c>
      <c r="F246" s="17" t="n"/>
      <c r="G246" s="17" t="n"/>
      <c r="I246" s="17" t="inlineStr">
        <is>
          <t>tengah</t>
        </is>
      </c>
      <c r="J246" s="17" t="n"/>
      <c r="K246" s="17" t="n"/>
      <c r="M246" s="17" t="inlineStr">
        <is>
          <t>tengah</t>
        </is>
      </c>
      <c r="N246" s="17" t="n"/>
      <c r="O246" s="17" t="n"/>
    </row>
    <row r="247" s="1">
      <c r="E247" s="17" t="inlineStr">
        <is>
          <t>tengah</t>
        </is>
      </c>
      <c r="F247" s="17" t="n"/>
      <c r="G247" s="17" t="n"/>
      <c r="I247" s="17" t="inlineStr">
        <is>
          <t>kiri</t>
        </is>
      </c>
      <c r="J247" s="17" t="n"/>
      <c r="K247" s="17" t="n"/>
      <c r="M247" s="17" t="inlineStr">
        <is>
          <t>kanan</t>
        </is>
      </c>
      <c r="N247" s="17" t="n"/>
      <c r="O247" s="17" t="n"/>
    </row>
    <row r="248" s="1">
      <c r="E248" s="17" t="inlineStr">
        <is>
          <t>tengah</t>
        </is>
      </c>
      <c r="F248" s="17" t="n"/>
      <c r="G248" s="17" t="n"/>
      <c r="I248" s="17" t="inlineStr">
        <is>
          <t>kiri</t>
        </is>
      </c>
      <c r="J248" s="17" t="n"/>
      <c r="K248" s="17" t="n"/>
      <c r="M248" s="17" t="inlineStr">
        <is>
          <t>tengah</t>
        </is>
      </c>
      <c r="N248" s="17" t="n"/>
      <c r="O248" s="17" t="n"/>
    </row>
    <row r="249" s="1">
      <c r="E249" s="17" t="inlineStr">
        <is>
          <t>tengah</t>
        </is>
      </c>
      <c r="F249" s="17" t="n"/>
      <c r="G249" s="17" t="n"/>
      <c r="I249" s="17" t="inlineStr">
        <is>
          <t>tengah</t>
        </is>
      </c>
      <c r="J249" s="17" t="n"/>
      <c r="K249" s="17" t="n"/>
      <c r="M249" s="17" t="inlineStr">
        <is>
          <t>tengah</t>
        </is>
      </c>
      <c r="N249" s="17" t="n"/>
      <c r="O249" s="17" t="n"/>
    </row>
    <row r="250" s="1">
      <c r="E250" s="17" t="inlineStr">
        <is>
          <t>kiri</t>
        </is>
      </c>
      <c r="F250" s="17" t="n"/>
      <c r="G250" s="17" t="n"/>
      <c r="I250" s="17" t="inlineStr">
        <is>
          <t>tengah</t>
        </is>
      </c>
      <c r="J250" s="17" t="n"/>
      <c r="K250" s="17" t="n"/>
      <c r="M250" s="17" t="inlineStr">
        <is>
          <t>tengah</t>
        </is>
      </c>
      <c r="N250" s="17" t="n"/>
      <c r="O250" s="17" t="n"/>
    </row>
    <row r="251" s="1">
      <c r="E251" s="17" t="inlineStr">
        <is>
          <t>tengah</t>
        </is>
      </c>
      <c r="F251" s="17" t="n"/>
      <c r="G251" s="17" t="n"/>
      <c r="I251" s="17" t="inlineStr">
        <is>
          <t>tengah</t>
        </is>
      </c>
      <c r="J251" s="17" t="n"/>
      <c r="K251" s="17" t="n"/>
      <c r="M251" s="17" t="inlineStr">
        <is>
          <t>kanan</t>
        </is>
      </c>
      <c r="N251" s="17" t="n"/>
      <c r="O251" s="17" t="n"/>
    </row>
    <row r="252" s="1">
      <c r="E252" s="17" t="inlineStr">
        <is>
          <t>tengah</t>
        </is>
      </c>
      <c r="F252" s="17" t="n"/>
      <c r="G252" s="17" t="n"/>
      <c r="I252" s="17" t="inlineStr">
        <is>
          <t>kiri</t>
        </is>
      </c>
      <c r="J252" s="17" t="n"/>
      <c r="K252" s="17" t="n"/>
      <c r="M252" s="17" t="inlineStr">
        <is>
          <t>kanan</t>
        </is>
      </c>
      <c r="N252" s="17" t="n"/>
      <c r="O252" s="17" t="n"/>
    </row>
    <row r="253" s="1">
      <c r="E253" s="17" t="inlineStr">
        <is>
          <t>tengah</t>
        </is>
      </c>
      <c r="F253" s="17" t="n"/>
      <c r="G253" s="17" t="n"/>
      <c r="I253" s="17" t="inlineStr">
        <is>
          <t>kanan</t>
        </is>
      </c>
      <c r="J253" s="17" t="n"/>
      <c r="K253" s="17" t="n"/>
      <c r="M253" s="17" t="inlineStr">
        <is>
          <t>kanan</t>
        </is>
      </c>
      <c r="N253" s="17" t="n"/>
      <c r="O253" s="17" t="n"/>
    </row>
    <row r="254" s="1">
      <c r="E254" s="17" t="inlineStr">
        <is>
          <t>kiri</t>
        </is>
      </c>
      <c r="F254" s="17" t="n"/>
      <c r="G254" s="17" t="n"/>
      <c r="I254" s="17" t="inlineStr">
        <is>
          <t>kanan</t>
        </is>
      </c>
      <c r="J254" s="17" t="n"/>
      <c r="K254" s="17" t="n"/>
      <c r="M254" s="17" t="inlineStr">
        <is>
          <t>tengah</t>
        </is>
      </c>
      <c r="N254" s="17" t="n"/>
      <c r="O254" s="17" t="n"/>
    </row>
    <row r="255" s="1">
      <c r="E255" s="17" t="inlineStr">
        <is>
          <t>kanan</t>
        </is>
      </c>
      <c r="F255" s="17" t="n"/>
      <c r="G255" s="17" t="n"/>
      <c r="I255" s="17" t="inlineStr">
        <is>
          <t>tengah</t>
        </is>
      </c>
      <c r="J255" s="17" t="n"/>
      <c r="K255" s="17" t="n"/>
      <c r="M255" s="17" t="inlineStr">
        <is>
          <t>kanan</t>
        </is>
      </c>
      <c r="N255" s="17" t="n"/>
      <c r="O255" s="17" t="n"/>
    </row>
    <row r="256" s="1">
      <c r="E256" s="17" t="inlineStr">
        <is>
          <t>tengah</t>
        </is>
      </c>
      <c r="F256" s="17" t="n"/>
      <c r="G256" s="17" t="n"/>
      <c r="I256" s="17" t="inlineStr">
        <is>
          <t>kanan</t>
        </is>
      </c>
      <c r="J256" s="17" t="n"/>
      <c r="K256" s="17" t="n"/>
      <c r="M256" s="17" t="inlineStr">
        <is>
          <t>kanan</t>
        </is>
      </c>
      <c r="N256" s="17" t="n"/>
      <c r="O256" s="17" t="n"/>
    </row>
    <row r="257" s="1">
      <c r="E257" s="17" t="inlineStr">
        <is>
          <t>kiri</t>
        </is>
      </c>
      <c r="F257" s="17" t="n"/>
      <c r="G257" s="17" t="n"/>
      <c r="I257" s="17" t="inlineStr">
        <is>
          <t>kiri</t>
        </is>
      </c>
      <c r="J257" s="17" t="n"/>
      <c r="K257" s="17" t="n"/>
      <c r="M257" s="17" t="inlineStr">
        <is>
          <t>kanan</t>
        </is>
      </c>
      <c r="N257" s="17" t="n"/>
      <c r="O257" s="17" t="n"/>
    </row>
    <row r="258" s="1">
      <c r="E258" s="17" t="inlineStr">
        <is>
          <t>tengah</t>
        </is>
      </c>
      <c r="F258" s="17" t="n"/>
      <c r="G258" s="17" t="n"/>
      <c r="I258" s="17" t="inlineStr">
        <is>
          <t>tengah</t>
        </is>
      </c>
      <c r="J258" s="17" t="n"/>
      <c r="K258" s="17" t="n"/>
      <c r="M258" s="17" t="inlineStr">
        <is>
          <t>kanan</t>
        </is>
      </c>
      <c r="N258" s="17" t="n"/>
      <c r="O258" s="17" t="n"/>
    </row>
    <row r="259" s="1">
      <c r="E259" s="17" t="inlineStr">
        <is>
          <t>tengah</t>
        </is>
      </c>
      <c r="F259" s="17" t="n"/>
      <c r="G259" s="17" t="n"/>
      <c r="I259" s="17" t="inlineStr">
        <is>
          <t>kanan</t>
        </is>
      </c>
      <c r="J259" s="17" t="n"/>
      <c r="K259" s="17" t="n"/>
      <c r="M259" s="17" t="inlineStr">
        <is>
          <t>tengah</t>
        </is>
      </c>
      <c r="N259" s="17" t="n"/>
      <c r="O259" s="17" t="n"/>
    </row>
    <row r="260" s="1">
      <c r="E260" s="17" t="inlineStr">
        <is>
          <t>tengah</t>
        </is>
      </c>
      <c r="F260" s="17" t="n"/>
      <c r="G260" s="17" t="n"/>
      <c r="I260" s="17" t="inlineStr">
        <is>
          <t>tengah</t>
        </is>
      </c>
      <c r="J260" s="17" t="n"/>
      <c r="K260" s="17" t="n"/>
      <c r="M260" s="17" t="inlineStr">
        <is>
          <t>kanan</t>
        </is>
      </c>
      <c r="N260" s="17" t="n"/>
      <c r="O260" s="17" t="n"/>
    </row>
    <row r="261" s="1">
      <c r="E261" s="17" t="inlineStr">
        <is>
          <t>kiri</t>
        </is>
      </c>
      <c r="F261" s="17" t="n"/>
      <c r="G261" s="17" t="n"/>
      <c r="I261" s="17" t="inlineStr">
        <is>
          <t>kanan</t>
        </is>
      </c>
      <c r="J261" s="17" t="n"/>
      <c r="K261" s="17" t="n"/>
      <c r="M261" s="17" t="inlineStr">
        <is>
          <t>kanan</t>
        </is>
      </c>
      <c r="N261" s="17" t="n"/>
      <c r="O261" s="17" t="n"/>
    </row>
    <row r="262" s="1">
      <c r="E262" s="17" t="inlineStr">
        <is>
          <t>kiri</t>
        </is>
      </c>
      <c r="F262" s="17" t="n"/>
      <c r="G262" s="17" t="n"/>
      <c r="I262" s="17" t="inlineStr">
        <is>
          <t>tengah</t>
        </is>
      </c>
      <c r="J262" s="17" t="n"/>
      <c r="K262" s="17" t="n"/>
      <c r="M262" s="17" t="inlineStr">
        <is>
          <t>tengah</t>
        </is>
      </c>
      <c r="N262" s="17" t="n"/>
      <c r="O262" s="17" t="n"/>
    </row>
    <row r="263" s="1">
      <c r="E263" s="17" t="inlineStr">
        <is>
          <t>kanan</t>
        </is>
      </c>
      <c r="F263" s="17" t="n"/>
      <c r="G263" s="17" t="n"/>
      <c r="I263" s="17" t="inlineStr">
        <is>
          <t>tengah</t>
        </is>
      </c>
      <c r="J263" s="17" t="n"/>
      <c r="K263" s="17" t="n"/>
      <c r="M263" s="17" t="inlineStr">
        <is>
          <t>tengah</t>
        </is>
      </c>
      <c r="N263" s="17" t="n"/>
      <c r="O263" s="17" t="n"/>
    </row>
    <row r="264" s="1">
      <c r="E264" s="17" t="inlineStr">
        <is>
          <t>kanan</t>
        </is>
      </c>
      <c r="F264" s="17" t="n"/>
      <c r="G264" s="17" t="n"/>
      <c r="I264" s="17" t="inlineStr">
        <is>
          <t>kanan</t>
        </is>
      </c>
      <c r="J264" s="17" t="n"/>
      <c r="K264" s="17" t="n"/>
      <c r="M264" s="17" t="inlineStr">
        <is>
          <t>tengah</t>
        </is>
      </c>
      <c r="N264" s="17" t="n"/>
      <c r="O264" s="17" t="n"/>
    </row>
    <row r="265" s="1">
      <c r="E265" s="17" t="inlineStr">
        <is>
          <t>kiri</t>
        </is>
      </c>
      <c r="F265" s="17" t="n"/>
      <c r="G265" s="17" t="n"/>
      <c r="I265" s="17" t="inlineStr">
        <is>
          <t>kiri</t>
        </is>
      </c>
      <c r="J265" s="17" t="n"/>
      <c r="K265" s="17" t="n"/>
      <c r="M265" s="17" t="inlineStr">
        <is>
          <t>tengah</t>
        </is>
      </c>
      <c r="N265" s="17" t="n"/>
      <c r="O265" s="17" t="n"/>
    </row>
    <row r="266" s="1">
      <c r="E266" s="17" t="inlineStr">
        <is>
          <t>kanan</t>
        </is>
      </c>
      <c r="F266" s="17" t="n"/>
      <c r="G266" s="17" t="n"/>
      <c r="I266" s="17" t="inlineStr">
        <is>
          <t>kiri</t>
        </is>
      </c>
      <c r="J266" s="17" t="n"/>
      <c r="K266" s="17" t="n"/>
      <c r="M266" s="17" t="inlineStr">
        <is>
          <t>kanan</t>
        </is>
      </c>
      <c r="N266" s="17" t="n"/>
      <c r="O266" s="17" t="n"/>
    </row>
    <row r="267" s="1">
      <c r="E267" s="17" t="inlineStr">
        <is>
          <t>kiri</t>
        </is>
      </c>
      <c r="F267" s="17" t="n"/>
      <c r="G267" s="17" t="n"/>
      <c r="I267" s="17" t="inlineStr">
        <is>
          <t>kiri</t>
        </is>
      </c>
      <c r="J267" s="17" t="n"/>
      <c r="K267" s="17" t="n"/>
      <c r="M267" s="17" t="inlineStr">
        <is>
          <t>kanan</t>
        </is>
      </c>
      <c r="N267" s="17" t="n"/>
      <c r="O267" s="17" t="n"/>
    </row>
    <row r="268" s="1">
      <c r="E268" s="17" t="inlineStr">
        <is>
          <t>tengah</t>
        </is>
      </c>
      <c r="F268" s="17" t="n"/>
      <c r="G268" s="17" t="n"/>
      <c r="I268" s="17" t="inlineStr">
        <is>
          <t>tengah</t>
        </is>
      </c>
      <c r="J268" s="17" t="n"/>
      <c r="K268" s="17" t="n"/>
      <c r="M268" s="17" t="inlineStr">
        <is>
          <t>tengah</t>
        </is>
      </c>
      <c r="N268" s="17" t="n"/>
      <c r="O268" s="17" t="n"/>
    </row>
    <row r="269" s="1">
      <c r="E269" s="17" t="inlineStr">
        <is>
          <t>kiri</t>
        </is>
      </c>
      <c r="F269" s="17" t="n"/>
      <c r="G269" s="17" t="n"/>
      <c r="I269" s="17" t="inlineStr">
        <is>
          <t>kanan</t>
        </is>
      </c>
      <c r="J269" s="17" t="n"/>
      <c r="K269" s="17" t="n"/>
      <c r="M269" s="17" t="inlineStr">
        <is>
          <t>kanan</t>
        </is>
      </c>
      <c r="N269" s="17" t="n"/>
      <c r="O269" s="17" t="n"/>
    </row>
    <row r="270" s="1">
      <c r="E270" s="17" t="inlineStr">
        <is>
          <t>tengah</t>
        </is>
      </c>
      <c r="F270" s="17" t="n"/>
      <c r="G270" s="17" t="n"/>
      <c r="I270" s="17" t="inlineStr">
        <is>
          <t>kanan</t>
        </is>
      </c>
      <c r="J270" s="17" t="n"/>
      <c r="K270" s="17" t="n"/>
      <c r="M270" s="17" t="inlineStr">
        <is>
          <t>tengah</t>
        </is>
      </c>
      <c r="N270" s="17" t="n"/>
      <c r="O270" s="17" t="n"/>
    </row>
    <row r="271" s="1">
      <c r="E271" s="17" t="inlineStr">
        <is>
          <t>kiri</t>
        </is>
      </c>
      <c r="F271" s="17" t="n"/>
      <c r="G271" s="17" t="n"/>
      <c r="I271" s="17" t="inlineStr">
        <is>
          <t>kiri</t>
        </is>
      </c>
      <c r="J271" s="17" t="n"/>
      <c r="K271" s="17" t="n"/>
      <c r="M271" s="17" t="inlineStr">
        <is>
          <t>kanan</t>
        </is>
      </c>
      <c r="N271" s="17" t="n"/>
      <c r="O271" s="17" t="n"/>
    </row>
    <row r="272" s="1">
      <c r="E272" s="17" t="inlineStr">
        <is>
          <t>kanan</t>
        </is>
      </c>
      <c r="F272" s="17" t="n"/>
      <c r="G272" s="17" t="n"/>
      <c r="I272" s="17" t="inlineStr">
        <is>
          <t>tengah</t>
        </is>
      </c>
      <c r="J272" s="17" t="n"/>
      <c r="K272" s="17" t="n"/>
      <c r="M272" s="17" t="inlineStr">
        <is>
          <t>kanan</t>
        </is>
      </c>
      <c r="N272" s="17" t="n"/>
      <c r="O272" s="17" t="n"/>
    </row>
    <row r="273" s="1">
      <c r="E273" s="17" t="inlineStr">
        <is>
          <t>kanan</t>
        </is>
      </c>
      <c r="F273" s="17" t="n"/>
      <c r="G273" s="17" t="n"/>
      <c r="I273" s="17" t="inlineStr">
        <is>
          <t>tengah</t>
        </is>
      </c>
      <c r="J273" s="17" t="n"/>
      <c r="K273" s="17" t="n"/>
      <c r="M273" s="17" t="inlineStr">
        <is>
          <t>kanan</t>
        </is>
      </c>
      <c r="N273" s="17" t="n"/>
      <c r="O273" s="17" t="n"/>
    </row>
    <row r="274" s="1">
      <c r="E274" s="17" t="inlineStr">
        <is>
          <t>tengah</t>
        </is>
      </c>
      <c r="F274" s="17" t="n"/>
      <c r="G274" s="17" t="n"/>
      <c r="I274" s="17" t="inlineStr">
        <is>
          <t>kiri</t>
        </is>
      </c>
      <c r="J274" s="17" t="n"/>
      <c r="K274" s="17" t="n"/>
      <c r="M274" s="17" t="inlineStr">
        <is>
          <t>tengah</t>
        </is>
      </c>
      <c r="N274" s="17" t="n"/>
      <c r="O274" s="17" t="n"/>
    </row>
    <row r="275" s="1">
      <c r="E275" s="17" t="inlineStr">
        <is>
          <t>tengah</t>
        </is>
      </c>
      <c r="F275" s="17" t="n"/>
      <c r="G275" s="17" t="n"/>
      <c r="I275" s="17" t="inlineStr">
        <is>
          <t>kanan</t>
        </is>
      </c>
      <c r="J275" s="17" t="n"/>
      <c r="K275" s="17" t="n"/>
      <c r="M275" s="17" t="inlineStr">
        <is>
          <t>tengah</t>
        </is>
      </c>
      <c r="N275" s="17" t="n"/>
      <c r="O275" s="17" t="n"/>
    </row>
    <row r="276" s="1">
      <c r="E276" s="17" t="inlineStr">
        <is>
          <t>kanan</t>
        </is>
      </c>
      <c r="F276" s="17" t="n"/>
      <c r="G276" s="17" t="n"/>
      <c r="I276" s="17" t="inlineStr">
        <is>
          <t>kanan</t>
        </is>
      </c>
      <c r="J276" s="17" t="n"/>
      <c r="K276" s="17" t="n"/>
      <c r="M276" s="17" t="inlineStr">
        <is>
          <t>kanan</t>
        </is>
      </c>
      <c r="N276" s="17" t="n"/>
      <c r="O276" s="17" t="n"/>
    </row>
    <row r="277" s="1">
      <c r="E277" s="17" t="inlineStr">
        <is>
          <t>kanan</t>
        </is>
      </c>
      <c r="F277" s="17" t="n"/>
      <c r="G277" s="17" t="n"/>
      <c r="I277" s="17" t="inlineStr">
        <is>
          <t>kiri</t>
        </is>
      </c>
      <c r="J277" s="17" t="n"/>
      <c r="K277" s="17" t="n"/>
      <c r="M277" s="17" t="inlineStr">
        <is>
          <t>kanan</t>
        </is>
      </c>
      <c r="N277" s="17" t="n"/>
      <c r="O277" s="17" t="n"/>
    </row>
    <row r="278" s="1">
      <c r="E278" s="17" t="inlineStr">
        <is>
          <t>tengah</t>
        </is>
      </c>
      <c r="F278" s="17" t="n"/>
      <c r="G278" s="17" t="n"/>
      <c r="I278" s="17" t="inlineStr">
        <is>
          <t>tengah</t>
        </is>
      </c>
      <c r="J278" s="17" t="n"/>
      <c r="K278" s="17" t="n"/>
      <c r="M278" s="17" t="inlineStr">
        <is>
          <t>kanan</t>
        </is>
      </c>
      <c r="N278" s="17" t="n"/>
      <c r="O278" s="17" t="n"/>
    </row>
    <row r="279" s="1">
      <c r="E279" s="17" t="inlineStr">
        <is>
          <t>tengah</t>
        </is>
      </c>
      <c r="F279" s="17" t="n"/>
      <c r="G279" s="17" t="n"/>
      <c r="I279" s="17" t="inlineStr">
        <is>
          <t>tengah</t>
        </is>
      </c>
      <c r="J279" s="17" t="n"/>
      <c r="K279" s="17" t="n"/>
      <c r="M279" s="17" t="inlineStr">
        <is>
          <t>tengah</t>
        </is>
      </c>
      <c r="N279" s="17" t="n"/>
      <c r="O279" s="17" t="n"/>
    </row>
    <row r="280" s="1">
      <c r="E280" s="17" t="inlineStr">
        <is>
          <t>tengah</t>
        </is>
      </c>
      <c r="F280" s="17" t="n"/>
      <c r="G280" s="17" t="n"/>
      <c r="I280" s="17" t="inlineStr">
        <is>
          <t>kiri</t>
        </is>
      </c>
      <c r="J280" s="17" t="n"/>
      <c r="K280" s="17" t="n"/>
      <c r="M280" s="17" t="inlineStr">
        <is>
          <t>tengah</t>
        </is>
      </c>
      <c r="N280" s="17" t="n"/>
      <c r="O280" s="17" t="n"/>
    </row>
    <row r="281" s="1">
      <c r="E281" s="17" t="inlineStr">
        <is>
          <t>kanan</t>
        </is>
      </c>
      <c r="F281" s="17" t="n"/>
      <c r="G281" s="17" t="n"/>
      <c r="I281" s="17" t="inlineStr">
        <is>
          <t>tengah</t>
        </is>
      </c>
      <c r="J281" s="17" t="n"/>
      <c r="K281" s="17" t="n"/>
      <c r="M281" s="17" t="inlineStr">
        <is>
          <t>tengah</t>
        </is>
      </c>
      <c r="N281" s="17" t="n"/>
      <c r="O281" s="17" t="n"/>
    </row>
    <row r="282" s="1">
      <c r="E282" s="17" t="inlineStr">
        <is>
          <t>kiri</t>
        </is>
      </c>
      <c r="F282" s="17" t="n"/>
      <c r="G282" s="17" t="n"/>
      <c r="I282" s="17" t="inlineStr">
        <is>
          <t>tengah</t>
        </is>
      </c>
      <c r="J282" s="17" t="n"/>
      <c r="K282" s="17" t="n"/>
      <c r="M282" s="17" t="inlineStr">
        <is>
          <t>tengah</t>
        </is>
      </c>
      <c r="N282" s="17" t="n"/>
      <c r="O282" s="17" t="n"/>
    </row>
    <row r="283" s="1">
      <c r="E283" s="17" t="inlineStr">
        <is>
          <t>kiri</t>
        </is>
      </c>
      <c r="F283" s="17" t="n"/>
      <c r="G283" s="17" t="n"/>
      <c r="I283" s="17" t="inlineStr">
        <is>
          <t>tengah</t>
        </is>
      </c>
      <c r="J283" s="17" t="n"/>
      <c r="K283" s="17" t="n"/>
      <c r="M283" s="17" t="inlineStr">
        <is>
          <t>kanan</t>
        </is>
      </c>
      <c r="N283" s="17" t="n"/>
      <c r="O283" s="17" t="n"/>
    </row>
    <row r="284" s="1">
      <c r="E284" s="17" t="inlineStr">
        <is>
          <t>kiri</t>
        </is>
      </c>
      <c r="F284" s="17" t="n"/>
      <c r="G284" s="17" t="n"/>
      <c r="I284" s="17" t="inlineStr">
        <is>
          <t>kiri</t>
        </is>
      </c>
      <c r="J284" s="17" t="n"/>
      <c r="K284" s="17" t="n"/>
      <c r="M284" s="17" t="inlineStr">
        <is>
          <t>kanan</t>
        </is>
      </c>
      <c r="N284" s="17" t="n"/>
      <c r="O284" s="17" t="n"/>
    </row>
    <row r="285" s="1">
      <c r="E285" s="17" t="inlineStr">
        <is>
          <t>tengah</t>
        </is>
      </c>
      <c r="F285" s="17" t="n"/>
      <c r="G285" s="17" t="n"/>
      <c r="I285" s="17" t="inlineStr">
        <is>
          <t>tengah</t>
        </is>
      </c>
      <c r="J285" s="17" t="n"/>
      <c r="K285" s="17" t="n"/>
      <c r="M285" s="17" t="inlineStr">
        <is>
          <t>kanan</t>
        </is>
      </c>
      <c r="N285" s="17" t="n"/>
      <c r="O285" s="17" t="n"/>
    </row>
    <row r="286" s="1">
      <c r="E286" s="17" t="inlineStr">
        <is>
          <t>kiri</t>
        </is>
      </c>
      <c r="F286" s="17" t="n"/>
      <c r="G286" s="17" t="n"/>
      <c r="I286" s="17" t="inlineStr">
        <is>
          <t>kiri</t>
        </is>
      </c>
      <c r="J286" s="17" t="n"/>
      <c r="K286" s="17" t="n"/>
      <c r="M286" s="17" t="inlineStr">
        <is>
          <t>kanan</t>
        </is>
      </c>
      <c r="N286" s="17" t="n"/>
      <c r="O286" s="17" t="n"/>
    </row>
    <row r="287" s="1">
      <c r="E287" s="17" t="inlineStr">
        <is>
          <t>kiri</t>
        </is>
      </c>
      <c r="F287" s="17" t="n"/>
      <c r="G287" s="17" t="n"/>
      <c r="I287" s="17" t="inlineStr">
        <is>
          <t>kanan</t>
        </is>
      </c>
      <c r="J287" s="17" t="n"/>
      <c r="K287" s="17" t="n"/>
      <c r="M287" s="17" t="inlineStr">
        <is>
          <t>kanan</t>
        </is>
      </c>
      <c r="N287" s="17" t="n"/>
      <c r="O287" s="17" t="n"/>
    </row>
    <row r="288" s="1">
      <c r="E288" s="17" t="inlineStr">
        <is>
          <t>tengah</t>
        </is>
      </c>
      <c r="F288" s="17" t="n"/>
      <c r="G288" s="17" t="n"/>
      <c r="I288" s="17" t="inlineStr">
        <is>
          <t>kiri</t>
        </is>
      </c>
      <c r="J288" s="17" t="n"/>
      <c r="K288" s="17" t="n"/>
      <c r="M288" s="17" t="inlineStr">
        <is>
          <t>tengah</t>
        </is>
      </c>
      <c r="N288" s="17" t="n"/>
      <c r="O288" s="17" t="n"/>
    </row>
    <row r="289" s="1">
      <c r="E289" s="17" t="inlineStr">
        <is>
          <t>tengah</t>
        </is>
      </c>
      <c r="F289" s="17" t="n"/>
      <c r="G289" s="17" t="n"/>
      <c r="I289" s="17" t="inlineStr">
        <is>
          <t>tengah</t>
        </is>
      </c>
      <c r="J289" s="17" t="n"/>
      <c r="K289" s="17" t="n"/>
      <c r="M289" s="17" t="inlineStr">
        <is>
          <t>tengah</t>
        </is>
      </c>
      <c r="N289" s="17" t="n"/>
      <c r="O289" s="17" t="n"/>
    </row>
    <row r="290" s="1">
      <c r="E290" s="17" t="inlineStr">
        <is>
          <t>kanan</t>
        </is>
      </c>
      <c r="F290" s="17" t="n"/>
      <c r="G290" s="17" t="n"/>
      <c r="I290" s="17" t="inlineStr">
        <is>
          <t>tengah</t>
        </is>
      </c>
      <c r="J290" s="17" t="n"/>
      <c r="K290" s="17" t="n"/>
      <c r="M290" s="17" t="inlineStr">
        <is>
          <t>kanan</t>
        </is>
      </c>
      <c r="N290" s="17" t="n"/>
      <c r="O290" s="17" t="n"/>
    </row>
    <row r="291" s="1">
      <c r="E291" s="17" t="inlineStr">
        <is>
          <t>kiri</t>
        </is>
      </c>
      <c r="F291" s="17" t="n"/>
      <c r="G291" s="17" t="n"/>
      <c r="I291" s="17" t="inlineStr">
        <is>
          <t>tengah</t>
        </is>
      </c>
      <c r="J291" s="17" t="n"/>
      <c r="K291" s="17" t="n"/>
      <c r="M291" s="17" t="inlineStr">
        <is>
          <t>tengah</t>
        </is>
      </c>
      <c r="N291" s="17" t="n"/>
      <c r="O291" s="17" t="n"/>
    </row>
    <row r="292" s="1">
      <c r="E292" s="17" t="inlineStr">
        <is>
          <t>kiri</t>
        </is>
      </c>
      <c r="F292" s="17" t="n"/>
      <c r="G292" s="17" t="n"/>
      <c r="I292" s="17" t="inlineStr">
        <is>
          <t>tengah</t>
        </is>
      </c>
      <c r="J292" s="17" t="n"/>
      <c r="K292" s="17" t="n"/>
      <c r="M292" s="17" t="inlineStr">
        <is>
          <t>tengah</t>
        </is>
      </c>
      <c r="N292" s="17" t="n"/>
      <c r="O292" s="17" t="n"/>
    </row>
    <row r="293" s="1">
      <c r="E293" s="17" t="inlineStr">
        <is>
          <t>tengah</t>
        </is>
      </c>
      <c r="F293" s="17" t="n"/>
      <c r="G293" s="17" t="n"/>
      <c r="I293" s="17" t="inlineStr">
        <is>
          <t>tengah</t>
        </is>
      </c>
      <c r="J293" s="17" t="n"/>
      <c r="K293" s="17" t="n"/>
      <c r="M293" s="17" t="inlineStr">
        <is>
          <t>kanan</t>
        </is>
      </c>
      <c r="N293" s="17" t="n"/>
      <c r="O293" s="17" t="n"/>
    </row>
    <row r="294" s="1">
      <c r="E294" s="17" t="inlineStr">
        <is>
          <t>tengah</t>
        </is>
      </c>
      <c r="F294" s="17" t="n"/>
      <c r="G294" s="17" t="n"/>
      <c r="I294" s="17" t="inlineStr">
        <is>
          <t>tengah</t>
        </is>
      </c>
      <c r="J294" s="17" t="n"/>
      <c r="K294" s="17" t="n"/>
      <c r="M294" s="17" t="inlineStr">
        <is>
          <t>kanan</t>
        </is>
      </c>
      <c r="N294" s="17" t="n"/>
      <c r="O294" s="17" t="n"/>
    </row>
    <row r="295" s="1">
      <c r="E295" s="17" t="inlineStr">
        <is>
          <t>tengah</t>
        </is>
      </c>
      <c r="F295" s="17" t="n"/>
      <c r="G295" s="17" t="n"/>
      <c r="I295" s="17" t="inlineStr">
        <is>
          <t>kanan</t>
        </is>
      </c>
      <c r="J295" s="17" t="n"/>
      <c r="K295" s="17" t="n"/>
      <c r="M295" s="17" t="inlineStr">
        <is>
          <t>tengah</t>
        </is>
      </c>
      <c r="N295" s="17" t="n"/>
      <c r="O295" s="17" t="n"/>
    </row>
    <row r="296" s="1">
      <c r="E296" s="17" t="inlineStr">
        <is>
          <t>kanan</t>
        </is>
      </c>
      <c r="F296" s="17" t="n"/>
      <c r="G296" s="17" t="n"/>
      <c r="I296" s="17" t="inlineStr">
        <is>
          <t>tengah</t>
        </is>
      </c>
      <c r="J296" s="17" t="n"/>
      <c r="K296" s="17" t="n"/>
      <c r="M296" s="17" t="inlineStr">
        <is>
          <t>tengah</t>
        </is>
      </c>
      <c r="N296" s="17" t="n"/>
      <c r="O296" s="17" t="n"/>
    </row>
    <row r="297" s="1">
      <c r="E297" s="17" t="inlineStr">
        <is>
          <t>tengah</t>
        </is>
      </c>
      <c r="F297" s="17" t="n"/>
      <c r="G297" s="17" t="n"/>
      <c r="I297" s="17" t="inlineStr">
        <is>
          <t>kanan</t>
        </is>
      </c>
      <c r="J297" s="17" t="n"/>
      <c r="K297" s="17" t="n"/>
      <c r="M297" s="17" t="inlineStr">
        <is>
          <t>kanan</t>
        </is>
      </c>
      <c r="N297" s="17" t="n"/>
      <c r="O297" s="17" t="n"/>
    </row>
    <row r="298" s="1">
      <c r="E298" s="17" t="inlineStr">
        <is>
          <t>tengah</t>
        </is>
      </c>
      <c r="F298" s="17" t="n"/>
      <c r="G298" s="17" t="n"/>
      <c r="I298" s="17" t="inlineStr">
        <is>
          <t>tengah</t>
        </is>
      </c>
      <c r="J298" s="17" t="n"/>
      <c r="K298" s="17" t="n"/>
      <c r="M298" s="17" t="inlineStr">
        <is>
          <t>kanan</t>
        </is>
      </c>
      <c r="N298" s="17" t="n"/>
      <c r="O298" s="17" t="n"/>
    </row>
    <row r="299" s="1">
      <c r="E299" s="17" t="inlineStr">
        <is>
          <t>tengah</t>
        </is>
      </c>
      <c r="F299" s="17" t="n"/>
      <c r="G299" s="17" t="n"/>
      <c r="I299" s="17" t="inlineStr">
        <is>
          <t>kanan</t>
        </is>
      </c>
      <c r="J299" s="17" t="n"/>
      <c r="K299" s="17" t="n"/>
      <c r="M299" s="17" t="inlineStr">
        <is>
          <t>tengah</t>
        </is>
      </c>
      <c r="N299" s="17" t="n"/>
      <c r="O299" s="17" t="n"/>
    </row>
    <row r="300" s="1">
      <c r="E300" s="17" t="inlineStr">
        <is>
          <t>tengah</t>
        </is>
      </c>
      <c r="F300" s="17" t="n"/>
      <c r="G300" s="17" t="n"/>
      <c r="I300" s="17" t="inlineStr">
        <is>
          <t>tengah</t>
        </is>
      </c>
      <c r="J300" s="17" t="n"/>
      <c r="K300" s="17" t="n"/>
      <c r="M300" s="17" t="inlineStr">
        <is>
          <t>kanan</t>
        </is>
      </c>
      <c r="N300" s="17" t="n"/>
      <c r="O300" s="17" t="n"/>
    </row>
    <row r="301" s="1">
      <c r="E301" s="17" t="inlineStr">
        <is>
          <t>tengah</t>
        </is>
      </c>
      <c r="F301" s="17" t="n"/>
      <c r="G301" s="17" t="n"/>
      <c r="I301" s="17" t="inlineStr">
        <is>
          <t>kiri</t>
        </is>
      </c>
      <c r="J301" s="17" t="n"/>
      <c r="K301" s="17" t="n"/>
      <c r="M301" s="17" t="inlineStr">
        <is>
          <t>tengah</t>
        </is>
      </c>
      <c r="N301" s="17" t="n"/>
      <c r="O301" s="17" t="n"/>
    </row>
    <row r="302" s="1">
      <c r="E302" s="17" t="inlineStr">
        <is>
          <t>tengah</t>
        </is>
      </c>
      <c r="F302" s="17" t="n"/>
      <c r="G302" s="17" t="n"/>
      <c r="I302" s="17" t="inlineStr">
        <is>
          <t>tengah</t>
        </is>
      </c>
      <c r="J302" s="17" t="n"/>
      <c r="K302" s="17" t="n"/>
      <c r="M302" s="17" t="inlineStr">
        <is>
          <t>tengah</t>
        </is>
      </c>
      <c r="N302" s="17" t="n"/>
      <c r="O302" s="17" t="n"/>
    </row>
    <row r="303" s="1">
      <c r="E303" s="17" t="inlineStr">
        <is>
          <t>kiri</t>
        </is>
      </c>
      <c r="F303" s="17" t="n"/>
      <c r="G303" s="17" t="n"/>
      <c r="I303" s="17" t="inlineStr">
        <is>
          <t>kiri</t>
        </is>
      </c>
      <c r="J303" s="17" t="n"/>
      <c r="K303" s="17" t="n"/>
      <c r="M303" s="17" t="inlineStr">
        <is>
          <t>kanan</t>
        </is>
      </c>
      <c r="N303" s="17" t="n"/>
      <c r="O303" s="17" t="n"/>
    </row>
    <row r="304" s="1">
      <c r="E304" s="17" t="inlineStr">
        <is>
          <t>tengah</t>
        </is>
      </c>
      <c r="F304" s="17" t="n"/>
      <c r="G304" s="17" t="n"/>
      <c r="I304" s="17" t="inlineStr">
        <is>
          <t>tengah</t>
        </is>
      </c>
      <c r="J304" s="17" t="n"/>
      <c r="K304" s="17" t="n"/>
      <c r="M304" s="17" t="inlineStr">
        <is>
          <t>kanan</t>
        </is>
      </c>
      <c r="N304" s="17" t="n"/>
      <c r="O304" s="17" t="n"/>
    </row>
    <row r="305" s="1">
      <c r="E305" s="17" t="inlineStr">
        <is>
          <t>tengah</t>
        </is>
      </c>
      <c r="F305" s="17" t="n"/>
      <c r="G305" s="17" t="n"/>
      <c r="I305" s="17" t="inlineStr">
        <is>
          <t>kanan</t>
        </is>
      </c>
      <c r="J305" s="17" t="n"/>
      <c r="K305" s="17" t="n"/>
      <c r="M305" s="17" t="inlineStr">
        <is>
          <t>tengah</t>
        </is>
      </c>
      <c r="N305" s="17" t="n"/>
      <c r="O305" s="17" t="n"/>
    </row>
    <row r="306" s="1">
      <c r="E306" s="17" t="inlineStr">
        <is>
          <t>tengah</t>
        </is>
      </c>
      <c r="F306" s="17" t="n"/>
      <c r="G306" s="17" t="n"/>
      <c r="I306" s="17" t="inlineStr">
        <is>
          <t>kanan</t>
        </is>
      </c>
      <c r="J306" s="17" t="n"/>
      <c r="K306" s="17" t="n"/>
      <c r="M306" s="17" t="inlineStr">
        <is>
          <t>kanan</t>
        </is>
      </c>
      <c r="N306" s="17" t="n"/>
      <c r="O306" s="17" t="n"/>
    </row>
    <row r="307" s="1">
      <c r="E307" s="17" t="inlineStr">
        <is>
          <t>kanan</t>
        </is>
      </c>
      <c r="F307" s="17" t="n"/>
      <c r="G307" s="17" t="n"/>
      <c r="I307" s="17" t="inlineStr">
        <is>
          <t>tengah</t>
        </is>
      </c>
      <c r="J307" s="17" t="n"/>
      <c r="K307" s="17" t="n"/>
      <c r="M307" s="17" t="inlineStr">
        <is>
          <t>kanan</t>
        </is>
      </c>
      <c r="N307" s="17" t="n"/>
      <c r="O307" s="17" t="n"/>
    </row>
    <row r="308" s="1">
      <c r="E308" s="17" t="inlineStr">
        <is>
          <t>tengah</t>
        </is>
      </c>
      <c r="F308" s="17" t="n"/>
      <c r="G308" s="17" t="n"/>
      <c r="I308" s="17" t="inlineStr">
        <is>
          <t>tengah</t>
        </is>
      </c>
      <c r="J308" s="17" t="n"/>
      <c r="K308" s="17" t="n"/>
      <c r="M308" s="17" t="inlineStr">
        <is>
          <t>kanan</t>
        </is>
      </c>
      <c r="N308" s="17" t="n"/>
      <c r="O308" s="17" t="n"/>
    </row>
    <row r="309" s="1">
      <c r="E309" s="17" t="inlineStr">
        <is>
          <t>kanan</t>
        </is>
      </c>
      <c r="F309" s="17" t="n"/>
      <c r="G309" s="17" t="n"/>
      <c r="I309" s="17" t="inlineStr">
        <is>
          <t>tengah</t>
        </is>
      </c>
      <c r="J309" s="17" t="n"/>
      <c r="K309" s="17" t="n"/>
      <c r="M309" s="17" t="inlineStr">
        <is>
          <t>kanan</t>
        </is>
      </c>
      <c r="N309" s="17" t="n"/>
      <c r="O309" s="17" t="n"/>
    </row>
    <row r="310" s="1">
      <c r="E310" s="17" t="inlineStr">
        <is>
          <t>tengah</t>
        </is>
      </c>
      <c r="F310" s="17" t="n"/>
      <c r="G310" s="17" t="n"/>
      <c r="I310" s="17" t="inlineStr">
        <is>
          <t>tengah</t>
        </is>
      </c>
      <c r="J310" s="17" t="n"/>
      <c r="K310" s="17" t="n"/>
      <c r="M310" s="17" t="inlineStr">
        <is>
          <t>tengah</t>
        </is>
      </c>
      <c r="N310" s="17" t="n"/>
      <c r="O310" s="17" t="n"/>
    </row>
    <row r="311" s="1">
      <c r="E311" s="17" t="inlineStr">
        <is>
          <t>tengah</t>
        </is>
      </c>
      <c r="F311" s="17" t="n"/>
      <c r="G311" s="17" t="n"/>
      <c r="I311" s="17" t="inlineStr">
        <is>
          <t>tengah</t>
        </is>
      </c>
      <c r="J311" s="17" t="n"/>
      <c r="K311" s="17" t="n"/>
      <c r="M311" s="17" t="inlineStr">
        <is>
          <t>tengah</t>
        </is>
      </c>
      <c r="N311" s="17" t="n"/>
      <c r="O311" s="17" t="n"/>
    </row>
    <row r="312" s="1">
      <c r="E312" s="17" t="inlineStr">
        <is>
          <t>kanan</t>
        </is>
      </c>
      <c r="F312" s="17" t="n"/>
      <c r="G312" s="17" t="n"/>
      <c r="I312" s="17" t="inlineStr">
        <is>
          <t>kiri</t>
        </is>
      </c>
      <c r="J312" s="17" t="n"/>
      <c r="K312" s="17" t="n"/>
      <c r="M312" s="17" t="inlineStr">
        <is>
          <t>tengah</t>
        </is>
      </c>
      <c r="N312" s="17" t="n"/>
      <c r="O312" s="17" t="n"/>
    </row>
    <row r="313" s="1">
      <c r="E313" s="17" t="inlineStr">
        <is>
          <t>kanan</t>
        </is>
      </c>
      <c r="F313" s="17" t="n"/>
      <c r="G313" s="17" t="n"/>
      <c r="I313" s="17" t="inlineStr">
        <is>
          <t>tengah</t>
        </is>
      </c>
      <c r="J313" s="17" t="n"/>
      <c r="K313" s="17" t="n"/>
      <c r="M313" s="17" t="inlineStr">
        <is>
          <t>kanan</t>
        </is>
      </c>
      <c r="N313" s="17" t="n"/>
      <c r="O313" s="17" t="n"/>
    </row>
    <row r="314" s="1">
      <c r="E314" s="17" t="inlineStr">
        <is>
          <t>tengah</t>
        </is>
      </c>
      <c r="F314" s="17" t="n"/>
      <c r="G314" s="17" t="n"/>
      <c r="I314" s="17" t="inlineStr">
        <is>
          <t>tengah</t>
        </is>
      </c>
      <c r="J314" s="17" t="n"/>
      <c r="K314" s="17" t="n"/>
      <c r="M314" s="17" t="inlineStr">
        <is>
          <t>kanan</t>
        </is>
      </c>
      <c r="N314" s="17" t="n"/>
      <c r="O314" s="17" t="n"/>
    </row>
    <row r="315" s="1">
      <c r="E315" s="17" t="inlineStr">
        <is>
          <t>tengah</t>
        </is>
      </c>
      <c r="F315" s="17" t="n"/>
      <c r="G315" s="17" t="n"/>
      <c r="I315" s="17" t="inlineStr">
        <is>
          <t>kiri</t>
        </is>
      </c>
      <c r="J315" s="17" t="n"/>
      <c r="K315" s="17" t="n"/>
      <c r="M315" s="17" t="inlineStr">
        <is>
          <t>tengah</t>
        </is>
      </c>
      <c r="N315" s="17" t="n"/>
      <c r="O315" s="17" t="n"/>
    </row>
    <row r="316" s="1">
      <c r="E316" s="17" t="inlineStr">
        <is>
          <t>tengah</t>
        </is>
      </c>
      <c r="F316" s="17" t="n"/>
      <c r="G316" s="17" t="n"/>
      <c r="I316" s="17" t="inlineStr">
        <is>
          <t>kanan</t>
        </is>
      </c>
      <c r="J316" s="17" t="n"/>
      <c r="K316" s="17" t="n"/>
      <c r="M316" s="17" t="inlineStr">
        <is>
          <t>tengah</t>
        </is>
      </c>
      <c r="N316" s="17" t="n"/>
      <c r="O316" s="17" t="n"/>
    </row>
    <row r="317" s="1">
      <c r="E317" s="17" t="inlineStr">
        <is>
          <t>kanan</t>
        </is>
      </c>
      <c r="F317" s="17" t="n"/>
      <c r="G317" s="17" t="n"/>
      <c r="I317" s="17" t="inlineStr">
        <is>
          <t>kanan</t>
        </is>
      </c>
      <c r="J317" s="17" t="n"/>
      <c r="K317" s="17" t="n"/>
      <c r="M317" s="17" t="inlineStr">
        <is>
          <t>tengah</t>
        </is>
      </c>
      <c r="N317" s="17" t="n"/>
      <c r="O317" s="17" t="n"/>
    </row>
    <row r="318" s="1">
      <c r="E318" s="17" t="inlineStr">
        <is>
          <t>kiri</t>
        </is>
      </c>
      <c r="F318" s="17" t="n"/>
      <c r="G318" s="17" t="n"/>
      <c r="I318" s="17" t="inlineStr">
        <is>
          <t>tengah</t>
        </is>
      </c>
      <c r="J318" s="17" t="n"/>
      <c r="K318" s="17" t="n"/>
      <c r="M318" s="17" t="inlineStr">
        <is>
          <t>tengah</t>
        </is>
      </c>
      <c r="N318" s="17" t="n"/>
      <c r="O318" s="17" t="n"/>
    </row>
    <row r="319" s="1">
      <c r="E319" s="17" t="inlineStr">
        <is>
          <t>tengah</t>
        </is>
      </c>
      <c r="F319" s="17" t="n"/>
      <c r="G319" s="17" t="n"/>
      <c r="I319" s="17" t="inlineStr">
        <is>
          <t>tengah</t>
        </is>
      </c>
      <c r="J319" s="17" t="n"/>
      <c r="K319" s="17" t="n"/>
      <c r="M319" s="17" t="inlineStr">
        <is>
          <t>kanan</t>
        </is>
      </c>
      <c r="N319" s="17" t="n"/>
      <c r="O319" s="17" t="n"/>
    </row>
    <row r="320" s="1">
      <c r="E320" s="17" t="inlineStr">
        <is>
          <t>tengah</t>
        </is>
      </c>
      <c r="F320" s="17" t="n"/>
      <c r="G320" s="17" t="n"/>
      <c r="I320" s="17" t="inlineStr">
        <is>
          <t>tengah</t>
        </is>
      </c>
      <c r="J320" s="17" t="n"/>
      <c r="K320" s="17" t="n"/>
      <c r="M320" s="17" t="inlineStr">
        <is>
          <t>kanan</t>
        </is>
      </c>
      <c r="N320" s="17" t="n"/>
      <c r="O320" s="17" t="n"/>
    </row>
    <row r="321" s="1">
      <c r="E321" s="17" t="inlineStr">
        <is>
          <t>kanan</t>
        </is>
      </c>
      <c r="F321" s="17" t="n"/>
      <c r="G321" s="17" t="n"/>
      <c r="I321" s="17" t="inlineStr">
        <is>
          <t>tengah</t>
        </is>
      </c>
      <c r="J321" s="17" t="n"/>
      <c r="K321" s="17" t="n"/>
      <c r="M321" s="17" t="inlineStr">
        <is>
          <t>kanan</t>
        </is>
      </c>
      <c r="N321" s="17" t="n"/>
      <c r="O321" s="17" t="n"/>
    </row>
    <row r="322" s="1">
      <c r="E322" s="17" t="inlineStr">
        <is>
          <t>tengah</t>
        </is>
      </c>
      <c r="F322" s="17" t="n"/>
      <c r="G322" s="17" t="n"/>
      <c r="I322" s="17" t="inlineStr">
        <is>
          <t>tengah</t>
        </is>
      </c>
      <c r="J322" s="17" t="n"/>
      <c r="K322" s="17" t="n"/>
      <c r="M322" s="17" t="inlineStr">
        <is>
          <t>kanan</t>
        </is>
      </c>
      <c r="N322" s="17" t="n"/>
      <c r="O322" s="17" t="n"/>
    </row>
    <row r="323" s="1">
      <c r="E323" s="17" t="inlineStr">
        <is>
          <t>tengah</t>
        </is>
      </c>
      <c r="F323" s="17" t="n"/>
      <c r="G323" s="17" t="n"/>
      <c r="I323" s="17" t="inlineStr">
        <is>
          <t>tengah</t>
        </is>
      </c>
      <c r="J323" s="17" t="n"/>
      <c r="K323" s="17" t="n"/>
      <c r="M323" s="17" t="inlineStr">
        <is>
          <t>kanan</t>
        </is>
      </c>
      <c r="N323" s="17" t="n"/>
      <c r="O323" s="17" t="n"/>
    </row>
    <row r="324" s="1">
      <c r="E324" s="17" t="inlineStr">
        <is>
          <t>kanan</t>
        </is>
      </c>
      <c r="F324" s="17" t="n"/>
      <c r="G324" s="17" t="n"/>
      <c r="I324" s="17" t="inlineStr">
        <is>
          <t>kiri</t>
        </is>
      </c>
      <c r="J324" s="17" t="n"/>
      <c r="K324" s="17" t="n"/>
      <c r="M324" s="17" t="inlineStr">
        <is>
          <t>tengah</t>
        </is>
      </c>
      <c r="N324" s="17" t="n"/>
      <c r="O324" s="17" t="n"/>
    </row>
    <row r="325" s="1">
      <c r="E325" s="17" t="inlineStr">
        <is>
          <t>tengah</t>
        </is>
      </c>
      <c r="F325" s="17" t="n"/>
      <c r="G325" s="17" t="n"/>
      <c r="I325" s="17" t="inlineStr">
        <is>
          <t>tengah</t>
        </is>
      </c>
      <c r="J325" s="17" t="n"/>
      <c r="K325" s="17" t="n"/>
      <c r="M325" s="17" t="inlineStr">
        <is>
          <t>tengah</t>
        </is>
      </c>
      <c r="N325" s="17" t="n"/>
      <c r="O325" s="17" t="n"/>
    </row>
    <row r="326" s="1">
      <c r="E326" s="17" t="inlineStr">
        <is>
          <t>tengah</t>
        </is>
      </c>
      <c r="F326" s="17" t="n"/>
      <c r="G326" s="17" t="n"/>
      <c r="I326" s="17" t="inlineStr">
        <is>
          <t>kiri</t>
        </is>
      </c>
      <c r="J326" s="17" t="n"/>
      <c r="K326" s="17" t="n"/>
      <c r="M326" s="17" t="inlineStr">
        <is>
          <t>kanan</t>
        </is>
      </c>
      <c r="N326" s="17" t="n"/>
      <c r="O326" s="17" t="n"/>
    </row>
    <row r="327" s="1">
      <c r="E327" s="17" t="inlineStr">
        <is>
          <t>tengah</t>
        </is>
      </c>
      <c r="F327" s="17" t="n"/>
      <c r="G327" s="17" t="n"/>
      <c r="I327" s="17" t="inlineStr">
        <is>
          <t>tengah</t>
        </is>
      </c>
      <c r="J327" s="17" t="n"/>
      <c r="K327" s="17" t="n"/>
      <c r="M327" s="17" t="inlineStr">
        <is>
          <t>tengah</t>
        </is>
      </c>
      <c r="N327" s="17" t="n"/>
      <c r="O327" s="17" t="n"/>
    </row>
    <row r="328" s="1">
      <c r="E328" s="17" t="inlineStr">
        <is>
          <t>tengah</t>
        </is>
      </c>
      <c r="F328" s="17" t="n"/>
      <c r="G328" s="17" t="n"/>
      <c r="I328" s="17" t="inlineStr">
        <is>
          <t>kiri</t>
        </is>
      </c>
      <c r="J328" s="17" t="n"/>
      <c r="K328" s="17" t="n"/>
      <c r="M328" s="17" t="inlineStr">
        <is>
          <t>kanan</t>
        </is>
      </c>
      <c r="N328" s="17" t="n"/>
      <c r="O328" s="17" t="n"/>
    </row>
    <row r="329" s="1">
      <c r="E329" s="17" t="inlineStr">
        <is>
          <t>kiri</t>
        </is>
      </c>
      <c r="F329" s="17" t="n"/>
      <c r="G329" s="17" t="n"/>
      <c r="I329" s="17" t="inlineStr">
        <is>
          <t>kanan</t>
        </is>
      </c>
      <c r="J329" s="17" t="n"/>
      <c r="K329" s="17" t="n"/>
      <c r="M329" s="17" t="inlineStr">
        <is>
          <t>kanan</t>
        </is>
      </c>
      <c r="N329" s="17" t="n"/>
      <c r="O329" s="17" t="n"/>
    </row>
    <row r="330" s="1">
      <c r="E330" s="17" t="inlineStr">
        <is>
          <t>tengah</t>
        </is>
      </c>
      <c r="F330" s="17" t="n"/>
      <c r="G330" s="17" t="n"/>
      <c r="I330" s="17" t="inlineStr">
        <is>
          <t>kanan</t>
        </is>
      </c>
      <c r="J330" s="17" t="n"/>
      <c r="K330" s="17" t="n"/>
      <c r="M330" s="17" t="inlineStr">
        <is>
          <t>tengah</t>
        </is>
      </c>
      <c r="N330" s="17" t="n"/>
      <c r="O330" s="17" t="n"/>
    </row>
    <row r="331" s="1">
      <c r="E331" s="17" t="inlineStr">
        <is>
          <t>tengah</t>
        </is>
      </c>
      <c r="F331" s="17" t="n"/>
      <c r="G331" s="17" t="n"/>
      <c r="I331" s="17" t="inlineStr">
        <is>
          <t>kiri</t>
        </is>
      </c>
      <c r="J331" s="17" t="n"/>
      <c r="K331" s="17" t="n"/>
      <c r="M331" s="17" t="inlineStr">
        <is>
          <t>tengah</t>
        </is>
      </c>
      <c r="N331" s="17" t="n"/>
      <c r="O331" s="17" t="n"/>
    </row>
    <row r="332" s="1">
      <c r="E332" s="17" t="inlineStr">
        <is>
          <t>tengah</t>
        </is>
      </c>
      <c r="F332" s="17" t="n"/>
      <c r="G332" s="17" t="n"/>
      <c r="I332" s="17" t="inlineStr">
        <is>
          <t>tengah</t>
        </is>
      </c>
      <c r="J332" s="17" t="n"/>
      <c r="K332" s="17" t="n"/>
      <c r="M332" s="17" t="inlineStr">
        <is>
          <t>kanan</t>
        </is>
      </c>
      <c r="N332" s="17" t="n"/>
      <c r="O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32"/>
  <sheetViews>
    <sheetView topLeftCell="G124" zoomScale="96" zoomScaleNormal="96" workbookViewId="0">
      <selection activeCell="T165" sqref="T165"/>
    </sheetView>
  </sheetViews>
  <sheetFormatPr baseColWidth="8" defaultColWidth="8.6" defaultRowHeight="15"/>
  <cols>
    <col width="15.8592592592593" customWidth="1" style="1" min="2" max="2"/>
    <col width="13.2888888888889" customWidth="1" style="1" min="3" max="3"/>
    <col width="13.8592592592593" customWidth="1" style="1" min="4" max="4"/>
    <col width="15.8592592592593" customWidth="1" style="1" min="9" max="9"/>
    <col width="13.2888888888889" customWidth="1" style="1" min="10" max="10"/>
    <col width="13.8592592592593" customWidth="1" style="1" min="11" max="11"/>
    <col width="14.2888888888889" customWidth="1" style="1" min="13" max="13"/>
  </cols>
  <sheetData>
    <row r="1" s="1">
      <c r="A1" s="16" t="inlineStr">
        <is>
          <t>No</t>
        </is>
      </c>
      <c r="B1" s="16" t="inlineStr">
        <is>
          <t>Lama Rawat Inap</t>
        </is>
      </c>
      <c r="C1" s="16" t="inlineStr">
        <is>
          <t>Jenis Kelamin</t>
        </is>
      </c>
      <c r="D1" s="16" t="inlineStr">
        <is>
          <t>Tingkat Resiko</t>
        </is>
      </c>
      <c r="H1" s="17" t="inlineStr">
        <is>
          <t>No</t>
        </is>
      </c>
      <c r="I1" s="17" t="inlineStr">
        <is>
          <t>Lama Rawat Inap</t>
        </is>
      </c>
      <c r="J1" s="17" t="inlineStr">
        <is>
          <t>Jenis Kelamin</t>
        </is>
      </c>
      <c r="K1" s="17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INDEX(Data_DBD!$C:$C,$A2)</f>
        <v/>
      </c>
      <c r="C2" s="17">
        <f t="array" ref="C2">INDEX(Data_DBD!$E:$E,$A2)</f>
        <v/>
      </c>
      <c r="D2" s="17">
        <f t="array" ref="D2">INDEX(Data_DBD!$F:$F,$A2)</f>
        <v/>
      </c>
      <c r="H2" s="17" t="n">
        <v>35</v>
      </c>
      <c r="I2" s="17" t="n">
        <v>3</v>
      </c>
      <c r="J2" s="17" t="n">
        <v>1</v>
      </c>
      <c r="K2" s="17" t="inlineStr">
        <is>
          <t>Rendah</t>
        </is>
      </c>
      <c r="O2" s="19" t="inlineStr">
        <is>
          <t>Tinggi</t>
        </is>
      </c>
      <c r="P2" s="19">
        <f>COUNTIF(K2:K164,"Tinggi")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INDEX(Data_DBD!$C:$C,$A3)</f>
        <v/>
      </c>
      <c r="C3" s="17">
        <f t="array" ref="C3">INDEX(Data_DBD!$E:$E,$A3)</f>
        <v/>
      </c>
      <c r="D3" s="17">
        <f t="array" ref="D3">INDEX(Data_DBD!$F:$F,$A3)</f>
        <v/>
      </c>
      <c r="H3" s="17" t="n">
        <v>152</v>
      </c>
      <c r="I3" s="17" t="n">
        <v>3</v>
      </c>
      <c r="J3" s="17" t="n">
        <v>1</v>
      </c>
      <c r="K3" s="17" t="inlineStr">
        <is>
          <t>Tinggi</t>
        </is>
      </c>
      <c r="O3" s="19" t="inlineStr">
        <is>
          <t>Sedang</t>
        </is>
      </c>
      <c r="P3" s="19">
        <f>COUNTIF(K2:K164,"Sedang")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INDEX(Data_DBD!$C:$C,$A4)</f>
        <v/>
      </c>
      <c r="C4" s="17">
        <f t="array" ref="C4">INDEX(Data_DBD!$E:$E,$A4)</f>
        <v/>
      </c>
      <c r="D4" s="17">
        <f t="array" ref="D4">INDEX(Data_DBD!$F:$F,$A4)</f>
        <v/>
      </c>
      <c r="H4" s="17" t="n">
        <v>87</v>
      </c>
      <c r="I4" s="17" t="n">
        <v>3</v>
      </c>
      <c r="J4" s="17" t="n">
        <v>0</v>
      </c>
      <c r="K4" s="17" t="inlineStr">
        <is>
          <t>Sedang</t>
        </is>
      </c>
      <c r="O4" s="19" t="inlineStr">
        <is>
          <t>Rendah</t>
        </is>
      </c>
      <c r="P4" s="19">
        <f>COUNTIF(K2:K164,"Rendah")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INDEX(Data_DBD!$C:$C,$A5)</f>
        <v/>
      </c>
      <c r="C5" s="17">
        <f t="array" ref="C5">INDEX(Data_DBD!$E:$E,$A5)</f>
        <v/>
      </c>
      <c r="D5" s="17">
        <f t="array" ref="D5">INDEX(Data_DBD!$F:$F,$A5)</f>
        <v/>
      </c>
      <c r="H5" s="17" t="n">
        <v>125</v>
      </c>
      <c r="I5" s="17" t="n">
        <v>4</v>
      </c>
      <c r="J5" s="17" t="n">
        <v>0</v>
      </c>
      <c r="K5" s="17" t="inlineStr">
        <is>
          <t>Tinggi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INDEX(Data_DBD!$C:$C,$A6)</f>
        <v/>
      </c>
      <c r="C6" s="17">
        <f t="array" ref="C6">INDEX(Data_DBD!$E:$E,$A6)</f>
        <v/>
      </c>
      <c r="D6" s="17">
        <f t="array" ref="D6">INDEX(Data_DBD!$F:$F,$A6)</f>
        <v/>
      </c>
      <c r="H6" s="17" t="n">
        <v>50</v>
      </c>
      <c r="I6" s="17" t="n">
        <v>5</v>
      </c>
      <c r="J6" s="17" t="n">
        <v>0</v>
      </c>
      <c r="K6" s="17" t="inlineStr">
        <is>
          <t>Sedang</t>
        </is>
      </c>
    </row>
    <row r="7" s="1">
      <c r="A7" s="17">
        <f>RANDBETWEEN(2,164)</f>
        <v/>
      </c>
      <c r="B7" s="17">
        <f t="array" ref="B7">INDEX(Data_DBD!$C:$C,$A7)</f>
        <v/>
      </c>
      <c r="C7" s="17">
        <f t="array" ref="C7">INDEX(Data_DBD!$E:$E,$A7)</f>
        <v/>
      </c>
      <c r="D7" s="17">
        <f t="array" ref="D7">INDEX(Data_DBD!$F:$F,$A7)</f>
        <v/>
      </c>
      <c r="H7" s="17" t="n">
        <v>123</v>
      </c>
      <c r="I7" s="17" t="n">
        <v>4</v>
      </c>
      <c r="J7" s="17" t="n">
        <v>0</v>
      </c>
      <c r="K7" s="17" t="inlineStr">
        <is>
          <t>Tinggi</t>
        </is>
      </c>
    </row>
    <row r="8" s="1">
      <c r="A8" s="17">
        <f>RANDBETWEEN(2,164)</f>
        <v/>
      </c>
      <c r="B8" s="17">
        <f t="array" ref="B8">INDEX(Data_DBD!$C:$C,$A8)</f>
        <v/>
      </c>
      <c r="C8" s="17">
        <f t="array" ref="C8">INDEX(Data_DBD!$E:$E,$A8)</f>
        <v/>
      </c>
      <c r="D8" s="17">
        <f t="array" ref="D8">INDEX(Data_DBD!$F:$F,$A8)</f>
        <v/>
      </c>
      <c r="H8" s="17" t="n">
        <v>6</v>
      </c>
      <c r="I8" s="17" t="n">
        <v>4</v>
      </c>
      <c r="J8" s="17" t="n">
        <v>0</v>
      </c>
      <c r="K8" s="17" t="inlineStr">
        <is>
          <t>Sedang</t>
        </is>
      </c>
    </row>
    <row r="9" s="1">
      <c r="A9" s="17">
        <f>RANDBETWEEN(2,164)</f>
        <v/>
      </c>
      <c r="B9" s="17">
        <f t="array" ref="B9">INDEX(Data_DBD!$C:$C,$A9)</f>
        <v/>
      </c>
      <c r="C9" s="17">
        <f t="array" ref="C9">INDEX(Data_DBD!$E:$E,$A9)</f>
        <v/>
      </c>
      <c r="D9" s="17">
        <f t="array" ref="D9">INDEX(Data_DBD!$F:$F,$A9)</f>
        <v/>
      </c>
      <c r="H9" s="17" t="n">
        <v>94</v>
      </c>
      <c r="I9" s="17" t="n">
        <v>4</v>
      </c>
      <c r="J9" s="17" t="n">
        <v>0</v>
      </c>
      <c r="K9" s="17" t="inlineStr">
        <is>
          <t>Tinggi</t>
        </is>
      </c>
    </row>
    <row r="10" s="1">
      <c r="A10" s="17">
        <f>RANDBETWEEN(2,164)</f>
        <v/>
      </c>
      <c r="B10" s="17">
        <f t="array" ref="B10">INDEX(Data_DBD!$C:$C,$A10)</f>
        <v/>
      </c>
      <c r="C10" s="17">
        <f t="array" ref="C10">INDEX(Data_DBD!$E:$E,$A10)</f>
        <v/>
      </c>
      <c r="D10" s="17">
        <f t="array" ref="D10">INDEX(Data_DBD!$F:$F,$A10)</f>
        <v/>
      </c>
      <c r="H10" s="17" t="n">
        <v>149</v>
      </c>
      <c r="I10" s="17" t="n">
        <v>5</v>
      </c>
      <c r="J10" s="17" t="n">
        <v>0</v>
      </c>
      <c r="K10" s="17" t="inlineStr">
        <is>
          <t>Tinggi</t>
        </is>
      </c>
    </row>
    <row r="11" s="1">
      <c r="A11" s="17">
        <f>RANDBETWEEN(2,164)</f>
        <v/>
      </c>
      <c r="B11" s="17">
        <f t="array" ref="B11">INDEX(Data_DBD!$C:$C,$A11)</f>
        <v/>
      </c>
      <c r="C11" s="17">
        <f t="array" ref="C11">INDEX(Data_DBD!$E:$E,$A11)</f>
        <v/>
      </c>
      <c r="D11" s="17">
        <f t="array" ref="D11">INDEX(Data_DBD!$F:$F,$A11)</f>
        <v/>
      </c>
      <c r="H11" s="17" t="n">
        <v>20</v>
      </c>
      <c r="I11" s="17" t="n">
        <v>5</v>
      </c>
      <c r="J11" s="17" t="n">
        <v>0</v>
      </c>
      <c r="K11" s="17" t="inlineStr">
        <is>
          <t>Rendah</t>
        </is>
      </c>
    </row>
    <row r="12" s="1">
      <c r="A12" s="17">
        <f>RANDBETWEEN(2,164)</f>
        <v/>
      </c>
      <c r="B12" s="17">
        <f t="array" ref="B12">INDEX(Data_DBD!$C:$C,$A12)</f>
        <v/>
      </c>
      <c r="C12" s="17">
        <f t="array" ref="C12">INDEX(Data_DBD!$E:$E,$A12)</f>
        <v/>
      </c>
      <c r="D12" s="17">
        <f t="array" ref="D12">INDEX(Data_DBD!$F:$F,$A12)</f>
        <v/>
      </c>
      <c r="H12" s="17" t="n">
        <v>106</v>
      </c>
      <c r="I12" s="17" t="n">
        <v>3</v>
      </c>
      <c r="J12" s="17" t="n">
        <v>1</v>
      </c>
      <c r="K12" s="17" t="inlineStr">
        <is>
          <t>Tinggi</t>
        </is>
      </c>
    </row>
    <row r="13" s="1">
      <c r="A13" s="17">
        <f>RANDBETWEEN(2,164)</f>
        <v/>
      </c>
      <c r="B13" s="17">
        <f t="array" ref="B13">INDEX(Data_DBD!$C:$C,$A13)</f>
        <v/>
      </c>
      <c r="C13" s="17">
        <f t="array" ref="C13">INDEX(Data_DBD!$E:$E,$A13)</f>
        <v/>
      </c>
      <c r="D13" s="17">
        <f t="array" ref="D13">INDEX(Data_DBD!$F:$F,$A13)</f>
        <v/>
      </c>
      <c r="H13" s="17" t="n">
        <v>156</v>
      </c>
      <c r="I13" s="17" t="n">
        <v>2</v>
      </c>
      <c r="J13" s="17" t="n">
        <v>0</v>
      </c>
      <c r="K13" s="17" t="inlineStr">
        <is>
          <t>Tinggi</t>
        </is>
      </c>
    </row>
    <row r="14" s="1">
      <c r="A14" s="17">
        <f>RANDBETWEEN(2,164)</f>
        <v/>
      </c>
      <c r="B14" s="17">
        <f t="array" ref="B14">INDEX(Data_DBD!$C:$C,$A14)</f>
        <v/>
      </c>
      <c r="C14" s="17">
        <f t="array" ref="C14">INDEX(Data_DBD!$E:$E,$A14)</f>
        <v/>
      </c>
      <c r="D14" s="17">
        <f t="array" ref="D14">INDEX(Data_DBD!$F:$F,$A14)</f>
        <v/>
      </c>
      <c r="H14" s="17" t="n">
        <v>16</v>
      </c>
      <c r="I14" s="17" t="n">
        <v>5</v>
      </c>
      <c r="J14" s="17" t="n">
        <v>1</v>
      </c>
      <c r="K14" s="17" t="inlineStr">
        <is>
          <t>Rendah</t>
        </is>
      </c>
    </row>
    <row r="15" s="1">
      <c r="A15" s="17">
        <f>RANDBETWEEN(2,164)</f>
        <v/>
      </c>
      <c r="B15" s="17">
        <f t="array" ref="B15">INDEX(Data_DBD!$C:$C,$A15)</f>
        <v/>
      </c>
      <c r="C15" s="17">
        <f t="array" ref="C15">INDEX(Data_DBD!$E:$E,$A15)</f>
        <v/>
      </c>
      <c r="D15" s="17">
        <f t="array" ref="D15">INDEX(Data_DBD!$F:$F,$A15)</f>
        <v/>
      </c>
      <c r="H15" s="17" t="n">
        <v>5</v>
      </c>
      <c r="I15" s="17" t="n">
        <v>2</v>
      </c>
      <c r="J15" s="17" t="n">
        <v>1</v>
      </c>
      <c r="K15" s="17" t="inlineStr">
        <is>
          <t>Sedang</t>
        </is>
      </c>
    </row>
    <row r="16" s="1">
      <c r="A16" s="17">
        <f>RANDBETWEEN(2,164)</f>
        <v/>
      </c>
      <c r="B16" s="17">
        <f t="array" ref="B16">INDEX(Data_DBD!$C:$C,$A16)</f>
        <v/>
      </c>
      <c r="C16" s="17">
        <f t="array" ref="C16">INDEX(Data_DBD!$E:$E,$A16)</f>
        <v/>
      </c>
      <c r="D16" s="17">
        <f t="array" ref="D16">INDEX(Data_DBD!$F:$F,$A16)</f>
        <v/>
      </c>
      <c r="H16" s="17" t="n">
        <v>98</v>
      </c>
      <c r="I16" s="17" t="n">
        <v>2</v>
      </c>
      <c r="J16" s="17" t="n">
        <v>1</v>
      </c>
      <c r="K16" s="17" t="inlineStr">
        <is>
          <t>Tinggi</t>
        </is>
      </c>
    </row>
    <row r="17" s="1">
      <c r="A17" s="17">
        <f>RANDBETWEEN(2,164)</f>
        <v/>
      </c>
      <c r="B17" s="17">
        <f t="array" ref="B17">INDEX(Data_DBD!$C:$C,$A17)</f>
        <v/>
      </c>
      <c r="C17" s="17">
        <f t="array" ref="C17">INDEX(Data_DBD!$E:$E,$A17)</f>
        <v/>
      </c>
      <c r="D17" s="17">
        <f t="array" ref="D17">INDEX(Data_DBD!$F:$F,$A17)</f>
        <v/>
      </c>
      <c r="H17" s="17" t="n">
        <v>8</v>
      </c>
      <c r="I17" s="17" t="n">
        <v>2</v>
      </c>
      <c r="J17" s="17" t="n">
        <v>0</v>
      </c>
      <c r="K17" s="17" t="inlineStr">
        <is>
          <t>Sedang</t>
        </is>
      </c>
    </row>
    <row r="18" s="1">
      <c r="A18" s="17">
        <f>RANDBETWEEN(2,164)</f>
        <v/>
      </c>
      <c r="B18" s="17">
        <f t="array" ref="B18">INDEX(Data_DBD!$C:$C,$A18)</f>
        <v/>
      </c>
      <c r="C18" s="17">
        <f t="array" ref="C18">INDEX(Data_DBD!$E:$E,$A18)</f>
        <v/>
      </c>
      <c r="D18" s="17">
        <f t="array" ref="D18">INDEX(Data_DBD!$F:$F,$A18)</f>
        <v/>
      </c>
      <c r="H18" s="17" t="n">
        <v>56</v>
      </c>
      <c r="I18" s="17" t="n">
        <v>3</v>
      </c>
      <c r="J18" s="17" t="n">
        <v>0</v>
      </c>
      <c r="K18" s="17" t="inlineStr">
        <is>
          <t>Sedang</t>
        </is>
      </c>
    </row>
    <row r="19" s="1">
      <c r="A19" s="17">
        <f>RANDBETWEEN(2,164)</f>
        <v/>
      </c>
      <c r="B19" s="17">
        <f t="array" ref="B19">INDEX(Data_DBD!$C:$C,$A19)</f>
        <v/>
      </c>
      <c r="C19" s="17">
        <f t="array" ref="C19">INDEX(Data_DBD!$E:$E,$A19)</f>
        <v/>
      </c>
      <c r="D19" s="17">
        <f t="array" ref="D19">INDEX(Data_DBD!$F:$F,$A19)</f>
        <v/>
      </c>
      <c r="H19" s="17" t="n">
        <v>134</v>
      </c>
      <c r="I19" s="17" t="n">
        <v>2</v>
      </c>
      <c r="J19" s="17" t="n">
        <v>1</v>
      </c>
      <c r="K19" s="17" t="inlineStr">
        <is>
          <t>Tinggi</t>
        </is>
      </c>
    </row>
    <row r="20" s="1">
      <c r="A20" s="17">
        <f>RANDBETWEEN(2,164)</f>
        <v/>
      </c>
      <c r="B20" s="17">
        <f t="array" ref="B20">INDEX(Data_DBD!$C:$C,$A20)</f>
        <v/>
      </c>
      <c r="C20" s="17">
        <f t="array" ref="C20">INDEX(Data_DBD!$E:$E,$A20)</f>
        <v/>
      </c>
      <c r="D20" s="17">
        <f t="array" ref="D20">INDEX(Data_DBD!$F:$F,$A20)</f>
        <v/>
      </c>
      <c r="H20" s="17" t="n">
        <v>65</v>
      </c>
      <c r="I20" s="17" t="n">
        <v>3</v>
      </c>
      <c r="J20" s="17" t="n">
        <v>0</v>
      </c>
      <c r="K20" s="17" t="inlineStr">
        <is>
          <t>Sedang</t>
        </is>
      </c>
    </row>
    <row r="21" s="1">
      <c r="A21" s="17">
        <f>RANDBETWEEN(2,164)</f>
        <v/>
      </c>
      <c r="B21" s="17">
        <f t="array" ref="B21">INDEX(Data_DBD!$C:$C,$A21)</f>
        <v/>
      </c>
      <c r="C21" s="17">
        <f t="array" ref="C21">INDEX(Data_DBD!$E:$E,$A21)</f>
        <v/>
      </c>
      <c r="D21" s="17">
        <f t="array" ref="D21">INDEX(Data_DBD!$F:$F,$A21)</f>
        <v/>
      </c>
      <c r="H21" s="17" t="n">
        <v>130</v>
      </c>
      <c r="I21" s="17" t="n">
        <v>4</v>
      </c>
      <c r="J21" s="17" t="n">
        <v>0</v>
      </c>
      <c r="K21" s="17" t="inlineStr">
        <is>
          <t>Tinggi</t>
        </is>
      </c>
    </row>
    <row r="22" s="1">
      <c r="A22" s="17">
        <f>RANDBETWEEN(2,164)</f>
        <v/>
      </c>
      <c r="B22" s="17">
        <f t="array" ref="B22">INDEX(Data_DBD!$C:$C,$A22)</f>
        <v/>
      </c>
      <c r="C22" s="17">
        <f t="array" ref="C22">INDEX(Data_DBD!$E:$E,$A22)</f>
        <v/>
      </c>
      <c r="D22" s="17">
        <f t="array" ref="D22">INDEX(Data_DBD!$F:$F,$A22)</f>
        <v/>
      </c>
      <c r="H22" s="17" t="n">
        <v>19</v>
      </c>
      <c r="I22" s="17" t="n">
        <v>4</v>
      </c>
      <c r="J22" s="17" t="n">
        <v>0</v>
      </c>
      <c r="K22" s="17" t="inlineStr">
        <is>
          <t>Rendah</t>
        </is>
      </c>
    </row>
    <row r="23" s="1">
      <c r="A23" s="17">
        <f>RANDBETWEEN(2,164)</f>
        <v/>
      </c>
      <c r="B23" s="17">
        <f t="array" ref="B23">INDEX(Data_DBD!$C:$C,$A23)</f>
        <v/>
      </c>
      <c r="C23" s="17">
        <f t="array" ref="C23">INDEX(Data_DBD!$E:$E,$A23)</f>
        <v/>
      </c>
      <c r="D23" s="17">
        <f t="array" ref="D23">INDEX(Data_DBD!$F:$F,$A23)</f>
        <v/>
      </c>
      <c r="H23" s="17" t="n">
        <v>134</v>
      </c>
      <c r="I23" s="17" t="n">
        <v>2</v>
      </c>
      <c r="J23" s="17" t="n">
        <v>1</v>
      </c>
      <c r="K23" s="17" t="inlineStr">
        <is>
          <t>Tinggi</t>
        </is>
      </c>
    </row>
    <row r="24" s="1">
      <c r="A24" s="17">
        <f>RANDBETWEEN(2,164)</f>
        <v/>
      </c>
      <c r="B24" s="17">
        <f t="array" ref="B24">INDEX(Data_DBD!$C:$C,$A24)</f>
        <v/>
      </c>
      <c r="C24" s="17">
        <f t="array" ref="C24">INDEX(Data_DBD!$E:$E,$A24)</f>
        <v/>
      </c>
      <c r="D24" s="17">
        <f t="array" ref="D24">INDEX(Data_DBD!$F:$F,$A24)</f>
        <v/>
      </c>
      <c r="H24" s="17" t="n">
        <v>4</v>
      </c>
      <c r="I24" s="17" t="n">
        <v>5</v>
      </c>
      <c r="J24" s="17" t="n">
        <v>0</v>
      </c>
      <c r="K24" s="17" t="inlineStr">
        <is>
          <t>Sedang</t>
        </is>
      </c>
    </row>
    <row r="25" s="1">
      <c r="A25" s="17">
        <f>RANDBETWEEN(2,164)</f>
        <v/>
      </c>
      <c r="B25" s="17">
        <f t="array" ref="B25">INDEX(Data_DBD!$C:$C,$A25)</f>
        <v/>
      </c>
      <c r="C25" s="17">
        <f t="array" ref="C25">INDEX(Data_DBD!$E:$E,$A25)</f>
        <v/>
      </c>
      <c r="D25" s="17">
        <f t="array" ref="D25">INDEX(Data_DBD!$F:$F,$A25)</f>
        <v/>
      </c>
      <c r="H25" s="17" t="n">
        <v>151</v>
      </c>
      <c r="I25" s="17" t="n">
        <v>3</v>
      </c>
      <c r="J25" s="17" t="n">
        <v>0</v>
      </c>
      <c r="K25" s="17" t="inlineStr">
        <is>
          <t>Tinggi</t>
        </is>
      </c>
    </row>
    <row r="26" s="1">
      <c r="A26" s="17">
        <f>RANDBETWEEN(2,164)</f>
        <v/>
      </c>
      <c r="B26" s="17">
        <f t="array" ref="B26">INDEX(Data_DBD!$C:$C,$A26)</f>
        <v/>
      </c>
      <c r="C26" s="17">
        <f t="array" ref="C26">INDEX(Data_DBD!$E:$E,$A26)</f>
        <v/>
      </c>
      <c r="D26" s="17">
        <f t="array" ref="D26">INDEX(Data_DBD!$F:$F,$A26)</f>
        <v/>
      </c>
      <c r="H26" s="17" t="n">
        <v>40</v>
      </c>
      <c r="I26" s="17" t="n">
        <v>3</v>
      </c>
      <c r="J26" s="17" t="n">
        <v>1</v>
      </c>
      <c r="K26" s="17" t="inlineStr">
        <is>
          <t>Sedang</t>
        </is>
      </c>
    </row>
    <row r="27" s="1">
      <c r="A27" s="17">
        <f>RANDBETWEEN(2,164)</f>
        <v/>
      </c>
      <c r="B27" s="17">
        <f t="array" ref="B27">INDEX(Data_DBD!$C:$C,$A27)</f>
        <v/>
      </c>
      <c r="C27" s="17">
        <f t="array" ref="C27">INDEX(Data_DBD!$E:$E,$A27)</f>
        <v/>
      </c>
      <c r="D27" s="17">
        <f t="array" ref="D27">INDEX(Data_DBD!$F:$F,$A27)</f>
        <v/>
      </c>
      <c r="H27" s="17" t="n">
        <v>56</v>
      </c>
      <c r="I27" s="17" t="n">
        <v>3</v>
      </c>
      <c r="J27" s="17" t="n">
        <v>0</v>
      </c>
      <c r="K27" s="17" t="inlineStr">
        <is>
          <t>Sedang</t>
        </is>
      </c>
    </row>
    <row r="28" s="1">
      <c r="A28" s="17">
        <f>RANDBETWEEN(2,164)</f>
        <v/>
      </c>
      <c r="B28" s="17">
        <f t="array" ref="B28">INDEX(Data_DBD!$C:$C,$A28)</f>
        <v/>
      </c>
      <c r="C28" s="17">
        <f t="array" ref="C28">INDEX(Data_DBD!$E:$E,$A28)</f>
        <v/>
      </c>
      <c r="D28" s="17">
        <f t="array" ref="D28">INDEX(Data_DBD!$F:$F,$A28)</f>
        <v/>
      </c>
      <c r="H28" s="17" t="n">
        <v>104</v>
      </c>
      <c r="I28" s="17" t="n">
        <v>4</v>
      </c>
      <c r="J28" s="17" t="n">
        <v>1</v>
      </c>
      <c r="K28" s="17" t="inlineStr">
        <is>
          <t>Tinggi</t>
        </is>
      </c>
    </row>
    <row r="29" s="1">
      <c r="A29" s="17">
        <f>RANDBETWEEN(2,164)</f>
        <v/>
      </c>
      <c r="B29" s="17">
        <f t="array" ref="B29">INDEX(Data_DBD!$C:$C,$A29)</f>
        <v/>
      </c>
      <c r="C29" s="17">
        <f t="array" ref="C29">INDEX(Data_DBD!$E:$E,$A29)</f>
        <v/>
      </c>
      <c r="D29" s="17">
        <f t="array" ref="D29">INDEX(Data_DBD!$F:$F,$A29)</f>
        <v/>
      </c>
      <c r="H29" s="17" t="n">
        <v>105</v>
      </c>
      <c r="I29" s="17" t="n">
        <v>3</v>
      </c>
      <c r="J29" s="17" t="n">
        <v>1</v>
      </c>
      <c r="K29" s="17" t="inlineStr">
        <is>
          <t>Tinggi</t>
        </is>
      </c>
    </row>
    <row r="30" s="1">
      <c r="A30" s="17">
        <f>RANDBETWEEN(2,164)</f>
        <v/>
      </c>
      <c r="B30" s="17">
        <f t="array" ref="B30">INDEX(Data_DBD!$C:$C,$A30)</f>
        <v/>
      </c>
      <c r="C30" s="17">
        <f t="array" ref="C30">INDEX(Data_DBD!$E:$E,$A30)</f>
        <v/>
      </c>
      <c r="D30" s="17">
        <f t="array" ref="D30">INDEX(Data_DBD!$F:$F,$A30)</f>
        <v/>
      </c>
      <c r="H30" s="17" t="n">
        <v>60</v>
      </c>
      <c r="I30" s="17" t="n">
        <v>4</v>
      </c>
      <c r="J30" s="17" t="n">
        <v>0</v>
      </c>
      <c r="K30" s="17" t="inlineStr">
        <is>
          <t>Sedang</t>
        </is>
      </c>
    </row>
    <row r="31" s="1">
      <c r="A31" s="17">
        <f>RANDBETWEEN(2,164)</f>
        <v/>
      </c>
      <c r="B31" s="17">
        <f t="array" ref="B31">INDEX(Data_DBD!$C:$C,$A31)</f>
        <v/>
      </c>
      <c r="C31" s="17">
        <f t="array" ref="C31">INDEX(Data_DBD!$E:$E,$A31)</f>
        <v/>
      </c>
      <c r="D31" s="17">
        <f t="array" ref="D31">INDEX(Data_DBD!$F:$F,$A31)</f>
        <v/>
      </c>
      <c r="H31" s="17" t="n">
        <v>30</v>
      </c>
      <c r="I31" s="17" t="n">
        <v>2</v>
      </c>
      <c r="J31" s="17" t="n">
        <v>1</v>
      </c>
      <c r="K31" s="17" t="inlineStr">
        <is>
          <t>Sedang</t>
        </is>
      </c>
    </row>
    <row r="32" s="1">
      <c r="A32" s="17">
        <f>RANDBETWEEN(2,164)</f>
        <v/>
      </c>
      <c r="B32" s="17">
        <f t="array" ref="B32">INDEX(Data_DBD!$C:$C,$A32)</f>
        <v/>
      </c>
      <c r="C32" s="17">
        <f t="array" ref="C32">INDEX(Data_DBD!$E:$E,$A32)</f>
        <v/>
      </c>
      <c r="D32" s="17">
        <f t="array" ref="D32">INDEX(Data_DBD!$F:$F,$A32)</f>
        <v/>
      </c>
      <c r="H32" s="17" t="n">
        <v>99</v>
      </c>
      <c r="I32" s="17" t="n">
        <v>2</v>
      </c>
      <c r="J32" s="17" t="n">
        <v>1</v>
      </c>
      <c r="K32" s="17" t="inlineStr">
        <is>
          <t>Tinggi</t>
        </is>
      </c>
    </row>
    <row r="33" s="1">
      <c r="A33" s="17">
        <f>RANDBETWEEN(2,164)</f>
        <v/>
      </c>
      <c r="B33" s="17">
        <f t="array" ref="B33">INDEX(Data_DBD!$C:$C,$A33)</f>
        <v/>
      </c>
      <c r="C33" s="17">
        <f t="array" ref="C33">INDEX(Data_DBD!$E:$E,$A33)</f>
        <v/>
      </c>
      <c r="D33" s="17">
        <f t="array" ref="D33">INDEX(Data_DBD!$F:$F,$A33)</f>
        <v/>
      </c>
      <c r="H33" s="17" t="n">
        <v>162</v>
      </c>
      <c r="I33" s="17" t="n">
        <v>3</v>
      </c>
      <c r="J33" s="17" t="n">
        <v>1</v>
      </c>
      <c r="K33" s="17" t="inlineStr">
        <is>
          <t>Rendah</t>
        </is>
      </c>
    </row>
    <row r="34" s="1">
      <c r="A34" s="17">
        <f>RANDBETWEEN(2,164)</f>
        <v/>
      </c>
      <c r="B34" s="17">
        <f t="array" ref="B34">INDEX(Data_DBD!$C:$C,$A34)</f>
        <v/>
      </c>
      <c r="C34" s="17">
        <f t="array" ref="C34">INDEX(Data_DBD!$E:$E,$A34)</f>
        <v/>
      </c>
      <c r="D34" s="17">
        <f t="array" ref="D34">INDEX(Data_DBD!$F:$F,$A34)</f>
        <v/>
      </c>
      <c r="H34" s="17" t="n">
        <v>131</v>
      </c>
      <c r="I34" s="17" t="n">
        <v>2</v>
      </c>
      <c r="J34" s="17" t="n">
        <v>0</v>
      </c>
      <c r="K34" s="17" t="inlineStr">
        <is>
          <t>Tinggi</t>
        </is>
      </c>
    </row>
    <row r="35" s="1">
      <c r="A35" s="17">
        <f>RANDBETWEEN(2,164)</f>
        <v/>
      </c>
      <c r="B35" s="17">
        <f t="array" ref="B35">INDEX(Data_DBD!$C:$C,$A35)</f>
        <v/>
      </c>
      <c r="C35" s="17">
        <f t="array" ref="C35">INDEX(Data_DBD!$E:$E,$A35)</f>
        <v/>
      </c>
      <c r="D35" s="17">
        <f t="array" ref="D35">INDEX(Data_DBD!$F:$F,$A35)</f>
        <v/>
      </c>
      <c r="H35" s="17" t="n">
        <v>33</v>
      </c>
      <c r="I35" s="17" t="n">
        <v>4</v>
      </c>
      <c r="J35" s="17" t="n">
        <v>1</v>
      </c>
      <c r="K35" s="17" t="inlineStr">
        <is>
          <t>Sedang</t>
        </is>
      </c>
    </row>
    <row r="36" s="1">
      <c r="A36" s="17">
        <f>RANDBETWEEN(2,164)</f>
        <v/>
      </c>
      <c r="B36" s="17">
        <f t="array" ref="B36">INDEX(Data_DBD!$C:$C,$A36)</f>
        <v/>
      </c>
      <c r="C36" s="17">
        <f t="array" ref="C36">INDEX(Data_DBD!$E:$E,$A36)</f>
        <v/>
      </c>
      <c r="D36" s="17">
        <f t="array" ref="D36">INDEX(Data_DBD!$F:$F,$A36)</f>
        <v/>
      </c>
      <c r="H36" s="17" t="n">
        <v>7</v>
      </c>
      <c r="I36" s="17" t="n">
        <v>1</v>
      </c>
      <c r="J36" s="17" t="n">
        <v>1</v>
      </c>
      <c r="K36" s="17" t="inlineStr">
        <is>
          <t>Sedang</t>
        </is>
      </c>
    </row>
    <row r="37" s="1">
      <c r="A37" s="17">
        <f>RANDBETWEEN(2,164)</f>
        <v/>
      </c>
      <c r="B37" s="17">
        <f t="array" ref="B37">INDEX(Data_DBD!$C:$C,$A37)</f>
        <v/>
      </c>
      <c r="C37" s="17">
        <f t="array" ref="C37">INDEX(Data_DBD!$E:$E,$A37)</f>
        <v/>
      </c>
      <c r="D37" s="17">
        <f t="array" ref="D37">INDEX(Data_DBD!$F:$F,$A37)</f>
        <v/>
      </c>
      <c r="H37" s="17" t="n">
        <v>51</v>
      </c>
      <c r="I37" s="17" t="n">
        <v>4</v>
      </c>
      <c r="J37" s="17" t="n">
        <v>0</v>
      </c>
      <c r="K37" s="17" t="inlineStr">
        <is>
          <t>Sedang</t>
        </is>
      </c>
    </row>
    <row r="38" s="1">
      <c r="A38" s="17">
        <f>RANDBETWEEN(2,164)</f>
        <v/>
      </c>
      <c r="B38" s="17">
        <f t="array" ref="B38">INDEX(Data_DBD!$C:$C,$A38)</f>
        <v/>
      </c>
      <c r="C38" s="17">
        <f t="array" ref="C38">INDEX(Data_DBD!$E:$E,$A38)</f>
        <v/>
      </c>
      <c r="D38" s="17">
        <f t="array" ref="D38">INDEX(Data_DBD!$F:$F,$A38)</f>
        <v/>
      </c>
      <c r="H38" s="17" t="n">
        <v>5</v>
      </c>
      <c r="I38" s="17" t="n">
        <v>2</v>
      </c>
      <c r="J38" s="17" t="n">
        <v>1</v>
      </c>
      <c r="K38" s="17" t="inlineStr">
        <is>
          <t>Sedang</t>
        </is>
      </c>
    </row>
    <row r="39" s="1">
      <c r="A39" s="17">
        <f>RANDBETWEEN(2,164)</f>
        <v/>
      </c>
      <c r="B39" s="17">
        <f t="array" ref="B39">INDEX(Data_DBD!$C:$C,$A39)</f>
        <v/>
      </c>
      <c r="C39" s="17">
        <f t="array" ref="C39">INDEX(Data_DBD!$E:$E,$A39)</f>
        <v/>
      </c>
      <c r="D39" s="17">
        <f t="array" ref="D39">INDEX(Data_DBD!$F:$F,$A39)</f>
        <v/>
      </c>
      <c r="H39" s="17" t="n">
        <v>111</v>
      </c>
      <c r="I39" s="17" t="n">
        <v>4</v>
      </c>
      <c r="J39" s="17" t="n">
        <v>0</v>
      </c>
      <c r="K39" s="17" t="inlineStr">
        <is>
          <t>Tinggi</t>
        </is>
      </c>
    </row>
    <row r="40" s="1">
      <c r="A40" s="17">
        <f>RANDBETWEEN(2,164)</f>
        <v/>
      </c>
      <c r="B40" s="17">
        <f t="array" ref="B40">INDEX(Data_DBD!$C:$C,$A40)</f>
        <v/>
      </c>
      <c r="C40" s="17">
        <f t="array" ref="C40">INDEX(Data_DBD!$E:$E,$A40)</f>
        <v/>
      </c>
      <c r="D40" s="17">
        <f t="array" ref="D40">INDEX(Data_DBD!$F:$F,$A40)</f>
        <v/>
      </c>
      <c r="H40" s="17" t="n">
        <v>125</v>
      </c>
      <c r="I40" s="17" t="n">
        <v>4</v>
      </c>
      <c r="J40" s="17" t="n">
        <v>0</v>
      </c>
      <c r="K40" s="17" t="inlineStr">
        <is>
          <t>Tinggi</t>
        </is>
      </c>
    </row>
    <row r="41" s="1">
      <c r="A41" s="17">
        <f>RANDBETWEEN(2,164)</f>
        <v/>
      </c>
      <c r="B41" s="17">
        <f t="array" ref="B41">INDEX(Data_DBD!$C:$C,$A41)</f>
        <v/>
      </c>
      <c r="C41" s="17">
        <f t="array" ref="C41">INDEX(Data_DBD!$E:$E,$A41)</f>
        <v/>
      </c>
      <c r="D41" s="17">
        <f t="array" ref="D41">INDEX(Data_DBD!$F:$F,$A41)</f>
        <v/>
      </c>
      <c r="H41" s="17" t="n">
        <v>68</v>
      </c>
      <c r="I41" s="17" t="n">
        <v>5</v>
      </c>
      <c r="J41" s="17" t="n">
        <v>0</v>
      </c>
      <c r="K41" s="17" t="inlineStr">
        <is>
          <t>Sedang</t>
        </is>
      </c>
    </row>
    <row r="42" s="1">
      <c r="A42" s="17">
        <f>RANDBETWEEN(2,164)</f>
        <v/>
      </c>
      <c r="B42" s="17">
        <f t="array" ref="B42">INDEX(Data_DBD!$C:$C,$A42)</f>
        <v/>
      </c>
      <c r="C42" s="17">
        <f t="array" ref="C42">INDEX(Data_DBD!$E:$E,$A42)</f>
        <v/>
      </c>
      <c r="D42" s="17">
        <f t="array" ref="D42">INDEX(Data_DBD!$F:$F,$A42)</f>
        <v/>
      </c>
      <c r="H42" s="17" t="n">
        <v>60</v>
      </c>
      <c r="I42" s="17" t="n">
        <v>4</v>
      </c>
      <c r="J42" s="17" t="n">
        <v>0</v>
      </c>
      <c r="K42" s="17" t="inlineStr">
        <is>
          <t>Sedang</t>
        </is>
      </c>
    </row>
    <row r="43" s="1">
      <c r="A43" s="17">
        <f>RANDBETWEEN(2,164)</f>
        <v/>
      </c>
      <c r="B43" s="17">
        <f t="array" ref="B43">INDEX(Data_DBD!$C:$C,$A43)</f>
        <v/>
      </c>
      <c r="C43" s="17">
        <f t="array" ref="C43">INDEX(Data_DBD!$E:$E,$A43)</f>
        <v/>
      </c>
      <c r="D43" s="17">
        <f t="array" ref="D43">INDEX(Data_DBD!$F:$F,$A43)</f>
        <v/>
      </c>
      <c r="H43" s="17" t="n">
        <v>156</v>
      </c>
      <c r="I43" s="17" t="n">
        <v>2</v>
      </c>
      <c r="J43" s="17" t="n">
        <v>0</v>
      </c>
      <c r="K43" s="17" t="inlineStr">
        <is>
          <t>Tinggi</t>
        </is>
      </c>
    </row>
    <row r="44" s="1">
      <c r="A44" s="17">
        <f>RANDBETWEEN(2,164)</f>
        <v/>
      </c>
      <c r="B44" s="17">
        <f t="array" ref="B44">INDEX(Data_DBD!$C:$C,$A44)</f>
        <v/>
      </c>
      <c r="C44" s="17">
        <f t="array" ref="C44">INDEX(Data_DBD!$E:$E,$A44)</f>
        <v/>
      </c>
      <c r="D44" s="17">
        <f t="array" ref="D44">INDEX(Data_DBD!$F:$F,$A44)</f>
        <v/>
      </c>
      <c r="H44" s="17" t="n">
        <v>113</v>
      </c>
      <c r="I44" s="17" t="n">
        <v>1</v>
      </c>
      <c r="J44" s="17" t="n">
        <v>1</v>
      </c>
      <c r="K44" s="17" t="inlineStr">
        <is>
          <t>Tinggi</t>
        </is>
      </c>
    </row>
    <row r="45" s="1">
      <c r="A45" s="17">
        <f>RANDBETWEEN(2,164)</f>
        <v/>
      </c>
      <c r="B45" s="17">
        <f t="array" ref="B45">INDEX(Data_DBD!$C:$C,$A45)</f>
        <v/>
      </c>
      <c r="C45" s="17">
        <f t="array" ref="C45">INDEX(Data_DBD!$E:$E,$A45)</f>
        <v/>
      </c>
      <c r="D45" s="17">
        <f t="array" ref="D45">INDEX(Data_DBD!$F:$F,$A45)</f>
        <v/>
      </c>
      <c r="H45" s="17" t="n">
        <v>70</v>
      </c>
      <c r="I45" s="17" t="n">
        <v>3</v>
      </c>
      <c r="J45" s="17" t="n">
        <v>1</v>
      </c>
      <c r="K45" s="17" t="inlineStr">
        <is>
          <t>Sedang</t>
        </is>
      </c>
    </row>
    <row r="46" s="1">
      <c r="A46" s="17">
        <f>RANDBETWEEN(2,164)</f>
        <v/>
      </c>
      <c r="B46" s="17">
        <f t="array" ref="B46">INDEX(Data_DBD!$C:$C,$A46)</f>
        <v/>
      </c>
      <c r="C46" s="17">
        <f t="array" ref="C46">INDEX(Data_DBD!$E:$E,$A46)</f>
        <v/>
      </c>
      <c r="D46" s="17">
        <f t="array" ref="D46">INDEX(Data_DBD!$F:$F,$A46)</f>
        <v/>
      </c>
      <c r="H46" s="17" t="n">
        <v>44</v>
      </c>
      <c r="I46" s="17" t="n">
        <v>5</v>
      </c>
      <c r="J46" s="17" t="n">
        <v>1</v>
      </c>
      <c r="K46" s="17" t="inlineStr">
        <is>
          <t>Sedang</t>
        </is>
      </c>
    </row>
    <row r="47" s="1">
      <c r="A47" s="17">
        <f>RANDBETWEEN(2,164)</f>
        <v/>
      </c>
      <c r="B47" s="17">
        <f t="array" ref="B47">INDEX(Data_DBD!$C:$C,$A47)</f>
        <v/>
      </c>
      <c r="C47" s="17">
        <f t="array" ref="C47">INDEX(Data_DBD!$E:$E,$A47)</f>
        <v/>
      </c>
      <c r="D47" s="17">
        <f t="array" ref="D47">INDEX(Data_DBD!$F:$F,$A47)</f>
        <v/>
      </c>
      <c r="H47" s="17" t="n">
        <v>32</v>
      </c>
      <c r="I47" s="17" t="n">
        <v>4</v>
      </c>
      <c r="J47" s="17" t="n">
        <v>0</v>
      </c>
      <c r="K47" s="17" t="inlineStr">
        <is>
          <t>Sedang</t>
        </is>
      </c>
    </row>
    <row r="48" s="1">
      <c r="A48" s="17">
        <f>RANDBETWEEN(2,164)</f>
        <v/>
      </c>
      <c r="B48" s="17">
        <f t="array" ref="B48">INDEX(Data_DBD!$C:$C,$A48)</f>
        <v/>
      </c>
      <c r="C48" s="17">
        <f t="array" ref="C48">INDEX(Data_DBD!$E:$E,$A48)</f>
        <v/>
      </c>
      <c r="D48" s="17">
        <f t="array" ref="D48">INDEX(Data_DBD!$F:$F,$A48)</f>
        <v/>
      </c>
      <c r="H48" s="17" t="n">
        <v>26</v>
      </c>
      <c r="I48" s="17" t="n">
        <v>4</v>
      </c>
      <c r="J48" s="17" t="n">
        <v>1</v>
      </c>
      <c r="K48" s="17" t="inlineStr">
        <is>
          <t>Sedang</t>
        </is>
      </c>
    </row>
    <row r="49" s="1">
      <c r="A49" s="17">
        <f>RANDBETWEEN(2,164)</f>
        <v/>
      </c>
      <c r="B49" s="17">
        <f t="array" ref="B49">INDEX(Data_DBD!$C:$C,$A49)</f>
        <v/>
      </c>
      <c r="C49" s="17">
        <f t="array" ref="C49">INDEX(Data_DBD!$E:$E,$A49)</f>
        <v/>
      </c>
      <c r="D49" s="17">
        <f t="array" ref="D49">INDEX(Data_DBD!$F:$F,$A49)</f>
        <v/>
      </c>
      <c r="H49" s="17" t="n">
        <v>82</v>
      </c>
      <c r="I49" s="17" t="n">
        <v>3</v>
      </c>
      <c r="J49" s="17" t="n">
        <v>1</v>
      </c>
      <c r="K49" s="17" t="inlineStr">
        <is>
          <t>Sedang</t>
        </is>
      </c>
    </row>
    <row r="50" s="1">
      <c r="A50" s="17">
        <f>RANDBETWEEN(2,164)</f>
        <v/>
      </c>
      <c r="B50" s="17">
        <f t="array" ref="B50">INDEX(Data_DBD!$C:$C,$A50)</f>
        <v/>
      </c>
      <c r="C50" s="17">
        <f t="array" ref="C50">INDEX(Data_DBD!$E:$E,$A50)</f>
        <v/>
      </c>
      <c r="D50" s="17">
        <f t="array" ref="D50">INDEX(Data_DBD!$F:$F,$A50)</f>
        <v/>
      </c>
      <c r="H50" s="17" t="n">
        <v>75</v>
      </c>
      <c r="I50" s="17" t="n">
        <v>2</v>
      </c>
      <c r="J50" s="17" t="n">
        <v>1</v>
      </c>
      <c r="K50" s="17" t="inlineStr">
        <is>
          <t>Sedang</t>
        </is>
      </c>
    </row>
    <row r="51" s="1">
      <c r="A51" s="17">
        <f>RANDBETWEEN(2,164)</f>
        <v/>
      </c>
      <c r="B51" s="17">
        <f t="array" ref="B51">INDEX(Data_DBD!$C:$C,$A51)</f>
        <v/>
      </c>
      <c r="C51" s="17">
        <f t="array" ref="C51">INDEX(Data_DBD!$E:$E,$A51)</f>
        <v/>
      </c>
      <c r="D51" s="17">
        <f t="array" ref="D51">INDEX(Data_DBD!$F:$F,$A51)</f>
        <v/>
      </c>
      <c r="H51" s="17" t="n">
        <v>70</v>
      </c>
      <c r="I51" s="17" t="n">
        <v>3</v>
      </c>
      <c r="J51" s="17" t="n">
        <v>1</v>
      </c>
      <c r="K51" s="17" t="inlineStr">
        <is>
          <t>Sedang</t>
        </is>
      </c>
    </row>
    <row r="52" s="1">
      <c r="A52" s="17">
        <f>RANDBETWEEN(2,164)</f>
        <v/>
      </c>
      <c r="B52" s="17">
        <f t="array" ref="B52">INDEX(Data_DBD!$C:$C,$A52)</f>
        <v/>
      </c>
      <c r="C52" s="17">
        <f t="array" ref="C52">INDEX(Data_DBD!$E:$E,$A52)</f>
        <v/>
      </c>
      <c r="D52" s="17">
        <f t="array" ref="D52">INDEX(Data_DBD!$F:$F,$A52)</f>
        <v/>
      </c>
      <c r="H52" s="17" t="n">
        <v>110</v>
      </c>
      <c r="I52" s="17" t="n">
        <v>2</v>
      </c>
      <c r="J52" s="17" t="n">
        <v>1</v>
      </c>
      <c r="K52" s="17" t="inlineStr">
        <is>
          <t>Tinggi</t>
        </is>
      </c>
    </row>
    <row r="53" s="1">
      <c r="A53" s="17">
        <f>RANDBETWEEN(2,164)</f>
        <v/>
      </c>
      <c r="B53" s="17">
        <f t="array" ref="B53">INDEX(Data_DBD!$C:$C,$A53)</f>
        <v/>
      </c>
      <c r="C53" s="17">
        <f t="array" ref="C53">INDEX(Data_DBD!$E:$E,$A53)</f>
        <v/>
      </c>
      <c r="D53" s="17">
        <f t="array" ref="D53">INDEX(Data_DBD!$F:$F,$A53)</f>
        <v/>
      </c>
      <c r="H53" s="17" t="n">
        <v>98</v>
      </c>
      <c r="I53" s="17" t="n">
        <v>2</v>
      </c>
      <c r="J53" s="17" t="n">
        <v>1</v>
      </c>
      <c r="K53" s="17" t="inlineStr">
        <is>
          <t>Tinggi</t>
        </is>
      </c>
    </row>
    <row r="54" s="1">
      <c r="A54" s="17">
        <f>RANDBETWEEN(2,164)</f>
        <v/>
      </c>
      <c r="B54" s="17">
        <f t="array" ref="B54">INDEX(Data_DBD!$C:$C,$A54)</f>
        <v/>
      </c>
      <c r="C54" s="17">
        <f t="array" ref="C54">INDEX(Data_DBD!$E:$E,$A54)</f>
        <v/>
      </c>
      <c r="D54" s="17">
        <f t="array" ref="D54">INDEX(Data_DBD!$F:$F,$A54)</f>
        <v/>
      </c>
      <c r="H54" s="17" t="n">
        <v>6</v>
      </c>
      <c r="I54" s="17" t="n">
        <v>4</v>
      </c>
      <c r="J54" s="17" t="n">
        <v>0</v>
      </c>
      <c r="K54" s="17" t="inlineStr">
        <is>
          <t>Sedang</t>
        </is>
      </c>
    </row>
    <row r="55" s="1">
      <c r="A55" s="17">
        <f>RANDBETWEEN(2,164)</f>
        <v/>
      </c>
      <c r="B55" s="17">
        <f t="array" ref="B55">INDEX(Data_DBD!$C:$C,$A55)</f>
        <v/>
      </c>
      <c r="C55" s="17">
        <f t="array" ref="C55">INDEX(Data_DBD!$E:$E,$A55)</f>
        <v/>
      </c>
      <c r="D55" s="17">
        <f t="array" ref="D55">INDEX(Data_DBD!$F:$F,$A55)</f>
        <v/>
      </c>
      <c r="H55" s="17" t="n">
        <v>155</v>
      </c>
      <c r="I55" s="17" t="n">
        <v>5</v>
      </c>
      <c r="J55" s="17" t="n">
        <v>1</v>
      </c>
      <c r="K55" s="17" t="inlineStr">
        <is>
          <t>Tinggi</t>
        </is>
      </c>
    </row>
    <row r="56" s="1">
      <c r="A56" s="17">
        <f>RANDBETWEEN(2,164)</f>
        <v/>
      </c>
      <c r="B56" s="17">
        <f t="array" ref="B56">INDEX(Data_DBD!$C:$C,$A56)</f>
        <v/>
      </c>
      <c r="C56" s="17">
        <f t="array" ref="C56">INDEX(Data_DBD!$E:$E,$A56)</f>
        <v/>
      </c>
      <c r="D56" s="17">
        <f t="array" ref="D56">INDEX(Data_DBD!$F:$F,$A56)</f>
        <v/>
      </c>
      <c r="H56" s="17" t="n">
        <v>148</v>
      </c>
      <c r="I56" s="17" t="n">
        <v>3</v>
      </c>
      <c r="J56" s="17" t="n">
        <v>1</v>
      </c>
      <c r="K56" s="17" t="inlineStr">
        <is>
          <t>Tinggi</t>
        </is>
      </c>
    </row>
    <row r="57" s="1">
      <c r="A57" s="17">
        <f>RANDBETWEEN(2,164)</f>
        <v/>
      </c>
      <c r="B57" s="17">
        <f t="array" ref="B57">INDEX(Data_DBD!$C:$C,$A57)</f>
        <v/>
      </c>
      <c r="C57" s="17">
        <f t="array" ref="C57">INDEX(Data_DBD!$E:$E,$A57)</f>
        <v/>
      </c>
      <c r="D57" s="17">
        <f t="array" ref="D57">INDEX(Data_DBD!$F:$F,$A57)</f>
        <v/>
      </c>
      <c r="H57" s="17" t="n">
        <v>98</v>
      </c>
      <c r="I57" s="17" t="n">
        <v>2</v>
      </c>
      <c r="J57" s="17" t="n">
        <v>1</v>
      </c>
      <c r="K57" s="17" t="inlineStr">
        <is>
          <t>Tinggi</t>
        </is>
      </c>
    </row>
    <row r="58" s="1">
      <c r="A58" s="17">
        <f>RANDBETWEEN(2,164)</f>
        <v/>
      </c>
      <c r="B58" s="17">
        <f t="array" ref="B58">INDEX(Data_DBD!$C:$C,$A58)</f>
        <v/>
      </c>
      <c r="C58" s="17">
        <f t="array" ref="C58">INDEX(Data_DBD!$E:$E,$A58)</f>
        <v/>
      </c>
      <c r="D58" s="17">
        <f t="array" ref="D58">INDEX(Data_DBD!$F:$F,$A58)</f>
        <v/>
      </c>
      <c r="H58" s="17" t="n">
        <v>129</v>
      </c>
      <c r="I58" s="17" t="n">
        <v>3</v>
      </c>
      <c r="J58" s="17" t="n">
        <v>0</v>
      </c>
      <c r="K58" s="17" t="inlineStr">
        <is>
          <t>Tinggi</t>
        </is>
      </c>
    </row>
    <row r="59" s="1">
      <c r="A59" s="17">
        <f>RANDBETWEEN(2,164)</f>
        <v/>
      </c>
      <c r="B59" s="17">
        <f t="array" ref="B59">INDEX(Data_DBD!$C:$C,$A59)</f>
        <v/>
      </c>
      <c r="C59" s="17">
        <f t="array" ref="C59">INDEX(Data_DBD!$E:$E,$A59)</f>
        <v/>
      </c>
      <c r="D59" s="17">
        <f t="array" ref="D59">INDEX(Data_DBD!$F:$F,$A59)</f>
        <v/>
      </c>
      <c r="H59" s="17" t="n">
        <v>144</v>
      </c>
      <c r="I59" s="17" t="n">
        <v>4</v>
      </c>
      <c r="J59" s="17" t="n">
        <v>1</v>
      </c>
      <c r="K59" s="17" t="inlineStr">
        <is>
          <t>Tinggi</t>
        </is>
      </c>
    </row>
    <row r="60" s="1">
      <c r="A60" s="17">
        <f>RANDBETWEEN(2,164)</f>
        <v/>
      </c>
      <c r="B60" s="17">
        <f t="array" ref="B60">INDEX(Data_DBD!$C:$C,$A60)</f>
        <v/>
      </c>
      <c r="C60" s="17">
        <f t="array" ref="C60">INDEX(Data_DBD!$E:$E,$A60)</f>
        <v/>
      </c>
      <c r="D60" s="17">
        <f t="array" ref="D60">INDEX(Data_DBD!$F:$F,$A60)</f>
        <v/>
      </c>
      <c r="H60" s="17" t="n">
        <v>57</v>
      </c>
      <c r="I60" s="17" t="n">
        <v>2</v>
      </c>
      <c r="J60" s="17" t="n">
        <v>1</v>
      </c>
      <c r="K60" s="17" t="inlineStr">
        <is>
          <t>Sedang</t>
        </is>
      </c>
    </row>
    <row r="61" s="1">
      <c r="A61" s="17">
        <f>RANDBETWEEN(2,164)</f>
        <v/>
      </c>
      <c r="B61" s="17">
        <f t="array" ref="B61">INDEX(Data_DBD!$C:$C,$A61)</f>
        <v/>
      </c>
      <c r="C61" s="17">
        <f t="array" ref="C61">INDEX(Data_DBD!$E:$E,$A61)</f>
        <v/>
      </c>
      <c r="D61" s="17">
        <f t="array" ref="D61">INDEX(Data_DBD!$F:$F,$A61)</f>
        <v/>
      </c>
      <c r="H61" s="17" t="n">
        <v>55</v>
      </c>
      <c r="I61" s="17" t="n">
        <v>4</v>
      </c>
      <c r="J61" s="17" t="n">
        <v>1</v>
      </c>
      <c r="K61" s="17" t="inlineStr">
        <is>
          <t>Sedang</t>
        </is>
      </c>
    </row>
    <row r="62" s="1">
      <c r="A62" s="17">
        <f>RANDBETWEEN(2,164)</f>
        <v/>
      </c>
      <c r="B62" s="17">
        <f t="array" ref="B62">INDEX(Data_DBD!$C:$C,$A62)</f>
        <v/>
      </c>
      <c r="C62" s="17">
        <f t="array" ref="C62">INDEX(Data_DBD!$E:$E,$A62)</f>
        <v/>
      </c>
      <c r="D62" s="17">
        <f t="array" ref="D62">INDEX(Data_DBD!$F:$F,$A62)</f>
        <v/>
      </c>
      <c r="H62" s="17" t="n">
        <v>68</v>
      </c>
      <c r="I62" s="17" t="n">
        <v>5</v>
      </c>
      <c r="J62" s="17" t="n">
        <v>0</v>
      </c>
      <c r="K62" s="17" t="inlineStr">
        <is>
          <t>Sedang</t>
        </is>
      </c>
    </row>
    <row r="63" s="1">
      <c r="A63" s="17">
        <f>RANDBETWEEN(2,164)</f>
        <v/>
      </c>
      <c r="B63" s="17">
        <f t="array" ref="B63">INDEX(Data_DBD!$C:$C,$A63)</f>
        <v/>
      </c>
      <c r="C63" s="17">
        <f t="array" ref="C63">INDEX(Data_DBD!$E:$E,$A63)</f>
        <v/>
      </c>
      <c r="D63" s="17">
        <f t="array" ref="D63">INDEX(Data_DBD!$F:$F,$A63)</f>
        <v/>
      </c>
      <c r="H63" s="17" t="n">
        <v>161</v>
      </c>
      <c r="I63" s="17" t="n">
        <v>3</v>
      </c>
      <c r="J63" s="17" t="n">
        <v>1</v>
      </c>
      <c r="K63" s="17" t="inlineStr">
        <is>
          <t>Tinggi</t>
        </is>
      </c>
    </row>
    <row r="64" s="1">
      <c r="A64" s="17">
        <f>RANDBETWEEN(2,164)</f>
        <v/>
      </c>
      <c r="B64" s="17">
        <f t="array" ref="B64">INDEX(Data_DBD!$C:$C,$A64)</f>
        <v/>
      </c>
      <c r="C64" s="17">
        <f t="array" ref="C64">INDEX(Data_DBD!$E:$E,$A64)</f>
        <v/>
      </c>
      <c r="D64" s="17">
        <f t="array" ref="D64">INDEX(Data_DBD!$F:$F,$A64)</f>
        <v/>
      </c>
      <c r="H64" s="17" t="n">
        <v>16</v>
      </c>
      <c r="I64" s="17" t="n">
        <v>5</v>
      </c>
      <c r="J64" s="17" t="n">
        <v>1</v>
      </c>
      <c r="K64" s="17" t="inlineStr">
        <is>
          <t>Rendah</t>
        </is>
      </c>
    </row>
    <row r="65" s="1">
      <c r="A65" s="17">
        <f>RANDBETWEEN(2,164)</f>
        <v/>
      </c>
      <c r="B65" s="17">
        <f t="array" ref="B65">INDEX(Data_DBD!$C:$C,$A65)</f>
        <v/>
      </c>
      <c r="C65" s="17">
        <f t="array" ref="C65">INDEX(Data_DBD!$E:$E,$A65)</f>
        <v/>
      </c>
      <c r="D65" s="17">
        <f t="array" ref="D65">INDEX(Data_DBD!$F:$F,$A65)</f>
        <v/>
      </c>
      <c r="H65" s="17" t="n">
        <v>94</v>
      </c>
      <c r="I65" s="17" t="n">
        <v>4</v>
      </c>
      <c r="J65" s="17" t="n">
        <v>0</v>
      </c>
      <c r="K65" s="17" t="inlineStr">
        <is>
          <t>Tinggi</t>
        </is>
      </c>
    </row>
    <row r="66" s="1">
      <c r="A66" s="17">
        <f>RANDBETWEEN(2,164)</f>
        <v/>
      </c>
      <c r="B66" s="17">
        <f t="array" ref="B66">INDEX(Data_DBD!$C:$C,$A66)</f>
        <v/>
      </c>
      <c r="C66" s="17">
        <f t="array" ref="C66">INDEX(Data_DBD!$E:$E,$A66)</f>
        <v/>
      </c>
      <c r="D66" s="17">
        <f t="array" ref="D66">INDEX(Data_DBD!$F:$F,$A66)</f>
        <v/>
      </c>
      <c r="H66" s="17" t="n">
        <v>69</v>
      </c>
      <c r="I66" s="17" t="n">
        <v>4</v>
      </c>
      <c r="J66" s="17" t="n">
        <v>1</v>
      </c>
      <c r="K66" s="17" t="inlineStr">
        <is>
          <t>Sedang</t>
        </is>
      </c>
    </row>
    <row r="67" s="1">
      <c r="A67" s="17">
        <f>RANDBETWEEN(2,164)</f>
        <v/>
      </c>
      <c r="B67" s="17">
        <f t="array" ref="B67">INDEX(Data_DBD!$C:$C,$A67)</f>
        <v/>
      </c>
      <c r="C67" s="17">
        <f t="array" ref="C67">INDEX(Data_DBD!$E:$E,$A67)</f>
        <v/>
      </c>
      <c r="D67" s="17">
        <f t="array" ref="D67">INDEX(Data_DBD!$F:$F,$A67)</f>
        <v/>
      </c>
      <c r="H67" s="17" t="n">
        <v>68</v>
      </c>
      <c r="I67" s="17" t="n">
        <v>5</v>
      </c>
      <c r="J67" s="17" t="n">
        <v>0</v>
      </c>
      <c r="K67" s="17" t="inlineStr">
        <is>
          <t>Sedang</t>
        </is>
      </c>
    </row>
    <row r="68" s="1">
      <c r="A68" s="17">
        <f>RANDBETWEEN(2,164)</f>
        <v/>
      </c>
      <c r="B68" s="17">
        <f t="array" ref="B68">INDEX(Data_DBD!$C:$C,$A68)</f>
        <v/>
      </c>
      <c r="C68" s="17">
        <f t="array" ref="C68">INDEX(Data_DBD!$E:$E,$A68)</f>
        <v/>
      </c>
      <c r="D68" s="17">
        <f t="array" ref="D68">INDEX(Data_DBD!$F:$F,$A68)</f>
        <v/>
      </c>
      <c r="H68" s="17" t="n">
        <v>160</v>
      </c>
      <c r="I68" s="17" t="n">
        <v>3</v>
      </c>
      <c r="J68" s="17" t="n">
        <v>0</v>
      </c>
      <c r="K68" s="17" t="inlineStr">
        <is>
          <t>Tinggi</t>
        </is>
      </c>
    </row>
    <row r="69" s="1">
      <c r="A69" s="17">
        <f>RANDBETWEEN(2,164)</f>
        <v/>
      </c>
      <c r="B69" s="17">
        <f t="array" ref="B69">INDEX(Data_DBD!$C:$C,$A69)</f>
        <v/>
      </c>
      <c r="C69" s="17">
        <f t="array" ref="C69">INDEX(Data_DBD!$E:$E,$A69)</f>
        <v/>
      </c>
      <c r="D69" s="17">
        <f t="array" ref="D69">INDEX(Data_DBD!$F:$F,$A69)</f>
        <v/>
      </c>
      <c r="H69" s="17" t="n">
        <v>57</v>
      </c>
      <c r="I69" s="17" t="n">
        <v>2</v>
      </c>
      <c r="J69" s="17" t="n">
        <v>1</v>
      </c>
      <c r="K69" s="17" t="inlineStr">
        <is>
          <t>Sedang</t>
        </is>
      </c>
    </row>
    <row r="70" s="1">
      <c r="A70" s="17">
        <f>RANDBETWEEN(2,164)</f>
        <v/>
      </c>
      <c r="B70" s="17">
        <f t="array" ref="B70">INDEX(Data_DBD!$C:$C,$A70)</f>
        <v/>
      </c>
      <c r="C70" s="17">
        <f t="array" ref="C70">INDEX(Data_DBD!$E:$E,$A70)</f>
        <v/>
      </c>
      <c r="D70" s="17">
        <f t="array" ref="D70">INDEX(Data_DBD!$F:$F,$A70)</f>
        <v/>
      </c>
      <c r="H70" s="17" t="n">
        <v>15</v>
      </c>
      <c r="I70" s="17" t="n">
        <v>2</v>
      </c>
      <c r="J70" s="17" t="n">
        <v>0</v>
      </c>
      <c r="K70" s="17" t="inlineStr">
        <is>
          <t>Rendah</t>
        </is>
      </c>
    </row>
    <row r="71" s="1">
      <c r="A71" s="17">
        <f>RANDBETWEEN(2,164)</f>
        <v/>
      </c>
      <c r="B71" s="17">
        <f t="array" ref="B71">INDEX(Data_DBD!$C:$C,$A71)</f>
        <v/>
      </c>
      <c r="C71" s="17">
        <f t="array" ref="C71">INDEX(Data_DBD!$E:$E,$A71)</f>
        <v/>
      </c>
      <c r="D71" s="17">
        <f t="array" ref="D71">INDEX(Data_DBD!$F:$F,$A71)</f>
        <v/>
      </c>
      <c r="H71" s="17" t="n">
        <v>62</v>
      </c>
      <c r="I71" s="17" t="n">
        <v>4</v>
      </c>
      <c r="J71" s="17" t="n">
        <v>1</v>
      </c>
      <c r="K71" s="17" t="inlineStr">
        <is>
          <t>Sedang</t>
        </is>
      </c>
    </row>
    <row r="72" s="1">
      <c r="A72" s="17">
        <f>RANDBETWEEN(2,164)</f>
        <v/>
      </c>
      <c r="B72" s="17">
        <f t="array" ref="B72">INDEX(Data_DBD!$C:$C,$A72)</f>
        <v/>
      </c>
      <c r="C72" s="17">
        <f t="array" ref="C72">INDEX(Data_DBD!$E:$E,$A72)</f>
        <v/>
      </c>
      <c r="D72" s="17">
        <f t="array" ref="D72">INDEX(Data_DBD!$F:$F,$A72)</f>
        <v/>
      </c>
      <c r="H72" s="17" t="n">
        <v>13</v>
      </c>
      <c r="I72" s="17" t="n">
        <v>2</v>
      </c>
      <c r="J72" s="17" t="n">
        <v>0</v>
      </c>
      <c r="K72" s="17" t="inlineStr">
        <is>
          <t>Sedang</t>
        </is>
      </c>
    </row>
    <row r="73" s="1">
      <c r="A73" s="17">
        <f>RANDBETWEEN(2,164)</f>
        <v/>
      </c>
      <c r="B73" s="17">
        <f t="array" ref="B73">INDEX(Data_DBD!$C:$C,$A73)</f>
        <v/>
      </c>
      <c r="C73" s="17">
        <f t="array" ref="C73">INDEX(Data_DBD!$E:$E,$A73)</f>
        <v/>
      </c>
      <c r="D73" s="17">
        <f t="array" ref="D73">INDEX(Data_DBD!$F:$F,$A73)</f>
        <v/>
      </c>
      <c r="H73" s="17" t="n">
        <v>151</v>
      </c>
      <c r="I73" s="17" t="n">
        <v>3</v>
      </c>
      <c r="J73" s="17" t="n">
        <v>0</v>
      </c>
      <c r="K73" s="17" t="inlineStr">
        <is>
          <t>Tinggi</t>
        </is>
      </c>
    </row>
    <row r="74" s="1">
      <c r="A74" s="17">
        <f>RANDBETWEEN(2,164)</f>
        <v/>
      </c>
      <c r="B74" s="17">
        <f t="array" ref="B74">INDEX(Data_DBD!$C:$C,$A74)</f>
        <v/>
      </c>
      <c r="C74" s="17">
        <f t="array" ref="C74">INDEX(Data_DBD!$E:$E,$A74)</f>
        <v/>
      </c>
      <c r="D74" s="17">
        <f t="array" ref="D74">INDEX(Data_DBD!$F:$F,$A74)</f>
        <v/>
      </c>
      <c r="H74" s="17" t="n">
        <v>114</v>
      </c>
      <c r="I74" s="17" t="n">
        <v>2</v>
      </c>
      <c r="J74" s="17" t="n">
        <v>1</v>
      </c>
      <c r="K74" s="17" t="inlineStr">
        <is>
          <t>Tinggi</t>
        </is>
      </c>
    </row>
    <row r="75" s="1">
      <c r="A75" s="17">
        <f>RANDBETWEEN(2,164)</f>
        <v/>
      </c>
      <c r="B75" s="17">
        <f t="array" ref="B75">INDEX(Data_DBD!$C:$C,$A75)</f>
        <v/>
      </c>
      <c r="C75" s="17">
        <f t="array" ref="C75">INDEX(Data_DBD!$E:$E,$A75)</f>
        <v/>
      </c>
      <c r="D75" s="17">
        <f t="array" ref="D75">INDEX(Data_DBD!$F:$F,$A75)</f>
        <v/>
      </c>
      <c r="H75" s="17" t="n">
        <v>5</v>
      </c>
      <c r="I75" s="17" t="n">
        <v>2</v>
      </c>
      <c r="J75" s="17" t="n">
        <v>1</v>
      </c>
      <c r="K75" s="17" t="inlineStr">
        <is>
          <t>Sedang</t>
        </is>
      </c>
    </row>
    <row r="76" s="1">
      <c r="A76" s="17">
        <f>RANDBETWEEN(2,164)</f>
        <v/>
      </c>
      <c r="B76" s="17">
        <f t="array" ref="B76">INDEX(Data_DBD!$C:$C,$A76)</f>
        <v/>
      </c>
      <c r="C76" s="17">
        <f t="array" ref="C76">INDEX(Data_DBD!$E:$E,$A76)</f>
        <v/>
      </c>
      <c r="D76" s="17">
        <f t="array" ref="D76">INDEX(Data_DBD!$F:$F,$A76)</f>
        <v/>
      </c>
      <c r="H76" s="17" t="n">
        <v>36</v>
      </c>
      <c r="I76" s="17" t="n">
        <v>1</v>
      </c>
      <c r="J76" s="17" t="n">
        <v>1</v>
      </c>
      <c r="K76" s="17" t="inlineStr">
        <is>
          <t>Rendah</t>
        </is>
      </c>
    </row>
    <row r="77" s="1">
      <c r="A77" s="17">
        <f>RANDBETWEEN(2,164)</f>
        <v/>
      </c>
      <c r="B77" s="17">
        <f t="array" ref="B77">INDEX(Data_DBD!$C:$C,$A77)</f>
        <v/>
      </c>
      <c r="C77" s="17">
        <f t="array" ref="C77">INDEX(Data_DBD!$E:$E,$A77)</f>
        <v/>
      </c>
      <c r="D77" s="17">
        <f t="array" ref="D77">INDEX(Data_DBD!$F:$F,$A77)</f>
        <v/>
      </c>
      <c r="H77" s="17" t="n">
        <v>44</v>
      </c>
      <c r="I77" s="17" t="n">
        <v>5</v>
      </c>
      <c r="J77" s="17" t="n">
        <v>1</v>
      </c>
      <c r="K77" s="17" t="inlineStr">
        <is>
          <t>Sedang</t>
        </is>
      </c>
    </row>
    <row r="78" s="1">
      <c r="A78" s="17">
        <f>RANDBETWEEN(2,164)</f>
        <v/>
      </c>
      <c r="B78" s="17">
        <f t="array" ref="B78">INDEX(Data_DBD!$C:$C,$A78)</f>
        <v/>
      </c>
      <c r="C78" s="17">
        <f t="array" ref="C78">INDEX(Data_DBD!$E:$E,$A78)</f>
        <v/>
      </c>
      <c r="D78" s="17">
        <f t="array" ref="D78">INDEX(Data_DBD!$F:$F,$A78)</f>
        <v/>
      </c>
      <c r="H78" s="17" t="n">
        <v>45</v>
      </c>
      <c r="I78" s="17" t="n">
        <v>3</v>
      </c>
      <c r="J78" s="17" t="n">
        <v>1</v>
      </c>
      <c r="K78" s="17" t="inlineStr">
        <is>
          <t>Sedang</t>
        </is>
      </c>
    </row>
    <row r="79" s="1">
      <c r="A79" s="17">
        <f>RANDBETWEEN(2,164)</f>
        <v/>
      </c>
      <c r="B79" s="17">
        <f t="array" ref="B79">INDEX(Data_DBD!$C:$C,$A79)</f>
        <v/>
      </c>
      <c r="C79" s="17">
        <f t="array" ref="C79">INDEX(Data_DBD!$E:$E,$A79)</f>
        <v/>
      </c>
      <c r="D79" s="17">
        <f t="array" ref="D79">INDEX(Data_DBD!$F:$F,$A79)</f>
        <v/>
      </c>
      <c r="H79" s="17" t="n">
        <v>121</v>
      </c>
      <c r="I79" s="17" t="n">
        <v>5</v>
      </c>
      <c r="J79" s="17" t="n">
        <v>1</v>
      </c>
      <c r="K79" s="17" t="inlineStr">
        <is>
          <t>Tinggi</t>
        </is>
      </c>
    </row>
    <row r="80" s="1">
      <c r="A80" s="17">
        <f>RANDBETWEEN(2,164)</f>
        <v/>
      </c>
      <c r="B80" s="17">
        <f t="array" ref="B80">INDEX(Data_DBD!$C:$C,$A80)</f>
        <v/>
      </c>
      <c r="C80" s="17">
        <f t="array" ref="C80">INDEX(Data_DBD!$E:$E,$A80)</f>
        <v/>
      </c>
      <c r="D80" s="17">
        <f t="array" ref="D80">INDEX(Data_DBD!$F:$F,$A80)</f>
        <v/>
      </c>
      <c r="H80" s="17" t="n">
        <v>52</v>
      </c>
      <c r="I80" s="17" t="n">
        <v>4</v>
      </c>
      <c r="J80" s="17" t="n">
        <v>1</v>
      </c>
      <c r="K80" s="17" t="inlineStr">
        <is>
          <t>Sedang</t>
        </is>
      </c>
    </row>
    <row r="81" s="1">
      <c r="A81" s="17">
        <f>RANDBETWEEN(2,164)</f>
        <v/>
      </c>
      <c r="B81" s="17">
        <f t="array" ref="B81">INDEX(Data_DBD!$C:$C,$A81)</f>
        <v/>
      </c>
      <c r="C81" s="17">
        <f t="array" ref="C81">INDEX(Data_DBD!$E:$E,$A81)</f>
        <v/>
      </c>
      <c r="D81" s="17">
        <f t="array" ref="D81">INDEX(Data_DBD!$F:$F,$A81)</f>
        <v/>
      </c>
      <c r="H81" s="17" t="n">
        <v>123</v>
      </c>
      <c r="I81" s="17" t="n">
        <v>4</v>
      </c>
      <c r="J81" s="17" t="n">
        <v>0</v>
      </c>
      <c r="K81" s="17" t="inlineStr">
        <is>
          <t>Tinggi</t>
        </is>
      </c>
    </row>
    <row r="82" s="1">
      <c r="A82" s="17">
        <f>RANDBETWEEN(2,164)</f>
        <v/>
      </c>
      <c r="B82" s="17">
        <f t="array" ref="B82">INDEX(Data_DBD!$C:$C,$A82)</f>
        <v/>
      </c>
      <c r="C82" s="17">
        <f t="array" ref="C82">INDEX(Data_DBD!$E:$E,$A82)</f>
        <v/>
      </c>
      <c r="D82" s="17">
        <f t="array" ref="D82">INDEX(Data_DBD!$F:$F,$A82)</f>
        <v/>
      </c>
      <c r="H82" s="17" t="n">
        <v>112</v>
      </c>
      <c r="I82" s="17" t="n">
        <v>3</v>
      </c>
      <c r="J82" s="17" t="n">
        <v>1</v>
      </c>
      <c r="K82" s="17" t="inlineStr">
        <is>
          <t>Tinggi</t>
        </is>
      </c>
    </row>
    <row r="83" s="1">
      <c r="A83" s="17">
        <f>RANDBETWEEN(2,164)</f>
        <v/>
      </c>
      <c r="B83" s="17">
        <f t="array" ref="B83">INDEX(Data_DBD!$C:$C,$A83)</f>
        <v/>
      </c>
      <c r="C83" s="17">
        <f t="array" ref="C83">INDEX(Data_DBD!$E:$E,$A83)</f>
        <v/>
      </c>
      <c r="D83" s="17">
        <f t="array" ref="D83">INDEX(Data_DBD!$F:$F,$A83)</f>
        <v/>
      </c>
      <c r="H83" s="17" t="n">
        <v>11</v>
      </c>
      <c r="I83" s="17" t="n">
        <v>5</v>
      </c>
      <c r="J83" s="17" t="n">
        <v>1</v>
      </c>
      <c r="K83" s="17" t="inlineStr">
        <is>
          <t>Sedang</t>
        </is>
      </c>
    </row>
    <row r="84" s="1">
      <c r="A84" s="17">
        <f>RANDBETWEEN(2,164)</f>
        <v/>
      </c>
      <c r="B84" s="17">
        <f t="array" ref="B84">INDEX(Data_DBD!$C:$C,$A84)</f>
        <v/>
      </c>
      <c r="C84" s="17">
        <f t="array" ref="C84">INDEX(Data_DBD!$E:$E,$A84)</f>
        <v/>
      </c>
      <c r="D84" s="17">
        <f t="array" ref="D84">INDEX(Data_DBD!$F:$F,$A84)</f>
        <v/>
      </c>
      <c r="H84" s="17" t="n">
        <v>35</v>
      </c>
      <c r="I84" s="17" t="n">
        <v>3</v>
      </c>
      <c r="J84" s="17" t="n">
        <v>1</v>
      </c>
      <c r="K84" s="17" t="inlineStr">
        <is>
          <t>Rendah</t>
        </is>
      </c>
    </row>
    <row r="85" s="1">
      <c r="A85" s="17">
        <f>RANDBETWEEN(2,164)</f>
        <v/>
      </c>
      <c r="B85" s="17">
        <f t="array" ref="B85">INDEX(Data_DBD!$C:$C,$A85)</f>
        <v/>
      </c>
      <c r="C85" s="17">
        <f t="array" ref="C85">INDEX(Data_DBD!$E:$E,$A85)</f>
        <v/>
      </c>
      <c r="D85" s="17">
        <f t="array" ref="D85">INDEX(Data_DBD!$F:$F,$A85)</f>
        <v/>
      </c>
      <c r="H85" s="17" t="n">
        <v>48</v>
      </c>
      <c r="I85" s="17" t="n">
        <v>5</v>
      </c>
      <c r="J85" s="17" t="n">
        <v>1</v>
      </c>
      <c r="K85" s="17" t="inlineStr">
        <is>
          <t>Sedang</t>
        </is>
      </c>
    </row>
    <row r="86" s="1">
      <c r="A86" s="17">
        <f>RANDBETWEEN(2,164)</f>
        <v/>
      </c>
      <c r="B86" s="17">
        <f t="array" ref="B86">INDEX(Data_DBD!$C:$C,$A86)</f>
        <v/>
      </c>
      <c r="C86" s="17">
        <f t="array" ref="C86">INDEX(Data_DBD!$E:$E,$A86)</f>
        <v/>
      </c>
      <c r="D86" s="17">
        <f t="array" ref="D86">INDEX(Data_DBD!$F:$F,$A86)</f>
        <v/>
      </c>
      <c r="H86" s="17" t="n">
        <v>159</v>
      </c>
      <c r="I86" s="17" t="n">
        <v>2</v>
      </c>
      <c r="J86" s="17" t="n">
        <v>0</v>
      </c>
      <c r="K86" s="17" t="inlineStr">
        <is>
          <t>Tinggi</t>
        </is>
      </c>
    </row>
    <row r="87" s="1">
      <c r="A87" s="17">
        <f>RANDBETWEEN(2,164)</f>
        <v/>
      </c>
      <c r="B87" s="17">
        <f t="array" ref="B87">INDEX(Data_DBD!$C:$C,$A87)</f>
        <v/>
      </c>
      <c r="C87" s="17">
        <f t="array" ref="C87">INDEX(Data_DBD!$E:$E,$A87)</f>
        <v/>
      </c>
      <c r="D87" s="17">
        <f t="array" ref="D87">INDEX(Data_DBD!$F:$F,$A87)</f>
        <v/>
      </c>
      <c r="H87" s="17" t="n">
        <v>155</v>
      </c>
      <c r="I87" s="17" t="n">
        <v>5</v>
      </c>
      <c r="J87" s="17" t="n">
        <v>1</v>
      </c>
      <c r="K87" s="17" t="inlineStr">
        <is>
          <t>Tinggi</t>
        </is>
      </c>
    </row>
    <row r="88" s="1">
      <c r="A88" s="17">
        <f>RANDBETWEEN(2,164)</f>
        <v/>
      </c>
      <c r="B88" s="17">
        <f t="array" ref="B88">INDEX(Data_DBD!$C:$C,$A88)</f>
        <v/>
      </c>
      <c r="C88" s="17">
        <f t="array" ref="C88">INDEX(Data_DBD!$E:$E,$A88)</f>
        <v/>
      </c>
      <c r="D88" s="17">
        <f t="array" ref="D88">INDEX(Data_DBD!$F:$F,$A88)</f>
        <v/>
      </c>
      <c r="H88" s="17" t="n">
        <v>58</v>
      </c>
      <c r="I88" s="17" t="n">
        <v>3</v>
      </c>
      <c r="J88" s="17" t="n">
        <v>0</v>
      </c>
      <c r="K88" s="17" t="inlineStr">
        <is>
          <t>Sedang</t>
        </is>
      </c>
    </row>
    <row r="89" s="1">
      <c r="A89" s="17">
        <f>RANDBETWEEN(2,164)</f>
        <v/>
      </c>
      <c r="B89" s="17">
        <f t="array" ref="B89">INDEX(Data_DBD!$C:$C,$A89)</f>
        <v/>
      </c>
      <c r="C89" s="17">
        <f t="array" ref="C89">INDEX(Data_DBD!$E:$E,$A89)</f>
        <v/>
      </c>
      <c r="D89" s="17">
        <f t="array" ref="D89">INDEX(Data_DBD!$F:$F,$A89)</f>
        <v/>
      </c>
      <c r="H89" s="17" t="n">
        <v>102</v>
      </c>
      <c r="I89" s="17" t="n">
        <v>4</v>
      </c>
      <c r="J89" s="17" t="n">
        <v>0</v>
      </c>
      <c r="K89" s="17" t="inlineStr">
        <is>
          <t>Tinggi</t>
        </is>
      </c>
    </row>
    <row r="90" s="1">
      <c r="A90" s="17">
        <f>RANDBETWEEN(2,164)</f>
        <v/>
      </c>
      <c r="B90" s="17">
        <f t="array" ref="B90">INDEX(Data_DBD!$C:$C,$A90)</f>
        <v/>
      </c>
      <c r="C90" s="17">
        <f t="array" ref="C90">INDEX(Data_DBD!$E:$E,$A90)</f>
        <v/>
      </c>
      <c r="D90" s="17">
        <f t="array" ref="D90">INDEX(Data_DBD!$F:$F,$A90)</f>
        <v/>
      </c>
      <c r="H90" s="17" t="n">
        <v>75</v>
      </c>
      <c r="I90" s="17" t="n">
        <v>2</v>
      </c>
      <c r="J90" s="17" t="n">
        <v>1</v>
      </c>
      <c r="K90" s="17" t="inlineStr">
        <is>
          <t>Sedang</t>
        </is>
      </c>
    </row>
    <row r="91" s="1">
      <c r="A91" s="17">
        <f>RANDBETWEEN(2,164)</f>
        <v/>
      </c>
      <c r="B91" s="17">
        <f t="array" ref="B91">INDEX(Data_DBD!$C:$C,$A91)</f>
        <v/>
      </c>
      <c r="C91" s="17">
        <f t="array" ref="C91">INDEX(Data_DBD!$E:$E,$A91)</f>
        <v/>
      </c>
      <c r="D91" s="17">
        <f t="array" ref="D91">INDEX(Data_DBD!$F:$F,$A91)</f>
        <v/>
      </c>
      <c r="H91" s="17" t="n">
        <v>8</v>
      </c>
      <c r="I91" s="17" t="n">
        <v>2</v>
      </c>
      <c r="J91" s="17" t="n">
        <v>0</v>
      </c>
      <c r="K91" s="17" t="inlineStr">
        <is>
          <t>Sedang</t>
        </is>
      </c>
    </row>
    <row r="92" s="1">
      <c r="A92" s="17">
        <f>RANDBETWEEN(2,164)</f>
        <v/>
      </c>
      <c r="B92" s="17">
        <f t="array" ref="B92">INDEX(Data_DBD!$C:$C,$A92)</f>
        <v/>
      </c>
      <c r="C92" s="17">
        <f t="array" ref="C92">INDEX(Data_DBD!$E:$E,$A92)</f>
        <v/>
      </c>
      <c r="D92" s="17">
        <f t="array" ref="D92">INDEX(Data_DBD!$F:$F,$A92)</f>
        <v/>
      </c>
      <c r="H92" s="17" t="n">
        <v>64</v>
      </c>
      <c r="I92" s="17" t="n">
        <v>1</v>
      </c>
      <c r="J92" s="17" t="n">
        <v>0</v>
      </c>
      <c r="K92" s="17" t="inlineStr">
        <is>
          <t>Sedang</t>
        </is>
      </c>
    </row>
    <row r="93" s="1">
      <c r="A93" s="17">
        <f>RANDBETWEEN(2,164)</f>
        <v/>
      </c>
      <c r="B93" s="17">
        <f t="array" ref="B93">INDEX(Data_DBD!$C:$C,$A93)</f>
        <v/>
      </c>
      <c r="C93" s="17">
        <f t="array" ref="C93">INDEX(Data_DBD!$E:$E,$A93)</f>
        <v/>
      </c>
      <c r="D93" s="17">
        <f t="array" ref="D93">INDEX(Data_DBD!$F:$F,$A93)</f>
        <v/>
      </c>
      <c r="H93" s="17" t="n">
        <v>160</v>
      </c>
      <c r="I93" s="17" t="n">
        <v>3</v>
      </c>
      <c r="J93" s="17" t="n">
        <v>0</v>
      </c>
      <c r="K93" s="17" t="inlineStr">
        <is>
          <t>Tinggi</t>
        </is>
      </c>
    </row>
    <row r="94" s="1">
      <c r="A94" s="17">
        <f>RANDBETWEEN(2,164)</f>
        <v/>
      </c>
      <c r="B94" s="17">
        <f t="array" ref="B94">INDEX(Data_DBD!$C:$C,$A94)</f>
        <v/>
      </c>
      <c r="C94" s="17">
        <f t="array" ref="C94">INDEX(Data_DBD!$E:$E,$A94)</f>
        <v/>
      </c>
      <c r="D94" s="17">
        <f t="array" ref="D94">INDEX(Data_DBD!$F:$F,$A94)</f>
        <v/>
      </c>
      <c r="H94" s="17" t="n">
        <v>115</v>
      </c>
      <c r="I94" s="17" t="n">
        <v>3</v>
      </c>
      <c r="J94" s="17" t="n">
        <v>1</v>
      </c>
      <c r="K94" s="17" t="inlineStr">
        <is>
          <t>Tinggi</t>
        </is>
      </c>
    </row>
    <row r="95" s="1">
      <c r="A95" s="17">
        <f>RANDBETWEEN(2,164)</f>
        <v/>
      </c>
      <c r="B95" s="17">
        <f t="array" ref="B95">INDEX(Data_DBD!$C:$C,$A95)</f>
        <v/>
      </c>
      <c r="C95" s="17">
        <f t="array" ref="C95">INDEX(Data_DBD!$E:$E,$A95)</f>
        <v/>
      </c>
      <c r="D95" s="17">
        <f t="array" ref="D95">INDEX(Data_DBD!$F:$F,$A95)</f>
        <v/>
      </c>
      <c r="H95" s="17" t="n">
        <v>88</v>
      </c>
      <c r="I95" s="17" t="n">
        <v>4</v>
      </c>
      <c r="J95" s="17" t="n">
        <v>1</v>
      </c>
      <c r="K95" s="17" t="inlineStr">
        <is>
          <t>Sedang</t>
        </is>
      </c>
    </row>
    <row r="96" s="1">
      <c r="A96" s="17">
        <f>RANDBETWEEN(2,164)</f>
        <v/>
      </c>
      <c r="B96" s="17">
        <f t="array" ref="B96">INDEX(Data_DBD!$C:$C,$A96)</f>
        <v/>
      </c>
      <c r="C96" s="17">
        <f t="array" ref="C96">INDEX(Data_DBD!$E:$E,$A96)</f>
        <v/>
      </c>
      <c r="D96" s="17">
        <f t="array" ref="D96">INDEX(Data_DBD!$F:$F,$A96)</f>
        <v/>
      </c>
      <c r="H96" s="17" t="n">
        <v>126</v>
      </c>
      <c r="I96" s="17" t="n">
        <v>3</v>
      </c>
      <c r="J96" s="17" t="n">
        <v>1</v>
      </c>
      <c r="K96" s="17" t="inlineStr">
        <is>
          <t>Tinggi</t>
        </is>
      </c>
    </row>
    <row r="97" s="1">
      <c r="A97" s="17">
        <f>RANDBETWEEN(2,164)</f>
        <v/>
      </c>
      <c r="B97" s="17">
        <f t="array" ref="B97">INDEX(Data_DBD!$C:$C,$A97)</f>
        <v/>
      </c>
      <c r="C97" s="17">
        <f t="array" ref="C97">INDEX(Data_DBD!$E:$E,$A97)</f>
        <v/>
      </c>
      <c r="D97" s="17">
        <f t="array" ref="D97">INDEX(Data_DBD!$F:$F,$A97)</f>
        <v/>
      </c>
      <c r="H97" s="17" t="n">
        <v>141</v>
      </c>
      <c r="I97" s="17" t="n">
        <v>2</v>
      </c>
      <c r="J97" s="17" t="n">
        <v>0</v>
      </c>
      <c r="K97" s="17" t="inlineStr">
        <is>
          <t>Tinggi</t>
        </is>
      </c>
    </row>
    <row r="98" s="1">
      <c r="A98" s="17">
        <f>RANDBETWEEN(2,164)</f>
        <v/>
      </c>
      <c r="B98" s="17">
        <f t="array" ref="B98">INDEX(Data_DBD!$C:$C,$A98)</f>
        <v/>
      </c>
      <c r="C98" s="17">
        <f t="array" ref="C98">INDEX(Data_DBD!$E:$E,$A98)</f>
        <v/>
      </c>
      <c r="D98" s="17">
        <f t="array" ref="D98">INDEX(Data_DBD!$F:$F,$A98)</f>
        <v/>
      </c>
      <c r="H98" s="17" t="n">
        <v>108</v>
      </c>
      <c r="I98" s="17" t="n">
        <v>7</v>
      </c>
      <c r="J98" s="17" t="n">
        <v>1</v>
      </c>
      <c r="K98" s="17" t="inlineStr">
        <is>
          <t>Tinggi</t>
        </is>
      </c>
    </row>
    <row r="99" s="1">
      <c r="A99" s="17">
        <f>RANDBETWEEN(2,164)</f>
        <v/>
      </c>
      <c r="B99" s="17">
        <f t="array" ref="B99">INDEX(Data_DBD!$C:$C,$A99)</f>
        <v/>
      </c>
      <c r="C99" s="17">
        <f t="array" ref="C99">INDEX(Data_DBD!$E:$E,$A99)</f>
        <v/>
      </c>
      <c r="D99" s="17">
        <f t="array" ref="D99">INDEX(Data_DBD!$F:$F,$A99)</f>
        <v/>
      </c>
      <c r="H99" s="17" t="n">
        <v>14</v>
      </c>
      <c r="I99" s="17" t="n">
        <v>4</v>
      </c>
      <c r="J99" s="17" t="n">
        <v>1</v>
      </c>
      <c r="K99" s="17" t="inlineStr">
        <is>
          <t>Rendah</t>
        </is>
      </c>
    </row>
    <row r="100" s="1">
      <c r="A100" s="17">
        <f>RANDBETWEEN(2,164)</f>
        <v/>
      </c>
      <c r="B100" s="17">
        <f t="array" ref="B100">INDEX(Data_DBD!$C:$C,$A100)</f>
        <v/>
      </c>
      <c r="C100" s="17">
        <f t="array" ref="C100">INDEX(Data_DBD!$E:$E,$A100)</f>
        <v/>
      </c>
      <c r="D100" s="17">
        <f t="array" ref="D100">INDEX(Data_DBD!$F:$F,$A100)</f>
        <v/>
      </c>
      <c r="H100" s="17" t="n">
        <v>93</v>
      </c>
      <c r="I100" s="17" t="n">
        <v>4</v>
      </c>
      <c r="J100" s="17" t="n">
        <v>0</v>
      </c>
      <c r="K100" s="17" t="inlineStr">
        <is>
          <t>Tinggi</t>
        </is>
      </c>
    </row>
    <row r="101" s="1">
      <c r="A101" s="17">
        <f>RANDBETWEEN(2,164)</f>
        <v/>
      </c>
      <c r="B101" s="17">
        <f t="array" ref="B101">INDEX(Data_DBD!$C:$C,$A101)</f>
        <v/>
      </c>
      <c r="C101" s="17">
        <f t="array" ref="C101">INDEX(Data_DBD!$E:$E,$A101)</f>
        <v/>
      </c>
      <c r="D101" s="17">
        <f t="array" ref="D101">INDEX(Data_DBD!$F:$F,$A101)</f>
        <v/>
      </c>
      <c r="H101" s="17" t="n">
        <v>120</v>
      </c>
      <c r="I101" s="17" t="n">
        <v>4</v>
      </c>
      <c r="J101" s="17" t="n">
        <v>1</v>
      </c>
      <c r="K101" s="17" t="inlineStr">
        <is>
          <t>Tinggi</t>
        </is>
      </c>
    </row>
    <row r="102" s="1">
      <c r="A102" s="17">
        <f>RANDBETWEEN(2,164)</f>
        <v/>
      </c>
      <c r="B102" s="17">
        <f t="array" ref="B102">INDEX(Data_DBD!$C:$C,$A102)</f>
        <v/>
      </c>
      <c r="C102" s="17">
        <f t="array" ref="C102">INDEX(Data_DBD!$E:$E,$A102)</f>
        <v/>
      </c>
      <c r="D102" s="17">
        <f t="array" ref="D102">INDEX(Data_DBD!$F:$F,$A102)</f>
        <v/>
      </c>
      <c r="H102" s="17" t="n">
        <v>18</v>
      </c>
      <c r="I102" s="17" t="n">
        <v>4</v>
      </c>
      <c r="J102" s="17" t="n">
        <v>1</v>
      </c>
      <c r="K102" s="17" t="inlineStr">
        <is>
          <t>Rendah</t>
        </is>
      </c>
    </row>
    <row r="103" s="1">
      <c r="A103" s="17">
        <f>RANDBETWEEN(2,164)</f>
        <v/>
      </c>
      <c r="B103" s="17">
        <f t="array" ref="B103">INDEX(Data_DBD!$C:$C,$A103)</f>
        <v/>
      </c>
      <c r="C103" s="17">
        <f t="array" ref="C103">INDEX(Data_DBD!$E:$E,$A103)</f>
        <v/>
      </c>
      <c r="D103" s="17">
        <f t="array" ref="D103">INDEX(Data_DBD!$F:$F,$A103)</f>
        <v/>
      </c>
      <c r="H103" s="17" t="n">
        <v>145</v>
      </c>
      <c r="I103" s="17" t="n">
        <v>4</v>
      </c>
      <c r="J103" s="17" t="n">
        <v>1</v>
      </c>
      <c r="K103" s="17" t="inlineStr">
        <is>
          <t>Tinggi</t>
        </is>
      </c>
    </row>
    <row r="104" s="1">
      <c r="A104" s="17">
        <f>RANDBETWEEN(2,164)</f>
        <v/>
      </c>
      <c r="B104" s="17">
        <f t="array" ref="B104">INDEX(Data_DBD!$C:$C,$A104)</f>
        <v/>
      </c>
      <c r="C104" s="17">
        <f t="array" ref="C104">INDEX(Data_DBD!$E:$E,$A104)</f>
        <v/>
      </c>
      <c r="D104" s="17">
        <f t="array" ref="D104">INDEX(Data_DBD!$F:$F,$A104)</f>
        <v/>
      </c>
      <c r="H104" s="17" t="n">
        <v>58</v>
      </c>
      <c r="I104" s="17" t="n">
        <v>3</v>
      </c>
      <c r="J104" s="17" t="n">
        <v>0</v>
      </c>
      <c r="K104" s="17" t="inlineStr">
        <is>
          <t>Sedang</t>
        </is>
      </c>
    </row>
    <row r="105" s="1">
      <c r="A105" s="17">
        <f>RANDBETWEEN(2,164)</f>
        <v/>
      </c>
      <c r="B105" s="17">
        <f t="array" ref="B105">INDEX(Data_DBD!$C:$C,$A105)</f>
        <v/>
      </c>
      <c r="C105" s="17">
        <f t="array" ref="C105">INDEX(Data_DBD!$E:$E,$A105)</f>
        <v/>
      </c>
      <c r="D105" s="17">
        <f t="array" ref="D105">INDEX(Data_DBD!$F:$F,$A105)</f>
        <v/>
      </c>
      <c r="H105" s="17" t="n">
        <v>73</v>
      </c>
      <c r="I105" s="17" t="n">
        <v>3</v>
      </c>
      <c r="J105" s="17" t="n">
        <v>1</v>
      </c>
      <c r="K105" s="17" t="inlineStr">
        <is>
          <t>Sedang</t>
        </is>
      </c>
    </row>
    <row r="106" s="1">
      <c r="A106" s="17">
        <f>RANDBETWEEN(2,164)</f>
        <v/>
      </c>
      <c r="B106" s="17">
        <f t="array" ref="B106">INDEX(Data_DBD!$C:$C,$A106)</f>
        <v/>
      </c>
      <c r="C106" s="17">
        <f t="array" ref="C106">INDEX(Data_DBD!$E:$E,$A106)</f>
        <v/>
      </c>
      <c r="D106" s="17">
        <f t="array" ref="D106">INDEX(Data_DBD!$F:$F,$A106)</f>
        <v/>
      </c>
      <c r="H106" s="17" t="n">
        <v>114</v>
      </c>
      <c r="I106" s="17" t="n">
        <v>2</v>
      </c>
      <c r="J106" s="17" t="n">
        <v>1</v>
      </c>
      <c r="K106" s="17" t="inlineStr">
        <is>
          <t>Tinggi</t>
        </is>
      </c>
    </row>
    <row r="107" s="1">
      <c r="A107" s="17">
        <f>RANDBETWEEN(2,164)</f>
        <v/>
      </c>
      <c r="B107" s="17">
        <f t="array" ref="B107">INDEX(Data_DBD!$C:$C,$A107)</f>
        <v/>
      </c>
      <c r="C107" s="17">
        <f t="array" ref="C107">INDEX(Data_DBD!$E:$E,$A107)</f>
        <v/>
      </c>
      <c r="D107" s="17">
        <f t="array" ref="D107">INDEX(Data_DBD!$F:$F,$A107)</f>
        <v/>
      </c>
      <c r="H107" s="17" t="n">
        <v>15</v>
      </c>
      <c r="I107" s="17" t="n">
        <v>2</v>
      </c>
      <c r="J107" s="17" t="n">
        <v>0</v>
      </c>
      <c r="K107" s="17" t="inlineStr">
        <is>
          <t>Rendah</t>
        </is>
      </c>
    </row>
    <row r="108" s="1">
      <c r="A108" s="17">
        <f>RANDBETWEEN(2,164)</f>
        <v/>
      </c>
      <c r="B108" s="17">
        <f t="array" ref="B108">INDEX(Data_DBD!$C:$C,$A108)</f>
        <v/>
      </c>
      <c r="C108" s="17">
        <f t="array" ref="C108">INDEX(Data_DBD!$E:$E,$A108)</f>
        <v/>
      </c>
      <c r="D108" s="17">
        <f t="array" ref="D108">INDEX(Data_DBD!$F:$F,$A108)</f>
        <v/>
      </c>
      <c r="H108" s="17" t="n">
        <v>110</v>
      </c>
      <c r="I108" s="17" t="n">
        <v>2</v>
      </c>
      <c r="J108" s="17" t="n">
        <v>1</v>
      </c>
      <c r="K108" s="17" t="inlineStr">
        <is>
          <t>Tinggi</t>
        </is>
      </c>
    </row>
    <row r="109" s="1">
      <c r="A109" s="17">
        <f>RANDBETWEEN(2,164)</f>
        <v/>
      </c>
      <c r="B109" s="17">
        <f t="array" ref="B109">INDEX(Data_DBD!$C:$C,$A109)</f>
        <v/>
      </c>
      <c r="C109" s="17">
        <f t="array" ref="C109">INDEX(Data_DBD!$E:$E,$A109)</f>
        <v/>
      </c>
      <c r="D109" s="17">
        <f t="array" ref="D109">INDEX(Data_DBD!$F:$F,$A109)</f>
        <v/>
      </c>
      <c r="H109" s="17" t="n">
        <v>80</v>
      </c>
      <c r="I109" s="17" t="n">
        <v>3</v>
      </c>
      <c r="J109" s="17" t="n">
        <v>1</v>
      </c>
      <c r="K109" s="17" t="inlineStr">
        <is>
          <t>Sedang</t>
        </is>
      </c>
    </row>
    <row r="110" s="1">
      <c r="A110" s="17">
        <f>RANDBETWEEN(2,164)</f>
        <v/>
      </c>
      <c r="B110" s="17">
        <f t="array" ref="B110">INDEX(Data_DBD!$C:$C,$A110)</f>
        <v/>
      </c>
      <c r="C110" s="17">
        <f t="array" ref="C110">INDEX(Data_DBD!$E:$E,$A110)</f>
        <v/>
      </c>
      <c r="D110" s="17">
        <f t="array" ref="D110">INDEX(Data_DBD!$F:$F,$A110)</f>
        <v/>
      </c>
      <c r="H110" s="17" t="n">
        <v>86</v>
      </c>
      <c r="I110" s="17" t="n">
        <v>3</v>
      </c>
      <c r="J110" s="17" t="n">
        <v>0</v>
      </c>
      <c r="K110" s="17" t="inlineStr">
        <is>
          <t>Sedang</t>
        </is>
      </c>
    </row>
    <row r="111" s="1">
      <c r="A111" s="17">
        <f>RANDBETWEEN(2,164)</f>
        <v/>
      </c>
      <c r="B111" s="17">
        <f t="array" ref="B111">INDEX(Data_DBD!$C:$C,$A111)</f>
        <v/>
      </c>
      <c r="C111" s="17">
        <f t="array" ref="C111">INDEX(Data_DBD!$E:$E,$A111)</f>
        <v/>
      </c>
      <c r="D111" s="17">
        <f t="array" ref="D111">INDEX(Data_DBD!$F:$F,$A111)</f>
        <v/>
      </c>
      <c r="H111" s="17" t="n">
        <v>33</v>
      </c>
      <c r="I111" s="17" t="n">
        <v>4</v>
      </c>
      <c r="J111" s="17" t="n">
        <v>1</v>
      </c>
      <c r="K111" s="17" t="inlineStr">
        <is>
          <t>Sedang</t>
        </is>
      </c>
    </row>
    <row r="112" s="1">
      <c r="A112" s="17">
        <f>RANDBETWEEN(2,164)</f>
        <v/>
      </c>
      <c r="B112" s="17">
        <f t="array" ref="B112">INDEX(Data_DBD!$C:$C,$A112)</f>
        <v/>
      </c>
      <c r="C112" s="17">
        <f t="array" ref="C112">INDEX(Data_DBD!$E:$E,$A112)</f>
        <v/>
      </c>
      <c r="D112" s="17">
        <f t="array" ref="D112">INDEX(Data_DBD!$F:$F,$A112)</f>
        <v/>
      </c>
      <c r="H112" s="17" t="n">
        <v>43</v>
      </c>
      <c r="I112" s="17" t="n">
        <v>4</v>
      </c>
      <c r="J112" s="17" t="n">
        <v>0</v>
      </c>
      <c r="K112" s="17" t="inlineStr">
        <is>
          <t>Sedang</t>
        </is>
      </c>
    </row>
    <row r="113" s="1">
      <c r="A113" s="17">
        <f>RANDBETWEEN(2,164)</f>
        <v/>
      </c>
      <c r="B113" s="17">
        <f t="array" ref="B113">INDEX(Data_DBD!$C:$C,$A113)</f>
        <v/>
      </c>
      <c r="C113" s="17">
        <f t="array" ref="C113">INDEX(Data_DBD!$E:$E,$A113)</f>
        <v/>
      </c>
      <c r="D113" s="17">
        <f t="array" ref="D113">INDEX(Data_DBD!$F:$F,$A113)</f>
        <v/>
      </c>
      <c r="H113" s="17" t="n">
        <v>118</v>
      </c>
      <c r="I113" s="17" t="n">
        <v>4</v>
      </c>
      <c r="J113" s="17" t="n">
        <v>1</v>
      </c>
      <c r="K113" s="17" t="inlineStr">
        <is>
          <t>Tinggi</t>
        </is>
      </c>
    </row>
    <row r="114" s="1">
      <c r="A114" s="17">
        <f>RANDBETWEEN(2,164)</f>
        <v/>
      </c>
      <c r="B114" s="17">
        <f t="array" ref="B114">INDEX(Data_DBD!$C:$C,$A114)</f>
        <v/>
      </c>
      <c r="C114" s="17">
        <f t="array" ref="C114">INDEX(Data_DBD!$E:$E,$A114)</f>
        <v/>
      </c>
      <c r="D114" s="17">
        <f t="array" ref="D114">INDEX(Data_DBD!$F:$F,$A114)</f>
        <v/>
      </c>
      <c r="H114" s="17" t="n">
        <v>69</v>
      </c>
      <c r="I114" s="17" t="n">
        <v>4</v>
      </c>
      <c r="J114" s="17" t="n">
        <v>1</v>
      </c>
      <c r="K114" s="17" t="inlineStr">
        <is>
          <t>Sedang</t>
        </is>
      </c>
    </row>
    <row r="115" s="1">
      <c r="A115" s="17">
        <f>RANDBETWEEN(2,164)</f>
        <v/>
      </c>
      <c r="B115" s="17">
        <f t="array" ref="B115">INDEX(Data_DBD!$C:$C,$A115)</f>
        <v/>
      </c>
      <c r="C115" s="17">
        <f t="array" ref="C115">INDEX(Data_DBD!$E:$E,$A115)</f>
        <v/>
      </c>
      <c r="D115" s="17">
        <f t="array" ref="D115">INDEX(Data_DBD!$F:$F,$A115)</f>
        <v/>
      </c>
      <c r="H115" s="17" t="n">
        <v>27</v>
      </c>
      <c r="I115" s="17" t="n">
        <v>4</v>
      </c>
      <c r="J115" s="17" t="n">
        <v>1</v>
      </c>
      <c r="K115" s="17" t="inlineStr">
        <is>
          <t>Sedang</t>
        </is>
      </c>
    </row>
    <row r="116" s="1">
      <c r="A116" s="17">
        <f>RANDBETWEEN(2,164)</f>
        <v/>
      </c>
      <c r="B116" s="17">
        <f t="array" ref="B116">INDEX(Data_DBD!$C:$C,$A116)</f>
        <v/>
      </c>
      <c r="C116" s="17">
        <f t="array" ref="C116">INDEX(Data_DBD!$E:$E,$A116)</f>
        <v/>
      </c>
      <c r="D116" s="17">
        <f t="array" ref="D116">INDEX(Data_DBD!$F:$F,$A116)</f>
        <v/>
      </c>
      <c r="H116" s="17" t="n">
        <v>39</v>
      </c>
      <c r="I116" s="17" t="n">
        <v>5</v>
      </c>
      <c r="J116" s="17" t="n">
        <v>1</v>
      </c>
      <c r="K116" s="17" t="inlineStr">
        <is>
          <t>Sedang</t>
        </is>
      </c>
    </row>
    <row r="117" s="1">
      <c r="A117" s="17">
        <f>RANDBETWEEN(2,164)</f>
        <v/>
      </c>
      <c r="B117" s="17">
        <f t="array" ref="B117">INDEX(Data_DBD!$C:$C,$A117)</f>
        <v/>
      </c>
      <c r="C117" s="17">
        <f t="array" ref="C117">INDEX(Data_DBD!$E:$E,$A117)</f>
        <v/>
      </c>
      <c r="D117" s="17">
        <f t="array" ref="D117">INDEX(Data_DBD!$F:$F,$A117)</f>
        <v/>
      </c>
      <c r="H117" s="17" t="n">
        <v>40</v>
      </c>
      <c r="I117" s="17" t="n">
        <v>3</v>
      </c>
      <c r="J117" s="17" t="n">
        <v>1</v>
      </c>
      <c r="K117" s="17" t="inlineStr">
        <is>
          <t>Sedang</t>
        </is>
      </c>
    </row>
    <row r="118" s="1">
      <c r="A118" s="17">
        <f>RANDBETWEEN(2,164)</f>
        <v/>
      </c>
      <c r="B118" s="17">
        <f t="array" ref="B118">INDEX(Data_DBD!$C:$C,$A118)</f>
        <v/>
      </c>
      <c r="C118" s="17">
        <f t="array" ref="C118">INDEX(Data_DBD!$E:$E,$A118)</f>
        <v/>
      </c>
      <c r="D118" s="17">
        <f t="array" ref="D118">INDEX(Data_DBD!$F:$F,$A118)</f>
        <v/>
      </c>
      <c r="H118" s="17" t="n">
        <v>112</v>
      </c>
      <c r="I118" s="17" t="n">
        <v>3</v>
      </c>
      <c r="J118" s="17" t="n">
        <v>1</v>
      </c>
      <c r="K118" s="17" t="inlineStr">
        <is>
          <t>Tinggi</t>
        </is>
      </c>
    </row>
    <row r="119" s="1">
      <c r="A119" s="17">
        <f>RANDBETWEEN(2,164)</f>
        <v/>
      </c>
      <c r="B119" s="17">
        <f t="array" ref="B119">INDEX(Data_DBD!$C:$C,$A119)</f>
        <v/>
      </c>
      <c r="C119" s="17">
        <f t="array" ref="C119">INDEX(Data_DBD!$E:$E,$A119)</f>
        <v/>
      </c>
      <c r="D119" s="17">
        <f t="array" ref="D119">INDEX(Data_DBD!$F:$F,$A119)</f>
        <v/>
      </c>
      <c r="H119" s="17" t="n">
        <v>119</v>
      </c>
      <c r="I119" s="17" t="n">
        <v>7</v>
      </c>
      <c r="J119" s="17" t="n">
        <v>0</v>
      </c>
      <c r="K119" s="17" t="inlineStr">
        <is>
          <t>Tinggi</t>
        </is>
      </c>
    </row>
    <row r="120" s="1">
      <c r="A120" s="17">
        <f>RANDBETWEEN(2,164)</f>
        <v/>
      </c>
      <c r="B120" s="17">
        <f t="array" ref="B120">INDEX(Data_DBD!$C:$C,$A120)</f>
        <v/>
      </c>
      <c r="C120" s="17">
        <f t="array" ref="C120">INDEX(Data_DBD!$E:$E,$A120)</f>
        <v/>
      </c>
      <c r="D120" s="17">
        <f t="array" ref="D120">INDEX(Data_DBD!$F:$F,$A120)</f>
        <v/>
      </c>
      <c r="H120" s="17" t="n">
        <v>101</v>
      </c>
      <c r="I120" s="17" t="n">
        <v>5</v>
      </c>
      <c r="J120" s="17" t="n">
        <v>0</v>
      </c>
      <c r="K120" s="17" t="inlineStr">
        <is>
          <t>Tinggi</t>
        </is>
      </c>
    </row>
    <row r="121" s="1">
      <c r="A121" s="17">
        <f>RANDBETWEEN(2,164)</f>
        <v/>
      </c>
      <c r="B121" s="17">
        <f t="array" ref="B121">INDEX(Data_DBD!$C:$C,$A121)</f>
        <v/>
      </c>
      <c r="C121" s="17">
        <f t="array" ref="C121">INDEX(Data_DBD!$E:$E,$A121)</f>
        <v/>
      </c>
      <c r="D121" s="17">
        <f t="array" ref="D121">INDEX(Data_DBD!$F:$F,$A121)</f>
        <v/>
      </c>
      <c r="H121" s="17" t="n">
        <v>88</v>
      </c>
      <c r="I121" s="17" t="n">
        <v>4</v>
      </c>
      <c r="J121" s="17" t="n">
        <v>1</v>
      </c>
      <c r="K121" s="17" t="inlineStr">
        <is>
          <t>Sedang</t>
        </is>
      </c>
    </row>
    <row r="122" s="1">
      <c r="A122" s="17">
        <f>RANDBETWEEN(2,164)</f>
        <v/>
      </c>
      <c r="B122" s="17">
        <f t="array" ref="B122">INDEX(Data_DBD!$C:$C,$A122)</f>
        <v/>
      </c>
      <c r="C122" s="17">
        <f t="array" ref="C122">INDEX(Data_DBD!$E:$E,$A122)</f>
        <v/>
      </c>
      <c r="D122" s="17">
        <f t="array" ref="D122">INDEX(Data_DBD!$F:$F,$A122)</f>
        <v/>
      </c>
      <c r="H122" s="17" t="n">
        <v>144</v>
      </c>
      <c r="I122" s="17" t="n">
        <v>4</v>
      </c>
      <c r="J122" s="17" t="n">
        <v>1</v>
      </c>
      <c r="K122" s="17" t="inlineStr">
        <is>
          <t>Tinggi</t>
        </is>
      </c>
    </row>
    <row r="123" s="1">
      <c r="A123" s="17">
        <f>RANDBETWEEN(2,164)</f>
        <v/>
      </c>
      <c r="B123" s="17">
        <f t="array" ref="B123">INDEX(Data_DBD!$C:$C,$A123)</f>
        <v/>
      </c>
      <c r="C123" s="17">
        <f t="array" ref="C123">INDEX(Data_DBD!$E:$E,$A123)</f>
        <v/>
      </c>
      <c r="D123" s="17">
        <f t="array" ref="D123">INDEX(Data_DBD!$F:$F,$A123)</f>
        <v/>
      </c>
      <c r="H123" s="17" t="n">
        <v>78</v>
      </c>
      <c r="I123" s="17" t="n">
        <v>3</v>
      </c>
      <c r="J123" s="17" t="n">
        <v>0</v>
      </c>
      <c r="K123" s="17" t="inlineStr">
        <is>
          <t>Sedang</t>
        </is>
      </c>
    </row>
    <row r="124" s="1">
      <c r="A124" s="17">
        <f>RANDBETWEEN(2,164)</f>
        <v/>
      </c>
      <c r="B124" s="17">
        <f t="array" ref="B124">INDEX(Data_DBD!$C:$C,$A124)</f>
        <v/>
      </c>
      <c r="C124" s="17">
        <f t="array" ref="C124">INDEX(Data_DBD!$E:$E,$A124)</f>
        <v/>
      </c>
      <c r="D124" s="17">
        <f t="array" ref="D124">INDEX(Data_DBD!$F:$F,$A124)</f>
        <v/>
      </c>
      <c r="H124" s="17" t="n">
        <v>44</v>
      </c>
      <c r="I124" s="17" t="n">
        <v>5</v>
      </c>
      <c r="J124" s="17" t="n">
        <v>1</v>
      </c>
      <c r="K124" s="17" t="inlineStr">
        <is>
          <t>Sedang</t>
        </is>
      </c>
    </row>
    <row r="125" s="1">
      <c r="A125" s="17">
        <f>RANDBETWEEN(2,164)</f>
        <v/>
      </c>
      <c r="B125" s="17">
        <f t="array" ref="B125">INDEX(Data_DBD!$C:$C,$A125)</f>
        <v/>
      </c>
      <c r="C125" s="17">
        <f t="array" ref="C125">INDEX(Data_DBD!$E:$E,$A125)</f>
        <v/>
      </c>
      <c r="D125" s="17">
        <f t="array" ref="D125">INDEX(Data_DBD!$F:$F,$A125)</f>
        <v/>
      </c>
      <c r="H125" s="17" t="n">
        <v>61</v>
      </c>
      <c r="I125" s="17" t="n">
        <v>3</v>
      </c>
      <c r="J125" s="17" t="n">
        <v>1</v>
      </c>
      <c r="K125" s="17" t="inlineStr">
        <is>
          <t>Sedang</t>
        </is>
      </c>
    </row>
    <row r="126" s="1">
      <c r="A126" s="17">
        <f>RANDBETWEEN(2,164)</f>
        <v/>
      </c>
      <c r="B126" s="17">
        <f t="array" ref="B126">INDEX(Data_DBD!$C:$C,$A126)</f>
        <v/>
      </c>
      <c r="C126" s="17">
        <f t="array" ref="C126">INDEX(Data_DBD!$E:$E,$A126)</f>
        <v/>
      </c>
      <c r="D126" s="17">
        <f t="array" ref="D126">INDEX(Data_DBD!$F:$F,$A126)</f>
        <v/>
      </c>
      <c r="H126" s="17" t="n">
        <v>71</v>
      </c>
      <c r="I126" s="17" t="n">
        <v>3</v>
      </c>
      <c r="J126" s="17" t="n">
        <v>0</v>
      </c>
      <c r="K126" s="17" t="inlineStr">
        <is>
          <t>Sedang</t>
        </is>
      </c>
    </row>
    <row r="127" s="1">
      <c r="A127" s="17">
        <f>RANDBETWEEN(2,164)</f>
        <v/>
      </c>
      <c r="B127" s="17">
        <f t="array" ref="B127">INDEX(Data_DBD!$C:$C,$A127)</f>
        <v/>
      </c>
      <c r="C127" s="17">
        <f t="array" ref="C127">INDEX(Data_DBD!$E:$E,$A127)</f>
        <v/>
      </c>
      <c r="D127" s="17">
        <f t="array" ref="D127">INDEX(Data_DBD!$F:$F,$A127)</f>
        <v/>
      </c>
      <c r="H127" s="17" t="n">
        <v>105</v>
      </c>
      <c r="I127" s="17" t="n">
        <v>3</v>
      </c>
      <c r="J127" s="17" t="n">
        <v>1</v>
      </c>
      <c r="K127" s="17" t="inlineStr">
        <is>
          <t>Tinggi</t>
        </is>
      </c>
    </row>
    <row r="128" s="1">
      <c r="A128" s="17">
        <f>RANDBETWEEN(2,164)</f>
        <v/>
      </c>
      <c r="B128" s="17">
        <f t="array" ref="B128">INDEX(Data_DBD!$C:$C,$A128)</f>
        <v/>
      </c>
      <c r="C128" s="17">
        <f t="array" ref="C128">INDEX(Data_DBD!$E:$E,$A128)</f>
        <v/>
      </c>
      <c r="D128" s="17">
        <f t="array" ref="D128">INDEX(Data_DBD!$F:$F,$A128)</f>
        <v/>
      </c>
      <c r="H128" s="17" t="n">
        <v>14</v>
      </c>
      <c r="I128" s="17" t="n">
        <v>4</v>
      </c>
      <c r="J128" s="17" t="n">
        <v>1</v>
      </c>
      <c r="K128" s="17" t="inlineStr">
        <is>
          <t>Rendah</t>
        </is>
      </c>
    </row>
    <row r="129" s="1">
      <c r="A129" s="17">
        <f>RANDBETWEEN(2,164)</f>
        <v/>
      </c>
      <c r="B129" s="17">
        <f t="array" ref="B129">INDEX(Data_DBD!$C:$C,$A129)</f>
        <v/>
      </c>
      <c r="C129" s="17">
        <f t="array" ref="C129">INDEX(Data_DBD!$E:$E,$A129)</f>
        <v/>
      </c>
      <c r="D129" s="17">
        <f t="array" ref="D129">INDEX(Data_DBD!$F:$F,$A129)</f>
        <v/>
      </c>
      <c r="H129" s="17" t="n">
        <v>145</v>
      </c>
      <c r="I129" s="17" t="n">
        <v>4</v>
      </c>
      <c r="J129" s="17" t="n">
        <v>1</v>
      </c>
      <c r="K129" s="17" t="inlineStr">
        <is>
          <t>Tinggi</t>
        </is>
      </c>
    </row>
    <row r="130" s="1">
      <c r="A130" s="17">
        <f>RANDBETWEEN(2,164)</f>
        <v/>
      </c>
      <c r="B130" s="17">
        <f t="array" ref="B130">INDEX(Data_DBD!$C:$C,$A130)</f>
        <v/>
      </c>
      <c r="C130" s="17">
        <f t="array" ref="C130">INDEX(Data_DBD!$E:$E,$A130)</f>
        <v/>
      </c>
      <c r="D130" s="17">
        <f t="array" ref="D130">INDEX(Data_DBD!$F:$F,$A130)</f>
        <v/>
      </c>
      <c r="H130" s="17" t="n">
        <v>131</v>
      </c>
      <c r="I130" s="17" t="n">
        <v>2</v>
      </c>
      <c r="J130" s="17" t="n">
        <v>0</v>
      </c>
      <c r="K130" s="17" t="inlineStr">
        <is>
          <t>Tinggi</t>
        </is>
      </c>
    </row>
    <row r="131" s="1">
      <c r="A131" s="17">
        <f>RANDBETWEEN(2,164)</f>
        <v/>
      </c>
      <c r="B131" s="17">
        <f t="array" ref="B131">INDEX(Data_DBD!$C:$C,$A131)</f>
        <v/>
      </c>
      <c r="C131" s="17">
        <f t="array" ref="C131">INDEX(Data_DBD!$E:$E,$A131)</f>
        <v/>
      </c>
      <c r="D131" s="17">
        <f t="array" ref="D131">INDEX(Data_DBD!$F:$F,$A131)</f>
        <v/>
      </c>
      <c r="H131" s="17" t="n">
        <v>158</v>
      </c>
      <c r="I131" s="17" t="n">
        <v>2</v>
      </c>
      <c r="J131" s="17" t="n">
        <v>0</v>
      </c>
      <c r="K131" s="17" t="inlineStr">
        <is>
          <t>Tinggi</t>
        </is>
      </c>
    </row>
    <row r="132" s="1">
      <c r="A132" s="17">
        <f>RANDBETWEEN(2,164)</f>
        <v/>
      </c>
      <c r="B132" s="17">
        <f t="array" ref="B132">INDEX(Data_DBD!$C:$C,$A132)</f>
        <v/>
      </c>
      <c r="C132" s="17">
        <f t="array" ref="C132">INDEX(Data_DBD!$E:$E,$A132)</f>
        <v/>
      </c>
      <c r="D132" s="17">
        <f t="array" ref="D132">INDEX(Data_DBD!$F:$F,$A132)</f>
        <v/>
      </c>
      <c r="H132" s="17" t="n">
        <v>40</v>
      </c>
      <c r="I132" s="17" t="n">
        <v>3</v>
      </c>
      <c r="J132" s="17" t="n">
        <v>1</v>
      </c>
      <c r="K132" s="17" t="inlineStr">
        <is>
          <t>Sedang</t>
        </is>
      </c>
    </row>
    <row r="133" s="1">
      <c r="A133" s="17">
        <f>RANDBETWEEN(2,164)</f>
        <v/>
      </c>
      <c r="B133" s="17">
        <f t="array" ref="B133">INDEX(Data_DBD!$C:$C,$A133)</f>
        <v/>
      </c>
      <c r="C133" s="17">
        <f t="array" ref="C133">INDEX(Data_DBD!$E:$E,$A133)</f>
        <v/>
      </c>
      <c r="D133" s="17">
        <f t="array" ref="D133">INDEX(Data_DBD!$F:$F,$A133)</f>
        <v/>
      </c>
      <c r="H133" s="17" t="n">
        <v>106</v>
      </c>
      <c r="I133" s="17" t="n">
        <v>3</v>
      </c>
      <c r="J133" s="17" t="n">
        <v>1</v>
      </c>
      <c r="K133" s="17" t="inlineStr">
        <is>
          <t>Tinggi</t>
        </is>
      </c>
    </row>
    <row r="134" s="1">
      <c r="A134" s="17">
        <f>RANDBETWEEN(2,164)</f>
        <v/>
      </c>
      <c r="B134" s="17">
        <f t="array" ref="B134">INDEX(Data_DBD!$C:$C,$A134)</f>
        <v/>
      </c>
      <c r="C134" s="17">
        <f t="array" ref="C134">INDEX(Data_DBD!$E:$E,$A134)</f>
        <v/>
      </c>
      <c r="D134" s="17">
        <f t="array" ref="D134">INDEX(Data_DBD!$F:$F,$A134)</f>
        <v/>
      </c>
      <c r="H134" s="17" t="n">
        <v>76</v>
      </c>
      <c r="I134" s="17" t="n">
        <v>2</v>
      </c>
      <c r="J134" s="17" t="n">
        <v>0</v>
      </c>
      <c r="K134" s="17" t="inlineStr">
        <is>
          <t>Sedang</t>
        </is>
      </c>
    </row>
    <row r="135" s="1">
      <c r="A135" s="17">
        <f>RANDBETWEEN(2,164)</f>
        <v/>
      </c>
      <c r="B135" s="17">
        <f t="array" ref="B135">INDEX(Data_DBD!$C:$C,$A135)</f>
        <v/>
      </c>
      <c r="C135" s="17">
        <f t="array" ref="C135">INDEX(Data_DBD!$E:$E,$A135)</f>
        <v/>
      </c>
      <c r="D135" s="17">
        <f t="array" ref="D135">INDEX(Data_DBD!$F:$F,$A135)</f>
        <v/>
      </c>
      <c r="H135" s="17" t="n">
        <v>83</v>
      </c>
      <c r="I135" s="17" t="n">
        <v>3</v>
      </c>
      <c r="J135" s="17" t="n">
        <v>0</v>
      </c>
      <c r="K135" s="17" t="inlineStr">
        <is>
          <t>Sedang</t>
        </is>
      </c>
    </row>
    <row r="136" s="1">
      <c r="A136" s="17">
        <f>RANDBETWEEN(2,164)</f>
        <v/>
      </c>
      <c r="B136" s="17">
        <f t="array" ref="B136">INDEX(Data_DBD!$C:$C,$A136)</f>
        <v/>
      </c>
      <c r="C136" s="17">
        <f t="array" ref="C136">INDEX(Data_DBD!$E:$E,$A136)</f>
        <v/>
      </c>
      <c r="D136" s="17">
        <f t="array" ref="D136">INDEX(Data_DBD!$F:$F,$A136)</f>
        <v/>
      </c>
      <c r="H136" s="17" t="n">
        <v>47</v>
      </c>
      <c r="I136" s="17" t="n">
        <v>2</v>
      </c>
      <c r="J136" s="17" t="n">
        <v>0</v>
      </c>
      <c r="K136" s="17" t="inlineStr">
        <is>
          <t>Sedang</t>
        </is>
      </c>
    </row>
    <row r="137" s="1">
      <c r="A137" s="17">
        <f>RANDBETWEEN(2,164)</f>
        <v/>
      </c>
      <c r="B137" s="17">
        <f t="array" ref="B137">INDEX(Data_DBD!$C:$C,$A137)</f>
        <v/>
      </c>
      <c r="C137" s="17">
        <f t="array" ref="C137">INDEX(Data_DBD!$E:$E,$A137)</f>
        <v/>
      </c>
      <c r="D137" s="17">
        <f t="array" ref="D137">INDEX(Data_DBD!$F:$F,$A137)</f>
        <v/>
      </c>
      <c r="H137" s="17" t="n">
        <v>7</v>
      </c>
      <c r="I137" s="17" t="n">
        <v>1</v>
      </c>
      <c r="J137" s="17" t="n">
        <v>1</v>
      </c>
      <c r="K137" s="17" t="inlineStr">
        <is>
          <t>Sedang</t>
        </is>
      </c>
    </row>
    <row r="138" s="1">
      <c r="A138" s="17">
        <f>RANDBETWEEN(2,164)</f>
        <v/>
      </c>
      <c r="B138" s="17">
        <f t="array" ref="B138">INDEX(Data_DBD!$C:$C,$A138)</f>
        <v/>
      </c>
      <c r="C138" s="17">
        <f t="array" ref="C138">INDEX(Data_DBD!$E:$E,$A138)</f>
        <v/>
      </c>
      <c r="D138" s="17">
        <f t="array" ref="D138">INDEX(Data_DBD!$F:$F,$A138)</f>
        <v/>
      </c>
      <c r="H138" s="17" t="n">
        <v>70</v>
      </c>
      <c r="I138" s="17" t="n">
        <v>3</v>
      </c>
      <c r="J138" s="17" t="n">
        <v>1</v>
      </c>
      <c r="K138" s="17" t="inlineStr">
        <is>
          <t>Sedang</t>
        </is>
      </c>
    </row>
    <row r="139" s="1">
      <c r="A139" s="17">
        <f>RANDBETWEEN(2,164)</f>
        <v/>
      </c>
      <c r="B139" s="17">
        <f t="array" ref="B139">INDEX(Data_DBD!$C:$C,$A139)</f>
        <v/>
      </c>
      <c r="C139" s="17">
        <f t="array" ref="C139">INDEX(Data_DBD!$E:$E,$A139)</f>
        <v/>
      </c>
      <c r="D139" s="17">
        <f t="array" ref="D139">INDEX(Data_DBD!$F:$F,$A139)</f>
        <v/>
      </c>
      <c r="H139" s="17" t="n">
        <v>61</v>
      </c>
      <c r="I139" s="17" t="n">
        <v>3</v>
      </c>
      <c r="J139" s="17" t="n">
        <v>1</v>
      </c>
      <c r="K139" s="17" t="inlineStr">
        <is>
          <t>Sedang</t>
        </is>
      </c>
    </row>
    <row r="140" s="1">
      <c r="A140" s="17">
        <f>RANDBETWEEN(2,164)</f>
        <v/>
      </c>
      <c r="B140" s="17">
        <f t="array" ref="B140">INDEX(Data_DBD!$C:$C,$A140)</f>
        <v/>
      </c>
      <c r="C140" s="17">
        <f t="array" ref="C140">INDEX(Data_DBD!$E:$E,$A140)</f>
        <v/>
      </c>
      <c r="D140" s="17">
        <f t="array" ref="D140">INDEX(Data_DBD!$F:$F,$A140)</f>
        <v/>
      </c>
      <c r="H140" s="17" t="n">
        <v>163</v>
      </c>
      <c r="I140" s="17" t="n">
        <v>4</v>
      </c>
      <c r="J140" s="17" t="n">
        <v>1</v>
      </c>
      <c r="K140" s="17" t="inlineStr">
        <is>
          <t>Rendah</t>
        </is>
      </c>
    </row>
    <row r="141" s="1">
      <c r="A141" s="17">
        <f>RANDBETWEEN(2,164)</f>
        <v/>
      </c>
      <c r="B141" s="17">
        <f t="array" ref="B141">INDEX(Data_DBD!$C:$C,$A141)</f>
        <v/>
      </c>
      <c r="C141" s="17">
        <f t="array" ref="C141">INDEX(Data_DBD!$E:$E,$A141)</f>
        <v/>
      </c>
      <c r="D141" s="17">
        <f t="array" ref="D141">INDEX(Data_DBD!$F:$F,$A141)</f>
        <v/>
      </c>
      <c r="H141" s="17" t="n">
        <v>137</v>
      </c>
      <c r="I141" s="17" t="n">
        <v>1</v>
      </c>
      <c r="J141" s="17" t="n">
        <v>1</v>
      </c>
      <c r="K141" s="17" t="inlineStr">
        <is>
          <t>Tinggi</t>
        </is>
      </c>
    </row>
    <row r="142" s="1">
      <c r="A142" s="17">
        <f>RANDBETWEEN(2,164)</f>
        <v/>
      </c>
      <c r="B142" s="17">
        <f t="array" ref="B142">INDEX(Data_DBD!$C:$C,$A142)</f>
        <v/>
      </c>
      <c r="C142" s="17">
        <f t="array" ref="C142">INDEX(Data_DBD!$E:$E,$A142)</f>
        <v/>
      </c>
      <c r="D142" s="17">
        <f t="array" ref="D142">INDEX(Data_DBD!$F:$F,$A142)</f>
        <v/>
      </c>
      <c r="H142" s="17" t="n">
        <v>139</v>
      </c>
      <c r="I142" s="17" t="n">
        <v>7</v>
      </c>
      <c r="J142" s="17" t="n">
        <v>0</v>
      </c>
      <c r="K142" s="17" t="inlineStr">
        <is>
          <t>Tinggi</t>
        </is>
      </c>
    </row>
    <row r="143" s="1">
      <c r="A143" s="17">
        <f>RANDBETWEEN(2,164)</f>
        <v/>
      </c>
      <c r="B143" s="17">
        <f t="array" ref="B143">INDEX(Data_DBD!$C:$C,$A143)</f>
        <v/>
      </c>
      <c r="C143" s="17">
        <f t="array" ref="C143">INDEX(Data_DBD!$E:$E,$A143)</f>
        <v/>
      </c>
      <c r="D143" s="17">
        <f t="array" ref="D143">INDEX(Data_DBD!$F:$F,$A143)</f>
        <v/>
      </c>
      <c r="H143" s="17" t="n">
        <v>86</v>
      </c>
      <c r="I143" s="17" t="n">
        <v>3</v>
      </c>
      <c r="J143" s="17" t="n">
        <v>0</v>
      </c>
      <c r="K143" s="17" t="inlineStr">
        <is>
          <t>Sedang</t>
        </is>
      </c>
    </row>
    <row r="144" s="1">
      <c r="A144" s="17">
        <f>RANDBETWEEN(2,164)</f>
        <v/>
      </c>
      <c r="B144" s="17">
        <f t="array" ref="B144">INDEX(Data_DBD!$C:$C,$A144)</f>
        <v/>
      </c>
      <c r="C144" s="17">
        <f t="array" ref="C144">INDEX(Data_DBD!$E:$E,$A144)</f>
        <v/>
      </c>
      <c r="D144" s="17">
        <f t="array" ref="D144">INDEX(Data_DBD!$F:$F,$A144)</f>
        <v/>
      </c>
      <c r="H144" s="17" t="n">
        <v>93</v>
      </c>
      <c r="I144" s="17" t="n">
        <v>4</v>
      </c>
      <c r="J144" s="17" t="n">
        <v>0</v>
      </c>
      <c r="K144" s="17" t="inlineStr">
        <is>
          <t>Tinggi</t>
        </is>
      </c>
    </row>
    <row r="145" s="1">
      <c r="A145" s="17">
        <f>RANDBETWEEN(2,164)</f>
        <v/>
      </c>
      <c r="B145" s="17">
        <f t="array" ref="B145">INDEX(Data_DBD!$C:$C,$A145)</f>
        <v/>
      </c>
      <c r="C145" s="17">
        <f t="array" ref="C145">INDEX(Data_DBD!$E:$E,$A145)</f>
        <v/>
      </c>
      <c r="D145" s="17">
        <f t="array" ref="D145">INDEX(Data_DBD!$F:$F,$A145)</f>
        <v/>
      </c>
      <c r="H145" s="17" t="n">
        <v>104</v>
      </c>
      <c r="I145" s="17" t="n">
        <v>4</v>
      </c>
      <c r="J145" s="17" t="n">
        <v>1</v>
      </c>
      <c r="K145" s="17" t="inlineStr">
        <is>
          <t>Tinggi</t>
        </is>
      </c>
    </row>
    <row r="146" s="1">
      <c r="A146" s="17">
        <f>RANDBETWEEN(2,164)</f>
        <v/>
      </c>
      <c r="B146" s="17">
        <f t="array" ref="B146">INDEX(Data_DBD!$C:$C,$A146)</f>
        <v/>
      </c>
      <c r="C146" s="17">
        <f t="array" ref="C146">INDEX(Data_DBD!$E:$E,$A146)</f>
        <v/>
      </c>
      <c r="D146" s="17">
        <f t="array" ref="D146">INDEX(Data_DBD!$F:$F,$A146)</f>
        <v/>
      </c>
      <c r="H146" s="17" t="n">
        <v>15</v>
      </c>
      <c r="I146" s="17" t="n">
        <v>2</v>
      </c>
      <c r="J146" s="17" t="n">
        <v>0</v>
      </c>
      <c r="K146" s="17" t="inlineStr">
        <is>
          <t>Rendah</t>
        </is>
      </c>
    </row>
    <row r="147" s="1">
      <c r="A147" s="17">
        <f>RANDBETWEEN(2,164)</f>
        <v/>
      </c>
      <c r="B147" s="17">
        <f t="array" ref="B147">INDEX(Data_DBD!$C:$C,$A147)</f>
        <v/>
      </c>
      <c r="C147" s="17">
        <f t="array" ref="C147">INDEX(Data_DBD!$E:$E,$A147)</f>
        <v/>
      </c>
      <c r="D147" s="17">
        <f t="array" ref="D147">INDEX(Data_DBD!$F:$F,$A147)</f>
        <v/>
      </c>
      <c r="H147" s="17" t="n">
        <v>35</v>
      </c>
      <c r="I147" s="17" t="n">
        <v>3</v>
      </c>
      <c r="J147" s="17" t="n">
        <v>1</v>
      </c>
      <c r="K147" s="17" t="inlineStr">
        <is>
          <t>Rendah</t>
        </is>
      </c>
    </row>
    <row r="148" s="1">
      <c r="A148" s="17">
        <f>RANDBETWEEN(2,164)</f>
        <v/>
      </c>
      <c r="B148" s="17">
        <f t="array" ref="B148">INDEX(Data_DBD!$C:$C,$A148)</f>
        <v/>
      </c>
      <c r="C148" s="17">
        <f t="array" ref="C148">INDEX(Data_DBD!$E:$E,$A148)</f>
        <v/>
      </c>
      <c r="D148" s="17">
        <f t="array" ref="D148">INDEX(Data_DBD!$F:$F,$A148)</f>
        <v/>
      </c>
      <c r="H148" s="17" t="n">
        <v>7</v>
      </c>
      <c r="I148" s="17" t="n">
        <v>1</v>
      </c>
      <c r="J148" s="17" t="n">
        <v>1</v>
      </c>
      <c r="K148" s="17" t="inlineStr">
        <is>
          <t>Sedang</t>
        </is>
      </c>
    </row>
    <row r="149" s="1">
      <c r="A149" s="17">
        <f>RANDBETWEEN(2,164)</f>
        <v/>
      </c>
      <c r="B149" s="17">
        <f t="array" ref="B149">INDEX(Data_DBD!$C:$C,$A149)</f>
        <v/>
      </c>
      <c r="C149" s="17">
        <f t="array" ref="C149">INDEX(Data_DBD!$E:$E,$A149)</f>
        <v/>
      </c>
      <c r="D149" s="17">
        <f t="array" ref="D149">INDEX(Data_DBD!$F:$F,$A149)</f>
        <v/>
      </c>
      <c r="H149" s="17" t="n">
        <v>95</v>
      </c>
      <c r="I149" s="17" t="n">
        <v>3</v>
      </c>
      <c r="J149" s="17" t="n">
        <v>1</v>
      </c>
      <c r="K149" s="17" t="inlineStr">
        <is>
          <t>Tinggi</t>
        </is>
      </c>
    </row>
    <row r="150" s="1">
      <c r="A150" s="17">
        <f>RANDBETWEEN(2,164)</f>
        <v/>
      </c>
      <c r="B150" s="17">
        <f t="array" ref="B150">INDEX(Data_DBD!$C:$C,$A150)</f>
        <v/>
      </c>
      <c r="C150" s="17">
        <f t="array" ref="C150">INDEX(Data_DBD!$E:$E,$A150)</f>
        <v/>
      </c>
      <c r="D150" s="17">
        <f t="array" ref="D150">INDEX(Data_DBD!$F:$F,$A150)</f>
        <v/>
      </c>
      <c r="H150" s="17" t="n">
        <v>10</v>
      </c>
      <c r="I150" s="17" t="n">
        <v>5</v>
      </c>
      <c r="J150" s="17" t="n">
        <v>0</v>
      </c>
      <c r="K150" s="17" t="inlineStr">
        <is>
          <t>Sedang</t>
        </is>
      </c>
    </row>
    <row r="151" s="1">
      <c r="A151" s="17">
        <f>RANDBETWEEN(2,164)</f>
        <v/>
      </c>
      <c r="B151" s="17">
        <f t="array" ref="B151">INDEX(Data_DBD!$C:$C,$A151)</f>
        <v/>
      </c>
      <c r="C151" s="17">
        <f t="array" ref="C151">INDEX(Data_DBD!$E:$E,$A151)</f>
        <v/>
      </c>
      <c r="D151" s="17">
        <f t="array" ref="D151">INDEX(Data_DBD!$F:$F,$A151)</f>
        <v/>
      </c>
      <c r="H151" s="17" t="n">
        <v>151</v>
      </c>
      <c r="I151" s="17" t="n">
        <v>3</v>
      </c>
      <c r="J151" s="17" t="n">
        <v>0</v>
      </c>
      <c r="K151" s="17" t="inlineStr">
        <is>
          <t>Tinggi</t>
        </is>
      </c>
    </row>
    <row r="152" s="1">
      <c r="A152" s="17">
        <f>RANDBETWEEN(2,164)</f>
        <v/>
      </c>
      <c r="B152" s="17">
        <f t="array" ref="B152">INDEX(Data_DBD!$C:$C,$A152)</f>
        <v/>
      </c>
      <c r="C152" s="17">
        <f t="array" ref="C152">INDEX(Data_DBD!$E:$E,$A152)</f>
        <v/>
      </c>
      <c r="D152" s="17">
        <f t="array" ref="D152">INDEX(Data_DBD!$F:$F,$A152)</f>
        <v/>
      </c>
      <c r="H152" s="17" t="n">
        <v>110</v>
      </c>
      <c r="I152" s="17" t="n">
        <v>2</v>
      </c>
      <c r="J152" s="17" t="n">
        <v>1</v>
      </c>
      <c r="K152" s="17" t="inlineStr">
        <is>
          <t>Tinggi</t>
        </is>
      </c>
    </row>
    <row r="153" s="1">
      <c r="A153" s="17">
        <f>RANDBETWEEN(2,164)</f>
        <v/>
      </c>
      <c r="B153" s="17">
        <f t="array" ref="B153">INDEX(Data_DBD!$C:$C,$A153)</f>
        <v/>
      </c>
      <c r="C153" s="17">
        <f t="array" ref="C153">INDEX(Data_DBD!$E:$E,$A153)</f>
        <v/>
      </c>
      <c r="D153" s="17">
        <f t="array" ref="D153">INDEX(Data_DBD!$F:$F,$A153)</f>
        <v/>
      </c>
      <c r="H153" s="17" t="n">
        <v>108</v>
      </c>
      <c r="I153" s="17" t="n">
        <v>7</v>
      </c>
      <c r="J153" s="17" t="n">
        <v>1</v>
      </c>
      <c r="K153" s="17" t="inlineStr">
        <is>
          <t>Tinggi</t>
        </is>
      </c>
    </row>
    <row r="154" s="1">
      <c r="A154" s="17">
        <f>RANDBETWEEN(2,164)</f>
        <v/>
      </c>
      <c r="B154" s="17">
        <f t="array" ref="B154">INDEX(Data_DBD!$C:$C,$A154)</f>
        <v/>
      </c>
      <c r="C154" s="17">
        <f t="array" ref="C154">INDEX(Data_DBD!$E:$E,$A154)</f>
        <v/>
      </c>
      <c r="D154" s="17">
        <f t="array" ref="D154">INDEX(Data_DBD!$F:$F,$A154)</f>
        <v/>
      </c>
      <c r="H154" s="17" t="n">
        <v>164</v>
      </c>
      <c r="I154" s="17" t="n">
        <v>6</v>
      </c>
      <c r="J154" s="17" t="n">
        <v>0</v>
      </c>
      <c r="K154" s="17" t="inlineStr">
        <is>
          <t>Rendah</t>
        </is>
      </c>
    </row>
    <row r="155" s="1">
      <c r="A155" s="17">
        <f>RANDBETWEEN(2,164)</f>
        <v/>
      </c>
      <c r="B155" s="17">
        <f t="array" ref="B155">INDEX(Data_DBD!$C:$C,$A155)</f>
        <v/>
      </c>
      <c r="C155" s="17">
        <f t="array" ref="C155">INDEX(Data_DBD!$E:$E,$A155)</f>
        <v/>
      </c>
      <c r="D155" s="17">
        <f t="array" ref="D155">INDEX(Data_DBD!$F:$F,$A155)</f>
        <v/>
      </c>
      <c r="H155" s="17" t="n">
        <v>47</v>
      </c>
      <c r="I155" s="17" t="n">
        <v>2</v>
      </c>
      <c r="J155" s="17" t="n">
        <v>0</v>
      </c>
      <c r="K155" s="17" t="inlineStr">
        <is>
          <t>Sedang</t>
        </is>
      </c>
    </row>
    <row r="156" s="1">
      <c r="A156" s="17">
        <f>RANDBETWEEN(2,164)</f>
        <v/>
      </c>
      <c r="B156" s="17">
        <f t="array" ref="B156">INDEX(Data_DBD!$C:$C,$A156)</f>
        <v/>
      </c>
      <c r="C156" s="17">
        <f t="array" ref="C156">INDEX(Data_DBD!$E:$E,$A156)</f>
        <v/>
      </c>
      <c r="D156" s="17">
        <f t="array" ref="D156">INDEX(Data_DBD!$F:$F,$A156)</f>
        <v/>
      </c>
      <c r="H156" s="17" t="n">
        <v>18</v>
      </c>
      <c r="I156" s="17" t="n">
        <v>4</v>
      </c>
      <c r="J156" s="17" t="n">
        <v>1</v>
      </c>
      <c r="K156" s="17" t="inlineStr">
        <is>
          <t>Rendah</t>
        </is>
      </c>
    </row>
    <row r="157" s="1">
      <c r="A157" s="17">
        <f>RANDBETWEEN(2,164)</f>
        <v/>
      </c>
      <c r="B157" s="17">
        <f t="array" ref="B157">INDEX(Data_DBD!$C:$C,$A157)</f>
        <v/>
      </c>
      <c r="C157" s="17">
        <f t="array" ref="C157">INDEX(Data_DBD!$E:$E,$A157)</f>
        <v/>
      </c>
      <c r="D157" s="17">
        <f t="array" ref="D157">INDEX(Data_DBD!$F:$F,$A157)</f>
        <v/>
      </c>
      <c r="H157" s="17" t="n">
        <v>10</v>
      </c>
      <c r="I157" s="17" t="n">
        <v>5</v>
      </c>
      <c r="J157" s="17" t="n">
        <v>0</v>
      </c>
      <c r="K157" s="17" t="inlineStr">
        <is>
          <t>Sedang</t>
        </is>
      </c>
    </row>
    <row r="158" s="1">
      <c r="A158" s="17">
        <f>RANDBETWEEN(2,164)</f>
        <v/>
      </c>
      <c r="B158" s="17">
        <f t="array" ref="B158">INDEX(Data_DBD!$C:$C,$A158)</f>
        <v/>
      </c>
      <c r="C158" s="17">
        <f t="array" ref="C158">INDEX(Data_DBD!$E:$E,$A158)</f>
        <v/>
      </c>
      <c r="D158" s="17">
        <f t="array" ref="D158">INDEX(Data_DBD!$F:$F,$A158)</f>
        <v/>
      </c>
      <c r="H158" s="17" t="n">
        <v>129</v>
      </c>
      <c r="I158" s="17" t="n">
        <v>3</v>
      </c>
      <c r="J158" s="17" t="n">
        <v>0</v>
      </c>
      <c r="K158" s="17" t="inlineStr">
        <is>
          <t>Tinggi</t>
        </is>
      </c>
    </row>
    <row r="159" s="1">
      <c r="A159" s="17">
        <f>RANDBETWEEN(2,164)</f>
        <v/>
      </c>
      <c r="B159" s="17">
        <f t="array" ref="B159">INDEX(Data_DBD!$C:$C,$A159)</f>
        <v/>
      </c>
      <c r="C159" s="17">
        <f t="array" ref="C159">INDEX(Data_DBD!$E:$E,$A159)</f>
        <v/>
      </c>
      <c r="D159" s="17">
        <f t="array" ref="D159">INDEX(Data_DBD!$F:$F,$A159)</f>
        <v/>
      </c>
      <c r="H159" s="17" t="n">
        <v>94</v>
      </c>
      <c r="I159" s="17" t="n">
        <v>4</v>
      </c>
      <c r="J159" s="17" t="n">
        <v>0</v>
      </c>
      <c r="K159" s="17" t="inlineStr">
        <is>
          <t>Tinggi</t>
        </is>
      </c>
    </row>
    <row r="160" s="1">
      <c r="A160" s="17">
        <f>RANDBETWEEN(2,164)</f>
        <v/>
      </c>
      <c r="B160" s="17">
        <f t="array" ref="B160">INDEX(Data_DBD!$C:$C,$A160)</f>
        <v/>
      </c>
      <c r="C160" s="17">
        <f t="array" ref="C160">INDEX(Data_DBD!$E:$E,$A160)</f>
        <v/>
      </c>
      <c r="D160" s="17">
        <f t="array" ref="D160">INDEX(Data_DBD!$F:$F,$A160)</f>
        <v/>
      </c>
      <c r="H160" s="17" t="n">
        <v>155</v>
      </c>
      <c r="I160" s="17" t="n">
        <v>5</v>
      </c>
      <c r="J160" s="17" t="n">
        <v>1</v>
      </c>
      <c r="K160" s="17" t="inlineStr">
        <is>
          <t>Tinggi</t>
        </is>
      </c>
    </row>
    <row r="161" s="1">
      <c r="A161" s="17">
        <f>RANDBETWEEN(2,164)</f>
        <v/>
      </c>
      <c r="B161" s="17">
        <f t="array" ref="B161">INDEX(Data_DBD!$C:$C,$A161)</f>
        <v/>
      </c>
      <c r="C161" s="17">
        <f t="array" ref="C161">INDEX(Data_DBD!$E:$E,$A161)</f>
        <v/>
      </c>
      <c r="D161" s="17">
        <f t="array" ref="D161">INDEX(Data_DBD!$F:$F,$A161)</f>
        <v/>
      </c>
      <c r="H161" s="17" t="n">
        <v>111</v>
      </c>
      <c r="I161" s="17" t="n">
        <v>4</v>
      </c>
      <c r="J161" s="17" t="n">
        <v>0</v>
      </c>
      <c r="K161" s="17" t="inlineStr">
        <is>
          <t>Tinggi</t>
        </is>
      </c>
    </row>
    <row r="162" s="1">
      <c r="A162" s="17">
        <f>RANDBETWEEN(2,164)</f>
        <v/>
      </c>
      <c r="B162" s="17">
        <f t="array" ref="B162">INDEX(Data_DBD!$C:$C,$A162)</f>
        <v/>
      </c>
      <c r="C162" s="17">
        <f t="array" ref="C162">INDEX(Data_DBD!$E:$E,$A162)</f>
        <v/>
      </c>
      <c r="D162" s="17">
        <f t="array" ref="D162">INDEX(Data_DBD!$F:$F,$A162)</f>
        <v/>
      </c>
      <c r="H162" s="17" t="n">
        <v>157</v>
      </c>
      <c r="I162" s="17" t="n">
        <v>4</v>
      </c>
      <c r="J162" s="17" t="n">
        <v>1</v>
      </c>
      <c r="K162" s="17" t="inlineStr">
        <is>
          <t>Tinggi</t>
        </is>
      </c>
    </row>
    <row r="163" s="1">
      <c r="A163" s="17">
        <f>RANDBETWEEN(2,164)</f>
        <v/>
      </c>
      <c r="B163" s="17">
        <f t="array" ref="B163">INDEX(Data_DBD!$C:$C,$A163)</f>
        <v/>
      </c>
      <c r="C163" s="17">
        <f t="array" ref="C163">INDEX(Data_DBD!$E:$E,$A163)</f>
        <v/>
      </c>
      <c r="D163" s="17">
        <f t="array" ref="D163">INDEX(Data_DBD!$F:$F,$A163)</f>
        <v/>
      </c>
      <c r="H163" s="17" t="n">
        <v>120</v>
      </c>
      <c r="I163" s="17" t="n">
        <v>4</v>
      </c>
      <c r="J163" s="17" t="n">
        <v>1</v>
      </c>
      <c r="K163" s="17" t="inlineStr">
        <is>
          <t>Tinggi</t>
        </is>
      </c>
    </row>
    <row r="164" s="1">
      <c r="A164" s="17">
        <f>RANDBETWEEN(2,164)</f>
        <v/>
      </c>
      <c r="B164" s="17">
        <f t="array" ref="B164">INDEX(Data_DBD!$C:$C,$A164)</f>
        <v/>
      </c>
      <c r="C164" s="17">
        <f t="array" ref="C164">INDEX(Data_DBD!$E:$E,$A164)</f>
        <v/>
      </c>
      <c r="D164" s="17">
        <f t="array" ref="D164">INDEX(Data_DBD!$F:$F,$A164)</f>
        <v/>
      </c>
      <c r="H164" s="17" t="n">
        <v>132</v>
      </c>
      <c r="I164" s="17" t="n">
        <v>3</v>
      </c>
      <c r="J164" s="17" t="n">
        <v>1</v>
      </c>
      <c r="K164" s="17" t="inlineStr">
        <is>
          <t>Tinggi</t>
        </is>
      </c>
    </row>
    <row r="165" s="1">
      <c r="I165">
        <f>AVERAGE(I2:I164)</f>
        <v/>
      </c>
      <c r="J165">
        <f>AVERAGE(J2:J164)</f>
        <v/>
      </c>
    </row>
    <row r="166" s="1">
      <c r="B166" t="n">
        <v>55</v>
      </c>
    </row>
    <row r="168" s="1">
      <c r="I168" s="21" t="inlineStr">
        <is>
          <t>LAMA RAWAT INAP</t>
        </is>
      </c>
      <c r="M168" s="21" t="inlineStr">
        <is>
          <t>JENIS KELAMIN</t>
        </is>
      </c>
    </row>
    <row r="169" s="1">
      <c r="I169" s="17" t="inlineStr">
        <is>
          <t>Lama rawat inap</t>
        </is>
      </c>
      <c r="J169" s="17">
        <f>AVERAGEIF($I$2:$I$164,"&lt;="&amp;$I$165)</f>
        <v/>
      </c>
      <c r="K169" s="17">
        <f>AVERAGEIF($I$2:$I$164,"&gt;"&amp;$I$165)</f>
        <v/>
      </c>
      <c r="M169" s="17" t="inlineStr">
        <is>
          <t>Jenis kelamin</t>
        </is>
      </c>
      <c r="N169" s="17">
        <f>AVERAGEIF($J$2:$J$164,"&lt;="&amp;$J$165)</f>
        <v/>
      </c>
      <c r="O169" s="17">
        <f>AVERAGEIF($J$2:$J$164,"&gt;"&amp;$J$165)</f>
        <v/>
      </c>
    </row>
    <row r="170" s="1">
      <c r="I170" s="17">
        <f t="array" ref="I170:I332">IF($I$2:$I$164&lt;$J$169,"kiri",IF($I$2:$I$164&lt;$K$169,"tengah","kanan"))</f>
        <v/>
      </c>
      <c r="J170" s="17" t="inlineStr">
        <is>
          <t>Kanan &gt; 4.48</t>
        </is>
      </c>
      <c r="K170" s="17" t="n"/>
      <c r="M170" s="17">
        <f t="array" ref="M170:M332">IF($J$2:$J$164&lt;$N$169,"kiri",IF($J$2:$J$164&lt;$O$169,"tengah","kanan"))</f>
        <v/>
      </c>
      <c r="N170" s="17" t="inlineStr">
        <is>
          <t>Kanan &gt; 1</t>
        </is>
      </c>
      <c r="O170" s="17" t="n"/>
    </row>
    <row r="171" s="1">
      <c r="I171" s="17" t="inlineStr">
        <is>
          <t>tengah</t>
        </is>
      </c>
      <c r="J171" s="17">
        <f>COUNTIFS($I$170:$I$332,"Kanan",$K$2:$K$164,"Tinggi")</f>
        <v/>
      </c>
      <c r="K171" s="17">
        <f>J171/27</f>
        <v/>
      </c>
      <c r="M171" s="17" t="inlineStr">
        <is>
          <t>kanan</t>
        </is>
      </c>
      <c r="N171" s="17">
        <f>COUNTIFS($M$170:$M$332,"Kanan",$K$2:$K$164,"Tinggi")</f>
        <v/>
      </c>
      <c r="O171" s="17">
        <f>N171/94</f>
        <v/>
      </c>
    </row>
    <row r="172" s="1">
      <c r="I172" s="17" t="inlineStr">
        <is>
          <t>tengah</t>
        </is>
      </c>
      <c r="J172" s="17">
        <f>COUNTIFS($I$170:$I$332,"Kanan",$K$2:$K$164,"Sedang")</f>
        <v/>
      </c>
      <c r="K172" s="17">
        <f>J172/27</f>
        <v/>
      </c>
      <c r="M172" s="17" t="inlineStr">
        <is>
          <t>tengah</t>
        </is>
      </c>
      <c r="N172" s="17">
        <f>COUNTIFS($M$170:$M$332,"Kanan",$K$2:$K$164,"Sedang")</f>
        <v/>
      </c>
      <c r="O172" s="17">
        <f>N172/94</f>
        <v/>
      </c>
    </row>
    <row r="173" s="1">
      <c r="I173" s="17" t="inlineStr">
        <is>
          <t>tengah</t>
        </is>
      </c>
      <c r="J173" s="17">
        <f>COUNTIFS($I$170:$I$332,"Kanan",$K$2:$K$164,"Rendah")</f>
        <v/>
      </c>
      <c r="K173" s="17">
        <f>J173/27</f>
        <v/>
      </c>
      <c r="M173" s="17" t="inlineStr">
        <is>
          <t>tengah</t>
        </is>
      </c>
      <c r="N173" s="17">
        <f>COUNTIFS($M$170:$M$332,"Kanan",$K$2:$K$164,"Rendah")</f>
        <v/>
      </c>
      <c r="O173" s="17">
        <f>N173/94</f>
        <v/>
      </c>
    </row>
    <row r="174" s="1">
      <c r="I174" s="17" t="inlineStr">
        <is>
          <t>kanan</t>
        </is>
      </c>
      <c r="J174" s="17" t="inlineStr">
        <is>
          <t>Entropy</t>
        </is>
      </c>
      <c r="K174" s="17">
        <f>-(IFERROR(K171*LOG(K171,2),0)+IFERROR(K172*LOG(K172,2),0)+IFERROR(K173*LOG(K173,2),0))</f>
        <v/>
      </c>
      <c r="M174" s="17" t="inlineStr">
        <is>
          <t>tengah</t>
        </is>
      </c>
      <c r="N174" s="17" t="inlineStr">
        <is>
          <t>Entropy</t>
        </is>
      </c>
      <c r="O174" s="17">
        <f>-(IFERROR(O171*LOG(O171,2),0)+IFERROR(O172*LOG(O172,2),0)+IFERROR(O173*LOG(O173,2),0))</f>
        <v/>
      </c>
    </row>
    <row r="175" s="1">
      <c r="I175" s="17" t="inlineStr">
        <is>
          <t>tengah</t>
        </is>
      </c>
      <c r="J175" s="17" t="n"/>
      <c r="K175" s="17">
        <f>SUM(J171:J173)/163</f>
        <v/>
      </c>
      <c r="M175" s="17" t="inlineStr">
        <is>
          <t>tengah</t>
        </is>
      </c>
      <c r="N175" s="17" t="n"/>
      <c r="O175" s="17">
        <f>SUM(N171:N173)/163</f>
        <v/>
      </c>
    </row>
    <row r="176" s="1">
      <c r="I176" s="17" t="inlineStr">
        <is>
          <t>tengah</t>
        </is>
      </c>
      <c r="J176" s="17" t="n"/>
      <c r="K176" s="23">
        <f>K174*K175</f>
        <v/>
      </c>
      <c r="M176" s="17" t="inlineStr">
        <is>
          <t>tengah</t>
        </is>
      </c>
      <c r="N176" s="17" t="n"/>
      <c r="O176" s="23">
        <f>O174*O175</f>
        <v/>
      </c>
    </row>
    <row r="177" s="1">
      <c r="I177" s="17" t="inlineStr">
        <is>
          <t>tengah</t>
        </is>
      </c>
      <c r="J177" s="17" t="n"/>
      <c r="K177" s="17" t="n"/>
      <c r="M177" s="17" t="inlineStr">
        <is>
          <t>tengah</t>
        </is>
      </c>
      <c r="N177" s="17" t="n"/>
      <c r="O177" s="17" t="n"/>
    </row>
    <row r="178" s="1">
      <c r="I178" s="17" t="inlineStr">
        <is>
          <t>kanan</t>
        </is>
      </c>
      <c r="J178" s="17" t="n"/>
      <c r="K178" s="17" t="n"/>
      <c r="M178" s="17" t="inlineStr">
        <is>
          <t>tengah</t>
        </is>
      </c>
      <c r="N178" s="17" t="n"/>
      <c r="O178" s="17" t="n"/>
    </row>
    <row r="179" s="1">
      <c r="I179" s="17" t="inlineStr">
        <is>
          <t>kanan</t>
        </is>
      </c>
      <c r="J179" s="17" t="inlineStr">
        <is>
          <t>Kiri&lt;2.44</t>
        </is>
      </c>
      <c r="K179" s="17" t="n"/>
      <c r="M179" s="17" t="inlineStr">
        <is>
          <t>tengah</t>
        </is>
      </c>
      <c r="N179" s="17" t="inlineStr">
        <is>
          <t>Kiri&lt;0</t>
        </is>
      </c>
      <c r="O179" s="17" t="n"/>
    </row>
    <row r="180" s="1">
      <c r="I180" s="17" t="inlineStr">
        <is>
          <t>tengah</t>
        </is>
      </c>
      <c r="J180" s="17">
        <f>COUNTIFS($I$170:$I$332,"Kiri",$K$2:$K$164,"Tinggi")</f>
        <v/>
      </c>
      <c r="K180" s="17">
        <f>J180/42</f>
        <v/>
      </c>
      <c r="M180" s="17" t="inlineStr">
        <is>
          <t>kanan</t>
        </is>
      </c>
      <c r="N180" s="17">
        <f>COUNTIFS($N$170:$N$332,"Kiri",$K$2:$K$164,"Tinggi")</f>
        <v/>
      </c>
      <c r="O180" s="17">
        <f>N180/57</f>
        <v/>
      </c>
    </row>
    <row r="181" s="1">
      <c r="I181" s="17" t="inlineStr">
        <is>
          <t>kiri</t>
        </is>
      </c>
      <c r="J181" s="17">
        <f>COUNTIFS($I$170:$I$332,"Kiri",$K$2:$K$164,"Sedang")</f>
        <v/>
      </c>
      <c r="K181" s="17">
        <f>J181/42</f>
        <v/>
      </c>
      <c r="M181" s="17" t="inlineStr">
        <is>
          <t>tengah</t>
        </is>
      </c>
      <c r="N181" s="17">
        <f>COUNTIFS($N$170:$N$332,"Kiri",$K$2:$K$164,"Sedang")</f>
        <v/>
      </c>
      <c r="O181" s="17">
        <f>N181/57</f>
        <v/>
      </c>
    </row>
    <row r="182" s="1">
      <c r="I182" s="17" t="inlineStr">
        <is>
          <t>kanan</t>
        </is>
      </c>
      <c r="J182" s="17">
        <f>COUNTIFS($I$170:$I$332,"Kiri",$K$2:$K$164,"Rendah")</f>
        <v/>
      </c>
      <c r="K182" s="17">
        <f>J182/42</f>
        <v/>
      </c>
      <c r="M182" s="17" t="inlineStr">
        <is>
          <t>kanan</t>
        </is>
      </c>
      <c r="N182" s="17">
        <f>COUNTIFS($N$170:$N$332,"Kiri",$K$2:$K$164,"Rendah")</f>
        <v/>
      </c>
      <c r="O182" s="17">
        <f>N182/57</f>
        <v/>
      </c>
    </row>
    <row r="183" s="1">
      <c r="I183" s="17" t="inlineStr">
        <is>
          <t>kiri</t>
        </is>
      </c>
      <c r="J183" s="17" t="inlineStr">
        <is>
          <t>Entropy</t>
        </is>
      </c>
      <c r="K183" s="17">
        <f>-(IFERROR(K180*LOG(K180,2),0)+IFERROR(K181*LOG(K181,2),0)+IFERROR(K182*LOG(K182,2),0))</f>
        <v/>
      </c>
      <c r="M183" s="17" t="inlineStr">
        <is>
          <t>kanan</t>
        </is>
      </c>
      <c r="N183" s="17" t="inlineStr">
        <is>
          <t>Entropy</t>
        </is>
      </c>
      <c r="O183" s="17">
        <f>-(IFERROR(O180*LOG(O180,2),0)+IFERROR(O181*LOG(O181,2),0)+IFERROR(O182*LOG(O182,2),0))</f>
        <v/>
      </c>
    </row>
    <row r="184" s="1">
      <c r="I184" s="17" t="inlineStr">
        <is>
          <t>kiri</t>
        </is>
      </c>
      <c r="J184" s="17" t="n"/>
      <c r="K184" s="17">
        <f>SUM(J180:J182)/163</f>
        <v/>
      </c>
      <c r="M184" s="17" t="inlineStr">
        <is>
          <t>kanan</t>
        </is>
      </c>
      <c r="N184" s="17" t="n"/>
      <c r="O184" s="17">
        <f>SUM(N180:N182)/163</f>
        <v/>
      </c>
    </row>
    <row r="185" s="1">
      <c r="I185" s="17" t="inlineStr">
        <is>
          <t>kiri</t>
        </is>
      </c>
      <c r="J185" s="17" t="n"/>
      <c r="K185" s="23">
        <f>K183*K184</f>
        <v/>
      </c>
      <c r="M185" s="17" t="inlineStr">
        <is>
          <t>tengah</t>
        </is>
      </c>
      <c r="N185" s="17" t="n"/>
      <c r="O185" s="23">
        <f>O183*O184</f>
        <v/>
      </c>
    </row>
    <row r="186" s="1">
      <c r="I186" s="17" t="inlineStr">
        <is>
          <t>tengah</t>
        </is>
      </c>
      <c r="J186" s="17" t="n"/>
      <c r="K186" s="17" t="n"/>
      <c r="M186" s="17" t="inlineStr">
        <is>
          <t>tengah</t>
        </is>
      </c>
      <c r="N186" s="17" t="n"/>
      <c r="O186" s="17" t="n"/>
    </row>
    <row r="187" s="1">
      <c r="I187" s="17" t="inlineStr">
        <is>
          <t>kiri</t>
        </is>
      </c>
      <c r="J187" s="17" t="n"/>
      <c r="K187" s="17" t="n"/>
      <c r="M187" s="17" t="inlineStr">
        <is>
          <t>kanan</t>
        </is>
      </c>
      <c r="N187" s="17" t="n"/>
      <c r="O187" s="17" t="n"/>
    </row>
    <row r="188" s="1">
      <c r="I188" s="17" t="inlineStr">
        <is>
          <t>tengah</t>
        </is>
      </c>
      <c r="J188" s="17" t="inlineStr">
        <is>
          <t>Tengah</t>
        </is>
      </c>
      <c r="K188" s="17" t="n"/>
      <c r="M188" s="17" t="inlineStr">
        <is>
          <t>tengah</t>
        </is>
      </c>
      <c r="N188" s="17" t="inlineStr">
        <is>
          <t>Tengah</t>
        </is>
      </c>
      <c r="O188" s="17" t="n"/>
    </row>
    <row r="189" s="1">
      <c r="I189" s="17" t="inlineStr">
        <is>
          <t>tengah</t>
        </is>
      </c>
      <c r="J189" s="17">
        <f>COUNTIFS($I$170:$I$332,"Tengah",$K$2:$K$164,"Tinggi")</f>
        <v/>
      </c>
      <c r="K189" s="17">
        <f>J189/94</f>
        <v/>
      </c>
      <c r="M189" s="17" t="inlineStr">
        <is>
          <t>tengah</t>
        </is>
      </c>
      <c r="N189" s="17">
        <f>COUNTIFS($M$170:$M$332,"Tengah",$K$2:$K$164,"Tinggi")</f>
        <v/>
      </c>
      <c r="O189" s="17">
        <f>N189/69</f>
        <v/>
      </c>
    </row>
    <row r="190" s="1">
      <c r="I190" s="17" t="inlineStr">
        <is>
          <t>tengah</t>
        </is>
      </c>
      <c r="J190" s="17">
        <f>COUNTIFS($I$170:$I$332,"Tengah",$K$2:$K$164,"Sedang")</f>
        <v/>
      </c>
      <c r="K190" s="17">
        <f>J190/94</f>
        <v/>
      </c>
      <c r="M190" s="17" t="inlineStr">
        <is>
          <t>tengah</t>
        </is>
      </c>
      <c r="N190" s="17">
        <f>COUNTIFS($M$170:$M$332,"Tengah",$K$2:$K$164,"Sedang")</f>
        <v/>
      </c>
      <c r="O190" s="17">
        <f>N190/69</f>
        <v/>
      </c>
    </row>
    <row r="191" s="1">
      <c r="I191" s="17" t="inlineStr">
        <is>
          <t>kiri</t>
        </is>
      </c>
      <c r="J191" s="17">
        <f>COUNTIFS($I$170:$I$332,"Tengah",$K$2:$K$164,"Rendah")</f>
        <v/>
      </c>
      <c r="K191" s="17">
        <f>J191/94</f>
        <v/>
      </c>
      <c r="M191" s="17" t="inlineStr">
        <is>
          <t>kanan</t>
        </is>
      </c>
      <c r="N191" s="17">
        <f>COUNTIFS($M$170:$M$332,"Tengah",$K$2:$K$164,"Rendah")</f>
        <v/>
      </c>
      <c r="O191" s="17">
        <f>N191/69</f>
        <v/>
      </c>
    </row>
    <row r="192" s="1">
      <c r="I192" s="17" t="inlineStr">
        <is>
          <t>kanan</t>
        </is>
      </c>
      <c r="J192" s="17" t="inlineStr">
        <is>
          <t>Entropy</t>
        </is>
      </c>
      <c r="K192" s="17">
        <f>-(IFERROR(K189*LOG(K189,2),0)+IFERROR(K190*LOG(K190,2),0)+IFERROR(K191*LOG(K191,2),0))</f>
        <v/>
      </c>
      <c r="M192" s="17" t="inlineStr">
        <is>
          <t>tengah</t>
        </is>
      </c>
      <c r="N192" s="17" t="inlineStr">
        <is>
          <t>Entropy</t>
        </is>
      </c>
      <c r="O192" s="17">
        <f>-(IFERROR(O189*LOG(O189,2),0)+IFERROR(O190*LOG(O190,2),0)+IFERROR(O191*LOG(O191,2),0))</f>
        <v/>
      </c>
    </row>
    <row r="193" s="1">
      <c r="I193" s="17" t="inlineStr">
        <is>
          <t>tengah</t>
        </is>
      </c>
      <c r="J193" s="17" t="n"/>
      <c r="K193" s="17">
        <f>SUM(J189:J191)/163</f>
        <v/>
      </c>
      <c r="M193" s="17" t="inlineStr">
        <is>
          <t>tengah</t>
        </is>
      </c>
      <c r="N193" s="17" t="n"/>
      <c r="O193" s="17">
        <f>SUM(N189:N191)/163</f>
        <v/>
      </c>
    </row>
    <row r="194" s="1">
      <c r="I194" s="17" t="inlineStr">
        <is>
          <t>tengah</t>
        </is>
      </c>
      <c r="J194" s="17" t="n"/>
      <c r="K194" s="23">
        <f>K192*K193</f>
        <v/>
      </c>
      <c r="M194" s="17" t="inlineStr">
        <is>
          <t>kanan</t>
        </is>
      </c>
      <c r="N194" s="17" t="n"/>
      <c r="O194" s="23">
        <f>O192*O193</f>
        <v/>
      </c>
    </row>
    <row r="195" s="1">
      <c r="I195" s="17" t="inlineStr">
        <is>
          <t>tengah</t>
        </is>
      </c>
      <c r="J195" s="17" t="n"/>
      <c r="K195" s="17" t="n"/>
      <c r="M195" s="17" t="inlineStr">
        <is>
          <t>tengah</t>
        </is>
      </c>
      <c r="N195" s="17" t="n"/>
      <c r="O195" s="17" t="n"/>
    </row>
    <row r="196" s="1">
      <c r="I196" s="17" t="inlineStr">
        <is>
          <t>tengah</t>
        </is>
      </c>
      <c r="J196" s="17" t="inlineStr">
        <is>
          <t>IG</t>
        </is>
      </c>
      <c r="K196" s="17" t="n"/>
      <c r="M196" s="17" t="inlineStr">
        <is>
          <t>kanan</t>
        </is>
      </c>
      <c r="N196" s="17" t="inlineStr">
        <is>
          <t>IG</t>
        </is>
      </c>
      <c r="O196" s="17" t="n"/>
    </row>
    <row r="197" s="1">
      <c r="I197" s="17" t="inlineStr">
        <is>
          <t>tengah</t>
        </is>
      </c>
      <c r="J197" s="24">
        <f>P5-(K176+K185+K194)</f>
        <v/>
      </c>
      <c r="K197" s="17" t="n"/>
      <c r="M197" s="17" t="inlineStr">
        <is>
          <t>kanan</t>
        </is>
      </c>
      <c r="N197" s="24">
        <f>P5-(O176+O185+O194)</f>
        <v/>
      </c>
      <c r="O197" s="17" t="n"/>
    </row>
    <row r="198" s="1">
      <c r="I198" s="17" t="inlineStr">
        <is>
          <t>tengah</t>
        </is>
      </c>
      <c r="J198" s="17" t="n"/>
      <c r="K198" s="17" t="n"/>
      <c r="M198" s="17" t="inlineStr">
        <is>
          <t>tengah</t>
        </is>
      </c>
      <c r="N198" s="17" t="n"/>
      <c r="O198" s="17" t="n"/>
    </row>
    <row r="199" s="1">
      <c r="I199" s="17" t="inlineStr">
        <is>
          <t>kiri</t>
        </is>
      </c>
      <c r="J199" s="17" t="n"/>
      <c r="K199" s="17" t="n"/>
      <c r="M199" s="17" t="inlineStr">
        <is>
          <t>kanan</t>
        </is>
      </c>
      <c r="N199" s="17" t="n"/>
      <c r="O199" s="17" t="n"/>
    </row>
    <row r="200" s="1">
      <c r="I200" s="17" t="inlineStr">
        <is>
          <t>kiri</t>
        </is>
      </c>
      <c r="J200" s="17" t="n"/>
      <c r="K200" s="17" t="n"/>
      <c r="M200" s="17" t="inlineStr">
        <is>
          <t>kanan</t>
        </is>
      </c>
      <c r="N200" s="17" t="n"/>
      <c r="O200" s="17" t="n"/>
    </row>
    <row r="201" s="1">
      <c r="I201" s="17" t="inlineStr">
        <is>
          <t>tengah</t>
        </is>
      </c>
      <c r="J201" s="17" t="n"/>
      <c r="K201" s="17" t="n"/>
      <c r="M201" s="17" t="inlineStr">
        <is>
          <t>kanan</t>
        </is>
      </c>
      <c r="N201" s="17" t="n"/>
      <c r="O201" s="17" t="n"/>
    </row>
    <row r="202" s="1">
      <c r="I202" s="17" t="inlineStr">
        <is>
          <t>kiri</t>
        </is>
      </c>
      <c r="J202" s="17" t="n"/>
      <c r="K202" s="17" t="n"/>
      <c r="M202" s="17" t="inlineStr">
        <is>
          <t>tengah</t>
        </is>
      </c>
      <c r="N202" s="17" t="n"/>
      <c r="O202" s="17" t="n"/>
    </row>
    <row r="203" s="1">
      <c r="I203" s="17" t="inlineStr">
        <is>
          <t>tengah</t>
        </is>
      </c>
      <c r="J203" s="17" t="n"/>
      <c r="K203" s="17" t="n"/>
      <c r="M203" s="17" t="inlineStr">
        <is>
          <t>kanan</t>
        </is>
      </c>
      <c r="N203" s="17" t="n"/>
      <c r="O203" s="17" t="n"/>
    </row>
    <row r="204" s="1">
      <c r="I204" s="17" t="inlineStr">
        <is>
          <t>kiri</t>
        </is>
      </c>
      <c r="J204" s="17" t="n"/>
      <c r="K204" s="17" t="n"/>
      <c r="M204" s="17" t="inlineStr">
        <is>
          <t>kanan</t>
        </is>
      </c>
      <c r="N204" s="17" t="n"/>
      <c r="O204" s="17" t="n"/>
    </row>
    <row r="205" s="1">
      <c r="I205" s="17" t="inlineStr">
        <is>
          <t>tengah</t>
        </is>
      </c>
      <c r="J205" s="17" t="n"/>
      <c r="K205" s="17" t="n"/>
      <c r="M205" s="17" t="inlineStr">
        <is>
          <t>tengah</t>
        </is>
      </c>
      <c r="N205" s="17" t="n"/>
      <c r="O205" s="17" t="n"/>
    </row>
    <row r="206" s="1">
      <c r="I206" s="17" t="inlineStr">
        <is>
          <t>kiri</t>
        </is>
      </c>
      <c r="J206" s="17" t="n"/>
      <c r="K206" s="17" t="n"/>
      <c r="M206" s="17" t="inlineStr">
        <is>
          <t>kanan</t>
        </is>
      </c>
      <c r="N206" s="17" t="n"/>
      <c r="O206" s="17" t="n"/>
    </row>
    <row r="207" s="1">
      <c r="I207" s="17" t="inlineStr">
        <is>
          <t>tengah</t>
        </is>
      </c>
      <c r="J207" s="17" t="n"/>
      <c r="K207" s="17" t="n"/>
      <c r="M207" s="17" t="inlineStr">
        <is>
          <t>tengah</t>
        </is>
      </c>
      <c r="N207" s="17" t="n"/>
      <c r="O207" s="17" t="n"/>
    </row>
    <row r="208" s="1">
      <c r="I208" s="17" t="inlineStr">
        <is>
          <t>tengah</t>
        </is>
      </c>
      <c r="J208" s="17" t="n"/>
      <c r="K208" s="17" t="n"/>
      <c r="M208" s="17" t="inlineStr">
        <is>
          <t>tengah</t>
        </is>
      </c>
      <c r="N208" s="17" t="n"/>
      <c r="O208" s="17" t="n"/>
    </row>
    <row r="209" s="1">
      <c r="I209" s="17" t="inlineStr">
        <is>
          <t>kanan</t>
        </is>
      </c>
      <c r="J209" s="17" t="n"/>
      <c r="K209" s="17" t="n"/>
      <c r="M209" s="17" t="inlineStr">
        <is>
          <t>tengah</t>
        </is>
      </c>
      <c r="N209" s="17" t="n"/>
      <c r="O209" s="17" t="n"/>
    </row>
    <row r="210" s="1">
      <c r="I210" s="17" t="inlineStr">
        <is>
          <t>tengah</t>
        </is>
      </c>
      <c r="J210" s="17" t="n"/>
      <c r="K210" s="17" t="n"/>
      <c r="M210" s="17" t="inlineStr">
        <is>
          <t>tengah</t>
        </is>
      </c>
      <c r="N210" s="17" t="n"/>
      <c r="O210" s="17" t="n"/>
    </row>
    <row r="211" s="1">
      <c r="I211" s="17" t="inlineStr">
        <is>
          <t>kiri</t>
        </is>
      </c>
      <c r="J211" s="17" t="n"/>
      <c r="K211" s="17" t="n"/>
      <c r="M211" s="17" t="inlineStr">
        <is>
          <t>tengah</t>
        </is>
      </c>
      <c r="N211" s="17" t="n"/>
      <c r="O211" s="17" t="n"/>
    </row>
    <row r="212" s="1">
      <c r="I212" s="17" t="inlineStr">
        <is>
          <t>kiri</t>
        </is>
      </c>
      <c r="J212" s="17" t="n"/>
      <c r="K212" s="17" t="n"/>
      <c r="M212" s="17" t="inlineStr">
        <is>
          <t>kanan</t>
        </is>
      </c>
      <c r="N212" s="17" t="n"/>
      <c r="O212" s="17" t="n"/>
    </row>
    <row r="213" s="1">
      <c r="I213" s="17" t="inlineStr">
        <is>
          <t>tengah</t>
        </is>
      </c>
      <c r="J213" s="17" t="n"/>
      <c r="K213" s="17" t="n"/>
      <c r="M213" s="17" t="inlineStr">
        <is>
          <t>kanan</t>
        </is>
      </c>
      <c r="N213" s="17" t="n"/>
      <c r="O213" s="17" t="n"/>
    </row>
    <row r="214" s="1">
      <c r="I214" s="17" t="inlineStr">
        <is>
          <t>kanan</t>
        </is>
      </c>
      <c r="J214" s="17" t="n"/>
      <c r="K214" s="17" t="n"/>
      <c r="M214" s="17" t="inlineStr">
        <is>
          <t>kanan</t>
        </is>
      </c>
      <c r="N214" s="17" t="n"/>
      <c r="O214" s="17" t="n"/>
    </row>
    <row r="215" s="1">
      <c r="I215" s="17" t="inlineStr">
        <is>
          <t>tengah</t>
        </is>
      </c>
      <c r="J215" s="17" t="n"/>
      <c r="K215" s="17" t="n"/>
      <c r="M215" s="17" t="inlineStr">
        <is>
          <t>tengah</t>
        </is>
      </c>
      <c r="N215" s="17" t="n"/>
      <c r="O215" s="17" t="n"/>
    </row>
    <row r="216" s="1">
      <c r="I216" s="17" t="inlineStr">
        <is>
          <t>tengah</t>
        </is>
      </c>
      <c r="J216" s="17" t="n"/>
      <c r="K216" s="17" t="n"/>
      <c r="M216" s="17" t="inlineStr">
        <is>
          <t>kanan</t>
        </is>
      </c>
      <c r="N216" s="17" t="n"/>
      <c r="O216" s="17" t="n"/>
    </row>
    <row r="217" s="1">
      <c r="I217" s="17" t="inlineStr">
        <is>
          <t>tengah</t>
        </is>
      </c>
      <c r="J217" s="17" t="n"/>
      <c r="K217" s="17" t="n"/>
      <c r="M217" s="17" t="inlineStr">
        <is>
          <t>kanan</t>
        </is>
      </c>
      <c r="N217" s="17" t="n"/>
      <c r="O217" s="17" t="n"/>
    </row>
    <row r="218" s="1">
      <c r="I218" s="17" t="inlineStr">
        <is>
          <t>kiri</t>
        </is>
      </c>
      <c r="J218" s="17" t="n"/>
      <c r="K218" s="17" t="n"/>
      <c r="M218" s="17" t="inlineStr">
        <is>
          <t>kanan</t>
        </is>
      </c>
      <c r="N218" s="17" t="n"/>
      <c r="O218" s="17" t="n"/>
    </row>
    <row r="219" s="1">
      <c r="I219" s="17" t="inlineStr">
        <is>
          <t>tengah</t>
        </is>
      </c>
      <c r="J219" s="17" t="n"/>
      <c r="K219" s="17" t="n"/>
      <c r="M219" s="17" t="inlineStr">
        <is>
          <t>kanan</t>
        </is>
      </c>
      <c r="N219" s="17" t="n"/>
      <c r="O219" s="17" t="n"/>
    </row>
    <row r="220" s="1">
      <c r="I220" s="17" t="inlineStr">
        <is>
          <t>kiri</t>
        </is>
      </c>
      <c r="J220" s="17" t="n"/>
      <c r="K220" s="17" t="n"/>
      <c r="M220" s="17" t="inlineStr">
        <is>
          <t>kanan</t>
        </is>
      </c>
      <c r="N220" s="17" t="n"/>
      <c r="O220" s="17" t="n"/>
    </row>
    <row r="221" s="1">
      <c r="I221" s="17" t="inlineStr">
        <is>
          <t>kiri</t>
        </is>
      </c>
      <c r="J221" s="17" t="n"/>
      <c r="K221" s="17" t="n"/>
      <c r="M221" s="17" t="inlineStr">
        <is>
          <t>kanan</t>
        </is>
      </c>
      <c r="N221" s="17" t="n"/>
      <c r="O221" s="17" t="n"/>
    </row>
    <row r="222" s="1">
      <c r="I222" s="17" t="inlineStr">
        <is>
          <t>tengah</t>
        </is>
      </c>
      <c r="J222" s="17" t="n"/>
      <c r="K222" s="17" t="n"/>
      <c r="M222" s="17" t="inlineStr">
        <is>
          <t>tengah</t>
        </is>
      </c>
      <c r="N222" s="17" t="n"/>
      <c r="O222" s="17" t="n"/>
    </row>
    <row r="223" s="1">
      <c r="I223" s="17" t="inlineStr">
        <is>
          <t>kanan</t>
        </is>
      </c>
      <c r="J223" s="17" t="n"/>
      <c r="K223" s="17" t="n"/>
      <c r="M223" s="17" t="inlineStr">
        <is>
          <t>kanan</t>
        </is>
      </c>
      <c r="N223" s="17" t="n"/>
      <c r="O223" s="17" t="n"/>
    </row>
    <row r="224" s="1">
      <c r="I224" s="17" t="inlineStr">
        <is>
          <t>tengah</t>
        </is>
      </c>
      <c r="J224" s="17" t="n"/>
      <c r="K224" s="17" t="n"/>
      <c r="M224" s="17" t="inlineStr">
        <is>
          <t>kanan</t>
        </is>
      </c>
      <c r="N224" s="17" t="n"/>
      <c r="O224" s="17" t="n"/>
    </row>
    <row r="225" s="1">
      <c r="I225" s="17" t="inlineStr">
        <is>
          <t>kiri</t>
        </is>
      </c>
      <c r="J225" s="17" t="n"/>
      <c r="K225" s="17" t="n"/>
      <c r="M225" s="17" t="inlineStr">
        <is>
          <t>kanan</t>
        </is>
      </c>
      <c r="N225" s="17" t="n"/>
      <c r="O225" s="17" t="n"/>
    </row>
    <row r="226" s="1">
      <c r="I226" s="17" t="inlineStr">
        <is>
          <t>tengah</t>
        </is>
      </c>
      <c r="J226" s="17" t="n"/>
      <c r="K226" s="17" t="n"/>
      <c r="M226" s="17" t="inlineStr">
        <is>
          <t>tengah</t>
        </is>
      </c>
      <c r="N226" s="17" t="n"/>
      <c r="O226" s="17" t="n"/>
    </row>
    <row r="227" s="1">
      <c r="I227" s="17" t="inlineStr">
        <is>
          <t>tengah</t>
        </is>
      </c>
      <c r="J227" s="17" t="n"/>
      <c r="K227" s="17" t="n"/>
      <c r="M227" s="17" t="inlineStr">
        <is>
          <t>kanan</t>
        </is>
      </c>
      <c r="N227" s="17" t="n"/>
      <c r="O227" s="17" t="n"/>
    </row>
    <row r="228" s="1">
      <c r="I228" s="17" t="inlineStr">
        <is>
          <t>kiri</t>
        </is>
      </c>
      <c r="J228" s="17" t="n"/>
      <c r="K228" s="17" t="n"/>
      <c r="M228" s="17" t="inlineStr">
        <is>
          <t>kanan</t>
        </is>
      </c>
      <c r="N228" s="17" t="n"/>
      <c r="O228" s="17" t="n"/>
    </row>
    <row r="229" s="1">
      <c r="I229" s="17" t="inlineStr">
        <is>
          <t>tengah</t>
        </is>
      </c>
      <c r="J229" s="17" t="n"/>
      <c r="K229" s="17" t="n"/>
      <c r="M229" s="17" t="inlineStr">
        <is>
          <t>kanan</t>
        </is>
      </c>
      <c r="N229" s="17" t="n"/>
      <c r="O229" s="17" t="n"/>
    </row>
    <row r="230" s="1">
      <c r="I230" s="17" t="inlineStr">
        <is>
          <t>kanan</t>
        </is>
      </c>
      <c r="J230" s="17" t="n"/>
      <c r="K230" s="17" t="n"/>
      <c r="M230" s="17" t="inlineStr">
        <is>
          <t>tengah</t>
        </is>
      </c>
      <c r="N230" s="17" t="n"/>
      <c r="O230" s="17" t="n"/>
    </row>
    <row r="231" s="1">
      <c r="I231" s="17" t="inlineStr">
        <is>
          <t>tengah</t>
        </is>
      </c>
      <c r="J231" s="17" t="n"/>
      <c r="K231" s="17" t="n"/>
      <c r="M231" s="17" t="inlineStr">
        <is>
          <t>kanan</t>
        </is>
      </c>
      <c r="N231" s="17" t="n"/>
      <c r="O231" s="17" t="n"/>
    </row>
    <row r="232" s="1">
      <c r="I232" s="17" t="inlineStr">
        <is>
          <t>kanan</t>
        </is>
      </c>
      <c r="J232" s="17" t="n"/>
      <c r="K232" s="17" t="n"/>
      <c r="M232" s="17" t="inlineStr">
        <is>
          <t>kanan</t>
        </is>
      </c>
      <c r="N232" s="17" t="n"/>
      <c r="O232" s="17" t="n"/>
    </row>
    <row r="233" s="1">
      <c r="I233" s="17" t="inlineStr">
        <is>
          <t>tengah</t>
        </is>
      </c>
      <c r="J233" s="17" t="n"/>
      <c r="K233" s="17" t="n"/>
      <c r="M233" s="17" t="inlineStr">
        <is>
          <t>tengah</t>
        </is>
      </c>
      <c r="N233" s="17" t="n"/>
      <c r="O233" s="17" t="n"/>
    </row>
    <row r="234" s="1">
      <c r="I234" s="17" t="inlineStr">
        <is>
          <t>tengah</t>
        </is>
      </c>
      <c r="J234" s="17" t="n"/>
      <c r="K234" s="17" t="n"/>
      <c r="M234" s="17" t="inlineStr">
        <is>
          <t>kanan</t>
        </is>
      </c>
      <c r="N234" s="17" t="n"/>
      <c r="O234" s="17" t="n"/>
    </row>
    <row r="235" s="1">
      <c r="I235" s="17" t="inlineStr">
        <is>
          <t>kanan</t>
        </is>
      </c>
      <c r="J235" s="17" t="n"/>
      <c r="K235" s="17" t="n"/>
      <c r="M235" s="17" t="inlineStr">
        <is>
          <t>tengah</t>
        </is>
      </c>
      <c r="N235" s="17" t="n"/>
      <c r="O235" s="17" t="n"/>
    </row>
    <row r="236" s="1">
      <c r="I236" s="17" t="inlineStr">
        <is>
          <t>tengah</t>
        </is>
      </c>
      <c r="J236" s="17" t="n"/>
      <c r="K236" s="17" t="n"/>
      <c r="M236" s="17" t="inlineStr">
        <is>
          <t>tengah</t>
        </is>
      </c>
      <c r="N236" s="17" t="n"/>
      <c r="O236" s="17" t="n"/>
    </row>
    <row r="237" s="1">
      <c r="I237" s="17" t="inlineStr">
        <is>
          <t>kiri</t>
        </is>
      </c>
      <c r="J237" s="17" t="n"/>
      <c r="K237" s="17" t="n"/>
      <c r="M237" s="17" t="inlineStr">
        <is>
          <t>kanan</t>
        </is>
      </c>
      <c r="N237" s="17" t="n"/>
      <c r="O237" s="17" t="n"/>
    </row>
    <row r="238" s="1">
      <c r="I238" s="17" t="inlineStr">
        <is>
          <t>kiri</t>
        </is>
      </c>
      <c r="J238" s="17" t="n"/>
      <c r="K238" s="17" t="n"/>
      <c r="M238" s="17" t="inlineStr">
        <is>
          <t>tengah</t>
        </is>
      </c>
      <c r="N238" s="17" t="n"/>
      <c r="O238" s="17" t="n"/>
    </row>
    <row r="239" s="1">
      <c r="I239" s="17" t="inlineStr">
        <is>
          <t>tengah</t>
        </is>
      </c>
      <c r="J239" s="17" t="n"/>
      <c r="K239" s="17" t="n"/>
      <c r="M239" s="17" t="inlineStr">
        <is>
          <t>kanan</t>
        </is>
      </c>
      <c r="N239" s="17" t="n"/>
      <c r="O239" s="17" t="n"/>
    </row>
    <row r="240" s="1">
      <c r="I240" s="17" t="inlineStr">
        <is>
          <t>kiri</t>
        </is>
      </c>
      <c r="J240" s="17" t="n"/>
      <c r="K240" s="17" t="n"/>
      <c r="M240" s="17" t="inlineStr">
        <is>
          <t>tengah</t>
        </is>
      </c>
      <c r="N240" s="17" t="n"/>
      <c r="O240" s="17" t="n"/>
    </row>
    <row r="241" s="1">
      <c r="I241" s="17" t="inlineStr">
        <is>
          <t>tengah</t>
        </is>
      </c>
      <c r="J241" s="17" t="n"/>
      <c r="K241" s="17" t="n"/>
      <c r="M241" s="17" t="inlineStr">
        <is>
          <t>tengah</t>
        </is>
      </c>
      <c r="N241" s="17" t="n"/>
      <c r="O241" s="17" t="n"/>
    </row>
    <row r="242" s="1">
      <c r="I242" s="17" t="inlineStr">
        <is>
          <t>kiri</t>
        </is>
      </c>
      <c r="J242" s="17" t="n"/>
      <c r="K242" s="17" t="n"/>
      <c r="M242" s="17" t="inlineStr">
        <is>
          <t>kanan</t>
        </is>
      </c>
      <c r="N242" s="17" t="n"/>
      <c r="O242" s="17" t="n"/>
    </row>
    <row r="243" s="1">
      <c r="I243" s="17" t="inlineStr">
        <is>
          <t>kiri</t>
        </is>
      </c>
      <c r="J243" s="17" t="n"/>
      <c r="K243" s="17" t="n"/>
      <c r="M243" s="17" t="inlineStr">
        <is>
          <t>kanan</t>
        </is>
      </c>
      <c r="N243" s="17" t="n"/>
      <c r="O243" s="17" t="n"/>
    </row>
    <row r="244" s="1">
      <c r="I244" s="17" t="inlineStr">
        <is>
          <t>kiri</t>
        </is>
      </c>
      <c r="J244" s="17" t="n"/>
      <c r="K244" s="17" t="n"/>
      <c r="M244" s="17" t="inlineStr">
        <is>
          <t>kanan</t>
        </is>
      </c>
      <c r="N244" s="17" t="n"/>
      <c r="O244" s="17" t="n"/>
    </row>
    <row r="245" s="1">
      <c r="I245" s="17" t="inlineStr">
        <is>
          <t>kanan</t>
        </is>
      </c>
      <c r="J245" s="17" t="n"/>
      <c r="K245" s="17" t="n"/>
      <c r="M245" s="17" t="inlineStr">
        <is>
          <t>kanan</t>
        </is>
      </c>
      <c r="N245" s="17" t="n"/>
      <c r="O245" s="17" t="n"/>
    </row>
    <row r="246" s="1">
      <c r="I246" s="17" t="inlineStr">
        <is>
          <t>tengah</t>
        </is>
      </c>
      <c r="J246" s="17" t="n"/>
      <c r="K246" s="17" t="n"/>
      <c r="M246" s="17" t="inlineStr">
        <is>
          <t>kanan</t>
        </is>
      </c>
      <c r="N246" s="17" t="n"/>
      <c r="O246" s="17" t="n"/>
    </row>
    <row r="247" s="1">
      <c r="I247" s="17" t="inlineStr">
        <is>
          <t>kanan</t>
        </is>
      </c>
      <c r="J247" s="17" t="n"/>
      <c r="K247" s="17" t="n"/>
      <c r="M247" s="17" t="inlineStr">
        <is>
          <t>kanan</t>
        </is>
      </c>
      <c r="N247" s="17" t="n"/>
      <c r="O247" s="17" t="n"/>
    </row>
    <row r="248" s="1">
      <c r="I248" s="17" t="inlineStr">
        <is>
          <t>tengah</t>
        </is>
      </c>
      <c r="J248" s="17" t="n"/>
      <c r="K248" s="17" t="n"/>
      <c r="M248" s="17" t="inlineStr">
        <is>
          <t>kanan</t>
        </is>
      </c>
      <c r="N248" s="17" t="n"/>
      <c r="O248" s="17" t="n"/>
    </row>
    <row r="249" s="1">
      <c r="I249" s="17" t="inlineStr">
        <is>
          <t>tengah</t>
        </is>
      </c>
      <c r="J249" s="17" t="n"/>
      <c r="K249" s="17" t="n"/>
      <c r="M249" s="17" t="inlineStr">
        <is>
          <t>tengah</t>
        </is>
      </c>
      <c r="N249" s="17" t="n"/>
      <c r="O249" s="17" t="n"/>
    </row>
    <row r="250" s="1">
      <c r="I250" s="17" t="inlineStr">
        <is>
          <t>tengah</t>
        </is>
      </c>
      <c r="J250" s="17" t="n"/>
      <c r="K250" s="17" t="n"/>
      <c r="M250" s="17" t="inlineStr">
        <is>
          <t>kanan</t>
        </is>
      </c>
      <c r="N250" s="17" t="n"/>
      <c r="O250" s="17" t="n"/>
    </row>
    <row r="251" s="1">
      <c r="I251" s="17" t="inlineStr">
        <is>
          <t>kanan</t>
        </is>
      </c>
      <c r="J251" s="17" t="n"/>
      <c r="K251" s="17" t="n"/>
      <c r="M251" s="17" t="inlineStr">
        <is>
          <t>kanan</t>
        </is>
      </c>
      <c r="N251" s="17" t="n"/>
      <c r="O251" s="17" t="n"/>
    </row>
    <row r="252" s="1">
      <c r="I252" s="17" t="inlineStr">
        <is>
          <t>tengah</t>
        </is>
      </c>
      <c r="J252" s="17" t="n"/>
      <c r="K252" s="17" t="n"/>
      <c r="M252" s="17" t="inlineStr">
        <is>
          <t>kanan</t>
        </is>
      </c>
      <c r="N252" s="17" t="n"/>
      <c r="O252" s="17" t="n"/>
    </row>
    <row r="253" s="1">
      <c r="I253" s="17" t="inlineStr">
        <is>
          <t>kanan</t>
        </is>
      </c>
      <c r="J253" s="17" t="n"/>
      <c r="K253" s="17" t="n"/>
      <c r="M253" s="17" t="inlineStr">
        <is>
          <t>kanan</t>
        </is>
      </c>
      <c r="N253" s="17" t="n"/>
      <c r="O253" s="17" t="n"/>
    </row>
    <row r="254" s="1">
      <c r="I254" s="17" t="inlineStr">
        <is>
          <t>kiri</t>
        </is>
      </c>
      <c r="J254" s="17" t="n"/>
      <c r="K254" s="17" t="n"/>
      <c r="M254" s="17" t="inlineStr">
        <is>
          <t>tengah</t>
        </is>
      </c>
      <c r="N254" s="17" t="n"/>
      <c r="O254" s="17" t="n"/>
    </row>
    <row r="255" s="1">
      <c r="I255" s="17" t="inlineStr">
        <is>
          <t>kanan</t>
        </is>
      </c>
      <c r="J255" s="17" t="n"/>
      <c r="K255" s="17" t="n"/>
      <c r="M255" s="17" t="inlineStr">
        <is>
          <t>kanan</t>
        </is>
      </c>
      <c r="N255" s="17" t="n"/>
      <c r="O255" s="17" t="n"/>
    </row>
    <row r="256" s="1">
      <c r="I256" s="17" t="inlineStr">
        <is>
          <t>tengah</t>
        </is>
      </c>
      <c r="J256" s="17" t="n"/>
      <c r="K256" s="17" t="n"/>
      <c r="M256" s="17" t="inlineStr">
        <is>
          <t>tengah</t>
        </is>
      </c>
      <c r="N256" s="17" t="n"/>
      <c r="O256" s="17" t="n"/>
    </row>
    <row r="257" s="1">
      <c r="I257" s="17" t="inlineStr">
        <is>
          <t>tengah</t>
        </is>
      </c>
      <c r="J257" s="17" t="n"/>
      <c r="K257" s="17" t="n"/>
      <c r="M257" s="17" t="inlineStr">
        <is>
          <t>tengah</t>
        </is>
      </c>
      <c r="N257" s="17" t="n"/>
      <c r="O257" s="17" t="n"/>
    </row>
    <row r="258" s="1">
      <c r="I258" s="17" t="inlineStr">
        <is>
          <t>kiri</t>
        </is>
      </c>
      <c r="J258" s="17" t="n"/>
      <c r="K258" s="17" t="n"/>
      <c r="M258" s="17" t="inlineStr">
        <is>
          <t>kanan</t>
        </is>
      </c>
      <c r="N258" s="17" t="n"/>
      <c r="O258" s="17" t="n"/>
    </row>
    <row r="259" s="1">
      <c r="I259" s="17" t="inlineStr">
        <is>
          <t>kiri</t>
        </is>
      </c>
      <c r="J259" s="17" t="n"/>
      <c r="K259" s="17" t="n"/>
      <c r="M259" s="17" t="inlineStr">
        <is>
          <t>tengah</t>
        </is>
      </c>
      <c r="N259" s="17" t="n"/>
      <c r="O259" s="17" t="n"/>
    </row>
    <row r="260" s="1">
      <c r="I260" s="17" t="inlineStr">
        <is>
          <t>kiri</t>
        </is>
      </c>
      <c r="J260" s="17" t="n"/>
      <c r="K260" s="17" t="n"/>
      <c r="M260" s="17" t="inlineStr">
        <is>
          <t>tengah</t>
        </is>
      </c>
      <c r="N260" s="17" t="n"/>
      <c r="O260" s="17" t="n"/>
    </row>
    <row r="261" s="1">
      <c r="I261" s="17" t="inlineStr">
        <is>
          <t>tengah</t>
        </is>
      </c>
      <c r="J261" s="17" t="n"/>
      <c r="K261" s="17" t="n"/>
      <c r="M261" s="17" t="inlineStr">
        <is>
          <t>tengah</t>
        </is>
      </c>
      <c r="N261" s="17" t="n"/>
      <c r="O261" s="17" t="n"/>
    </row>
    <row r="262" s="1">
      <c r="I262" s="17" t="inlineStr">
        <is>
          <t>tengah</t>
        </is>
      </c>
      <c r="J262" s="17" t="n"/>
      <c r="K262" s="17" t="n"/>
      <c r="M262" s="17" t="inlineStr">
        <is>
          <t>kanan</t>
        </is>
      </c>
      <c r="N262" s="17" t="n"/>
      <c r="O262" s="17" t="n"/>
    </row>
    <row r="263" s="1">
      <c r="I263" s="17" t="inlineStr">
        <is>
          <t>tengah</t>
        </is>
      </c>
      <c r="J263" s="17" t="n"/>
      <c r="K263" s="17" t="n"/>
      <c r="M263" s="17" t="inlineStr">
        <is>
          <t>kanan</t>
        </is>
      </c>
      <c r="N263" s="17" t="n"/>
      <c r="O263" s="17" t="n"/>
    </row>
    <row r="264" s="1">
      <c r="I264" s="17" t="inlineStr">
        <is>
          <t>tengah</t>
        </is>
      </c>
      <c r="J264" s="17" t="n"/>
      <c r="K264" s="17" t="n"/>
      <c r="M264" s="17" t="inlineStr">
        <is>
          <t>kanan</t>
        </is>
      </c>
      <c r="N264" s="17" t="n"/>
      <c r="O264" s="17" t="n"/>
    </row>
    <row r="265" s="1">
      <c r="I265" s="17" t="inlineStr">
        <is>
          <t>kiri</t>
        </is>
      </c>
      <c r="J265" s="17" t="n"/>
      <c r="K265" s="17" t="n"/>
      <c r="M265" s="17" t="inlineStr">
        <is>
          <t>tengah</t>
        </is>
      </c>
      <c r="N265" s="17" t="n"/>
      <c r="O265" s="17" t="n"/>
    </row>
    <row r="266" s="1">
      <c r="I266" s="17" t="inlineStr">
        <is>
          <t>kanan</t>
        </is>
      </c>
      <c r="J266" s="17" t="n"/>
      <c r="K266" s="17" t="n"/>
      <c r="M266" s="17" t="inlineStr">
        <is>
          <t>kanan</t>
        </is>
      </c>
      <c r="N266" s="17" t="n"/>
      <c r="O266" s="17" t="n"/>
    </row>
    <row r="267" s="1">
      <c r="I267" s="17" t="inlineStr">
        <is>
          <t>tengah</t>
        </is>
      </c>
      <c r="J267" s="17" t="n"/>
      <c r="K267" s="17" t="n"/>
      <c r="M267" s="17" t="inlineStr">
        <is>
          <t>kanan</t>
        </is>
      </c>
      <c r="N267" s="17" t="n"/>
      <c r="O267" s="17" t="n"/>
    </row>
    <row r="268" s="1">
      <c r="I268" s="17" t="inlineStr">
        <is>
          <t>tengah</t>
        </is>
      </c>
      <c r="J268" s="17" t="n"/>
      <c r="K268" s="17" t="n"/>
      <c r="M268" s="17" t="inlineStr">
        <is>
          <t>tengah</t>
        </is>
      </c>
      <c r="N268" s="17" t="n"/>
      <c r="O268" s="17" t="n"/>
    </row>
    <row r="269" s="1">
      <c r="I269" s="17" t="inlineStr">
        <is>
          <t>tengah</t>
        </is>
      </c>
      <c r="J269" s="17" t="n"/>
      <c r="K269" s="17" t="n"/>
      <c r="M269" s="17" t="inlineStr">
        <is>
          <t>kanan</t>
        </is>
      </c>
      <c r="N269" s="17" t="n"/>
      <c r="O269" s="17" t="n"/>
    </row>
    <row r="270" s="1">
      <c r="I270" s="17" t="inlineStr">
        <is>
          <t>tengah</t>
        </is>
      </c>
      <c r="J270" s="17" t="n"/>
      <c r="K270" s="17" t="n"/>
      <c r="M270" s="17" t="inlineStr">
        <is>
          <t>kanan</t>
        </is>
      </c>
      <c r="N270" s="17" t="n"/>
      <c r="O270" s="17" t="n"/>
    </row>
    <row r="271" s="1">
      <c r="I271" s="17" t="inlineStr">
        <is>
          <t>tengah</t>
        </is>
      </c>
      <c r="J271" s="17" t="n"/>
      <c r="K271" s="17" t="n"/>
      <c r="M271" s="17" t="inlineStr">
        <is>
          <t>kanan</t>
        </is>
      </c>
      <c r="N271" s="17" t="n"/>
      <c r="O271" s="17" t="n"/>
    </row>
    <row r="272" s="1">
      <c r="I272" s="17" t="inlineStr">
        <is>
          <t>tengah</t>
        </is>
      </c>
      <c r="J272" s="17" t="n"/>
      <c r="K272" s="17" t="n"/>
      <c r="M272" s="17" t="inlineStr">
        <is>
          <t>tengah</t>
        </is>
      </c>
      <c r="N272" s="17" t="n"/>
      <c r="O272" s="17" t="n"/>
    </row>
    <row r="273" s="1">
      <c r="I273" s="17" t="inlineStr">
        <is>
          <t>tengah</t>
        </is>
      </c>
      <c r="J273" s="17" t="n"/>
      <c r="K273" s="17" t="n"/>
      <c r="M273" s="17" t="inlineStr">
        <is>
          <t>kanan</t>
        </is>
      </c>
      <c r="N273" s="17" t="n"/>
      <c r="O273" s="17" t="n"/>
    </row>
    <row r="274" s="1">
      <c r="I274" s="17" t="inlineStr">
        <is>
          <t>kiri</t>
        </is>
      </c>
      <c r="J274" s="17" t="n"/>
      <c r="K274" s="17" t="n"/>
      <c r="M274" s="17" t="inlineStr">
        <is>
          <t>kanan</t>
        </is>
      </c>
      <c r="N274" s="17" t="n"/>
      <c r="O274" s="17" t="n"/>
    </row>
    <row r="275" s="1">
      <c r="I275" s="17" t="inlineStr">
        <is>
          <t>kiri</t>
        </is>
      </c>
      <c r="J275" s="17" t="n"/>
      <c r="K275" s="17" t="n"/>
      <c r="M275" s="17" t="inlineStr">
        <is>
          <t>tengah</t>
        </is>
      </c>
      <c r="N275" s="17" t="n"/>
      <c r="O275" s="17" t="n"/>
    </row>
    <row r="276" s="1">
      <c r="I276" s="17" t="inlineStr">
        <is>
          <t>kiri</t>
        </is>
      </c>
      <c r="J276" s="17" t="n"/>
      <c r="K276" s="17" t="n"/>
      <c r="M276" s="17" t="inlineStr">
        <is>
          <t>kanan</t>
        </is>
      </c>
      <c r="N276" s="17" t="n"/>
      <c r="O276" s="17" t="n"/>
    </row>
    <row r="277" s="1">
      <c r="I277" s="17" t="inlineStr">
        <is>
          <t>tengah</t>
        </is>
      </c>
      <c r="J277" s="17" t="n"/>
      <c r="K277" s="17" t="n"/>
      <c r="M277" s="17" t="inlineStr">
        <is>
          <t>kanan</t>
        </is>
      </c>
      <c r="N277" s="17" t="n"/>
      <c r="O277" s="17" t="n"/>
    </row>
    <row r="278" s="1">
      <c r="I278" s="17" t="inlineStr">
        <is>
          <t>tengah</t>
        </is>
      </c>
      <c r="J278" s="17" t="n"/>
      <c r="K278" s="17" t="n"/>
      <c r="M278" s="17" t="inlineStr">
        <is>
          <t>tengah</t>
        </is>
      </c>
      <c r="N278" s="17" t="n"/>
      <c r="O278" s="17" t="n"/>
    </row>
    <row r="279" s="1">
      <c r="I279" s="17" t="inlineStr">
        <is>
          <t>tengah</t>
        </is>
      </c>
      <c r="J279" s="17" t="n"/>
      <c r="K279" s="17" t="n"/>
      <c r="M279" s="17" t="inlineStr">
        <is>
          <t>kanan</t>
        </is>
      </c>
      <c r="N279" s="17" t="n"/>
      <c r="O279" s="17" t="n"/>
    </row>
    <row r="280" s="1">
      <c r="I280" s="17" t="inlineStr">
        <is>
          <t>tengah</t>
        </is>
      </c>
      <c r="J280" s="17" t="n"/>
      <c r="K280" s="17" t="n"/>
      <c r="M280" s="17" t="inlineStr">
        <is>
          <t>tengah</t>
        </is>
      </c>
      <c r="N280" s="17" t="n"/>
      <c r="O280" s="17" t="n"/>
    </row>
    <row r="281" s="1">
      <c r="I281" s="17" t="inlineStr">
        <is>
          <t>tengah</t>
        </is>
      </c>
      <c r="J281" s="17" t="n"/>
      <c r="K281" s="17" t="n"/>
      <c r="M281" s="17" t="inlineStr">
        <is>
          <t>kanan</t>
        </is>
      </c>
      <c r="N281" s="17" t="n"/>
      <c r="O281" s="17" t="n"/>
    </row>
    <row r="282" s="1">
      <c r="I282" s="17" t="inlineStr">
        <is>
          <t>tengah</t>
        </is>
      </c>
      <c r="J282" s="17" t="n"/>
      <c r="K282" s="17" t="n"/>
      <c r="M282" s="17" t="inlineStr">
        <is>
          <t>kanan</t>
        </is>
      </c>
      <c r="N282" s="17" t="n"/>
      <c r="O282" s="17" t="n"/>
    </row>
    <row r="283" s="1">
      <c r="I283" s="17" t="inlineStr">
        <is>
          <t>tengah</t>
        </is>
      </c>
      <c r="J283" s="17" t="n"/>
      <c r="K283" s="17" t="n"/>
      <c r="M283" s="17" t="inlineStr">
        <is>
          <t>kanan</t>
        </is>
      </c>
      <c r="N283" s="17" t="n"/>
      <c r="O283" s="17" t="n"/>
    </row>
    <row r="284" s="1">
      <c r="I284" s="17" t="inlineStr">
        <is>
          <t>kanan</t>
        </is>
      </c>
      <c r="J284" s="17" t="n"/>
      <c r="K284" s="17" t="n"/>
      <c r="M284" s="17" t="inlineStr">
        <is>
          <t>kanan</t>
        </is>
      </c>
      <c r="N284" s="17" t="n"/>
      <c r="O284" s="17" t="n"/>
    </row>
    <row r="285" s="1">
      <c r="I285" s="17" t="inlineStr">
        <is>
          <t>tengah</t>
        </is>
      </c>
      <c r="J285" s="17" t="n"/>
      <c r="K285" s="17" t="n"/>
      <c r="M285" s="17" t="inlineStr">
        <is>
          <t>kanan</t>
        </is>
      </c>
      <c r="N285" s="17" t="n"/>
      <c r="O285" s="17" t="n"/>
    </row>
    <row r="286" s="1">
      <c r="I286" s="17" t="inlineStr">
        <is>
          <t>tengah</t>
        </is>
      </c>
      <c r="J286" s="17" t="n"/>
      <c r="K286" s="17" t="n"/>
      <c r="M286" s="17" t="inlineStr">
        <is>
          <t>kanan</t>
        </is>
      </c>
      <c r="N286" s="17" t="n"/>
      <c r="O286" s="17" t="n"/>
    </row>
    <row r="287" s="1">
      <c r="I287" s="17" t="inlineStr">
        <is>
          <t>kanan</t>
        </is>
      </c>
      <c r="J287" s="17" t="n"/>
      <c r="K287" s="17" t="n"/>
      <c r="M287" s="17" t="inlineStr">
        <is>
          <t>tengah</t>
        </is>
      </c>
      <c r="N287" s="17" t="n"/>
      <c r="O287" s="17" t="n"/>
    </row>
    <row r="288" s="1">
      <c r="I288" s="17" t="inlineStr">
        <is>
          <t>kanan</t>
        </is>
      </c>
      <c r="J288" s="17" t="n"/>
      <c r="K288" s="17" t="n"/>
      <c r="M288" s="17" t="inlineStr">
        <is>
          <t>tengah</t>
        </is>
      </c>
      <c r="N288" s="17" t="n"/>
      <c r="O288" s="17" t="n"/>
    </row>
    <row r="289" s="1">
      <c r="I289" s="17" t="inlineStr">
        <is>
          <t>tengah</t>
        </is>
      </c>
      <c r="J289" s="17" t="n"/>
      <c r="K289" s="17" t="n"/>
      <c r="M289" s="17" t="inlineStr">
        <is>
          <t>kanan</t>
        </is>
      </c>
      <c r="N289" s="17" t="n"/>
      <c r="O289" s="17" t="n"/>
    </row>
    <row r="290" s="1">
      <c r="I290" s="17" t="inlineStr">
        <is>
          <t>tengah</t>
        </is>
      </c>
      <c r="J290" s="17" t="n"/>
      <c r="K290" s="17" t="n"/>
      <c r="M290" s="17" t="inlineStr">
        <is>
          <t>kanan</t>
        </is>
      </c>
      <c r="N290" s="17" t="n"/>
      <c r="O290" s="17" t="n"/>
    </row>
    <row r="291" s="1">
      <c r="I291" s="17" t="inlineStr">
        <is>
          <t>tengah</t>
        </is>
      </c>
      <c r="J291" s="17" t="n"/>
      <c r="K291" s="17" t="n"/>
      <c r="M291" s="17" t="inlineStr">
        <is>
          <t>tengah</t>
        </is>
      </c>
      <c r="N291" s="17" t="n"/>
      <c r="O291" s="17" t="n"/>
    </row>
    <row r="292" s="1">
      <c r="I292" s="17" t="inlineStr">
        <is>
          <t>kanan</t>
        </is>
      </c>
      <c r="J292" s="17" t="n"/>
      <c r="K292" s="17" t="n"/>
      <c r="M292" s="17" t="inlineStr">
        <is>
          <t>kanan</t>
        </is>
      </c>
      <c r="N292" s="17" t="n"/>
      <c r="O292" s="17" t="n"/>
    </row>
    <row r="293" s="1">
      <c r="I293" s="17" t="inlineStr">
        <is>
          <t>tengah</t>
        </is>
      </c>
      <c r="J293" s="17" t="n"/>
      <c r="K293" s="17" t="n"/>
      <c r="M293" s="17" t="inlineStr">
        <is>
          <t>kanan</t>
        </is>
      </c>
      <c r="N293" s="17" t="n"/>
      <c r="O293" s="17" t="n"/>
    </row>
    <row r="294" s="1">
      <c r="I294" s="17" t="inlineStr">
        <is>
          <t>tengah</t>
        </is>
      </c>
      <c r="J294" s="17" t="n"/>
      <c r="K294" s="17" t="n"/>
      <c r="M294" s="17" t="inlineStr">
        <is>
          <t>tengah</t>
        </is>
      </c>
      <c r="N294" s="17" t="n"/>
      <c r="O294" s="17" t="n"/>
    </row>
    <row r="295" s="1">
      <c r="I295" s="17" t="inlineStr">
        <is>
          <t>tengah</t>
        </is>
      </c>
      <c r="J295" s="17" t="n"/>
      <c r="K295" s="17" t="n"/>
      <c r="M295" s="17" t="inlineStr">
        <is>
          <t>kanan</t>
        </is>
      </c>
      <c r="N295" s="17" t="n"/>
      <c r="O295" s="17" t="n"/>
    </row>
    <row r="296" s="1">
      <c r="I296" s="17" t="inlineStr">
        <is>
          <t>tengah</t>
        </is>
      </c>
      <c r="J296" s="17" t="n"/>
      <c r="K296" s="17" t="n"/>
      <c r="M296" s="17" t="inlineStr">
        <is>
          <t>kanan</t>
        </is>
      </c>
      <c r="N296" s="17" t="n"/>
      <c r="O296" s="17" t="n"/>
    </row>
    <row r="297" s="1">
      <c r="I297" s="17" t="inlineStr">
        <is>
          <t>tengah</t>
        </is>
      </c>
      <c r="J297" s="17" t="n"/>
      <c r="K297" s="17" t="n"/>
      <c r="M297" s="17" t="inlineStr">
        <is>
          <t>kanan</t>
        </is>
      </c>
      <c r="N297" s="17" t="n"/>
      <c r="O297" s="17" t="n"/>
    </row>
    <row r="298" s="1">
      <c r="I298" s="17" t="inlineStr">
        <is>
          <t>kiri</t>
        </is>
      </c>
      <c r="J298" s="17" t="n"/>
      <c r="K298" s="17" t="n"/>
      <c r="M298" s="17" t="inlineStr">
        <is>
          <t>tengah</t>
        </is>
      </c>
      <c r="N298" s="17" t="n"/>
      <c r="O298" s="17" t="n"/>
    </row>
    <row r="299" s="1">
      <c r="I299" s="17" t="inlineStr">
        <is>
          <t>kiri</t>
        </is>
      </c>
      <c r="J299" s="17" t="n"/>
      <c r="K299" s="17" t="n"/>
      <c r="M299" s="17" t="inlineStr">
        <is>
          <t>tengah</t>
        </is>
      </c>
      <c r="N299" s="17" t="n"/>
      <c r="O299" s="17" t="n"/>
    </row>
    <row r="300" s="1">
      <c r="I300" s="17" t="inlineStr">
        <is>
          <t>tengah</t>
        </is>
      </c>
      <c r="J300" s="17" t="n"/>
      <c r="K300" s="17" t="n"/>
      <c r="M300" s="17" t="inlineStr">
        <is>
          <t>kanan</t>
        </is>
      </c>
      <c r="N300" s="17" t="n"/>
      <c r="O300" s="17" t="n"/>
    </row>
    <row r="301" s="1">
      <c r="I301" s="17" t="inlineStr">
        <is>
          <t>tengah</t>
        </is>
      </c>
      <c r="J301" s="17" t="n"/>
      <c r="K301" s="17" t="n"/>
      <c r="M301" s="17" t="inlineStr">
        <is>
          <t>kanan</t>
        </is>
      </c>
      <c r="N301" s="17" t="n"/>
      <c r="O301" s="17" t="n"/>
    </row>
    <row r="302" s="1">
      <c r="I302" s="17" t="inlineStr">
        <is>
          <t>kiri</t>
        </is>
      </c>
      <c r="J302" s="17" t="n"/>
      <c r="K302" s="17" t="n"/>
      <c r="M302" s="17" t="inlineStr">
        <is>
          <t>tengah</t>
        </is>
      </c>
      <c r="N302" s="17" t="n"/>
      <c r="O302" s="17" t="n"/>
    </row>
    <row r="303" s="1">
      <c r="I303" s="17" t="inlineStr">
        <is>
          <t>tengah</t>
        </is>
      </c>
      <c r="J303" s="17" t="n"/>
      <c r="K303" s="17" t="n"/>
      <c r="M303" s="17" t="inlineStr">
        <is>
          <t>tengah</t>
        </is>
      </c>
      <c r="N303" s="17" t="n"/>
      <c r="O303" s="17" t="n"/>
    </row>
    <row r="304" s="1">
      <c r="I304" s="17" t="inlineStr">
        <is>
          <t>kiri</t>
        </is>
      </c>
      <c r="J304" s="17" t="n"/>
      <c r="K304" s="17" t="n"/>
      <c r="M304" s="17" t="inlineStr">
        <is>
          <t>tengah</t>
        </is>
      </c>
      <c r="N304" s="17" t="n"/>
      <c r="O304" s="17" t="n"/>
    </row>
    <row r="305" s="1">
      <c r="I305" s="17" t="inlineStr">
        <is>
          <t>kiri</t>
        </is>
      </c>
      <c r="J305" s="17" t="n"/>
      <c r="K305" s="17" t="n"/>
      <c r="M305" s="17" t="inlineStr">
        <is>
          <t>kanan</t>
        </is>
      </c>
      <c r="N305" s="17" t="n"/>
      <c r="O305" s="17" t="n"/>
    </row>
    <row r="306" s="1">
      <c r="I306" s="17" t="inlineStr">
        <is>
          <t>tengah</t>
        </is>
      </c>
      <c r="J306" s="17" t="n"/>
      <c r="K306" s="17" t="n"/>
      <c r="M306" s="17" t="inlineStr">
        <is>
          <t>kanan</t>
        </is>
      </c>
      <c r="N306" s="17" t="n"/>
      <c r="O306" s="17" t="n"/>
    </row>
    <row r="307" s="1">
      <c r="I307" s="17" t="inlineStr">
        <is>
          <t>tengah</t>
        </is>
      </c>
      <c r="J307" s="17" t="n"/>
      <c r="K307" s="17" t="n"/>
      <c r="M307" s="17" t="inlineStr">
        <is>
          <t>kanan</t>
        </is>
      </c>
      <c r="N307" s="17" t="n"/>
      <c r="O307" s="17" t="n"/>
    </row>
    <row r="308" s="1">
      <c r="I308" s="17" t="inlineStr">
        <is>
          <t>tengah</t>
        </is>
      </c>
      <c r="J308" s="17" t="n"/>
      <c r="K308" s="17" t="n"/>
      <c r="M308" s="17" t="inlineStr">
        <is>
          <t>kanan</t>
        </is>
      </c>
      <c r="N308" s="17" t="n"/>
      <c r="O308" s="17" t="n"/>
    </row>
    <row r="309" s="1">
      <c r="I309" s="17" t="inlineStr">
        <is>
          <t>kiri</t>
        </is>
      </c>
      <c r="J309" s="17" t="n"/>
      <c r="K309" s="17" t="n"/>
      <c r="M309" s="17" t="inlineStr">
        <is>
          <t>kanan</t>
        </is>
      </c>
      <c r="N309" s="17" t="n"/>
      <c r="O309" s="17" t="n"/>
    </row>
    <row r="310" s="1">
      <c r="I310" s="17" t="inlineStr">
        <is>
          <t>kanan</t>
        </is>
      </c>
      <c r="J310" s="17" t="n"/>
      <c r="K310" s="17" t="n"/>
      <c r="M310" s="17" t="inlineStr">
        <is>
          <t>tengah</t>
        </is>
      </c>
      <c r="N310" s="17" t="n"/>
      <c r="O310" s="17" t="n"/>
    </row>
    <row r="311" s="1">
      <c r="I311" s="17" t="inlineStr">
        <is>
          <t>tengah</t>
        </is>
      </c>
      <c r="J311" s="17" t="n"/>
      <c r="K311" s="17" t="n"/>
      <c r="M311" s="17" t="inlineStr">
        <is>
          <t>tengah</t>
        </is>
      </c>
      <c r="N311" s="17" t="n"/>
      <c r="O311" s="17" t="n"/>
    </row>
    <row r="312" s="1">
      <c r="I312" s="17" t="inlineStr">
        <is>
          <t>tengah</t>
        </is>
      </c>
      <c r="J312" s="17" t="n"/>
      <c r="K312" s="17" t="n"/>
      <c r="M312" s="17" t="inlineStr">
        <is>
          <t>tengah</t>
        </is>
      </c>
      <c r="N312" s="17" t="n"/>
      <c r="O312" s="17" t="n"/>
    </row>
    <row r="313" s="1">
      <c r="I313" s="17" t="inlineStr">
        <is>
          <t>tengah</t>
        </is>
      </c>
      <c r="J313" s="17" t="n"/>
      <c r="K313" s="17" t="n"/>
      <c r="M313" s="17" t="inlineStr">
        <is>
          <t>kanan</t>
        </is>
      </c>
      <c r="N313" s="17" t="n"/>
      <c r="O313" s="17" t="n"/>
    </row>
    <row r="314" s="1">
      <c r="I314" s="17" t="inlineStr">
        <is>
          <t>kiri</t>
        </is>
      </c>
      <c r="J314" s="17" t="n"/>
      <c r="K314" s="17" t="n"/>
      <c r="M314" s="17" t="inlineStr">
        <is>
          <t>tengah</t>
        </is>
      </c>
      <c r="N314" s="17" t="n"/>
      <c r="O314" s="17" t="n"/>
    </row>
    <row r="315" s="1">
      <c r="I315" s="17" t="inlineStr">
        <is>
          <t>tengah</t>
        </is>
      </c>
      <c r="J315" s="17" t="n"/>
      <c r="K315" s="17" t="n"/>
      <c r="M315" s="17" t="inlineStr">
        <is>
          <t>kanan</t>
        </is>
      </c>
      <c r="N315" s="17" t="n"/>
      <c r="O315" s="17" t="n"/>
    </row>
    <row r="316" s="1">
      <c r="I316" s="17" t="inlineStr">
        <is>
          <t>kiri</t>
        </is>
      </c>
      <c r="J316" s="17" t="n"/>
      <c r="K316" s="17" t="n"/>
      <c r="M316" s="17" t="inlineStr">
        <is>
          <t>kanan</t>
        </is>
      </c>
      <c r="N316" s="17" t="n"/>
      <c r="O316" s="17" t="n"/>
    </row>
    <row r="317" s="1">
      <c r="I317" s="17" t="inlineStr">
        <is>
          <t>tengah</t>
        </is>
      </c>
      <c r="J317" s="17" t="n"/>
      <c r="K317" s="17" t="n"/>
      <c r="M317" s="17" t="inlineStr">
        <is>
          <t>kanan</t>
        </is>
      </c>
      <c r="N317" s="17" t="n"/>
      <c r="O317" s="17" t="n"/>
    </row>
    <row r="318" s="1">
      <c r="I318" s="17" t="inlineStr">
        <is>
          <t>kanan</t>
        </is>
      </c>
      <c r="J318" s="17" t="n"/>
      <c r="K318" s="17" t="n"/>
      <c r="M318" s="17" t="inlineStr">
        <is>
          <t>tengah</t>
        </is>
      </c>
      <c r="N318" s="17" t="n"/>
      <c r="O318" s="17" t="n"/>
    </row>
    <row r="319" s="1">
      <c r="I319" s="17" t="inlineStr">
        <is>
          <t>tengah</t>
        </is>
      </c>
      <c r="J319" s="17" t="n"/>
      <c r="K319" s="17" t="n"/>
      <c r="M319" s="17" t="inlineStr">
        <is>
          <t>tengah</t>
        </is>
      </c>
      <c r="N319" s="17" t="n"/>
      <c r="O319" s="17" t="n"/>
    </row>
    <row r="320" s="1">
      <c r="I320" s="17" t="inlineStr">
        <is>
          <t>kiri</t>
        </is>
      </c>
      <c r="J320" s="17" t="n"/>
      <c r="K320" s="17" t="n"/>
      <c r="M320" s="17" t="inlineStr">
        <is>
          <t>kanan</t>
        </is>
      </c>
      <c r="N320" s="17" t="n"/>
      <c r="O320" s="17" t="n"/>
    </row>
    <row r="321" s="1">
      <c r="I321" s="17" t="inlineStr">
        <is>
          <t>kanan</t>
        </is>
      </c>
      <c r="J321" s="17" t="n"/>
      <c r="K321" s="17" t="n"/>
      <c r="M321" s="17" t="inlineStr">
        <is>
          <t>kanan</t>
        </is>
      </c>
      <c r="N321" s="17" t="n"/>
      <c r="O321" s="17" t="n"/>
    </row>
    <row r="322" s="1">
      <c r="I322" s="17" t="inlineStr">
        <is>
          <t>kanan</t>
        </is>
      </c>
      <c r="J322" s="17" t="n"/>
      <c r="K322" s="17" t="n"/>
      <c r="M322" s="17" t="inlineStr">
        <is>
          <t>tengah</t>
        </is>
      </c>
      <c r="N322" s="17" t="n"/>
      <c r="O322" s="17" t="n"/>
    </row>
    <row r="323" s="1">
      <c r="I323" s="17" t="inlineStr">
        <is>
          <t>kiri</t>
        </is>
      </c>
      <c r="J323" s="17" t="n"/>
      <c r="K323" s="17" t="n"/>
      <c r="M323" s="17" t="inlineStr">
        <is>
          <t>tengah</t>
        </is>
      </c>
      <c r="N323" s="17" t="n"/>
      <c r="O323" s="17" t="n"/>
    </row>
    <row r="324" s="1">
      <c r="I324" s="17" t="inlineStr">
        <is>
          <t>tengah</t>
        </is>
      </c>
      <c r="J324" s="17" t="n"/>
      <c r="K324" s="17" t="n"/>
      <c r="M324" s="17" t="inlineStr">
        <is>
          <t>kanan</t>
        </is>
      </c>
      <c r="N324" s="17" t="n"/>
      <c r="O324" s="17" t="n"/>
    </row>
    <row r="325" s="1">
      <c r="I325" s="17" t="inlineStr">
        <is>
          <t>kanan</t>
        </is>
      </c>
      <c r="J325" s="17" t="n"/>
      <c r="K325" s="17" t="n"/>
      <c r="M325" s="17" t="inlineStr">
        <is>
          <t>tengah</t>
        </is>
      </c>
      <c r="N325" s="17" t="n"/>
      <c r="O325" s="17" t="n"/>
    </row>
    <row r="326" s="1">
      <c r="I326" s="17" t="inlineStr">
        <is>
          <t>tengah</t>
        </is>
      </c>
      <c r="J326" s="17" t="n"/>
      <c r="K326" s="17" t="n"/>
      <c r="M326" s="17" t="inlineStr">
        <is>
          <t>tengah</t>
        </is>
      </c>
      <c r="N326" s="17" t="n"/>
      <c r="O326" s="17" t="n"/>
    </row>
    <row r="327" s="1">
      <c r="I327" s="17" t="inlineStr">
        <is>
          <t>tengah</t>
        </is>
      </c>
      <c r="J327" s="17" t="n"/>
      <c r="K327" s="17" t="n"/>
      <c r="M327" s="17" t="inlineStr">
        <is>
          <t>tengah</t>
        </is>
      </c>
      <c r="N327" s="17" t="n"/>
      <c r="O327" s="17" t="n"/>
    </row>
    <row r="328" s="1">
      <c r="I328" s="17" t="inlineStr">
        <is>
          <t>kanan</t>
        </is>
      </c>
      <c r="J328" s="17" t="n"/>
      <c r="K328" s="17" t="n"/>
      <c r="M328" s="17" t="inlineStr">
        <is>
          <t>kanan</t>
        </is>
      </c>
      <c r="N328" s="17" t="n"/>
      <c r="O328" s="17" t="n"/>
    </row>
    <row r="329" s="1">
      <c r="I329" s="17" t="inlineStr">
        <is>
          <t>tengah</t>
        </is>
      </c>
      <c r="J329" s="17" t="n"/>
      <c r="K329" s="17" t="n"/>
      <c r="M329" s="17" t="inlineStr">
        <is>
          <t>tengah</t>
        </is>
      </c>
      <c r="N329" s="17" t="n"/>
      <c r="O329" s="17" t="n"/>
    </row>
    <row r="330" s="1">
      <c r="I330" s="17" t="inlineStr">
        <is>
          <t>tengah</t>
        </is>
      </c>
      <c r="J330" s="17" t="n"/>
      <c r="K330" s="17" t="n"/>
      <c r="M330" s="17" t="inlineStr">
        <is>
          <t>kanan</t>
        </is>
      </c>
      <c r="N330" s="17" t="n"/>
      <c r="O330" s="17" t="n"/>
    </row>
    <row r="331" s="1">
      <c r="I331" s="17" t="inlineStr">
        <is>
          <t>tengah</t>
        </is>
      </c>
      <c r="J331" s="17" t="n"/>
      <c r="K331" s="17" t="n"/>
      <c r="M331" s="17" t="inlineStr">
        <is>
          <t>kanan</t>
        </is>
      </c>
      <c r="N331" s="17" t="n"/>
      <c r="O331" s="17" t="n"/>
    </row>
    <row r="332" s="1">
      <c r="I332" s="17" t="inlineStr">
        <is>
          <t>tengah</t>
        </is>
      </c>
      <c r="J332" s="17" t="n"/>
      <c r="K332" s="17" t="n"/>
      <c r="M332" s="17" t="inlineStr">
        <is>
          <t>kanan</t>
        </is>
      </c>
      <c r="N332" s="17" t="n"/>
      <c r="O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2"/>
  <sheetViews>
    <sheetView topLeftCell="G160" zoomScale="95" zoomScaleNormal="95" workbookViewId="0">
      <selection activeCell="I170" sqref="I170"/>
    </sheetView>
  </sheetViews>
  <sheetFormatPr baseColWidth="8" defaultColWidth="8.6" defaultRowHeight="15"/>
  <cols>
    <col width="13.2888888888889" customWidth="1" style="1" min="2" max="2"/>
    <col width="13.8592592592593" customWidth="1" style="1" min="3" max="3"/>
    <col width="14.2888888888889" customWidth="1" style="1" min="5" max="5"/>
    <col width="13.2888888888889" customWidth="1" style="1" min="6" max="6"/>
    <col width="13.8592592592593" customWidth="1" style="1" min="7" max="7"/>
    <col width="16.1407407407407" customWidth="1" style="1" min="9" max="9"/>
  </cols>
  <sheetData>
    <row r="1" s="1">
      <c r="A1" s="16" t="inlineStr">
        <is>
          <t>No</t>
        </is>
      </c>
      <c r="B1" s="16" t="inlineStr">
        <is>
          <t>Jenis Kelamin</t>
        </is>
      </c>
      <c r="C1" s="16" t="inlineStr">
        <is>
          <t>Tingkat Resiko</t>
        </is>
      </c>
      <c r="E1" s="16" t="inlineStr">
        <is>
          <t>No</t>
        </is>
      </c>
      <c r="F1" s="16" t="inlineStr">
        <is>
          <t>Jenis Kelamin</t>
        </is>
      </c>
      <c r="G1" s="16" t="inlineStr">
        <is>
          <t>Tingkat Resiko</t>
        </is>
      </c>
      <c r="I1" s="16" t="inlineStr">
        <is>
          <t>Perhitungan root</t>
        </is>
      </c>
      <c r="J1" s="19" t="n"/>
      <c r="K1" s="19" t="n"/>
    </row>
    <row r="2" s="1">
      <c r="A2" s="17">
        <f>RANDBETWEEN(2,164)</f>
        <v/>
      </c>
      <c r="B2" s="17">
        <f t="array" ref="B2">INDEX(Data_DBD!$E:$E,$A2)</f>
        <v/>
      </c>
      <c r="C2" s="17">
        <f t="array" ref="C2">INDEX(Data_DBD!$F:$F,$A2)</f>
        <v/>
      </c>
      <c r="E2" s="17" t="n">
        <v>140</v>
      </c>
      <c r="F2" s="17" t="n">
        <v>1</v>
      </c>
      <c r="G2" s="17" t="inlineStr">
        <is>
          <t>Tinggi</t>
        </is>
      </c>
      <c r="I2" s="19" t="inlineStr">
        <is>
          <t>Tinggi</t>
        </is>
      </c>
      <c r="J2" s="19">
        <f>COUNTIF(G2:G164,"Tinggi")</f>
        <v/>
      </c>
      <c r="K2" s="19">
        <f>J2/163</f>
        <v/>
      </c>
    </row>
    <row r="3" s="1">
      <c r="A3" s="17">
        <f>RANDBETWEEN(2,164)</f>
        <v/>
      </c>
      <c r="B3" s="17">
        <f t="array" ref="B3">INDEX(Data_DBD!$E:$E,$A3)</f>
        <v/>
      </c>
      <c r="C3" s="17">
        <f t="array" ref="C3">INDEX(Data_DBD!$F:$F,$A3)</f>
        <v/>
      </c>
      <c r="E3" s="17" t="n">
        <v>64</v>
      </c>
      <c r="F3" s="17" t="n">
        <v>0</v>
      </c>
      <c r="G3" s="17" t="inlineStr">
        <is>
          <t>Sedang</t>
        </is>
      </c>
      <c r="I3" s="19" t="inlineStr">
        <is>
          <t>Sedang</t>
        </is>
      </c>
      <c r="J3" s="19">
        <f>COUNTIF(G2:G164,"Sedang")</f>
        <v/>
      </c>
      <c r="K3" s="19">
        <f>J3/163</f>
        <v/>
      </c>
    </row>
    <row r="4" s="1">
      <c r="A4" s="17">
        <f>RANDBETWEEN(2,164)</f>
        <v/>
      </c>
      <c r="B4" s="17">
        <f t="array" ref="B4">INDEX(Data_DBD!$E:$E,$A4)</f>
        <v/>
      </c>
      <c r="C4" s="17">
        <f t="array" ref="C4">INDEX(Data_DBD!$F:$F,$A4)</f>
        <v/>
      </c>
      <c r="E4" s="17" t="n">
        <v>122</v>
      </c>
      <c r="F4" s="17" t="n">
        <v>1</v>
      </c>
      <c r="G4" s="17" t="inlineStr">
        <is>
          <t>Tinggi</t>
        </is>
      </c>
      <c r="I4" s="19" t="inlineStr">
        <is>
          <t>Rendah</t>
        </is>
      </c>
      <c r="J4" s="19">
        <f>COUNTIF(G2:G164,"Rendah")</f>
        <v/>
      </c>
      <c r="K4" s="19">
        <f>J4/163</f>
        <v/>
      </c>
    </row>
    <row r="5" s="1">
      <c r="A5" s="17">
        <f>RANDBETWEEN(2,164)</f>
        <v/>
      </c>
      <c r="B5" s="17">
        <f t="array" ref="B5">INDEX(Data_DBD!$E:$E,$A5)</f>
        <v/>
      </c>
      <c r="C5" s="17">
        <f t="array" ref="C5">INDEX(Data_DBD!$F:$F,$A5)</f>
        <v/>
      </c>
      <c r="E5" s="17" t="n">
        <v>15</v>
      </c>
      <c r="F5" s="17" t="n">
        <v>0</v>
      </c>
      <c r="G5" s="17" t="inlineStr">
        <is>
          <t>Rendah</t>
        </is>
      </c>
      <c r="I5" s="20" t="inlineStr">
        <is>
          <t>Entropy Root</t>
        </is>
      </c>
      <c r="J5">
        <f>-(IFERROR(K2*LOG(K2,2),0)+IFERROR(K3*LOG(K3,2),0)+IFERROR(K4*LOG(K4,2),0))</f>
        <v/>
      </c>
    </row>
    <row r="6" s="1">
      <c r="A6" s="17">
        <f>RANDBETWEEN(2,164)</f>
        <v/>
      </c>
      <c r="B6" s="17">
        <f t="array" ref="B6">INDEX(Data_DBD!$E:$E,$A6)</f>
        <v/>
      </c>
      <c r="C6" s="17">
        <f t="array" ref="C6">INDEX(Data_DBD!$F:$F,$A6)</f>
        <v/>
      </c>
      <c r="E6" s="17" t="n">
        <v>38</v>
      </c>
      <c r="F6" s="17" t="n">
        <v>1</v>
      </c>
      <c r="G6" s="17" t="inlineStr">
        <is>
          <t>Rendah</t>
        </is>
      </c>
    </row>
    <row r="7" s="1">
      <c r="A7" s="17">
        <f>RANDBETWEEN(2,164)</f>
        <v/>
      </c>
      <c r="B7" s="17">
        <f t="array" ref="B7">INDEX(Data_DBD!$E:$E,$A7)</f>
        <v/>
      </c>
      <c r="C7" s="17">
        <f t="array" ref="C7">INDEX(Data_DBD!$F:$F,$A7)</f>
        <v/>
      </c>
      <c r="E7" s="17" t="n">
        <v>77</v>
      </c>
      <c r="F7" s="17" t="n">
        <v>1</v>
      </c>
      <c r="G7" s="17" t="inlineStr">
        <is>
          <t>Sedang</t>
        </is>
      </c>
    </row>
    <row r="8" s="1">
      <c r="A8" s="17">
        <f>RANDBETWEEN(2,164)</f>
        <v/>
      </c>
      <c r="B8" s="17">
        <f t="array" ref="B8">INDEX(Data_DBD!$E:$E,$A8)</f>
        <v/>
      </c>
      <c r="C8" s="17">
        <f t="array" ref="C8">INDEX(Data_DBD!$F:$F,$A8)</f>
        <v/>
      </c>
      <c r="E8" s="17" t="n">
        <v>42</v>
      </c>
      <c r="F8" s="17" t="n">
        <v>1</v>
      </c>
      <c r="G8" s="17" t="inlineStr">
        <is>
          <t>Sedang</t>
        </is>
      </c>
    </row>
    <row r="9" s="1">
      <c r="A9" s="17">
        <f>RANDBETWEEN(2,164)</f>
        <v/>
      </c>
      <c r="B9" s="17">
        <f t="array" ref="B9">INDEX(Data_DBD!$E:$E,$A9)</f>
        <v/>
      </c>
      <c r="C9" s="17">
        <f t="array" ref="C9">INDEX(Data_DBD!$F:$F,$A9)</f>
        <v/>
      </c>
      <c r="E9" s="17" t="n">
        <v>117</v>
      </c>
      <c r="F9" s="17" t="n">
        <v>1</v>
      </c>
      <c r="G9" s="17" t="inlineStr">
        <is>
          <t>Tinggi</t>
        </is>
      </c>
    </row>
    <row r="10" s="1">
      <c r="A10" s="17">
        <f>RANDBETWEEN(2,164)</f>
        <v/>
      </c>
      <c r="B10" s="17">
        <f t="array" ref="B10">INDEX(Data_DBD!$E:$E,$A10)</f>
        <v/>
      </c>
      <c r="C10" s="17">
        <f t="array" ref="C10">INDEX(Data_DBD!$F:$F,$A10)</f>
        <v/>
      </c>
      <c r="E10" s="17" t="n">
        <v>131</v>
      </c>
      <c r="F10" s="17" t="n">
        <v>0</v>
      </c>
      <c r="G10" s="17" t="inlineStr">
        <is>
          <t>Tinggi</t>
        </is>
      </c>
    </row>
    <row r="11" s="1">
      <c r="A11" s="17">
        <f>RANDBETWEEN(2,164)</f>
        <v/>
      </c>
      <c r="B11" s="17">
        <f t="array" ref="B11">INDEX(Data_DBD!$E:$E,$A11)</f>
        <v/>
      </c>
      <c r="C11" s="17">
        <f t="array" ref="C11">INDEX(Data_DBD!$F:$F,$A11)</f>
        <v/>
      </c>
      <c r="E11" s="17" t="n">
        <v>16</v>
      </c>
      <c r="F11" s="17" t="n">
        <v>1</v>
      </c>
      <c r="G11" s="17" t="inlineStr">
        <is>
          <t>Rendah</t>
        </is>
      </c>
    </row>
    <row r="12" s="1">
      <c r="A12" s="17">
        <f>RANDBETWEEN(2,164)</f>
        <v/>
      </c>
      <c r="B12" s="17">
        <f t="array" ref="B12">INDEX(Data_DBD!$E:$E,$A12)</f>
        <v/>
      </c>
      <c r="C12" s="17">
        <f t="array" ref="C12">INDEX(Data_DBD!$F:$F,$A12)</f>
        <v/>
      </c>
      <c r="E12" s="17" t="n">
        <v>95</v>
      </c>
      <c r="F12" s="17" t="n">
        <v>1</v>
      </c>
      <c r="G12" s="17" t="inlineStr">
        <is>
          <t>Tinggi</t>
        </is>
      </c>
    </row>
    <row r="13" s="1">
      <c r="A13" s="17">
        <f>RANDBETWEEN(2,164)</f>
        <v/>
      </c>
      <c r="B13" s="17">
        <f t="array" ref="B13">INDEX(Data_DBD!$E:$E,$A13)</f>
        <v/>
      </c>
      <c r="C13" s="17">
        <f t="array" ref="C13">INDEX(Data_DBD!$F:$F,$A13)</f>
        <v/>
      </c>
      <c r="E13" s="17" t="n">
        <v>72</v>
      </c>
      <c r="F13" s="17" t="n">
        <v>1</v>
      </c>
      <c r="G13" s="17" t="inlineStr">
        <is>
          <t>Sedang</t>
        </is>
      </c>
    </row>
    <row r="14" s="1">
      <c r="A14" s="17">
        <f>RANDBETWEEN(2,164)</f>
        <v/>
      </c>
      <c r="B14" s="17">
        <f t="array" ref="B14">INDEX(Data_DBD!$E:$E,$A14)</f>
        <v/>
      </c>
      <c r="C14" s="17">
        <f t="array" ref="C14">INDEX(Data_DBD!$F:$F,$A14)</f>
        <v/>
      </c>
      <c r="E14" s="17" t="n">
        <v>28</v>
      </c>
      <c r="F14" s="17" t="n">
        <v>1</v>
      </c>
      <c r="G14" s="17" t="inlineStr">
        <is>
          <t>Sedang</t>
        </is>
      </c>
    </row>
    <row r="15" s="1">
      <c r="A15" s="17">
        <f>RANDBETWEEN(2,164)</f>
        <v/>
      </c>
      <c r="B15" s="17">
        <f t="array" ref="B15">INDEX(Data_DBD!$E:$E,$A15)</f>
        <v/>
      </c>
      <c r="C15" s="17">
        <f t="array" ref="C15">INDEX(Data_DBD!$F:$F,$A15)</f>
        <v/>
      </c>
      <c r="E15" s="17" t="n">
        <v>64</v>
      </c>
      <c r="F15" s="17" t="n">
        <v>0</v>
      </c>
      <c r="G15" s="17" t="inlineStr">
        <is>
          <t>Sedang</t>
        </is>
      </c>
    </row>
    <row r="16" s="1">
      <c r="A16" s="17">
        <f>RANDBETWEEN(2,164)</f>
        <v/>
      </c>
      <c r="B16" s="17">
        <f t="array" ref="B16">INDEX(Data_DBD!$E:$E,$A16)</f>
        <v/>
      </c>
      <c r="C16" s="17">
        <f t="array" ref="C16">INDEX(Data_DBD!$F:$F,$A16)</f>
        <v/>
      </c>
      <c r="E16" s="17" t="n">
        <v>100</v>
      </c>
      <c r="F16" s="17" t="n">
        <v>0</v>
      </c>
      <c r="G16" s="17" t="inlineStr">
        <is>
          <t>Tinggi</t>
        </is>
      </c>
    </row>
    <row r="17" s="1">
      <c r="A17" s="17">
        <f>RANDBETWEEN(2,164)</f>
        <v/>
      </c>
      <c r="B17" s="17">
        <f t="array" ref="B17">INDEX(Data_DBD!$E:$E,$A17)</f>
        <v/>
      </c>
      <c r="C17" s="17">
        <f t="array" ref="C17">INDEX(Data_DBD!$F:$F,$A17)</f>
        <v/>
      </c>
      <c r="E17" s="17" t="n">
        <v>85</v>
      </c>
      <c r="F17" s="17" t="n">
        <v>0</v>
      </c>
      <c r="G17" s="17" t="inlineStr">
        <is>
          <t>Sedang</t>
        </is>
      </c>
    </row>
    <row r="18" s="1">
      <c r="A18" s="17">
        <f>RANDBETWEEN(2,164)</f>
        <v/>
      </c>
      <c r="B18" s="17">
        <f t="array" ref="B18">INDEX(Data_DBD!$E:$E,$A18)</f>
        <v/>
      </c>
      <c r="C18" s="17">
        <f t="array" ref="C18">INDEX(Data_DBD!$F:$F,$A18)</f>
        <v/>
      </c>
      <c r="E18" s="17" t="n">
        <v>29</v>
      </c>
      <c r="F18" s="17" t="n">
        <v>1</v>
      </c>
      <c r="G18" s="17" t="inlineStr">
        <is>
          <t>Sedang</t>
        </is>
      </c>
    </row>
    <row r="19" s="1">
      <c r="A19" s="17">
        <f>RANDBETWEEN(2,164)</f>
        <v/>
      </c>
      <c r="B19" s="17">
        <f t="array" ref="B19">INDEX(Data_DBD!$E:$E,$A19)</f>
        <v/>
      </c>
      <c r="C19" s="17">
        <f t="array" ref="C19">INDEX(Data_DBD!$F:$F,$A19)</f>
        <v/>
      </c>
      <c r="E19" s="17" t="n">
        <v>64</v>
      </c>
      <c r="F19" s="17" t="n">
        <v>0</v>
      </c>
      <c r="G19" s="17" t="inlineStr">
        <is>
          <t>Sedang</t>
        </is>
      </c>
    </row>
    <row r="20" s="1">
      <c r="A20" s="17">
        <f>RANDBETWEEN(2,164)</f>
        <v/>
      </c>
      <c r="B20" s="17">
        <f t="array" ref="B20">INDEX(Data_DBD!$E:$E,$A20)</f>
        <v/>
      </c>
      <c r="C20" s="17">
        <f t="array" ref="C20">INDEX(Data_DBD!$F:$F,$A20)</f>
        <v/>
      </c>
      <c r="E20" s="17" t="n">
        <v>46</v>
      </c>
      <c r="F20" s="17" t="n">
        <v>0</v>
      </c>
      <c r="G20" s="17" t="inlineStr">
        <is>
          <t>Sedang</t>
        </is>
      </c>
    </row>
    <row r="21" s="1">
      <c r="A21" s="17">
        <f>RANDBETWEEN(2,164)</f>
        <v/>
      </c>
      <c r="B21" s="17">
        <f t="array" ref="B21">INDEX(Data_DBD!$E:$E,$A21)</f>
        <v/>
      </c>
      <c r="C21" s="17">
        <f t="array" ref="C21">INDEX(Data_DBD!$F:$F,$A21)</f>
        <v/>
      </c>
      <c r="E21" s="17" t="n">
        <v>126</v>
      </c>
      <c r="F21" s="17" t="n">
        <v>1</v>
      </c>
      <c r="G21" s="17" t="inlineStr">
        <is>
          <t>Tinggi</t>
        </is>
      </c>
    </row>
    <row r="22" s="1">
      <c r="A22" s="17">
        <f>RANDBETWEEN(2,164)</f>
        <v/>
      </c>
      <c r="B22" s="17">
        <f t="array" ref="B22">INDEX(Data_DBD!$E:$E,$A22)</f>
        <v/>
      </c>
      <c r="C22" s="17">
        <f t="array" ref="C22">INDEX(Data_DBD!$F:$F,$A22)</f>
        <v/>
      </c>
      <c r="E22" s="17" t="n">
        <v>93</v>
      </c>
      <c r="F22" s="17" t="n">
        <v>0</v>
      </c>
      <c r="G22" s="17" t="inlineStr">
        <is>
          <t>Tinggi</t>
        </is>
      </c>
    </row>
    <row r="23" s="1">
      <c r="A23" s="17">
        <f>RANDBETWEEN(2,164)</f>
        <v/>
      </c>
      <c r="B23" s="17">
        <f t="array" ref="B23">INDEX(Data_DBD!$E:$E,$A23)</f>
        <v/>
      </c>
      <c r="C23" s="17">
        <f t="array" ref="C23">INDEX(Data_DBD!$F:$F,$A23)</f>
        <v/>
      </c>
      <c r="E23" s="17" t="n">
        <v>54</v>
      </c>
      <c r="F23" s="17" t="n">
        <v>0</v>
      </c>
      <c r="G23" s="17" t="inlineStr">
        <is>
          <t>Sedang</t>
        </is>
      </c>
    </row>
    <row r="24" s="1">
      <c r="A24" s="17">
        <f>RANDBETWEEN(2,164)</f>
        <v/>
      </c>
      <c r="B24" s="17">
        <f t="array" ref="B24">INDEX(Data_DBD!$E:$E,$A24)</f>
        <v/>
      </c>
      <c r="C24" s="17">
        <f t="array" ref="C24">INDEX(Data_DBD!$F:$F,$A24)</f>
        <v/>
      </c>
      <c r="E24" s="17" t="n">
        <v>116</v>
      </c>
      <c r="F24" s="17" t="n">
        <v>1</v>
      </c>
      <c r="G24" s="17" t="inlineStr">
        <is>
          <t>Tinggi</t>
        </is>
      </c>
    </row>
    <row r="25" s="1">
      <c r="A25" s="17">
        <f>RANDBETWEEN(2,164)</f>
        <v/>
      </c>
      <c r="B25" s="17">
        <f t="array" ref="B25">INDEX(Data_DBD!$E:$E,$A25)</f>
        <v/>
      </c>
      <c r="C25" s="17">
        <f t="array" ref="C25">INDEX(Data_DBD!$F:$F,$A25)</f>
        <v/>
      </c>
      <c r="E25" s="17" t="n">
        <v>45</v>
      </c>
      <c r="F25" s="17" t="n">
        <v>1</v>
      </c>
      <c r="G25" s="17" t="inlineStr">
        <is>
          <t>Sedang</t>
        </is>
      </c>
    </row>
    <row r="26" s="1">
      <c r="A26" s="17">
        <f>RANDBETWEEN(2,164)</f>
        <v/>
      </c>
      <c r="B26" s="17">
        <f t="array" ref="B26">INDEX(Data_DBD!$E:$E,$A26)</f>
        <v/>
      </c>
      <c r="C26" s="17">
        <f t="array" ref="C26">INDEX(Data_DBD!$F:$F,$A26)</f>
        <v/>
      </c>
      <c r="E26" s="17" t="n">
        <v>123</v>
      </c>
      <c r="F26" s="17" t="n">
        <v>0</v>
      </c>
      <c r="G26" s="17" t="inlineStr">
        <is>
          <t>Tinggi</t>
        </is>
      </c>
    </row>
    <row r="27" s="1">
      <c r="A27" s="17">
        <f>RANDBETWEEN(2,164)</f>
        <v/>
      </c>
      <c r="B27" s="17">
        <f t="array" ref="B27">INDEX(Data_DBD!$E:$E,$A27)</f>
        <v/>
      </c>
      <c r="C27" s="17">
        <f t="array" ref="C27">INDEX(Data_DBD!$F:$F,$A27)</f>
        <v/>
      </c>
      <c r="E27" s="17" t="n">
        <v>6</v>
      </c>
      <c r="F27" s="17" t="n">
        <v>0</v>
      </c>
      <c r="G27" s="17" t="inlineStr">
        <is>
          <t>Sedang</t>
        </is>
      </c>
    </row>
    <row r="28" s="1">
      <c r="A28" s="17">
        <f>RANDBETWEEN(2,164)</f>
        <v/>
      </c>
      <c r="B28" s="17">
        <f t="array" ref="B28">INDEX(Data_DBD!$E:$E,$A28)</f>
        <v/>
      </c>
      <c r="C28" s="17">
        <f t="array" ref="C28">INDEX(Data_DBD!$F:$F,$A28)</f>
        <v/>
      </c>
      <c r="E28" s="17" t="n">
        <v>42</v>
      </c>
      <c r="F28" s="17" t="n">
        <v>1</v>
      </c>
      <c r="G28" s="17" t="inlineStr">
        <is>
          <t>Sedang</t>
        </is>
      </c>
    </row>
    <row r="29" s="1">
      <c r="A29" s="17">
        <f>RANDBETWEEN(2,164)</f>
        <v/>
      </c>
      <c r="B29" s="17">
        <f t="array" ref="B29">INDEX(Data_DBD!$E:$E,$A29)</f>
        <v/>
      </c>
      <c r="C29" s="17">
        <f t="array" ref="C29">INDEX(Data_DBD!$F:$F,$A29)</f>
        <v/>
      </c>
      <c r="E29" s="17" t="n">
        <v>31</v>
      </c>
      <c r="F29" s="17" t="n">
        <v>1</v>
      </c>
      <c r="G29" s="17" t="inlineStr">
        <is>
          <t>Sedang</t>
        </is>
      </c>
    </row>
    <row r="30" s="1">
      <c r="A30" s="17">
        <f>RANDBETWEEN(2,164)</f>
        <v/>
      </c>
      <c r="B30" s="17">
        <f t="array" ref="B30">INDEX(Data_DBD!$E:$E,$A30)</f>
        <v/>
      </c>
      <c r="C30" s="17">
        <f t="array" ref="C30">INDEX(Data_DBD!$F:$F,$A30)</f>
        <v/>
      </c>
      <c r="E30" s="17" t="n">
        <v>162</v>
      </c>
      <c r="F30" s="17" t="n">
        <v>1</v>
      </c>
      <c r="G30" s="17" t="inlineStr">
        <is>
          <t>Rendah</t>
        </is>
      </c>
    </row>
    <row r="31" s="1">
      <c r="A31" s="17">
        <f>RANDBETWEEN(2,164)</f>
        <v/>
      </c>
      <c r="B31" s="17">
        <f t="array" ref="B31">INDEX(Data_DBD!$E:$E,$A31)</f>
        <v/>
      </c>
      <c r="C31" s="17">
        <f t="array" ref="C31">INDEX(Data_DBD!$F:$F,$A31)</f>
        <v/>
      </c>
      <c r="E31" s="17" t="n">
        <v>128</v>
      </c>
      <c r="F31" s="17" t="n">
        <v>0</v>
      </c>
      <c r="G31" s="17" t="inlineStr">
        <is>
          <t>Tinggi</t>
        </is>
      </c>
    </row>
    <row r="32" s="1">
      <c r="A32" s="17">
        <f>RANDBETWEEN(2,164)</f>
        <v/>
      </c>
      <c r="B32" s="17">
        <f t="array" ref="B32">INDEX(Data_DBD!$E:$E,$A32)</f>
        <v/>
      </c>
      <c r="C32" s="17">
        <f t="array" ref="C32">INDEX(Data_DBD!$F:$F,$A32)</f>
        <v/>
      </c>
      <c r="E32" s="17" t="n">
        <v>105</v>
      </c>
      <c r="F32" s="17" t="n">
        <v>1</v>
      </c>
      <c r="G32" s="17" t="inlineStr">
        <is>
          <t>Tinggi</t>
        </is>
      </c>
    </row>
    <row r="33" s="1">
      <c r="A33" s="17">
        <f>RANDBETWEEN(2,164)</f>
        <v/>
      </c>
      <c r="B33" s="17">
        <f t="array" ref="B33">INDEX(Data_DBD!$E:$E,$A33)</f>
        <v/>
      </c>
      <c r="C33" s="17">
        <f t="array" ref="C33">INDEX(Data_DBD!$F:$F,$A33)</f>
        <v/>
      </c>
      <c r="E33" s="17" t="n">
        <v>117</v>
      </c>
      <c r="F33" s="17" t="n">
        <v>1</v>
      </c>
      <c r="G33" s="17" t="inlineStr">
        <is>
          <t>Tinggi</t>
        </is>
      </c>
    </row>
    <row r="34" s="1">
      <c r="A34" s="17">
        <f>RANDBETWEEN(2,164)</f>
        <v/>
      </c>
      <c r="B34" s="17">
        <f t="array" ref="B34">INDEX(Data_DBD!$E:$E,$A34)</f>
        <v/>
      </c>
      <c r="C34" s="17">
        <f t="array" ref="C34">INDEX(Data_DBD!$F:$F,$A34)</f>
        <v/>
      </c>
      <c r="E34" s="17" t="n">
        <v>39</v>
      </c>
      <c r="F34" s="17" t="n">
        <v>1</v>
      </c>
      <c r="G34" s="17" t="inlineStr">
        <is>
          <t>Sedang</t>
        </is>
      </c>
    </row>
    <row r="35" s="1">
      <c r="A35" s="17">
        <f>RANDBETWEEN(2,164)</f>
        <v/>
      </c>
      <c r="B35" s="17">
        <f t="array" ref="B35">INDEX(Data_DBD!$E:$E,$A35)</f>
        <v/>
      </c>
      <c r="C35" s="17">
        <f t="array" ref="C35">INDEX(Data_DBD!$F:$F,$A35)</f>
        <v/>
      </c>
      <c r="E35" s="17" t="n">
        <v>76</v>
      </c>
      <c r="F35" s="17" t="n">
        <v>0</v>
      </c>
      <c r="G35" s="17" t="inlineStr">
        <is>
          <t>Sedang</t>
        </is>
      </c>
    </row>
    <row r="36" s="1">
      <c r="A36" s="17">
        <f>RANDBETWEEN(2,164)</f>
        <v/>
      </c>
      <c r="B36" s="17">
        <f t="array" ref="B36">INDEX(Data_DBD!$E:$E,$A36)</f>
        <v/>
      </c>
      <c r="C36" s="17">
        <f t="array" ref="C36">INDEX(Data_DBD!$F:$F,$A36)</f>
        <v/>
      </c>
      <c r="E36" s="17" t="n">
        <v>56</v>
      </c>
      <c r="F36" s="17" t="n">
        <v>0</v>
      </c>
      <c r="G36" s="17" t="inlineStr">
        <is>
          <t>Sedang</t>
        </is>
      </c>
    </row>
    <row r="37" s="1">
      <c r="A37" s="17">
        <f>RANDBETWEEN(2,164)</f>
        <v/>
      </c>
      <c r="B37" s="17">
        <f t="array" ref="B37">INDEX(Data_DBD!$E:$E,$A37)</f>
        <v/>
      </c>
      <c r="C37" s="17">
        <f t="array" ref="C37">INDEX(Data_DBD!$F:$F,$A37)</f>
        <v/>
      </c>
      <c r="E37" s="17" t="n">
        <v>30</v>
      </c>
      <c r="F37" s="17" t="n">
        <v>1</v>
      </c>
      <c r="G37" s="17" t="inlineStr">
        <is>
          <t>Sedang</t>
        </is>
      </c>
    </row>
    <row r="38" s="1">
      <c r="A38" s="17">
        <f>RANDBETWEEN(2,164)</f>
        <v/>
      </c>
      <c r="B38" s="17">
        <f t="array" ref="B38">INDEX(Data_DBD!$E:$E,$A38)</f>
        <v/>
      </c>
      <c r="C38" s="17">
        <f t="array" ref="C38">INDEX(Data_DBD!$F:$F,$A38)</f>
        <v/>
      </c>
      <c r="E38" s="17" t="n">
        <v>33</v>
      </c>
      <c r="F38" s="17" t="n">
        <v>1</v>
      </c>
      <c r="G38" s="17" t="inlineStr">
        <is>
          <t>Sedang</t>
        </is>
      </c>
    </row>
    <row r="39" s="1">
      <c r="A39" s="17">
        <f>RANDBETWEEN(2,164)</f>
        <v/>
      </c>
      <c r="B39" s="17">
        <f t="array" ref="B39">INDEX(Data_DBD!$E:$E,$A39)</f>
        <v/>
      </c>
      <c r="C39" s="17">
        <f t="array" ref="C39">INDEX(Data_DBD!$F:$F,$A39)</f>
        <v/>
      </c>
      <c r="E39" s="17" t="n">
        <v>89</v>
      </c>
      <c r="F39" s="17" t="n">
        <v>0</v>
      </c>
      <c r="G39" s="17" t="inlineStr">
        <is>
          <t>Sedang</t>
        </is>
      </c>
    </row>
    <row r="40" s="1">
      <c r="A40" s="17">
        <f>RANDBETWEEN(2,164)</f>
        <v/>
      </c>
      <c r="B40" s="17">
        <f t="array" ref="B40">INDEX(Data_DBD!$E:$E,$A40)</f>
        <v/>
      </c>
      <c r="C40" s="17">
        <f t="array" ref="C40">INDEX(Data_DBD!$F:$F,$A40)</f>
        <v/>
      </c>
      <c r="E40" s="17" t="n">
        <v>120</v>
      </c>
      <c r="F40" s="17" t="n">
        <v>1</v>
      </c>
      <c r="G40" s="17" t="inlineStr">
        <is>
          <t>Tinggi</t>
        </is>
      </c>
    </row>
    <row r="41" s="1">
      <c r="A41" s="17">
        <f>RANDBETWEEN(2,164)</f>
        <v/>
      </c>
      <c r="B41" s="17">
        <f t="array" ref="B41">INDEX(Data_DBD!$E:$E,$A41)</f>
        <v/>
      </c>
      <c r="C41" s="17">
        <f t="array" ref="C41">INDEX(Data_DBD!$F:$F,$A41)</f>
        <v/>
      </c>
      <c r="E41" s="17" t="n">
        <v>29</v>
      </c>
      <c r="F41" s="17" t="n">
        <v>1</v>
      </c>
      <c r="G41" s="17" t="inlineStr">
        <is>
          <t>Sedang</t>
        </is>
      </c>
    </row>
    <row r="42" s="1">
      <c r="A42" s="17">
        <f>RANDBETWEEN(2,164)</f>
        <v/>
      </c>
      <c r="B42" s="17">
        <f t="array" ref="B42">INDEX(Data_DBD!$E:$E,$A42)</f>
        <v/>
      </c>
      <c r="C42" s="17">
        <f t="array" ref="C42">INDEX(Data_DBD!$F:$F,$A42)</f>
        <v/>
      </c>
      <c r="E42" s="17" t="n">
        <v>93</v>
      </c>
      <c r="F42" s="17" t="n">
        <v>0</v>
      </c>
      <c r="G42" s="17" t="inlineStr">
        <is>
          <t>Tinggi</t>
        </is>
      </c>
    </row>
    <row r="43" s="1">
      <c r="A43" s="17">
        <f>RANDBETWEEN(2,164)</f>
        <v/>
      </c>
      <c r="B43" s="17">
        <f t="array" ref="B43">INDEX(Data_DBD!$E:$E,$A43)</f>
        <v/>
      </c>
      <c r="C43" s="17">
        <f t="array" ref="C43">INDEX(Data_DBD!$F:$F,$A43)</f>
        <v/>
      </c>
      <c r="E43" s="17" t="n">
        <v>37</v>
      </c>
      <c r="F43" s="17" t="n">
        <v>1</v>
      </c>
      <c r="G43" s="17" t="inlineStr">
        <is>
          <t>Rendah</t>
        </is>
      </c>
    </row>
    <row r="44" s="1">
      <c r="A44" s="17">
        <f>RANDBETWEEN(2,164)</f>
        <v/>
      </c>
      <c r="B44" s="17">
        <f t="array" ref="B44">INDEX(Data_DBD!$E:$E,$A44)</f>
        <v/>
      </c>
      <c r="C44" s="17">
        <f t="array" ref="C44">INDEX(Data_DBD!$F:$F,$A44)</f>
        <v/>
      </c>
      <c r="E44" s="17" t="n">
        <v>46</v>
      </c>
      <c r="F44" s="17" t="n">
        <v>0</v>
      </c>
      <c r="G44" s="17" t="inlineStr">
        <is>
          <t>Sedang</t>
        </is>
      </c>
    </row>
    <row r="45" s="1">
      <c r="A45" s="17">
        <f>RANDBETWEEN(2,164)</f>
        <v/>
      </c>
      <c r="B45" s="17">
        <f t="array" ref="B45">INDEX(Data_DBD!$E:$E,$A45)</f>
        <v/>
      </c>
      <c r="C45" s="17">
        <f t="array" ref="C45">INDEX(Data_DBD!$F:$F,$A45)</f>
        <v/>
      </c>
      <c r="E45" s="17" t="n">
        <v>26</v>
      </c>
      <c r="F45" s="17" t="n">
        <v>1</v>
      </c>
      <c r="G45" s="17" t="inlineStr">
        <is>
          <t>Sedang</t>
        </is>
      </c>
    </row>
    <row r="46" s="1">
      <c r="A46" s="17">
        <f>RANDBETWEEN(2,164)</f>
        <v/>
      </c>
      <c r="B46" s="17">
        <f t="array" ref="B46">INDEX(Data_DBD!$E:$E,$A46)</f>
        <v/>
      </c>
      <c r="C46" s="17">
        <f t="array" ref="C46">INDEX(Data_DBD!$F:$F,$A46)</f>
        <v/>
      </c>
      <c r="E46" s="17" t="n">
        <v>141</v>
      </c>
      <c r="F46" s="17" t="n">
        <v>0</v>
      </c>
      <c r="G46" s="17" t="inlineStr">
        <is>
          <t>Tinggi</t>
        </is>
      </c>
    </row>
    <row r="47" s="1">
      <c r="A47" s="17">
        <f>RANDBETWEEN(2,164)</f>
        <v/>
      </c>
      <c r="B47" s="17">
        <f t="array" ref="B47">INDEX(Data_DBD!$E:$E,$A47)</f>
        <v/>
      </c>
      <c r="C47" s="17">
        <f t="array" ref="C47">INDEX(Data_DBD!$F:$F,$A47)</f>
        <v/>
      </c>
      <c r="E47" s="17" t="n">
        <v>90</v>
      </c>
      <c r="F47" s="17" t="n">
        <v>0</v>
      </c>
      <c r="G47" s="17" t="inlineStr">
        <is>
          <t>Tinggi</t>
        </is>
      </c>
    </row>
    <row r="48" s="1">
      <c r="A48" s="17">
        <f>RANDBETWEEN(2,164)</f>
        <v/>
      </c>
      <c r="B48" s="17">
        <f t="array" ref="B48">INDEX(Data_DBD!$E:$E,$A48)</f>
        <v/>
      </c>
      <c r="C48" s="17">
        <f t="array" ref="C48">INDEX(Data_DBD!$F:$F,$A48)</f>
        <v/>
      </c>
      <c r="E48" s="17" t="n">
        <v>80</v>
      </c>
      <c r="F48" s="17" t="n">
        <v>1</v>
      </c>
      <c r="G48" s="17" t="inlineStr">
        <is>
          <t>Sedang</t>
        </is>
      </c>
    </row>
    <row r="49" s="1">
      <c r="A49" s="17">
        <f>RANDBETWEEN(2,164)</f>
        <v/>
      </c>
      <c r="B49" s="17">
        <f t="array" ref="B49">INDEX(Data_DBD!$E:$E,$A49)</f>
        <v/>
      </c>
      <c r="C49" s="17">
        <f t="array" ref="C49">INDEX(Data_DBD!$F:$F,$A49)</f>
        <v/>
      </c>
      <c r="E49" s="17" t="n">
        <v>76</v>
      </c>
      <c r="F49" s="17" t="n">
        <v>0</v>
      </c>
      <c r="G49" s="17" t="inlineStr">
        <is>
          <t>Sedang</t>
        </is>
      </c>
    </row>
    <row r="50" s="1">
      <c r="A50" s="17">
        <f>RANDBETWEEN(2,164)</f>
        <v/>
      </c>
      <c r="B50" s="17">
        <f t="array" ref="B50">INDEX(Data_DBD!$E:$E,$A50)</f>
        <v/>
      </c>
      <c r="C50" s="17">
        <f t="array" ref="C50">INDEX(Data_DBD!$F:$F,$A50)</f>
        <v/>
      </c>
      <c r="E50" s="17" t="n">
        <v>159</v>
      </c>
      <c r="F50" s="17" t="n">
        <v>0</v>
      </c>
      <c r="G50" s="17" t="inlineStr">
        <is>
          <t>Tinggi</t>
        </is>
      </c>
    </row>
    <row r="51" s="1">
      <c r="A51" s="17">
        <f>RANDBETWEEN(2,164)</f>
        <v/>
      </c>
      <c r="B51" s="17">
        <f t="array" ref="B51">INDEX(Data_DBD!$E:$E,$A51)</f>
        <v/>
      </c>
      <c r="C51" s="17">
        <f t="array" ref="C51">INDEX(Data_DBD!$F:$F,$A51)</f>
        <v/>
      </c>
      <c r="E51" s="17" t="n">
        <v>86</v>
      </c>
      <c r="F51" s="17" t="n">
        <v>0</v>
      </c>
      <c r="G51" s="17" t="inlineStr">
        <is>
          <t>Sedang</t>
        </is>
      </c>
    </row>
    <row r="52" s="1">
      <c r="A52" s="17">
        <f>RANDBETWEEN(2,164)</f>
        <v/>
      </c>
      <c r="B52" s="17">
        <f t="array" ref="B52">INDEX(Data_DBD!$E:$E,$A52)</f>
        <v/>
      </c>
      <c r="C52" s="17">
        <f t="array" ref="C52">INDEX(Data_DBD!$F:$F,$A52)</f>
        <v/>
      </c>
      <c r="E52" s="17" t="n">
        <v>69</v>
      </c>
      <c r="F52" s="17" t="n">
        <v>1</v>
      </c>
      <c r="G52" s="17" t="inlineStr">
        <is>
          <t>Sedang</t>
        </is>
      </c>
    </row>
    <row r="53" s="1">
      <c r="A53" s="17">
        <f>RANDBETWEEN(2,164)</f>
        <v/>
      </c>
      <c r="B53" s="17">
        <f t="array" ref="B53">INDEX(Data_DBD!$E:$E,$A53)</f>
        <v/>
      </c>
      <c r="C53" s="17">
        <f t="array" ref="C53">INDEX(Data_DBD!$F:$F,$A53)</f>
        <v/>
      </c>
      <c r="E53" s="17" t="n">
        <v>60</v>
      </c>
      <c r="F53" s="17" t="n">
        <v>0</v>
      </c>
      <c r="G53" s="17" t="inlineStr">
        <is>
          <t>Sedang</t>
        </is>
      </c>
    </row>
    <row r="54" s="1">
      <c r="A54" s="17">
        <f>RANDBETWEEN(2,164)</f>
        <v/>
      </c>
      <c r="B54" s="17">
        <f t="array" ref="B54">INDEX(Data_DBD!$E:$E,$A54)</f>
        <v/>
      </c>
      <c r="C54" s="17">
        <f t="array" ref="C54">INDEX(Data_DBD!$F:$F,$A54)</f>
        <v/>
      </c>
      <c r="E54" s="17" t="n">
        <v>73</v>
      </c>
      <c r="F54" s="17" t="n">
        <v>1</v>
      </c>
      <c r="G54" s="17" t="inlineStr">
        <is>
          <t>Sedang</t>
        </is>
      </c>
    </row>
    <row r="55" s="1">
      <c r="A55" s="17">
        <f>RANDBETWEEN(2,164)</f>
        <v/>
      </c>
      <c r="B55" s="17">
        <f t="array" ref="B55">INDEX(Data_DBD!$E:$E,$A55)</f>
        <v/>
      </c>
      <c r="C55" s="17">
        <f t="array" ref="C55">INDEX(Data_DBD!$F:$F,$A55)</f>
        <v/>
      </c>
      <c r="E55" s="17" t="n">
        <v>73</v>
      </c>
      <c r="F55" s="17" t="n">
        <v>1</v>
      </c>
      <c r="G55" s="17" t="inlineStr">
        <is>
          <t>Sedang</t>
        </is>
      </c>
    </row>
    <row r="56" s="1">
      <c r="A56" s="17">
        <f>RANDBETWEEN(2,164)</f>
        <v/>
      </c>
      <c r="B56" s="17">
        <f t="array" ref="B56">INDEX(Data_DBD!$E:$E,$A56)</f>
        <v/>
      </c>
      <c r="C56" s="17">
        <f t="array" ref="C56">INDEX(Data_DBD!$F:$F,$A56)</f>
        <v/>
      </c>
      <c r="E56" s="17" t="n">
        <v>69</v>
      </c>
      <c r="F56" s="17" t="n">
        <v>1</v>
      </c>
      <c r="G56" s="17" t="inlineStr">
        <is>
          <t>Sedang</t>
        </is>
      </c>
    </row>
    <row r="57" s="1">
      <c r="A57" s="17">
        <f>RANDBETWEEN(2,164)</f>
        <v/>
      </c>
      <c r="B57" s="17">
        <f t="array" ref="B57">INDEX(Data_DBD!$E:$E,$A57)</f>
        <v/>
      </c>
      <c r="C57" s="17">
        <f t="array" ref="C57">INDEX(Data_DBD!$F:$F,$A57)</f>
        <v/>
      </c>
      <c r="E57" s="17" t="n">
        <v>95</v>
      </c>
      <c r="F57" s="17" t="n">
        <v>1</v>
      </c>
      <c r="G57" s="17" t="inlineStr">
        <is>
          <t>Tinggi</t>
        </is>
      </c>
    </row>
    <row r="58" s="1">
      <c r="A58" s="17">
        <f>RANDBETWEEN(2,164)</f>
        <v/>
      </c>
      <c r="B58" s="17">
        <f t="array" ref="B58">INDEX(Data_DBD!$E:$E,$A58)</f>
        <v/>
      </c>
      <c r="C58" s="17">
        <f t="array" ref="C58">INDEX(Data_DBD!$F:$F,$A58)</f>
        <v/>
      </c>
      <c r="E58" s="17" t="n">
        <v>113</v>
      </c>
      <c r="F58" s="17" t="n">
        <v>1</v>
      </c>
      <c r="G58" s="17" t="inlineStr">
        <is>
          <t>Tinggi</t>
        </is>
      </c>
    </row>
    <row r="59" s="1">
      <c r="A59" s="17">
        <f>RANDBETWEEN(2,164)</f>
        <v/>
      </c>
      <c r="B59" s="17">
        <f t="array" ref="B59">INDEX(Data_DBD!$E:$E,$A59)</f>
        <v/>
      </c>
      <c r="C59" s="17">
        <f t="array" ref="C59">INDEX(Data_DBD!$F:$F,$A59)</f>
        <v/>
      </c>
      <c r="E59" s="17" t="n">
        <v>47</v>
      </c>
      <c r="F59" s="17" t="n">
        <v>0</v>
      </c>
      <c r="G59" s="17" t="inlineStr">
        <is>
          <t>Sedang</t>
        </is>
      </c>
    </row>
    <row r="60" s="1">
      <c r="A60" s="17">
        <f>RANDBETWEEN(2,164)</f>
        <v/>
      </c>
      <c r="B60" s="17">
        <f t="array" ref="B60">INDEX(Data_DBD!$E:$E,$A60)</f>
        <v/>
      </c>
      <c r="C60" s="17">
        <f t="array" ref="C60">INDEX(Data_DBD!$F:$F,$A60)</f>
        <v/>
      </c>
      <c r="E60" s="17" t="n">
        <v>83</v>
      </c>
      <c r="F60" s="17" t="n">
        <v>0</v>
      </c>
      <c r="G60" s="17" t="inlineStr">
        <is>
          <t>Sedang</t>
        </is>
      </c>
    </row>
    <row r="61" s="1">
      <c r="A61" s="17">
        <f>RANDBETWEEN(2,164)</f>
        <v/>
      </c>
      <c r="B61" s="17">
        <f t="array" ref="B61">INDEX(Data_DBD!$E:$E,$A61)</f>
        <v/>
      </c>
      <c r="C61" s="17">
        <f t="array" ref="C61">INDEX(Data_DBD!$F:$F,$A61)</f>
        <v/>
      </c>
      <c r="E61" s="17" t="n">
        <v>45</v>
      </c>
      <c r="F61" s="17" t="n">
        <v>1</v>
      </c>
      <c r="G61" s="17" t="inlineStr">
        <is>
          <t>Sedang</t>
        </is>
      </c>
    </row>
    <row r="62" s="1">
      <c r="A62" s="17">
        <f>RANDBETWEEN(2,164)</f>
        <v/>
      </c>
      <c r="B62" s="17">
        <f t="array" ref="B62">INDEX(Data_DBD!$E:$E,$A62)</f>
        <v/>
      </c>
      <c r="C62" s="17">
        <f t="array" ref="C62">INDEX(Data_DBD!$F:$F,$A62)</f>
        <v/>
      </c>
      <c r="E62" s="17" t="n">
        <v>135</v>
      </c>
      <c r="F62" s="17" t="n">
        <v>0</v>
      </c>
      <c r="G62" s="17" t="inlineStr">
        <is>
          <t>Tinggi</t>
        </is>
      </c>
    </row>
    <row r="63" s="1">
      <c r="A63" s="17">
        <f>RANDBETWEEN(2,164)</f>
        <v/>
      </c>
      <c r="B63" s="17">
        <f t="array" ref="B63">INDEX(Data_DBD!$E:$E,$A63)</f>
        <v/>
      </c>
      <c r="C63" s="17">
        <f t="array" ref="C63">INDEX(Data_DBD!$F:$F,$A63)</f>
        <v/>
      </c>
      <c r="E63" s="17" t="n">
        <v>133</v>
      </c>
      <c r="F63" s="17" t="n">
        <v>0</v>
      </c>
      <c r="G63" s="17" t="inlineStr">
        <is>
          <t>Tinggi</t>
        </is>
      </c>
    </row>
    <row r="64" s="1">
      <c r="A64" s="17">
        <f>RANDBETWEEN(2,164)</f>
        <v/>
      </c>
      <c r="B64" s="17">
        <f t="array" ref="B64">INDEX(Data_DBD!$E:$E,$A64)</f>
        <v/>
      </c>
      <c r="C64" s="17">
        <f t="array" ref="C64">INDEX(Data_DBD!$F:$F,$A64)</f>
        <v/>
      </c>
      <c r="E64" s="17" t="n">
        <v>41</v>
      </c>
      <c r="F64" s="17" t="n">
        <v>0</v>
      </c>
      <c r="G64" s="17" t="inlineStr">
        <is>
          <t>Sedang</t>
        </is>
      </c>
    </row>
    <row r="65" s="1">
      <c r="A65" s="17">
        <f>RANDBETWEEN(2,164)</f>
        <v/>
      </c>
      <c r="B65" s="17">
        <f t="array" ref="B65">INDEX(Data_DBD!$E:$E,$A65)</f>
        <v/>
      </c>
      <c r="C65" s="17">
        <f t="array" ref="C65">INDEX(Data_DBD!$F:$F,$A65)</f>
        <v/>
      </c>
      <c r="E65" s="17" t="n">
        <v>109</v>
      </c>
      <c r="F65" s="17" t="n">
        <v>1</v>
      </c>
      <c r="G65" s="17" t="inlineStr">
        <is>
          <t>Tinggi</t>
        </is>
      </c>
    </row>
    <row r="66" s="1">
      <c r="A66" s="17">
        <f>RANDBETWEEN(2,164)</f>
        <v/>
      </c>
      <c r="B66" s="17">
        <f t="array" ref="B66">INDEX(Data_DBD!$E:$E,$A66)</f>
        <v/>
      </c>
      <c r="C66" s="17">
        <f t="array" ref="C66">INDEX(Data_DBD!$F:$F,$A66)</f>
        <v/>
      </c>
      <c r="E66" s="17" t="n">
        <v>161</v>
      </c>
      <c r="F66" s="17" t="n">
        <v>1</v>
      </c>
      <c r="G66" s="17" t="inlineStr">
        <is>
          <t>Tinggi</t>
        </is>
      </c>
    </row>
    <row r="67" s="1">
      <c r="A67" s="17">
        <f>RANDBETWEEN(2,164)</f>
        <v/>
      </c>
      <c r="B67" s="17">
        <f t="array" ref="B67">INDEX(Data_DBD!$E:$E,$A67)</f>
        <v/>
      </c>
      <c r="C67" s="17">
        <f t="array" ref="C67">INDEX(Data_DBD!$F:$F,$A67)</f>
        <v/>
      </c>
      <c r="E67" s="17" t="n">
        <v>36</v>
      </c>
      <c r="F67" s="17" t="n">
        <v>1</v>
      </c>
      <c r="G67" s="17" t="inlineStr">
        <is>
          <t>Rendah</t>
        </is>
      </c>
    </row>
    <row r="68" s="1">
      <c r="A68" s="17">
        <f>RANDBETWEEN(2,164)</f>
        <v/>
      </c>
      <c r="B68" s="17">
        <f t="array" ref="B68">INDEX(Data_DBD!$E:$E,$A68)</f>
        <v/>
      </c>
      <c r="C68" s="17">
        <f t="array" ref="C68">INDEX(Data_DBD!$F:$F,$A68)</f>
        <v/>
      </c>
      <c r="E68" s="17" t="n">
        <v>106</v>
      </c>
      <c r="F68" s="17" t="n">
        <v>1</v>
      </c>
      <c r="G68" s="17" t="inlineStr">
        <is>
          <t>Tinggi</t>
        </is>
      </c>
    </row>
    <row r="69" s="1">
      <c r="A69" s="17">
        <f>RANDBETWEEN(2,164)</f>
        <v/>
      </c>
      <c r="B69" s="17">
        <f t="array" ref="B69">INDEX(Data_DBD!$E:$E,$A69)</f>
        <v/>
      </c>
      <c r="C69" s="17">
        <f t="array" ref="C69">INDEX(Data_DBD!$F:$F,$A69)</f>
        <v/>
      </c>
      <c r="E69" s="17" t="n">
        <v>50</v>
      </c>
      <c r="F69" s="17" t="n">
        <v>0</v>
      </c>
      <c r="G69" s="17" t="inlineStr">
        <is>
          <t>Sedang</t>
        </is>
      </c>
    </row>
    <row r="70" s="1">
      <c r="A70" s="17">
        <f>RANDBETWEEN(2,164)</f>
        <v/>
      </c>
      <c r="B70" s="17">
        <f t="array" ref="B70">INDEX(Data_DBD!$E:$E,$A70)</f>
        <v/>
      </c>
      <c r="C70" s="17">
        <f t="array" ref="C70">INDEX(Data_DBD!$F:$F,$A70)</f>
        <v/>
      </c>
      <c r="E70" s="17" t="n">
        <v>71</v>
      </c>
      <c r="F70" s="17" t="n">
        <v>0</v>
      </c>
      <c r="G70" s="17" t="inlineStr">
        <is>
          <t>Sedang</t>
        </is>
      </c>
    </row>
    <row r="71" s="1">
      <c r="A71" s="17">
        <f>RANDBETWEEN(2,164)</f>
        <v/>
      </c>
      <c r="B71" s="17">
        <f t="array" ref="B71">INDEX(Data_DBD!$E:$E,$A71)</f>
        <v/>
      </c>
      <c r="C71" s="17">
        <f t="array" ref="C71">INDEX(Data_DBD!$F:$F,$A71)</f>
        <v/>
      </c>
      <c r="E71" s="17" t="n">
        <v>161</v>
      </c>
      <c r="F71" s="17" t="n">
        <v>1</v>
      </c>
      <c r="G71" s="17" t="inlineStr">
        <is>
          <t>Tinggi</t>
        </is>
      </c>
    </row>
    <row r="72" s="1">
      <c r="A72" s="17">
        <f>RANDBETWEEN(2,164)</f>
        <v/>
      </c>
      <c r="B72" s="17">
        <f t="array" ref="B72">INDEX(Data_DBD!$E:$E,$A72)</f>
        <v/>
      </c>
      <c r="C72" s="17">
        <f t="array" ref="C72">INDEX(Data_DBD!$F:$F,$A72)</f>
        <v/>
      </c>
      <c r="E72" s="17" t="n">
        <v>62</v>
      </c>
      <c r="F72" s="17" t="n">
        <v>1</v>
      </c>
      <c r="G72" s="17" t="inlineStr">
        <is>
          <t>Sedang</t>
        </is>
      </c>
    </row>
    <row r="73" s="1">
      <c r="A73" s="17">
        <f>RANDBETWEEN(2,164)</f>
        <v/>
      </c>
      <c r="B73" s="17">
        <f t="array" ref="B73">INDEX(Data_DBD!$E:$E,$A73)</f>
        <v/>
      </c>
      <c r="C73" s="17">
        <f t="array" ref="C73">INDEX(Data_DBD!$F:$F,$A73)</f>
        <v/>
      </c>
      <c r="E73" s="17" t="n">
        <v>83</v>
      </c>
      <c r="F73" s="17" t="n">
        <v>0</v>
      </c>
      <c r="G73" s="17" t="inlineStr">
        <is>
          <t>Sedang</t>
        </is>
      </c>
    </row>
    <row r="74" s="1">
      <c r="A74" s="17">
        <f>RANDBETWEEN(2,164)</f>
        <v/>
      </c>
      <c r="B74" s="17">
        <f t="array" ref="B74">INDEX(Data_DBD!$E:$E,$A74)</f>
        <v/>
      </c>
      <c r="C74" s="17">
        <f t="array" ref="C74">INDEX(Data_DBD!$F:$F,$A74)</f>
        <v/>
      </c>
      <c r="E74" s="17" t="n">
        <v>130</v>
      </c>
      <c r="F74" s="17" t="n">
        <v>0</v>
      </c>
      <c r="G74" s="17" t="inlineStr">
        <is>
          <t>Tinggi</t>
        </is>
      </c>
    </row>
    <row r="75" s="1">
      <c r="A75" s="17">
        <f>RANDBETWEEN(2,164)</f>
        <v/>
      </c>
      <c r="B75" s="17">
        <f t="array" ref="B75">INDEX(Data_DBD!$E:$E,$A75)</f>
        <v/>
      </c>
      <c r="C75" s="17">
        <f t="array" ref="C75">INDEX(Data_DBD!$F:$F,$A75)</f>
        <v/>
      </c>
      <c r="E75" s="17" t="n">
        <v>72</v>
      </c>
      <c r="F75" s="17" t="n">
        <v>1</v>
      </c>
      <c r="G75" s="17" t="inlineStr">
        <is>
          <t>Sedang</t>
        </is>
      </c>
    </row>
    <row r="76" s="1">
      <c r="A76" s="17">
        <f>RANDBETWEEN(2,164)</f>
        <v/>
      </c>
      <c r="B76" s="17">
        <f t="array" ref="B76">INDEX(Data_DBD!$E:$E,$A76)</f>
        <v/>
      </c>
      <c r="C76" s="17">
        <f t="array" ref="C76">INDEX(Data_DBD!$F:$F,$A76)</f>
        <v/>
      </c>
      <c r="E76" s="17" t="n">
        <v>127</v>
      </c>
      <c r="F76" s="17" t="n">
        <v>0</v>
      </c>
      <c r="G76" s="17" t="inlineStr">
        <is>
          <t>Tinggi</t>
        </is>
      </c>
    </row>
    <row r="77" s="1">
      <c r="A77" s="17">
        <f>RANDBETWEEN(2,164)</f>
        <v/>
      </c>
      <c r="B77" s="17">
        <f t="array" ref="B77">INDEX(Data_DBD!$E:$E,$A77)</f>
        <v/>
      </c>
      <c r="C77" s="17">
        <f t="array" ref="C77">INDEX(Data_DBD!$F:$F,$A77)</f>
        <v/>
      </c>
      <c r="E77" s="17" t="n">
        <v>84</v>
      </c>
      <c r="F77" s="17" t="n">
        <v>1</v>
      </c>
      <c r="G77" s="17" t="inlineStr">
        <is>
          <t>Sedang</t>
        </is>
      </c>
    </row>
    <row r="78" s="1">
      <c r="A78" s="17">
        <f>RANDBETWEEN(2,164)</f>
        <v/>
      </c>
      <c r="B78" s="17">
        <f t="array" ref="B78">INDEX(Data_DBD!$E:$E,$A78)</f>
        <v/>
      </c>
      <c r="C78" s="17">
        <f t="array" ref="C78">INDEX(Data_DBD!$F:$F,$A78)</f>
        <v/>
      </c>
      <c r="E78" s="17" t="n">
        <v>134</v>
      </c>
      <c r="F78" s="17" t="n">
        <v>1</v>
      </c>
      <c r="G78" s="17" t="inlineStr">
        <is>
          <t>Tinggi</t>
        </is>
      </c>
    </row>
    <row r="79" s="1">
      <c r="A79" s="17">
        <f>RANDBETWEEN(2,164)</f>
        <v/>
      </c>
      <c r="B79" s="17">
        <f t="array" ref="B79">INDEX(Data_DBD!$E:$E,$A79)</f>
        <v/>
      </c>
      <c r="C79" s="17">
        <f t="array" ref="C79">INDEX(Data_DBD!$F:$F,$A79)</f>
        <v/>
      </c>
      <c r="E79" s="17" t="n">
        <v>32</v>
      </c>
      <c r="F79" s="17" t="n">
        <v>0</v>
      </c>
      <c r="G79" s="17" t="inlineStr">
        <is>
          <t>Sedang</t>
        </is>
      </c>
    </row>
    <row r="80" s="1">
      <c r="A80" s="17">
        <f>RANDBETWEEN(2,164)</f>
        <v/>
      </c>
      <c r="B80" s="17">
        <f t="array" ref="B80">INDEX(Data_DBD!$E:$E,$A80)</f>
        <v/>
      </c>
      <c r="C80" s="17">
        <f t="array" ref="C80">INDEX(Data_DBD!$F:$F,$A80)</f>
        <v/>
      </c>
      <c r="E80" s="17" t="n">
        <v>38</v>
      </c>
      <c r="F80" s="17" t="n">
        <v>1</v>
      </c>
      <c r="G80" s="17" t="inlineStr">
        <is>
          <t>Rendah</t>
        </is>
      </c>
    </row>
    <row r="81" s="1">
      <c r="A81" s="17">
        <f>RANDBETWEEN(2,164)</f>
        <v/>
      </c>
      <c r="B81" s="17">
        <f t="array" ref="B81">INDEX(Data_DBD!$E:$E,$A81)</f>
        <v/>
      </c>
      <c r="C81" s="17">
        <f t="array" ref="C81">INDEX(Data_DBD!$F:$F,$A81)</f>
        <v/>
      </c>
      <c r="E81" s="17" t="n">
        <v>128</v>
      </c>
      <c r="F81" s="17" t="n">
        <v>0</v>
      </c>
      <c r="G81" s="17" t="inlineStr">
        <is>
          <t>Tinggi</t>
        </is>
      </c>
    </row>
    <row r="82" s="1">
      <c r="A82" s="17">
        <f>RANDBETWEEN(2,164)</f>
        <v/>
      </c>
      <c r="B82" s="17">
        <f t="array" ref="B82">INDEX(Data_DBD!$E:$E,$A82)</f>
        <v/>
      </c>
      <c r="C82" s="17">
        <f t="array" ref="C82">INDEX(Data_DBD!$F:$F,$A82)</f>
        <v/>
      </c>
      <c r="E82" s="17" t="n">
        <v>156</v>
      </c>
      <c r="F82" s="17" t="n">
        <v>0</v>
      </c>
      <c r="G82" s="17" t="inlineStr">
        <is>
          <t>Tinggi</t>
        </is>
      </c>
    </row>
    <row r="83" s="1">
      <c r="A83" s="17">
        <f>RANDBETWEEN(2,164)</f>
        <v/>
      </c>
      <c r="B83" s="17">
        <f t="array" ref="B83">INDEX(Data_DBD!$E:$E,$A83)</f>
        <v/>
      </c>
      <c r="C83" s="17">
        <f t="array" ref="C83">INDEX(Data_DBD!$F:$F,$A83)</f>
        <v/>
      </c>
      <c r="E83" s="17" t="n">
        <v>27</v>
      </c>
      <c r="F83" s="17" t="n">
        <v>1</v>
      </c>
      <c r="G83" s="17" t="inlineStr">
        <is>
          <t>Sedang</t>
        </is>
      </c>
    </row>
    <row r="84" s="1">
      <c r="A84" s="17">
        <f>RANDBETWEEN(2,164)</f>
        <v/>
      </c>
      <c r="B84" s="17">
        <f t="array" ref="B84">INDEX(Data_DBD!$E:$E,$A84)</f>
        <v/>
      </c>
      <c r="C84" s="17">
        <f t="array" ref="C84">INDEX(Data_DBD!$F:$F,$A84)</f>
        <v/>
      </c>
      <c r="E84" s="17" t="n">
        <v>78</v>
      </c>
      <c r="F84" s="17" t="n">
        <v>0</v>
      </c>
      <c r="G84" s="17" t="inlineStr">
        <is>
          <t>Sedang</t>
        </is>
      </c>
    </row>
    <row r="85" s="1">
      <c r="A85" s="17">
        <f>RANDBETWEEN(2,164)</f>
        <v/>
      </c>
      <c r="B85" s="17">
        <f t="array" ref="B85">INDEX(Data_DBD!$E:$E,$A85)</f>
        <v/>
      </c>
      <c r="C85" s="17">
        <f t="array" ref="C85">INDEX(Data_DBD!$F:$F,$A85)</f>
        <v/>
      </c>
      <c r="E85" s="17" t="n">
        <v>142</v>
      </c>
      <c r="F85" s="17" t="n">
        <v>1</v>
      </c>
      <c r="G85" s="17" t="inlineStr">
        <is>
          <t>Tinggi</t>
        </is>
      </c>
    </row>
    <row r="86" s="1">
      <c r="A86" s="17">
        <f>RANDBETWEEN(2,164)</f>
        <v/>
      </c>
      <c r="B86" s="17">
        <f t="array" ref="B86">INDEX(Data_DBD!$E:$E,$A86)</f>
        <v/>
      </c>
      <c r="C86" s="17">
        <f t="array" ref="C86">INDEX(Data_DBD!$F:$F,$A86)</f>
        <v/>
      </c>
      <c r="E86" s="17" t="n">
        <v>51</v>
      </c>
      <c r="F86" s="17" t="n">
        <v>0</v>
      </c>
      <c r="G86" s="17" t="inlineStr">
        <is>
          <t>Sedang</t>
        </is>
      </c>
    </row>
    <row r="87" s="1">
      <c r="A87" s="17">
        <f>RANDBETWEEN(2,164)</f>
        <v/>
      </c>
      <c r="B87" s="17">
        <f t="array" ref="B87">INDEX(Data_DBD!$E:$E,$A87)</f>
        <v/>
      </c>
      <c r="C87" s="17">
        <f t="array" ref="C87">INDEX(Data_DBD!$F:$F,$A87)</f>
        <v/>
      </c>
      <c r="E87" s="17" t="n">
        <v>151</v>
      </c>
      <c r="F87" s="17" t="n">
        <v>0</v>
      </c>
      <c r="G87" s="17" t="inlineStr">
        <is>
          <t>Tinggi</t>
        </is>
      </c>
    </row>
    <row r="88" s="1">
      <c r="A88" s="17">
        <f>RANDBETWEEN(2,164)</f>
        <v/>
      </c>
      <c r="B88" s="17">
        <f t="array" ref="B88">INDEX(Data_DBD!$E:$E,$A88)</f>
        <v/>
      </c>
      <c r="C88" s="17">
        <f t="array" ref="C88">INDEX(Data_DBD!$F:$F,$A88)</f>
        <v/>
      </c>
      <c r="E88" s="17" t="n">
        <v>120</v>
      </c>
      <c r="F88" s="17" t="n">
        <v>1</v>
      </c>
      <c r="G88" s="17" t="inlineStr">
        <is>
          <t>Tinggi</t>
        </is>
      </c>
    </row>
    <row r="89" s="1">
      <c r="A89" s="17">
        <f>RANDBETWEEN(2,164)</f>
        <v/>
      </c>
      <c r="B89" s="17">
        <f t="array" ref="B89">INDEX(Data_DBD!$E:$E,$A89)</f>
        <v/>
      </c>
      <c r="C89" s="17">
        <f t="array" ref="C89">INDEX(Data_DBD!$F:$F,$A89)</f>
        <v/>
      </c>
      <c r="E89" s="17" t="n">
        <v>34</v>
      </c>
      <c r="F89" s="17" t="n">
        <v>0</v>
      </c>
      <c r="G89" s="17" t="inlineStr">
        <is>
          <t>Sedang</t>
        </is>
      </c>
    </row>
    <row r="90" s="1">
      <c r="A90" s="17">
        <f>RANDBETWEEN(2,164)</f>
        <v/>
      </c>
      <c r="B90" s="17">
        <f t="array" ref="B90">INDEX(Data_DBD!$E:$E,$A90)</f>
        <v/>
      </c>
      <c r="C90" s="17">
        <f t="array" ref="C90">INDEX(Data_DBD!$F:$F,$A90)</f>
        <v/>
      </c>
      <c r="E90" s="17" t="n">
        <v>137</v>
      </c>
      <c r="F90" s="17" t="n">
        <v>1</v>
      </c>
      <c r="G90" s="17" t="inlineStr">
        <is>
          <t>Tinggi</t>
        </is>
      </c>
    </row>
    <row r="91" s="1">
      <c r="A91" s="17">
        <f>RANDBETWEEN(2,164)</f>
        <v/>
      </c>
      <c r="B91" s="17">
        <f t="array" ref="B91">INDEX(Data_DBD!$E:$E,$A91)</f>
        <v/>
      </c>
      <c r="C91" s="17">
        <f t="array" ref="C91">INDEX(Data_DBD!$F:$F,$A91)</f>
        <v/>
      </c>
      <c r="E91" s="17" t="n">
        <v>2</v>
      </c>
      <c r="F91" s="17" t="n">
        <v>0</v>
      </c>
      <c r="G91" s="17" t="inlineStr">
        <is>
          <t>Sedang</t>
        </is>
      </c>
    </row>
    <row r="92" s="1">
      <c r="A92" s="17">
        <f>RANDBETWEEN(2,164)</f>
        <v/>
      </c>
      <c r="B92" s="17">
        <f t="array" ref="B92">INDEX(Data_DBD!$E:$E,$A92)</f>
        <v/>
      </c>
      <c r="C92" s="17">
        <f t="array" ref="C92">INDEX(Data_DBD!$F:$F,$A92)</f>
        <v/>
      </c>
      <c r="E92" s="17" t="n">
        <v>137</v>
      </c>
      <c r="F92" s="17" t="n">
        <v>1</v>
      </c>
      <c r="G92" s="17" t="inlineStr">
        <is>
          <t>Tinggi</t>
        </is>
      </c>
    </row>
    <row r="93" s="1">
      <c r="A93" s="17">
        <f>RANDBETWEEN(2,164)</f>
        <v/>
      </c>
      <c r="B93" s="17">
        <f t="array" ref="B93">INDEX(Data_DBD!$E:$E,$A93)</f>
        <v/>
      </c>
      <c r="C93" s="17">
        <f t="array" ref="C93">INDEX(Data_DBD!$F:$F,$A93)</f>
        <v/>
      </c>
      <c r="E93" s="17" t="n">
        <v>45</v>
      </c>
      <c r="F93" s="17" t="n">
        <v>1</v>
      </c>
      <c r="G93" s="17" t="inlineStr">
        <is>
          <t>Sedang</t>
        </is>
      </c>
    </row>
    <row r="94" s="1">
      <c r="A94" s="17">
        <f>RANDBETWEEN(2,164)</f>
        <v/>
      </c>
      <c r="B94" s="17">
        <f t="array" ref="B94">INDEX(Data_DBD!$E:$E,$A94)</f>
        <v/>
      </c>
      <c r="C94" s="17">
        <f t="array" ref="C94">INDEX(Data_DBD!$F:$F,$A94)</f>
        <v/>
      </c>
      <c r="E94" s="17" t="n">
        <v>164</v>
      </c>
      <c r="F94" s="17" t="n">
        <v>0</v>
      </c>
      <c r="G94" s="17" t="inlineStr">
        <is>
          <t>Rendah</t>
        </is>
      </c>
    </row>
    <row r="95" s="1">
      <c r="A95" s="17">
        <f>RANDBETWEEN(2,164)</f>
        <v/>
      </c>
      <c r="B95" s="17">
        <f t="array" ref="B95">INDEX(Data_DBD!$E:$E,$A95)</f>
        <v/>
      </c>
      <c r="C95" s="17">
        <f t="array" ref="C95">INDEX(Data_DBD!$F:$F,$A95)</f>
        <v/>
      </c>
      <c r="E95" s="17" t="n">
        <v>110</v>
      </c>
      <c r="F95" s="17" t="n">
        <v>1</v>
      </c>
      <c r="G95" s="17" t="inlineStr">
        <is>
          <t>Tinggi</t>
        </is>
      </c>
    </row>
    <row r="96" s="1">
      <c r="A96" s="17">
        <f>RANDBETWEEN(2,164)</f>
        <v/>
      </c>
      <c r="B96" s="17">
        <f t="array" ref="B96">INDEX(Data_DBD!$E:$E,$A96)</f>
        <v/>
      </c>
      <c r="C96" s="17">
        <f t="array" ref="C96">INDEX(Data_DBD!$F:$F,$A96)</f>
        <v/>
      </c>
      <c r="E96" s="17" t="n">
        <v>20</v>
      </c>
      <c r="F96" s="17" t="n">
        <v>0</v>
      </c>
      <c r="G96" s="17" t="inlineStr">
        <is>
          <t>Rendah</t>
        </is>
      </c>
    </row>
    <row r="97" s="1">
      <c r="A97" s="17">
        <f>RANDBETWEEN(2,164)</f>
        <v/>
      </c>
      <c r="B97" s="17">
        <f t="array" ref="B97">INDEX(Data_DBD!$E:$E,$A97)</f>
        <v/>
      </c>
      <c r="C97" s="17">
        <f t="array" ref="C97">INDEX(Data_DBD!$F:$F,$A97)</f>
        <v/>
      </c>
      <c r="E97" s="17" t="n">
        <v>68</v>
      </c>
      <c r="F97" s="17" t="n">
        <v>0</v>
      </c>
      <c r="G97" s="17" t="inlineStr">
        <is>
          <t>Sedang</t>
        </is>
      </c>
    </row>
    <row r="98" s="1">
      <c r="A98" s="17">
        <f>RANDBETWEEN(2,164)</f>
        <v/>
      </c>
      <c r="B98" s="17">
        <f t="array" ref="B98">INDEX(Data_DBD!$E:$E,$A98)</f>
        <v/>
      </c>
      <c r="C98" s="17">
        <f t="array" ref="C98">INDEX(Data_DBD!$F:$F,$A98)</f>
        <v/>
      </c>
      <c r="E98" s="17" t="n">
        <v>89</v>
      </c>
      <c r="F98" s="17" t="n">
        <v>0</v>
      </c>
      <c r="G98" s="17" t="inlineStr">
        <is>
          <t>Sedang</t>
        </is>
      </c>
    </row>
    <row r="99" s="1">
      <c r="A99" s="17">
        <f>RANDBETWEEN(2,164)</f>
        <v/>
      </c>
      <c r="B99" s="17">
        <f t="array" ref="B99">INDEX(Data_DBD!$E:$E,$A99)</f>
        <v/>
      </c>
      <c r="C99" s="17">
        <f t="array" ref="C99">INDEX(Data_DBD!$F:$F,$A99)</f>
        <v/>
      </c>
      <c r="E99" s="17" t="n">
        <v>23</v>
      </c>
      <c r="F99" s="17" t="n">
        <v>1</v>
      </c>
      <c r="G99" s="17" t="inlineStr">
        <is>
          <t>Sedang</t>
        </is>
      </c>
    </row>
    <row r="100" s="1">
      <c r="A100" s="17">
        <f>RANDBETWEEN(2,164)</f>
        <v/>
      </c>
      <c r="B100" s="17">
        <f t="array" ref="B100">INDEX(Data_DBD!$E:$E,$A100)</f>
        <v/>
      </c>
      <c r="C100" s="17">
        <f t="array" ref="C100">INDEX(Data_DBD!$F:$F,$A100)</f>
        <v/>
      </c>
      <c r="E100" s="17" t="n">
        <v>82</v>
      </c>
      <c r="F100" s="17" t="n">
        <v>1</v>
      </c>
      <c r="G100" s="17" t="inlineStr">
        <is>
          <t>Sedang</t>
        </is>
      </c>
    </row>
    <row r="101" s="1">
      <c r="A101" s="17">
        <f>RANDBETWEEN(2,164)</f>
        <v/>
      </c>
      <c r="B101" s="17">
        <f t="array" ref="B101">INDEX(Data_DBD!$E:$E,$A101)</f>
        <v/>
      </c>
      <c r="C101" s="17">
        <f t="array" ref="C101">INDEX(Data_DBD!$F:$F,$A101)</f>
        <v/>
      </c>
      <c r="E101" s="17" t="n">
        <v>82</v>
      </c>
      <c r="F101" s="17" t="n">
        <v>1</v>
      </c>
      <c r="G101" s="17" t="inlineStr">
        <is>
          <t>Sedang</t>
        </is>
      </c>
    </row>
    <row r="102" s="1">
      <c r="A102" s="17">
        <f>RANDBETWEEN(2,164)</f>
        <v/>
      </c>
      <c r="B102" s="17">
        <f t="array" ref="B102">INDEX(Data_DBD!$E:$E,$A102)</f>
        <v/>
      </c>
      <c r="C102" s="17">
        <f t="array" ref="C102">INDEX(Data_DBD!$F:$F,$A102)</f>
        <v/>
      </c>
      <c r="E102" s="17" t="n">
        <v>94</v>
      </c>
      <c r="F102" s="17" t="n">
        <v>0</v>
      </c>
      <c r="G102" s="17" t="inlineStr">
        <is>
          <t>Tinggi</t>
        </is>
      </c>
    </row>
    <row r="103" s="1">
      <c r="A103" s="17">
        <f>RANDBETWEEN(2,164)</f>
        <v/>
      </c>
      <c r="B103" s="17">
        <f t="array" ref="B103">INDEX(Data_DBD!$E:$E,$A103)</f>
        <v/>
      </c>
      <c r="C103" s="17">
        <f t="array" ref="C103">INDEX(Data_DBD!$F:$F,$A103)</f>
        <v/>
      </c>
      <c r="E103" s="17" t="n">
        <v>40</v>
      </c>
      <c r="F103" s="17" t="n">
        <v>1</v>
      </c>
      <c r="G103" s="17" t="inlineStr">
        <is>
          <t>Sedang</t>
        </is>
      </c>
    </row>
    <row r="104" s="1">
      <c r="A104" s="17">
        <f>RANDBETWEEN(2,164)</f>
        <v/>
      </c>
      <c r="B104" s="17">
        <f t="array" ref="B104">INDEX(Data_DBD!$E:$E,$A104)</f>
        <v/>
      </c>
      <c r="C104" s="17">
        <f t="array" ref="C104">INDEX(Data_DBD!$F:$F,$A104)</f>
        <v/>
      </c>
      <c r="E104" s="17" t="n">
        <v>32</v>
      </c>
      <c r="F104" s="17" t="n">
        <v>0</v>
      </c>
      <c r="G104" s="17" t="inlineStr">
        <is>
          <t>Sedang</t>
        </is>
      </c>
    </row>
    <row r="105" s="1">
      <c r="A105" s="17">
        <f>RANDBETWEEN(2,164)</f>
        <v/>
      </c>
      <c r="B105" s="17">
        <f t="array" ref="B105">INDEX(Data_DBD!$E:$E,$A105)</f>
        <v/>
      </c>
      <c r="C105" s="17">
        <f t="array" ref="C105">INDEX(Data_DBD!$F:$F,$A105)</f>
        <v/>
      </c>
      <c r="E105" s="17" t="n">
        <v>15</v>
      </c>
      <c r="F105" s="17" t="n">
        <v>0</v>
      </c>
      <c r="G105" s="17" t="inlineStr">
        <is>
          <t>Rendah</t>
        </is>
      </c>
    </row>
    <row r="106" s="1">
      <c r="A106" s="17">
        <f>RANDBETWEEN(2,164)</f>
        <v/>
      </c>
      <c r="B106" s="17">
        <f t="array" ref="B106">INDEX(Data_DBD!$E:$E,$A106)</f>
        <v/>
      </c>
      <c r="C106" s="17">
        <f t="array" ref="C106">INDEX(Data_DBD!$F:$F,$A106)</f>
        <v/>
      </c>
      <c r="E106" s="17" t="n">
        <v>77</v>
      </c>
      <c r="F106" s="17" t="n">
        <v>1</v>
      </c>
      <c r="G106" s="17" t="inlineStr">
        <is>
          <t>Sedang</t>
        </is>
      </c>
    </row>
    <row r="107" s="1">
      <c r="A107" s="17">
        <f>RANDBETWEEN(2,164)</f>
        <v/>
      </c>
      <c r="B107" s="17">
        <f t="array" ref="B107">INDEX(Data_DBD!$E:$E,$A107)</f>
        <v/>
      </c>
      <c r="C107" s="17">
        <f t="array" ref="C107">INDEX(Data_DBD!$F:$F,$A107)</f>
        <v/>
      </c>
      <c r="E107" s="17" t="n">
        <v>87</v>
      </c>
      <c r="F107" s="17" t="n">
        <v>0</v>
      </c>
      <c r="G107" s="17" t="inlineStr">
        <is>
          <t>Sedang</t>
        </is>
      </c>
    </row>
    <row r="108" s="1">
      <c r="A108" s="17">
        <f>RANDBETWEEN(2,164)</f>
        <v/>
      </c>
      <c r="B108" s="17">
        <f t="array" ref="B108">INDEX(Data_DBD!$E:$E,$A108)</f>
        <v/>
      </c>
      <c r="C108" s="17">
        <f t="array" ref="C108">INDEX(Data_DBD!$F:$F,$A108)</f>
        <v/>
      </c>
      <c r="E108" s="17" t="n">
        <v>148</v>
      </c>
      <c r="F108" s="17" t="n">
        <v>1</v>
      </c>
      <c r="G108" s="17" t="inlineStr">
        <is>
          <t>Tinggi</t>
        </is>
      </c>
    </row>
    <row r="109" s="1">
      <c r="A109" s="17">
        <f>RANDBETWEEN(2,164)</f>
        <v/>
      </c>
      <c r="B109" s="17">
        <f t="array" ref="B109">INDEX(Data_DBD!$E:$E,$A109)</f>
        <v/>
      </c>
      <c r="C109" s="17">
        <f t="array" ref="C109">INDEX(Data_DBD!$F:$F,$A109)</f>
        <v/>
      </c>
      <c r="E109" s="17" t="n">
        <v>7</v>
      </c>
      <c r="F109" s="17" t="n">
        <v>1</v>
      </c>
      <c r="G109" s="17" t="inlineStr">
        <is>
          <t>Sedang</t>
        </is>
      </c>
    </row>
    <row r="110" s="1">
      <c r="A110" s="17">
        <f>RANDBETWEEN(2,164)</f>
        <v/>
      </c>
      <c r="B110" s="17">
        <f t="array" ref="B110">INDEX(Data_DBD!$E:$E,$A110)</f>
        <v/>
      </c>
      <c r="C110" s="17">
        <f t="array" ref="C110">INDEX(Data_DBD!$F:$F,$A110)</f>
        <v/>
      </c>
      <c r="E110" s="17" t="n">
        <v>74</v>
      </c>
      <c r="F110" s="17" t="n">
        <v>0</v>
      </c>
      <c r="G110" s="17" t="inlineStr">
        <is>
          <t>Sedang</t>
        </is>
      </c>
    </row>
    <row r="111" s="1">
      <c r="A111" s="17">
        <f>RANDBETWEEN(2,164)</f>
        <v/>
      </c>
      <c r="B111" s="17">
        <f t="array" ref="B111">INDEX(Data_DBD!$E:$E,$A111)</f>
        <v/>
      </c>
      <c r="C111" s="17">
        <f t="array" ref="C111">INDEX(Data_DBD!$F:$F,$A111)</f>
        <v/>
      </c>
      <c r="E111" s="17" t="n">
        <v>14</v>
      </c>
      <c r="F111" s="17" t="n">
        <v>1</v>
      </c>
      <c r="G111" s="17" t="inlineStr">
        <is>
          <t>Rendah</t>
        </is>
      </c>
    </row>
    <row r="112" s="1">
      <c r="A112" s="17">
        <f>RANDBETWEEN(2,164)</f>
        <v/>
      </c>
      <c r="B112" s="17">
        <f t="array" ref="B112">INDEX(Data_DBD!$E:$E,$A112)</f>
        <v/>
      </c>
      <c r="C112" s="17">
        <f t="array" ref="C112">INDEX(Data_DBD!$F:$F,$A112)</f>
        <v/>
      </c>
      <c r="E112" s="17" t="n">
        <v>26</v>
      </c>
      <c r="F112" s="17" t="n">
        <v>1</v>
      </c>
      <c r="G112" s="17" t="inlineStr">
        <is>
          <t>Sedang</t>
        </is>
      </c>
    </row>
    <row r="113" s="1">
      <c r="A113" s="17">
        <f>RANDBETWEEN(2,164)</f>
        <v/>
      </c>
      <c r="B113" s="17">
        <f t="array" ref="B113">INDEX(Data_DBD!$E:$E,$A113)</f>
        <v/>
      </c>
      <c r="C113" s="17">
        <f t="array" ref="C113">INDEX(Data_DBD!$F:$F,$A113)</f>
        <v/>
      </c>
      <c r="E113" s="17" t="n">
        <v>129</v>
      </c>
      <c r="F113" s="17" t="n">
        <v>0</v>
      </c>
      <c r="G113" s="17" t="inlineStr">
        <is>
          <t>Tinggi</t>
        </is>
      </c>
    </row>
    <row r="114" s="1">
      <c r="A114" s="17">
        <f>RANDBETWEEN(2,164)</f>
        <v/>
      </c>
      <c r="B114" s="17">
        <f t="array" ref="B114">INDEX(Data_DBD!$E:$E,$A114)</f>
        <v/>
      </c>
      <c r="C114" s="17">
        <f t="array" ref="C114">INDEX(Data_DBD!$F:$F,$A114)</f>
        <v/>
      </c>
      <c r="E114" s="17" t="n">
        <v>159</v>
      </c>
      <c r="F114" s="17" t="n">
        <v>0</v>
      </c>
      <c r="G114" s="17" t="inlineStr">
        <is>
          <t>Tinggi</t>
        </is>
      </c>
    </row>
    <row r="115" s="1">
      <c r="A115" s="17">
        <f>RANDBETWEEN(2,164)</f>
        <v/>
      </c>
      <c r="B115" s="17">
        <f t="array" ref="B115">INDEX(Data_DBD!$E:$E,$A115)</f>
        <v/>
      </c>
      <c r="C115" s="17">
        <f t="array" ref="C115">INDEX(Data_DBD!$F:$F,$A115)</f>
        <v/>
      </c>
      <c r="E115" s="17" t="n">
        <v>46</v>
      </c>
      <c r="F115" s="17" t="n">
        <v>0</v>
      </c>
      <c r="G115" s="17" t="inlineStr">
        <is>
          <t>Sedang</t>
        </is>
      </c>
    </row>
    <row r="116" s="1">
      <c r="A116" s="17">
        <f>RANDBETWEEN(2,164)</f>
        <v/>
      </c>
      <c r="B116" s="17">
        <f t="array" ref="B116">INDEX(Data_DBD!$E:$E,$A116)</f>
        <v/>
      </c>
      <c r="C116" s="17">
        <f t="array" ref="C116">INDEX(Data_DBD!$F:$F,$A116)</f>
        <v/>
      </c>
      <c r="E116" s="17" t="n">
        <v>37</v>
      </c>
      <c r="F116" s="17" t="n">
        <v>1</v>
      </c>
      <c r="G116" s="17" t="inlineStr">
        <is>
          <t>Rendah</t>
        </is>
      </c>
    </row>
    <row r="117" s="1">
      <c r="A117" s="17">
        <f>RANDBETWEEN(2,164)</f>
        <v/>
      </c>
      <c r="B117" s="17">
        <f t="array" ref="B117">INDEX(Data_DBD!$E:$E,$A117)</f>
        <v/>
      </c>
      <c r="C117" s="17">
        <f t="array" ref="C117">INDEX(Data_DBD!$F:$F,$A117)</f>
        <v/>
      </c>
      <c r="E117" s="17" t="n">
        <v>66</v>
      </c>
      <c r="F117" s="17" t="n">
        <v>1</v>
      </c>
      <c r="G117" s="17" t="inlineStr">
        <is>
          <t>Sedang</t>
        </is>
      </c>
    </row>
    <row r="118" s="1">
      <c r="A118" s="17">
        <f>RANDBETWEEN(2,164)</f>
        <v/>
      </c>
      <c r="B118" s="17">
        <f t="array" ref="B118">INDEX(Data_DBD!$E:$E,$A118)</f>
        <v/>
      </c>
      <c r="C118" s="17">
        <f t="array" ref="C118">INDEX(Data_DBD!$F:$F,$A118)</f>
        <v/>
      </c>
      <c r="E118" s="17" t="n">
        <v>104</v>
      </c>
      <c r="F118" s="17" t="n">
        <v>1</v>
      </c>
      <c r="G118" s="17" t="inlineStr">
        <is>
          <t>Tinggi</t>
        </is>
      </c>
    </row>
    <row r="119" s="1">
      <c r="A119" s="17">
        <f>RANDBETWEEN(2,164)</f>
        <v/>
      </c>
      <c r="B119" s="17">
        <f t="array" ref="B119">INDEX(Data_DBD!$E:$E,$A119)</f>
        <v/>
      </c>
      <c r="C119" s="17">
        <f t="array" ref="C119">INDEX(Data_DBD!$F:$F,$A119)</f>
        <v/>
      </c>
      <c r="E119" s="17" t="n">
        <v>113</v>
      </c>
      <c r="F119" s="17" t="n">
        <v>1</v>
      </c>
      <c r="G119" s="17" t="inlineStr">
        <is>
          <t>Tinggi</t>
        </is>
      </c>
    </row>
    <row r="120" s="1">
      <c r="A120" s="17">
        <f>RANDBETWEEN(2,164)</f>
        <v/>
      </c>
      <c r="B120" s="17">
        <f t="array" ref="B120">INDEX(Data_DBD!$E:$E,$A120)</f>
        <v/>
      </c>
      <c r="C120" s="17">
        <f t="array" ref="C120">INDEX(Data_DBD!$F:$F,$A120)</f>
        <v/>
      </c>
      <c r="E120" s="17" t="n">
        <v>30</v>
      </c>
      <c r="F120" s="17" t="n">
        <v>1</v>
      </c>
      <c r="G120" s="17" t="inlineStr">
        <is>
          <t>Sedang</t>
        </is>
      </c>
    </row>
    <row r="121" s="1">
      <c r="A121" s="17">
        <f>RANDBETWEEN(2,164)</f>
        <v/>
      </c>
      <c r="B121" s="17">
        <f t="array" ref="B121">INDEX(Data_DBD!$E:$E,$A121)</f>
        <v/>
      </c>
      <c r="C121" s="17">
        <f t="array" ref="C121">INDEX(Data_DBD!$F:$F,$A121)</f>
        <v/>
      </c>
      <c r="E121" s="17" t="n">
        <v>43</v>
      </c>
      <c r="F121" s="17" t="n">
        <v>0</v>
      </c>
      <c r="G121" s="17" t="inlineStr">
        <is>
          <t>Sedang</t>
        </is>
      </c>
    </row>
    <row r="122" s="1">
      <c r="A122" s="17">
        <f>RANDBETWEEN(2,164)</f>
        <v/>
      </c>
      <c r="B122" s="17">
        <f t="array" ref="B122">INDEX(Data_DBD!$E:$E,$A122)</f>
        <v/>
      </c>
      <c r="C122" s="17">
        <f t="array" ref="C122">INDEX(Data_DBD!$F:$F,$A122)</f>
        <v/>
      </c>
      <c r="E122" s="17" t="n">
        <v>142</v>
      </c>
      <c r="F122" s="17" t="n">
        <v>1</v>
      </c>
      <c r="G122" s="17" t="inlineStr">
        <is>
          <t>Tinggi</t>
        </is>
      </c>
    </row>
    <row r="123" s="1">
      <c r="A123" s="17">
        <f>RANDBETWEEN(2,164)</f>
        <v/>
      </c>
      <c r="B123" s="17">
        <f t="array" ref="B123">INDEX(Data_DBD!$E:$E,$A123)</f>
        <v/>
      </c>
      <c r="C123" s="17">
        <f t="array" ref="C123">INDEX(Data_DBD!$F:$F,$A123)</f>
        <v/>
      </c>
      <c r="E123" s="17" t="n">
        <v>39</v>
      </c>
      <c r="F123" s="17" t="n">
        <v>1</v>
      </c>
      <c r="G123" s="17" t="inlineStr">
        <is>
          <t>Sedang</t>
        </is>
      </c>
    </row>
    <row r="124" s="1">
      <c r="A124" s="17">
        <f>RANDBETWEEN(2,164)</f>
        <v/>
      </c>
      <c r="B124" s="17">
        <f t="array" ref="B124">INDEX(Data_DBD!$E:$E,$A124)</f>
        <v/>
      </c>
      <c r="C124" s="17">
        <f t="array" ref="C124">INDEX(Data_DBD!$F:$F,$A124)</f>
        <v/>
      </c>
      <c r="E124" s="17" t="n">
        <v>140</v>
      </c>
      <c r="F124" s="17" t="n">
        <v>1</v>
      </c>
      <c r="G124" s="17" t="inlineStr">
        <is>
          <t>Tinggi</t>
        </is>
      </c>
    </row>
    <row r="125" s="1">
      <c r="A125" s="17">
        <f>RANDBETWEEN(2,164)</f>
        <v/>
      </c>
      <c r="B125" s="17">
        <f t="array" ref="B125">INDEX(Data_DBD!$E:$E,$A125)</f>
        <v/>
      </c>
      <c r="C125" s="17">
        <f t="array" ref="C125">INDEX(Data_DBD!$F:$F,$A125)</f>
        <v/>
      </c>
      <c r="E125" s="17" t="n">
        <v>119</v>
      </c>
      <c r="F125" s="17" t="n">
        <v>0</v>
      </c>
      <c r="G125" s="17" t="inlineStr">
        <is>
          <t>Tinggi</t>
        </is>
      </c>
    </row>
    <row r="126" s="1">
      <c r="A126" s="17">
        <f>RANDBETWEEN(2,164)</f>
        <v/>
      </c>
      <c r="B126" s="17">
        <f t="array" ref="B126">INDEX(Data_DBD!$E:$E,$A126)</f>
        <v/>
      </c>
      <c r="C126" s="17">
        <f t="array" ref="C126">INDEX(Data_DBD!$F:$F,$A126)</f>
        <v/>
      </c>
      <c r="E126" s="17" t="n">
        <v>25</v>
      </c>
      <c r="F126" s="17" t="n">
        <v>0</v>
      </c>
      <c r="G126" s="17" t="inlineStr">
        <is>
          <t>Sedang</t>
        </is>
      </c>
    </row>
    <row r="127" s="1">
      <c r="A127" s="17">
        <f>RANDBETWEEN(2,164)</f>
        <v/>
      </c>
      <c r="B127" s="17">
        <f t="array" ref="B127">INDEX(Data_DBD!$E:$E,$A127)</f>
        <v/>
      </c>
      <c r="C127" s="17">
        <f t="array" ref="C127">INDEX(Data_DBD!$F:$F,$A127)</f>
        <v/>
      </c>
      <c r="E127" s="17" t="n">
        <v>97</v>
      </c>
      <c r="F127" s="17" t="n">
        <v>1</v>
      </c>
      <c r="G127" s="17" t="inlineStr">
        <is>
          <t>Tinggi</t>
        </is>
      </c>
    </row>
    <row r="128" s="1">
      <c r="A128" s="17">
        <f>RANDBETWEEN(2,164)</f>
        <v/>
      </c>
      <c r="B128" s="17">
        <f t="array" ref="B128">INDEX(Data_DBD!$E:$E,$A128)</f>
        <v/>
      </c>
      <c r="C128" s="17">
        <f t="array" ref="C128">INDEX(Data_DBD!$F:$F,$A128)</f>
        <v/>
      </c>
      <c r="E128" s="17" t="n">
        <v>112</v>
      </c>
      <c r="F128" s="17" t="n">
        <v>1</v>
      </c>
      <c r="G128" s="17" t="inlineStr">
        <is>
          <t>Tinggi</t>
        </is>
      </c>
    </row>
    <row r="129" s="1">
      <c r="A129" s="17">
        <f>RANDBETWEEN(2,164)</f>
        <v/>
      </c>
      <c r="B129" s="17">
        <f t="array" ref="B129">INDEX(Data_DBD!$E:$E,$A129)</f>
        <v/>
      </c>
      <c r="C129" s="17">
        <f t="array" ref="C129">INDEX(Data_DBD!$F:$F,$A129)</f>
        <v/>
      </c>
      <c r="E129" s="17" t="n">
        <v>66</v>
      </c>
      <c r="F129" s="17" t="n">
        <v>1</v>
      </c>
      <c r="G129" s="17" t="inlineStr">
        <is>
          <t>Sedang</t>
        </is>
      </c>
    </row>
    <row r="130" s="1">
      <c r="A130" s="17">
        <f>RANDBETWEEN(2,164)</f>
        <v/>
      </c>
      <c r="B130" s="17">
        <f t="array" ref="B130">INDEX(Data_DBD!$E:$E,$A130)</f>
        <v/>
      </c>
      <c r="C130" s="17">
        <f t="array" ref="C130">INDEX(Data_DBD!$F:$F,$A130)</f>
        <v/>
      </c>
      <c r="E130" s="17" t="n">
        <v>90</v>
      </c>
      <c r="F130" s="17" t="n">
        <v>0</v>
      </c>
      <c r="G130" s="17" t="inlineStr">
        <is>
          <t>Tinggi</t>
        </is>
      </c>
    </row>
    <row r="131" s="1">
      <c r="A131" s="17">
        <f>RANDBETWEEN(2,164)</f>
        <v/>
      </c>
      <c r="B131" s="17">
        <f t="array" ref="B131">INDEX(Data_DBD!$E:$E,$A131)</f>
        <v/>
      </c>
      <c r="C131" s="17">
        <f t="array" ref="C131">INDEX(Data_DBD!$F:$F,$A131)</f>
        <v/>
      </c>
      <c r="E131" s="17" t="n">
        <v>11</v>
      </c>
      <c r="F131" s="17" t="n">
        <v>1</v>
      </c>
      <c r="G131" s="17" t="inlineStr">
        <is>
          <t>Sedang</t>
        </is>
      </c>
    </row>
    <row r="132" s="1">
      <c r="A132" s="17">
        <f>RANDBETWEEN(2,164)</f>
        <v/>
      </c>
      <c r="B132" s="17">
        <f t="array" ref="B132">INDEX(Data_DBD!$E:$E,$A132)</f>
        <v/>
      </c>
      <c r="C132" s="17">
        <f t="array" ref="C132">INDEX(Data_DBD!$F:$F,$A132)</f>
        <v/>
      </c>
      <c r="E132" s="17" t="n">
        <v>31</v>
      </c>
      <c r="F132" s="17" t="n">
        <v>1</v>
      </c>
      <c r="G132" s="17" t="inlineStr">
        <is>
          <t>Sedang</t>
        </is>
      </c>
    </row>
    <row r="133" s="1">
      <c r="A133" s="17">
        <f>RANDBETWEEN(2,164)</f>
        <v/>
      </c>
      <c r="B133" s="17">
        <f t="array" ref="B133">INDEX(Data_DBD!$E:$E,$A133)</f>
        <v/>
      </c>
      <c r="C133" s="17">
        <f t="array" ref="C133">INDEX(Data_DBD!$F:$F,$A133)</f>
        <v/>
      </c>
      <c r="E133" s="17" t="n">
        <v>47</v>
      </c>
      <c r="F133" s="17" t="n">
        <v>0</v>
      </c>
      <c r="G133" s="17" t="inlineStr">
        <is>
          <t>Sedang</t>
        </is>
      </c>
    </row>
    <row r="134" s="1">
      <c r="A134" s="17">
        <f>RANDBETWEEN(2,164)</f>
        <v/>
      </c>
      <c r="B134" s="17">
        <f t="array" ref="B134">INDEX(Data_DBD!$E:$E,$A134)</f>
        <v/>
      </c>
      <c r="C134" s="17">
        <f t="array" ref="C134">INDEX(Data_DBD!$F:$F,$A134)</f>
        <v/>
      </c>
      <c r="E134" s="17" t="n">
        <v>37</v>
      </c>
      <c r="F134" s="17" t="n">
        <v>1</v>
      </c>
      <c r="G134" s="17" t="inlineStr">
        <is>
          <t>Rendah</t>
        </is>
      </c>
    </row>
    <row r="135" s="1">
      <c r="A135" s="17">
        <f>RANDBETWEEN(2,164)</f>
        <v/>
      </c>
      <c r="B135" s="17">
        <f t="array" ref="B135">INDEX(Data_DBD!$E:$E,$A135)</f>
        <v/>
      </c>
      <c r="C135" s="17">
        <f t="array" ref="C135">INDEX(Data_DBD!$F:$F,$A135)</f>
        <v/>
      </c>
      <c r="E135" s="17" t="n">
        <v>85</v>
      </c>
      <c r="F135" s="17" t="n">
        <v>0</v>
      </c>
      <c r="G135" s="17" t="inlineStr">
        <is>
          <t>Sedang</t>
        </is>
      </c>
    </row>
    <row r="136" s="1">
      <c r="A136" s="17">
        <f>RANDBETWEEN(2,164)</f>
        <v/>
      </c>
      <c r="B136" s="17">
        <f t="array" ref="B136">INDEX(Data_DBD!$E:$E,$A136)</f>
        <v/>
      </c>
      <c r="C136" s="17">
        <f t="array" ref="C136">INDEX(Data_DBD!$F:$F,$A136)</f>
        <v/>
      </c>
      <c r="E136" s="17" t="n">
        <v>26</v>
      </c>
      <c r="F136" s="17" t="n">
        <v>1</v>
      </c>
      <c r="G136" s="17" t="inlineStr">
        <is>
          <t>Sedang</t>
        </is>
      </c>
    </row>
    <row r="137" s="1">
      <c r="A137" s="17">
        <f>RANDBETWEEN(2,164)</f>
        <v/>
      </c>
      <c r="B137" s="17">
        <f t="array" ref="B137">INDEX(Data_DBD!$E:$E,$A137)</f>
        <v/>
      </c>
      <c r="C137" s="17">
        <f t="array" ref="C137">INDEX(Data_DBD!$F:$F,$A137)</f>
        <v/>
      </c>
      <c r="E137" s="17" t="n">
        <v>113</v>
      </c>
      <c r="F137" s="17" t="n">
        <v>1</v>
      </c>
      <c r="G137" s="17" t="inlineStr">
        <is>
          <t>Tinggi</t>
        </is>
      </c>
    </row>
    <row r="138" s="1">
      <c r="A138" s="17">
        <f>RANDBETWEEN(2,164)</f>
        <v/>
      </c>
      <c r="B138" s="17">
        <f t="array" ref="B138">INDEX(Data_DBD!$E:$E,$A138)</f>
        <v/>
      </c>
      <c r="C138" s="17">
        <f t="array" ref="C138">INDEX(Data_DBD!$F:$F,$A138)</f>
        <v/>
      </c>
      <c r="E138" s="17" t="n">
        <v>140</v>
      </c>
      <c r="F138" s="17" t="n">
        <v>1</v>
      </c>
      <c r="G138" s="17" t="inlineStr">
        <is>
          <t>Tinggi</t>
        </is>
      </c>
    </row>
    <row r="139" s="1">
      <c r="A139" s="17">
        <f>RANDBETWEEN(2,164)</f>
        <v/>
      </c>
      <c r="B139" s="17">
        <f t="array" ref="B139">INDEX(Data_DBD!$E:$E,$A139)</f>
        <v/>
      </c>
      <c r="C139" s="17">
        <f t="array" ref="C139">INDEX(Data_DBD!$F:$F,$A139)</f>
        <v/>
      </c>
      <c r="E139" s="17" t="n">
        <v>15</v>
      </c>
      <c r="F139" s="17" t="n">
        <v>0</v>
      </c>
      <c r="G139" s="17" t="inlineStr">
        <is>
          <t>Rendah</t>
        </is>
      </c>
    </row>
    <row r="140" s="1">
      <c r="A140" s="17">
        <f>RANDBETWEEN(2,164)</f>
        <v/>
      </c>
      <c r="B140" s="17">
        <f t="array" ref="B140">INDEX(Data_DBD!$E:$E,$A140)</f>
        <v/>
      </c>
      <c r="C140" s="17">
        <f t="array" ref="C140">INDEX(Data_DBD!$F:$F,$A140)</f>
        <v/>
      </c>
      <c r="E140" s="17" t="n">
        <v>63</v>
      </c>
      <c r="F140" s="17" t="n">
        <v>0</v>
      </c>
      <c r="G140" s="17" t="inlineStr">
        <is>
          <t>Sedang</t>
        </is>
      </c>
    </row>
    <row r="141" s="1">
      <c r="A141" s="17">
        <f>RANDBETWEEN(2,164)</f>
        <v/>
      </c>
      <c r="B141" s="17">
        <f t="array" ref="B141">INDEX(Data_DBD!$E:$E,$A141)</f>
        <v/>
      </c>
      <c r="C141" s="17">
        <f t="array" ref="C141">INDEX(Data_DBD!$F:$F,$A141)</f>
        <v/>
      </c>
      <c r="E141" s="17" t="n">
        <v>38</v>
      </c>
      <c r="F141" s="17" t="n">
        <v>1</v>
      </c>
      <c r="G141" s="17" t="inlineStr">
        <is>
          <t>Rendah</t>
        </is>
      </c>
    </row>
    <row r="142" s="1">
      <c r="A142" s="17">
        <f>RANDBETWEEN(2,164)</f>
        <v/>
      </c>
      <c r="B142" s="17">
        <f t="array" ref="B142">INDEX(Data_DBD!$E:$E,$A142)</f>
        <v/>
      </c>
      <c r="C142" s="17">
        <f t="array" ref="C142">INDEX(Data_DBD!$F:$F,$A142)</f>
        <v/>
      </c>
      <c r="E142" s="17" t="n">
        <v>40</v>
      </c>
      <c r="F142" s="17" t="n">
        <v>1</v>
      </c>
      <c r="G142" s="17" t="inlineStr">
        <is>
          <t>Sedang</t>
        </is>
      </c>
    </row>
    <row r="143" s="1">
      <c r="A143" s="17">
        <f>RANDBETWEEN(2,164)</f>
        <v/>
      </c>
      <c r="B143" s="17">
        <f t="array" ref="B143">INDEX(Data_DBD!$E:$E,$A143)</f>
        <v/>
      </c>
      <c r="C143" s="17">
        <f t="array" ref="C143">INDEX(Data_DBD!$F:$F,$A143)</f>
        <v/>
      </c>
      <c r="E143" s="17" t="n">
        <v>151</v>
      </c>
      <c r="F143" s="17" t="n">
        <v>0</v>
      </c>
      <c r="G143" s="17" t="inlineStr">
        <is>
          <t>Tinggi</t>
        </is>
      </c>
    </row>
    <row r="144" s="1">
      <c r="A144" s="17">
        <f>RANDBETWEEN(2,164)</f>
        <v/>
      </c>
      <c r="B144" s="17">
        <f t="array" ref="B144">INDEX(Data_DBD!$E:$E,$A144)</f>
        <v/>
      </c>
      <c r="C144" s="17">
        <f t="array" ref="C144">INDEX(Data_DBD!$F:$F,$A144)</f>
        <v/>
      </c>
      <c r="E144" s="17" t="n">
        <v>110</v>
      </c>
      <c r="F144" s="17" t="n">
        <v>1</v>
      </c>
      <c r="G144" s="17" t="inlineStr">
        <is>
          <t>Tinggi</t>
        </is>
      </c>
    </row>
    <row r="145" s="1">
      <c r="A145" s="17">
        <f>RANDBETWEEN(2,164)</f>
        <v/>
      </c>
      <c r="B145" s="17">
        <f t="array" ref="B145">INDEX(Data_DBD!$E:$E,$A145)</f>
        <v/>
      </c>
      <c r="C145" s="17">
        <f t="array" ref="C145">INDEX(Data_DBD!$F:$F,$A145)</f>
        <v/>
      </c>
      <c r="E145" s="17" t="n">
        <v>39</v>
      </c>
      <c r="F145" s="17" t="n">
        <v>1</v>
      </c>
      <c r="G145" s="17" t="inlineStr">
        <is>
          <t>Sedang</t>
        </is>
      </c>
    </row>
    <row r="146" s="1">
      <c r="A146" s="17">
        <f>RANDBETWEEN(2,164)</f>
        <v/>
      </c>
      <c r="B146" s="17">
        <f t="array" ref="B146">INDEX(Data_DBD!$E:$E,$A146)</f>
        <v/>
      </c>
      <c r="C146" s="17">
        <f t="array" ref="C146">INDEX(Data_DBD!$F:$F,$A146)</f>
        <v/>
      </c>
      <c r="E146" s="17" t="n">
        <v>100</v>
      </c>
      <c r="F146" s="17" t="n">
        <v>0</v>
      </c>
      <c r="G146" s="17" t="inlineStr">
        <is>
          <t>Tinggi</t>
        </is>
      </c>
    </row>
    <row r="147" s="1">
      <c r="A147" s="17">
        <f>RANDBETWEEN(2,164)</f>
        <v/>
      </c>
      <c r="B147" s="17">
        <f t="array" ref="B147">INDEX(Data_DBD!$E:$E,$A147)</f>
        <v/>
      </c>
      <c r="C147" s="17">
        <f t="array" ref="C147">INDEX(Data_DBD!$F:$F,$A147)</f>
        <v/>
      </c>
      <c r="E147" s="17" t="n">
        <v>57</v>
      </c>
      <c r="F147" s="17" t="n">
        <v>1</v>
      </c>
      <c r="G147" s="17" t="inlineStr">
        <is>
          <t>Sedang</t>
        </is>
      </c>
    </row>
    <row r="148" s="1">
      <c r="A148" s="17">
        <f>RANDBETWEEN(2,164)</f>
        <v/>
      </c>
      <c r="B148" s="17">
        <f t="array" ref="B148">INDEX(Data_DBD!$E:$E,$A148)</f>
        <v/>
      </c>
      <c r="C148" s="17">
        <f t="array" ref="C148">INDEX(Data_DBD!$F:$F,$A148)</f>
        <v/>
      </c>
      <c r="E148" s="17" t="n">
        <v>74</v>
      </c>
      <c r="F148" s="17" t="n">
        <v>0</v>
      </c>
      <c r="G148" s="17" t="inlineStr">
        <is>
          <t>Sedang</t>
        </is>
      </c>
    </row>
    <row r="149" s="1">
      <c r="A149" s="17">
        <f>RANDBETWEEN(2,164)</f>
        <v/>
      </c>
      <c r="B149" s="17">
        <f t="array" ref="B149">INDEX(Data_DBD!$E:$E,$A149)</f>
        <v/>
      </c>
      <c r="C149" s="17">
        <f t="array" ref="C149">INDEX(Data_DBD!$F:$F,$A149)</f>
        <v/>
      </c>
      <c r="E149" s="17" t="n">
        <v>85</v>
      </c>
      <c r="F149" s="17" t="n">
        <v>0</v>
      </c>
      <c r="G149" s="17" t="inlineStr">
        <is>
          <t>Sedang</t>
        </is>
      </c>
    </row>
    <row r="150" s="1">
      <c r="A150" s="17">
        <f>RANDBETWEEN(2,164)</f>
        <v/>
      </c>
      <c r="B150" s="17">
        <f t="array" ref="B150">INDEX(Data_DBD!$E:$E,$A150)</f>
        <v/>
      </c>
      <c r="C150" s="17">
        <f t="array" ref="C150">INDEX(Data_DBD!$F:$F,$A150)</f>
        <v/>
      </c>
      <c r="E150" s="17" t="n">
        <v>53</v>
      </c>
      <c r="F150" s="17" t="n">
        <v>1</v>
      </c>
      <c r="G150" s="17" t="inlineStr">
        <is>
          <t>Sedang</t>
        </is>
      </c>
    </row>
    <row r="151" s="1">
      <c r="A151" s="17">
        <f>RANDBETWEEN(2,164)</f>
        <v/>
      </c>
      <c r="B151" s="17">
        <f t="array" ref="B151">INDEX(Data_DBD!$E:$E,$A151)</f>
        <v/>
      </c>
      <c r="C151" s="17">
        <f t="array" ref="C151">INDEX(Data_DBD!$F:$F,$A151)</f>
        <v/>
      </c>
      <c r="E151" s="17" t="n">
        <v>119</v>
      </c>
      <c r="F151" s="17" t="n">
        <v>0</v>
      </c>
      <c r="G151" s="17" t="inlineStr">
        <is>
          <t>Tinggi</t>
        </is>
      </c>
    </row>
    <row r="152" s="1">
      <c r="A152" s="17">
        <f>RANDBETWEEN(2,164)</f>
        <v/>
      </c>
      <c r="B152" s="17">
        <f t="array" ref="B152">INDEX(Data_DBD!$E:$E,$A152)</f>
        <v/>
      </c>
      <c r="C152" s="17">
        <f t="array" ref="C152">INDEX(Data_DBD!$F:$F,$A152)</f>
        <v/>
      </c>
      <c r="E152" s="17" t="n">
        <v>136</v>
      </c>
      <c r="F152" s="17" t="n">
        <v>0</v>
      </c>
      <c r="G152" s="17" t="inlineStr">
        <is>
          <t>Tinggi</t>
        </is>
      </c>
    </row>
    <row r="153" s="1">
      <c r="A153" s="17">
        <f>RANDBETWEEN(2,164)</f>
        <v/>
      </c>
      <c r="B153" s="17">
        <f t="array" ref="B153">INDEX(Data_DBD!$E:$E,$A153)</f>
        <v/>
      </c>
      <c r="C153" s="17">
        <f t="array" ref="C153">INDEX(Data_DBD!$F:$F,$A153)</f>
        <v/>
      </c>
      <c r="E153" s="17" t="n">
        <v>62</v>
      </c>
      <c r="F153" s="17" t="n">
        <v>1</v>
      </c>
      <c r="G153" s="17" t="inlineStr">
        <is>
          <t>Sedang</t>
        </is>
      </c>
    </row>
    <row r="154" s="1">
      <c r="A154" s="17">
        <f>RANDBETWEEN(2,164)</f>
        <v/>
      </c>
      <c r="B154" s="17">
        <f t="array" ref="B154">INDEX(Data_DBD!$E:$E,$A154)</f>
        <v/>
      </c>
      <c r="C154" s="17">
        <f t="array" ref="C154">INDEX(Data_DBD!$F:$F,$A154)</f>
        <v/>
      </c>
      <c r="E154" s="17" t="n">
        <v>15</v>
      </c>
      <c r="F154" s="17" t="n">
        <v>0</v>
      </c>
      <c r="G154" s="17" t="inlineStr">
        <is>
          <t>Rendah</t>
        </is>
      </c>
    </row>
    <row r="155" s="1">
      <c r="A155" s="17">
        <f>RANDBETWEEN(2,164)</f>
        <v/>
      </c>
      <c r="B155" s="17">
        <f t="array" ref="B155">INDEX(Data_DBD!$E:$E,$A155)</f>
        <v/>
      </c>
      <c r="C155" s="17">
        <f t="array" ref="C155">INDEX(Data_DBD!$F:$F,$A155)</f>
        <v/>
      </c>
      <c r="E155" s="17" t="n">
        <v>104</v>
      </c>
      <c r="F155" s="17" t="n">
        <v>1</v>
      </c>
      <c r="G155" s="17" t="inlineStr">
        <is>
          <t>Tinggi</t>
        </is>
      </c>
    </row>
    <row r="156" s="1">
      <c r="A156" s="17">
        <f>RANDBETWEEN(2,164)</f>
        <v/>
      </c>
      <c r="B156" s="17">
        <f t="array" ref="B156">INDEX(Data_DBD!$E:$E,$A156)</f>
        <v/>
      </c>
      <c r="C156" s="17">
        <f t="array" ref="C156">INDEX(Data_DBD!$F:$F,$A156)</f>
        <v/>
      </c>
      <c r="E156" s="17" t="n">
        <v>114</v>
      </c>
      <c r="F156" s="17" t="n">
        <v>1</v>
      </c>
      <c r="G156" s="17" t="inlineStr">
        <is>
          <t>Tinggi</t>
        </is>
      </c>
    </row>
    <row r="157" s="1">
      <c r="A157" s="17">
        <f>RANDBETWEEN(2,164)</f>
        <v/>
      </c>
      <c r="B157" s="17">
        <f t="array" ref="B157">INDEX(Data_DBD!$E:$E,$A157)</f>
        <v/>
      </c>
      <c r="C157" s="17">
        <f t="array" ref="C157">INDEX(Data_DBD!$F:$F,$A157)</f>
        <v/>
      </c>
      <c r="E157" s="17" t="n">
        <v>164</v>
      </c>
      <c r="F157" s="17" t="n">
        <v>0</v>
      </c>
      <c r="G157" s="17" t="inlineStr">
        <is>
          <t>Rendah</t>
        </is>
      </c>
    </row>
    <row r="158" s="1">
      <c r="A158" s="17">
        <f>RANDBETWEEN(2,164)</f>
        <v/>
      </c>
      <c r="B158" s="17">
        <f t="array" ref="B158">INDEX(Data_DBD!$E:$E,$A158)</f>
        <v/>
      </c>
      <c r="C158" s="17">
        <f t="array" ref="C158">INDEX(Data_DBD!$F:$F,$A158)</f>
        <v/>
      </c>
      <c r="E158" s="17" t="n">
        <v>136</v>
      </c>
      <c r="F158" s="17" t="n">
        <v>0</v>
      </c>
      <c r="G158" s="17" t="inlineStr">
        <is>
          <t>Tinggi</t>
        </is>
      </c>
    </row>
    <row r="159" s="1">
      <c r="A159" s="17">
        <f>RANDBETWEEN(2,164)</f>
        <v/>
      </c>
      <c r="B159" s="17">
        <f t="array" ref="B159">INDEX(Data_DBD!$E:$E,$A159)</f>
        <v/>
      </c>
      <c r="C159" s="17">
        <f t="array" ref="C159">INDEX(Data_DBD!$F:$F,$A159)</f>
        <v/>
      </c>
      <c r="E159" s="17" t="n">
        <v>150</v>
      </c>
      <c r="F159" s="17" t="n">
        <v>1</v>
      </c>
      <c r="G159" s="17" t="inlineStr">
        <is>
          <t>Tinggi</t>
        </is>
      </c>
    </row>
    <row r="160" s="1">
      <c r="A160" s="17">
        <f>RANDBETWEEN(2,164)</f>
        <v/>
      </c>
      <c r="B160" s="17">
        <f t="array" ref="B160">INDEX(Data_DBD!$E:$E,$A160)</f>
        <v/>
      </c>
      <c r="C160" s="17">
        <f t="array" ref="C160">INDEX(Data_DBD!$F:$F,$A160)</f>
        <v/>
      </c>
      <c r="E160" s="17" t="n">
        <v>6</v>
      </c>
      <c r="F160" s="17" t="n">
        <v>0</v>
      </c>
      <c r="G160" s="17" t="inlineStr">
        <is>
          <t>Sedang</t>
        </is>
      </c>
    </row>
    <row r="161" s="1">
      <c r="A161" s="17">
        <f>RANDBETWEEN(2,164)</f>
        <v/>
      </c>
      <c r="B161" s="17">
        <f t="array" ref="B161">INDEX(Data_DBD!$E:$E,$A161)</f>
        <v/>
      </c>
      <c r="C161" s="17">
        <f t="array" ref="C161">INDEX(Data_DBD!$F:$F,$A161)</f>
        <v/>
      </c>
      <c r="E161" s="17" t="n">
        <v>137</v>
      </c>
      <c r="F161" s="17" t="n">
        <v>1</v>
      </c>
      <c r="G161" s="17" t="inlineStr">
        <is>
          <t>Tinggi</t>
        </is>
      </c>
    </row>
    <row r="162" s="1">
      <c r="A162" s="17">
        <f>RANDBETWEEN(2,164)</f>
        <v/>
      </c>
      <c r="B162" s="17">
        <f t="array" ref="B162">INDEX(Data_DBD!$E:$E,$A162)</f>
        <v/>
      </c>
      <c r="C162" s="17">
        <f t="array" ref="C162">INDEX(Data_DBD!$F:$F,$A162)</f>
        <v/>
      </c>
      <c r="E162" s="17" t="n">
        <v>20</v>
      </c>
      <c r="F162" s="17" t="n">
        <v>0</v>
      </c>
      <c r="G162" s="17" t="inlineStr">
        <is>
          <t>Rendah</t>
        </is>
      </c>
    </row>
    <row r="163" s="1">
      <c r="A163" s="17">
        <f>RANDBETWEEN(2,164)</f>
        <v/>
      </c>
      <c r="B163" s="17">
        <f t="array" ref="B163">INDEX(Data_DBD!$E:$E,$A163)</f>
        <v/>
      </c>
      <c r="C163" s="17">
        <f t="array" ref="C163">INDEX(Data_DBD!$F:$F,$A163)</f>
        <v/>
      </c>
      <c r="E163" s="17" t="n">
        <v>74</v>
      </c>
      <c r="F163" s="17" t="n">
        <v>0</v>
      </c>
      <c r="G163" s="17" t="inlineStr">
        <is>
          <t>Sedang</t>
        </is>
      </c>
    </row>
    <row r="164" s="1">
      <c r="A164" s="17">
        <f>RANDBETWEEN(2,164)</f>
        <v/>
      </c>
      <c r="B164" s="17">
        <f t="array" ref="B164">INDEX(Data_DBD!$E:$E,$A164)</f>
        <v/>
      </c>
      <c r="C164" s="17">
        <f t="array" ref="C164">INDEX(Data_DBD!$F:$F,$A164)</f>
        <v/>
      </c>
      <c r="E164" s="17" t="n">
        <v>136</v>
      </c>
      <c r="F164" s="17" t="n">
        <v>0</v>
      </c>
      <c r="G164" s="17" t="inlineStr">
        <is>
          <t>Tinggi</t>
        </is>
      </c>
    </row>
    <row r="165" s="1">
      <c r="F165" s="26">
        <f>AVERAGE(F2:F164)</f>
        <v/>
      </c>
    </row>
    <row r="166" s="1">
      <c r="B166" t="n">
        <v>2</v>
      </c>
    </row>
    <row r="168" s="1">
      <c r="E168" s="21" t="inlineStr">
        <is>
          <t>JENIS KELAMIN</t>
        </is>
      </c>
    </row>
    <row r="169" s="1">
      <c r="E169" s="17" t="inlineStr">
        <is>
          <t>Jenis kelamin</t>
        </is>
      </c>
      <c r="F169" s="17">
        <f>AVERAGEIF($F$2:$F$164,"&lt;="&amp;$F$165)</f>
        <v/>
      </c>
      <c r="G169" s="17">
        <f>AVERAGEIF($F$2:$F$164,"&gt;"&amp;$F$165)</f>
        <v/>
      </c>
    </row>
    <row r="170" s="1">
      <c r="E170" s="17">
        <f t="array" ref="E170:E332">IF($F$2:$F$164&lt;$F$169,"kiri",IF($F$2:$F$164&lt;$G$169,"tengah","kanan"))</f>
        <v/>
      </c>
      <c r="F170" s="17" t="inlineStr">
        <is>
          <t>Kanan &gt; 1</t>
        </is>
      </c>
      <c r="G170" s="17" t="n"/>
    </row>
    <row r="171" s="1">
      <c r="E171" s="17" t="inlineStr">
        <is>
          <t>tengah</t>
        </is>
      </c>
      <c r="F171" s="17">
        <f>COUNTIFS($E$170:$E$332,"Kanan",$G$2:$G$164,"Tinggi")</f>
        <v/>
      </c>
      <c r="G171" s="17">
        <f>F171/88</f>
        <v/>
      </c>
    </row>
    <row r="172" s="1">
      <c r="E172" s="17" t="inlineStr">
        <is>
          <t>kanan</t>
        </is>
      </c>
      <c r="F172" s="17">
        <f>COUNTIFS($E$170:$E$332,"Kanan",$G$2:$G$164,"Sedang")</f>
        <v/>
      </c>
      <c r="G172" s="17">
        <f>F172/88</f>
        <v/>
      </c>
    </row>
    <row r="173" s="1">
      <c r="E173" s="17" t="inlineStr">
        <is>
          <t>tengah</t>
        </is>
      </c>
      <c r="F173" s="17">
        <f>COUNTIFS($E$170:$E$332,"Kanan",$G$2:$G$164,"Rendah")</f>
        <v/>
      </c>
      <c r="G173" s="17">
        <f>F173/88</f>
        <v/>
      </c>
    </row>
    <row r="174" s="1">
      <c r="E174" s="17" t="inlineStr">
        <is>
          <t>kanan</t>
        </is>
      </c>
      <c r="F174" s="17" t="inlineStr">
        <is>
          <t>Entropy</t>
        </is>
      </c>
      <c r="G174" s="17">
        <f>-(IFERROR(G171*LOG(G171,2),0)+IFERROR(G172*LOG(G172,2),0)+IFERROR(G173*LOG(G173,2),0))</f>
        <v/>
      </c>
    </row>
    <row r="175" s="1">
      <c r="E175" s="17" t="inlineStr">
        <is>
          <t>kanan</t>
        </is>
      </c>
      <c r="F175" s="17" t="n"/>
      <c r="G175" s="17">
        <f>SUM(F171:F173)/163</f>
        <v/>
      </c>
    </row>
    <row r="176" s="1">
      <c r="E176" s="17" t="inlineStr">
        <is>
          <t>kanan</t>
        </is>
      </c>
      <c r="F176" s="17" t="n"/>
      <c r="G176" s="23">
        <f>G174*G175</f>
        <v/>
      </c>
    </row>
    <row r="177" s="1">
      <c r="E177" s="17" t="inlineStr">
        <is>
          <t>kanan</t>
        </is>
      </c>
      <c r="F177" s="17" t="n"/>
      <c r="G177" s="17" t="n"/>
    </row>
    <row r="178" s="1">
      <c r="E178" s="17" t="inlineStr">
        <is>
          <t>tengah</t>
        </is>
      </c>
      <c r="F178" s="17" t="n"/>
      <c r="G178" s="17" t="n"/>
    </row>
    <row r="179" s="1">
      <c r="E179" s="17" t="inlineStr">
        <is>
          <t>kanan</t>
        </is>
      </c>
      <c r="F179" s="17" t="inlineStr">
        <is>
          <t>Kiri&lt;0</t>
        </is>
      </c>
      <c r="G179" s="17" t="n"/>
    </row>
    <row r="180" s="1">
      <c r="E180" s="17" t="inlineStr">
        <is>
          <t>kanan</t>
        </is>
      </c>
      <c r="F180" s="17">
        <f>COUNTIFS($E$170:$E$332,"Kiri",$G$2:$G$164,"Tinggi")</f>
        <v/>
      </c>
      <c r="G180" s="17">
        <f>F180/88</f>
        <v/>
      </c>
    </row>
    <row r="181" s="1">
      <c r="E181" s="17" t="inlineStr">
        <is>
          <t>kanan</t>
        </is>
      </c>
      <c r="F181" s="17">
        <f>COUNTIFS($E$170:$E$332,"Kiri",$G$2:$G$164,"Sedang")</f>
        <v/>
      </c>
      <c r="G181" s="17">
        <f>F181/88</f>
        <v/>
      </c>
    </row>
    <row r="182" s="1">
      <c r="E182" s="17" t="inlineStr">
        <is>
          <t>kanan</t>
        </is>
      </c>
      <c r="F182" s="17">
        <f>COUNTIFS($E$170:$E$332,"Kiri",$G$2:$G$164,"Rendah")</f>
        <v/>
      </c>
      <c r="G182" s="17">
        <f>F182/88</f>
        <v/>
      </c>
    </row>
    <row r="183" s="1">
      <c r="E183" s="17" t="inlineStr">
        <is>
          <t>tengah</t>
        </is>
      </c>
      <c r="F183" s="17" t="inlineStr">
        <is>
          <t>Entropy</t>
        </is>
      </c>
      <c r="G183" s="17">
        <f>-(IFERROR(G180*LOG(G180,2),0)+IFERROR(G181*LOG(G181,2),0)+IFERROR(G182*LOG(G182,2),0))</f>
        <v/>
      </c>
    </row>
    <row r="184" s="1">
      <c r="E184" s="17" t="inlineStr">
        <is>
          <t>tengah</t>
        </is>
      </c>
      <c r="F184" s="17" t="n"/>
      <c r="G184" s="17">
        <f>SUM(F180:F182)/163</f>
        <v/>
      </c>
    </row>
    <row r="185" s="1">
      <c r="E185" s="17" t="inlineStr">
        <is>
          <t>tengah</t>
        </is>
      </c>
      <c r="F185" s="17" t="n"/>
      <c r="G185" s="23">
        <f>G183*G184</f>
        <v/>
      </c>
    </row>
    <row r="186" s="1">
      <c r="E186" s="17" t="inlineStr">
        <is>
          <t>kanan</t>
        </is>
      </c>
      <c r="F186" s="17" t="n"/>
      <c r="G186" s="17" t="n"/>
    </row>
    <row r="187" s="1">
      <c r="E187" s="17" t="inlineStr">
        <is>
          <t>tengah</t>
        </is>
      </c>
      <c r="F187" s="17" t="n"/>
      <c r="G187" s="17" t="n"/>
    </row>
    <row r="188" s="1">
      <c r="E188" s="17" t="inlineStr">
        <is>
          <t>tengah</t>
        </is>
      </c>
      <c r="F188" s="17" t="inlineStr">
        <is>
          <t>Tengah</t>
        </is>
      </c>
      <c r="G188" s="17" t="n"/>
    </row>
    <row r="189" s="1">
      <c r="E189" s="17" t="inlineStr">
        <is>
          <t>kanan</t>
        </is>
      </c>
      <c r="F189" s="17">
        <f>COUNTIFS($E$170:$E$332,"Tengah",$G$2:$G$164,"Tinggi")</f>
        <v/>
      </c>
      <c r="G189" s="17">
        <f>F189/75</f>
        <v/>
      </c>
    </row>
    <row r="190" s="1">
      <c r="E190" s="17" t="inlineStr">
        <is>
          <t>tengah</t>
        </is>
      </c>
      <c r="F190" s="17">
        <f>COUNTIFS($E$170:$E$332,"Tengah",$G$2:$G$164,"Sedang")</f>
        <v/>
      </c>
      <c r="G190" s="17">
        <f>F190/75</f>
        <v/>
      </c>
    </row>
    <row r="191" s="1">
      <c r="E191" s="17" t="inlineStr">
        <is>
          <t>tengah</t>
        </is>
      </c>
      <c r="F191" s="17">
        <f>COUNTIFS($E$170:$E$332,"Tengah",$G$2:$G$164,"Rendah")</f>
        <v/>
      </c>
      <c r="G191" s="17">
        <f>F191/75</f>
        <v/>
      </c>
    </row>
    <row r="192" s="1">
      <c r="E192" s="17" t="inlineStr">
        <is>
          <t>kanan</t>
        </is>
      </c>
      <c r="F192" s="17" t="inlineStr">
        <is>
          <t>Entropy</t>
        </is>
      </c>
      <c r="G192" s="17">
        <f>-(IFERROR(G189*LOG(G189,2),0)+IFERROR(G190*LOG(G190,2),0)+IFERROR(G191*LOG(G191,2),0))</f>
        <v/>
      </c>
    </row>
    <row r="193" s="1">
      <c r="E193" s="17" t="inlineStr">
        <is>
          <t>kanan</t>
        </is>
      </c>
      <c r="F193" s="17" t="n"/>
      <c r="G193" s="17">
        <f>SUM(F189:F191)/163</f>
        <v/>
      </c>
    </row>
    <row r="194" s="1">
      <c r="E194" s="17" t="inlineStr">
        <is>
          <t>tengah</t>
        </is>
      </c>
      <c r="F194" s="17" t="n"/>
      <c r="G194" s="23">
        <f>G192*G193</f>
        <v/>
      </c>
    </row>
    <row r="195" s="1">
      <c r="E195" s="17" t="inlineStr">
        <is>
          <t>tengah</t>
        </is>
      </c>
      <c r="F195" s="17" t="n"/>
      <c r="G195" s="17" t="n"/>
    </row>
    <row r="196" s="1">
      <c r="E196" s="17" t="inlineStr">
        <is>
          <t>kanan</t>
        </is>
      </c>
      <c r="F196" s="17" t="inlineStr">
        <is>
          <t>IG</t>
        </is>
      </c>
      <c r="G196" s="17" t="n"/>
    </row>
    <row r="197" s="1">
      <c r="E197" s="17" t="inlineStr">
        <is>
          <t>kanan</t>
        </is>
      </c>
      <c r="F197" s="24">
        <f>J5-(G176+G185+G194)</f>
        <v/>
      </c>
      <c r="G197" s="17" t="n"/>
    </row>
    <row r="198" s="1">
      <c r="E198" s="17" t="inlineStr">
        <is>
          <t>kanan</t>
        </is>
      </c>
      <c r="F198" s="17" t="n"/>
      <c r="G198" s="17" t="n"/>
    </row>
    <row r="199" s="1">
      <c r="E199" s="17" t="inlineStr">
        <is>
          <t>tengah</t>
        </is>
      </c>
      <c r="F199" s="17" t="n"/>
      <c r="G199" s="17" t="n"/>
    </row>
    <row r="200" s="1">
      <c r="E200" s="17" t="inlineStr">
        <is>
          <t>kanan</t>
        </is>
      </c>
      <c r="F200" s="17" t="n"/>
      <c r="G200" s="17" t="n"/>
    </row>
    <row r="201" s="1">
      <c r="E201" s="17" t="inlineStr">
        <is>
          <t>kanan</t>
        </is>
      </c>
      <c r="F201" s="17" t="n"/>
      <c r="G201" s="17" t="n"/>
    </row>
    <row r="202" s="1">
      <c r="E202" s="17" t="inlineStr">
        <is>
          <t>kanan</t>
        </is>
      </c>
      <c r="F202" s="17" t="n"/>
      <c r="G202" s="17" t="n"/>
    </row>
    <row r="203" s="1">
      <c r="E203" s="17" t="inlineStr">
        <is>
          <t>tengah</t>
        </is>
      </c>
      <c r="F203" s="17" t="n"/>
      <c r="G203" s="17" t="n"/>
    </row>
    <row r="204" s="1">
      <c r="E204" s="17" t="inlineStr">
        <is>
          <t>tengah</t>
        </is>
      </c>
      <c r="F204" s="17" t="n"/>
      <c r="G204" s="17" t="n"/>
    </row>
    <row r="205" s="1">
      <c r="E205" s="17" t="inlineStr">
        <is>
          <t>kanan</t>
        </is>
      </c>
      <c r="F205" s="17" t="n"/>
      <c r="G205" s="17" t="n"/>
    </row>
    <row r="206" s="1">
      <c r="E206" s="17" t="inlineStr">
        <is>
          <t>kanan</t>
        </is>
      </c>
      <c r="F206" s="17" t="n"/>
      <c r="G206" s="17" t="n"/>
    </row>
    <row r="207" s="1">
      <c r="E207" s="17" t="inlineStr">
        <is>
          <t>tengah</t>
        </is>
      </c>
      <c r="F207" s="17" t="n"/>
      <c r="G207" s="17" t="n"/>
    </row>
    <row r="208" s="1">
      <c r="E208" s="17" t="inlineStr">
        <is>
          <t>kanan</t>
        </is>
      </c>
      <c r="F208" s="17" t="n"/>
      <c r="G208" s="17" t="n"/>
    </row>
    <row r="209" s="1">
      <c r="E209" s="17" t="inlineStr">
        <is>
          <t>kanan</t>
        </is>
      </c>
      <c r="F209" s="17" t="n"/>
      <c r="G209" s="17" t="n"/>
    </row>
    <row r="210" s="1">
      <c r="E210" s="17" t="inlineStr">
        <is>
          <t>tengah</t>
        </is>
      </c>
      <c r="F210" s="17" t="n"/>
      <c r="G210" s="17" t="n"/>
    </row>
    <row r="211" s="1">
      <c r="E211" s="17" t="inlineStr">
        <is>
          <t>kanan</t>
        </is>
      </c>
      <c r="F211" s="17" t="n"/>
      <c r="G211" s="17" t="n"/>
    </row>
    <row r="212" s="1">
      <c r="E212" s="17" t="inlineStr">
        <is>
          <t>tengah</t>
        </is>
      </c>
      <c r="F212" s="17" t="n"/>
      <c r="G212" s="17" t="n"/>
    </row>
    <row r="213" s="1">
      <c r="E213" s="17" t="inlineStr">
        <is>
          <t>kanan</t>
        </is>
      </c>
      <c r="F213" s="17" t="n"/>
      <c r="G213" s="17" t="n"/>
    </row>
    <row r="214" s="1">
      <c r="E214" s="17" t="inlineStr">
        <is>
          <t>tengah</t>
        </is>
      </c>
      <c r="F214" s="17" t="n"/>
      <c r="G214" s="17" t="n"/>
    </row>
    <row r="215" s="1">
      <c r="E215" s="17" t="inlineStr">
        <is>
          <t>tengah</t>
        </is>
      </c>
      <c r="F215" s="17" t="n"/>
      <c r="G215" s="17" t="n"/>
    </row>
    <row r="216" s="1">
      <c r="E216" s="17" t="inlineStr">
        <is>
          <t>kanan</t>
        </is>
      </c>
      <c r="F216" s="17" t="n"/>
      <c r="G216" s="17" t="n"/>
    </row>
    <row r="217" s="1">
      <c r="E217" s="17" t="inlineStr">
        <is>
          <t>tengah</t>
        </is>
      </c>
      <c r="F217" s="17" t="n"/>
      <c r="G217" s="17" t="n"/>
    </row>
    <row r="218" s="1">
      <c r="E218" s="17" t="inlineStr">
        <is>
          <t>tengah</t>
        </is>
      </c>
      <c r="F218" s="17" t="n"/>
      <c r="G218" s="17" t="n"/>
    </row>
    <row r="219" s="1">
      <c r="E219" s="17" t="inlineStr">
        <is>
          <t>tengah</t>
        </is>
      </c>
      <c r="F219" s="17" t="n"/>
      <c r="G219" s="17" t="n"/>
    </row>
    <row r="220" s="1">
      <c r="E220" s="17" t="inlineStr">
        <is>
          <t>kanan</t>
        </is>
      </c>
      <c r="F220" s="17" t="n"/>
      <c r="G220" s="17" t="n"/>
    </row>
    <row r="221" s="1">
      <c r="E221" s="17" t="inlineStr">
        <is>
          <t>tengah</t>
        </is>
      </c>
      <c r="F221" s="17" t="n"/>
      <c r="G221" s="17" t="n"/>
    </row>
    <row r="222" s="1">
      <c r="E222" s="17" t="inlineStr">
        <is>
          <t>kanan</t>
        </is>
      </c>
      <c r="F222" s="17" t="n"/>
      <c r="G222" s="17" t="n"/>
    </row>
    <row r="223" s="1">
      <c r="E223" s="17" t="inlineStr">
        <is>
          <t>kanan</t>
        </is>
      </c>
      <c r="F223" s="17" t="n"/>
      <c r="G223" s="17" t="n"/>
    </row>
    <row r="224" s="1">
      <c r="E224" s="17" t="inlineStr">
        <is>
          <t>kanan</t>
        </is>
      </c>
      <c r="F224" s="17" t="n"/>
      <c r="G224" s="17" t="n"/>
    </row>
    <row r="225" s="1">
      <c r="E225" s="17" t="inlineStr">
        <is>
          <t>kanan</t>
        </is>
      </c>
      <c r="F225" s="17" t="n"/>
      <c r="G225" s="17" t="n"/>
    </row>
    <row r="226" s="1">
      <c r="E226" s="17" t="inlineStr">
        <is>
          <t>kanan</t>
        </is>
      </c>
      <c r="F226" s="17" t="n"/>
      <c r="G226" s="17" t="n"/>
    </row>
    <row r="227" s="1">
      <c r="E227" s="17" t="inlineStr">
        <is>
          <t>tengah</t>
        </is>
      </c>
      <c r="F227" s="17" t="n"/>
      <c r="G227" s="17" t="n"/>
    </row>
    <row r="228" s="1">
      <c r="E228" s="17" t="inlineStr">
        <is>
          <t>tengah</t>
        </is>
      </c>
      <c r="F228" s="17" t="n"/>
      <c r="G228" s="17" t="n"/>
    </row>
    <row r="229" s="1">
      <c r="E229" s="17" t="inlineStr">
        <is>
          <t>kanan</t>
        </is>
      </c>
      <c r="F229" s="17" t="n"/>
      <c r="G229" s="17" t="n"/>
    </row>
    <row r="230" s="1">
      <c r="E230" s="17" t="inlineStr">
        <is>
          <t>tengah</t>
        </is>
      </c>
      <c r="F230" s="17" t="n"/>
      <c r="G230" s="17" t="n"/>
    </row>
    <row r="231" s="1">
      <c r="E231" s="17" t="inlineStr">
        <is>
          <t>tengah</t>
        </is>
      </c>
      <c r="F231" s="17" t="n"/>
      <c r="G231" s="17" t="n"/>
    </row>
    <row r="232" s="1">
      <c r="E232" s="17" t="inlineStr">
        <is>
          <t>tengah</t>
        </is>
      </c>
      <c r="F232" s="17" t="n"/>
      <c r="G232" s="17" t="n"/>
    </row>
    <row r="233" s="1">
      <c r="E233" s="17" t="inlineStr">
        <is>
          <t>kanan</t>
        </is>
      </c>
      <c r="F233" s="17" t="n"/>
      <c r="G233" s="17" t="n"/>
    </row>
    <row r="234" s="1">
      <c r="E234" s="17" t="inlineStr">
        <is>
          <t>kanan</t>
        </is>
      </c>
      <c r="F234" s="17" t="n"/>
      <c r="G234" s="17" t="n"/>
    </row>
    <row r="235" s="1">
      <c r="E235" s="17" t="inlineStr">
        <is>
          <t>kanan</t>
        </is>
      </c>
      <c r="F235" s="17" t="n"/>
      <c r="G235" s="17" t="n"/>
    </row>
    <row r="236" s="1">
      <c r="E236" s="17" t="inlineStr">
        <is>
          <t>kanan</t>
        </is>
      </c>
      <c r="F236" s="17" t="n"/>
      <c r="G236" s="17" t="n"/>
    </row>
    <row r="237" s="1">
      <c r="E237" s="17" t="inlineStr">
        <is>
          <t>tengah</t>
        </is>
      </c>
      <c r="F237" s="17" t="n"/>
      <c r="G237" s="17" t="n"/>
    </row>
    <row r="238" s="1">
      <c r="E238" s="17" t="inlineStr">
        <is>
          <t>tengah</t>
        </is>
      </c>
      <c r="F238" s="17" t="n"/>
      <c r="G238" s="17" t="n"/>
    </row>
    <row r="239" s="1">
      <c r="E239" s="17" t="inlineStr">
        <is>
          <t>kanan</t>
        </is>
      </c>
      <c r="F239" s="17" t="n"/>
      <c r="G239" s="17" t="n"/>
    </row>
    <row r="240" s="1">
      <c r="E240" s="17" t="inlineStr">
        <is>
          <t>kanan</t>
        </is>
      </c>
      <c r="F240" s="17" t="n"/>
      <c r="G240" s="17" t="n"/>
    </row>
    <row r="241" s="1">
      <c r="E241" s="17" t="inlineStr">
        <is>
          <t>tengah</t>
        </is>
      </c>
      <c r="F241" s="17" t="n"/>
      <c r="G241" s="17" t="n"/>
    </row>
    <row r="242" s="1">
      <c r="E242" s="17" t="inlineStr">
        <is>
          <t>tengah</t>
        </is>
      </c>
      <c r="F242" s="17" t="n"/>
      <c r="G242" s="17" t="n"/>
    </row>
    <row r="243" s="1">
      <c r="E243" s="17" t="inlineStr">
        <is>
          <t>kanan</t>
        </is>
      </c>
      <c r="F243" s="17" t="n"/>
      <c r="G243" s="17" t="n"/>
    </row>
    <row r="244" s="1">
      <c r="E244" s="17" t="inlineStr">
        <is>
          <t>tengah</t>
        </is>
      </c>
      <c r="F244" s="17" t="n"/>
      <c r="G244" s="17" t="n"/>
    </row>
    <row r="245" s="1">
      <c r="E245" s="17" t="inlineStr">
        <is>
          <t>kanan</t>
        </is>
      </c>
      <c r="F245" s="17" t="n"/>
      <c r="G245" s="17" t="n"/>
    </row>
    <row r="246" s="1">
      <c r="E246" s="17" t="inlineStr">
        <is>
          <t>kanan</t>
        </is>
      </c>
      <c r="F246" s="17" t="n"/>
      <c r="G246" s="17" t="n"/>
    </row>
    <row r="247" s="1">
      <c r="E247" s="17" t="inlineStr">
        <is>
          <t>tengah</t>
        </is>
      </c>
      <c r="F247" s="17" t="n"/>
      <c r="G247" s="17" t="n"/>
    </row>
    <row r="248" s="1">
      <c r="E248" s="17" t="inlineStr">
        <is>
          <t>kanan</t>
        </is>
      </c>
      <c r="F248" s="17" t="n"/>
      <c r="G248" s="17" t="n"/>
    </row>
    <row r="249" s="1">
      <c r="E249" s="17" t="inlineStr">
        <is>
          <t>tengah</t>
        </is>
      </c>
      <c r="F249" s="17" t="n"/>
      <c r="G249" s="17" t="n"/>
    </row>
    <row r="250" s="1">
      <c r="E250" s="17" t="inlineStr">
        <is>
          <t>tengah</t>
        </is>
      </c>
      <c r="F250" s="17" t="n"/>
      <c r="G250" s="17" t="n"/>
    </row>
    <row r="251" s="1">
      <c r="E251" s="17" t="inlineStr">
        <is>
          <t>kanan</t>
        </is>
      </c>
      <c r="F251" s="17" t="n"/>
      <c r="G251" s="17" t="n"/>
    </row>
    <row r="252" s="1">
      <c r="E252" s="17" t="inlineStr">
        <is>
          <t>tengah</t>
        </is>
      </c>
      <c r="F252" s="17" t="n"/>
      <c r="G252" s="17" t="n"/>
    </row>
    <row r="253" s="1">
      <c r="E253" s="17" t="inlineStr">
        <is>
          <t>kanan</t>
        </is>
      </c>
      <c r="F253" s="17" t="n"/>
      <c r="G253" s="17" t="n"/>
    </row>
    <row r="254" s="1">
      <c r="E254" s="17" t="inlineStr">
        <is>
          <t>tengah</t>
        </is>
      </c>
      <c r="F254" s="17" t="n"/>
      <c r="G254" s="17" t="n"/>
    </row>
    <row r="255" s="1">
      <c r="E255" s="17" t="inlineStr">
        <is>
          <t>tengah</t>
        </is>
      </c>
      <c r="F255" s="17" t="n"/>
      <c r="G255" s="17" t="n"/>
    </row>
    <row r="256" s="1">
      <c r="E256" s="17" t="inlineStr">
        <is>
          <t>kanan</t>
        </is>
      </c>
      <c r="F256" s="17" t="n"/>
      <c r="G256" s="17" t="n"/>
    </row>
    <row r="257" s="1">
      <c r="E257" s="17" t="inlineStr">
        <is>
          <t>tengah</t>
        </is>
      </c>
      <c r="F257" s="17" t="n"/>
      <c r="G257" s="17" t="n"/>
    </row>
    <row r="258" s="1">
      <c r="E258" s="17" t="inlineStr">
        <is>
          <t>kanan</t>
        </is>
      </c>
      <c r="F258" s="17" t="n"/>
      <c r="G258" s="17" t="n"/>
    </row>
    <row r="259" s="1">
      <c r="E259" s="17" t="inlineStr">
        <is>
          <t>tengah</t>
        </is>
      </c>
      <c r="F259" s="17" t="n"/>
      <c r="G259" s="17" t="n"/>
    </row>
    <row r="260" s="1">
      <c r="E260" s="17" t="inlineStr">
        <is>
          <t>kanan</t>
        </is>
      </c>
      <c r="F260" s="17" t="n"/>
      <c r="G260" s="17" t="n"/>
    </row>
    <row r="261" s="1">
      <c r="E261" s="17" t="inlineStr">
        <is>
          <t>kanan</t>
        </is>
      </c>
      <c r="F261" s="17" t="n"/>
      <c r="G261" s="17" t="n"/>
    </row>
    <row r="262" s="1">
      <c r="E262" s="17" t="inlineStr">
        <is>
          <t>tengah</t>
        </is>
      </c>
      <c r="F262" s="17" t="n"/>
      <c r="G262" s="17" t="n"/>
    </row>
    <row r="263" s="1">
      <c r="E263" s="17" t="inlineStr">
        <is>
          <t>kanan</t>
        </is>
      </c>
      <c r="F263" s="17" t="n"/>
      <c r="G263" s="17" t="n"/>
    </row>
    <row r="264" s="1">
      <c r="E264" s="17" t="inlineStr">
        <is>
          <t>tengah</t>
        </is>
      </c>
      <c r="F264" s="17" t="n"/>
      <c r="G264" s="17" t="n"/>
    </row>
    <row r="265" s="1">
      <c r="E265" s="17" t="inlineStr">
        <is>
          <t>tengah</t>
        </is>
      </c>
      <c r="F265" s="17" t="n"/>
      <c r="G265" s="17" t="n"/>
    </row>
    <row r="266" s="1">
      <c r="E266" s="17" t="inlineStr">
        <is>
          <t>tengah</t>
        </is>
      </c>
      <c r="F266" s="17" t="n"/>
      <c r="G266" s="17" t="n"/>
    </row>
    <row r="267" s="1">
      <c r="E267" s="17" t="inlineStr">
        <is>
          <t>kanan</t>
        </is>
      </c>
      <c r="F267" s="17" t="n"/>
      <c r="G267" s="17" t="n"/>
    </row>
    <row r="268" s="1">
      <c r="E268" s="17" t="inlineStr">
        <is>
          <t>kanan</t>
        </is>
      </c>
      <c r="F268" s="17" t="n"/>
      <c r="G268" s="17" t="n"/>
    </row>
    <row r="269" s="1">
      <c r="E269" s="17" t="inlineStr">
        <is>
          <t>kanan</t>
        </is>
      </c>
      <c r="F269" s="17" t="n"/>
      <c r="G269" s="17" t="n"/>
    </row>
    <row r="270" s="1">
      <c r="E270" s="17" t="inlineStr">
        <is>
          <t>tengah</t>
        </is>
      </c>
      <c r="F270" s="17" t="n"/>
      <c r="G270" s="17" t="n"/>
    </row>
    <row r="271" s="1">
      <c r="E271" s="17" t="inlineStr">
        <is>
          <t>kanan</t>
        </is>
      </c>
      <c r="F271" s="17" t="n"/>
      <c r="G271" s="17" t="n"/>
    </row>
    <row r="272" s="1">
      <c r="E272" s="17" t="inlineStr">
        <is>
          <t>tengah</t>
        </is>
      </c>
      <c r="F272" s="17" t="n"/>
      <c r="G272" s="17" t="n"/>
    </row>
    <row r="273" s="1">
      <c r="E273" s="17" t="inlineStr">
        <is>
          <t>tengah</t>
        </is>
      </c>
      <c r="F273" s="17" t="n"/>
      <c r="G273" s="17" t="n"/>
    </row>
    <row r="274" s="1">
      <c r="E274" s="17" t="inlineStr">
        <is>
          <t>kanan</t>
        </is>
      </c>
      <c r="F274" s="17" t="n"/>
      <c r="G274" s="17" t="n"/>
    </row>
    <row r="275" s="1">
      <c r="E275" s="17" t="inlineStr">
        <is>
          <t>tengah</t>
        </is>
      </c>
      <c r="F275" s="17" t="n"/>
      <c r="G275" s="17" t="n"/>
    </row>
    <row r="276" s="1">
      <c r="E276" s="17" t="inlineStr">
        <is>
          <t>kanan</t>
        </is>
      </c>
      <c r="F276" s="17" t="n"/>
      <c r="G276" s="17" t="n"/>
    </row>
    <row r="277" s="1">
      <c r="E277" s="17" t="inlineStr">
        <is>
          <t>kanan</t>
        </is>
      </c>
      <c r="F277" s="17" t="n"/>
      <c r="G277" s="17" t="n"/>
    </row>
    <row r="278" s="1">
      <c r="E278" s="17" t="inlineStr">
        <is>
          <t>tengah</t>
        </is>
      </c>
      <c r="F278" s="17" t="n"/>
      <c r="G278" s="17" t="n"/>
    </row>
    <row r="279" s="1">
      <c r="E279" s="17" t="inlineStr">
        <is>
          <t>kanan</t>
        </is>
      </c>
      <c r="F279" s="17" t="n"/>
      <c r="G279" s="17" t="n"/>
    </row>
    <row r="280" s="1">
      <c r="E280" s="17" t="inlineStr">
        <is>
          <t>kanan</t>
        </is>
      </c>
      <c r="F280" s="17" t="n"/>
      <c r="G280" s="17" t="n"/>
    </row>
    <row r="281" s="1">
      <c r="E281" s="17" t="inlineStr">
        <is>
          <t>tengah</t>
        </is>
      </c>
      <c r="F281" s="17" t="n"/>
      <c r="G281" s="17" t="n"/>
    </row>
    <row r="282" s="1">
      <c r="E282" s="17" t="inlineStr">
        <is>
          <t>tengah</t>
        </is>
      </c>
      <c r="F282" s="17" t="n"/>
      <c r="G282" s="17" t="n"/>
    </row>
    <row r="283" s="1">
      <c r="E283" s="17" t="inlineStr">
        <is>
          <t>tengah</t>
        </is>
      </c>
      <c r="F283" s="17" t="n"/>
      <c r="G283" s="17" t="n"/>
    </row>
    <row r="284" s="1">
      <c r="E284" s="17" t="inlineStr">
        <is>
          <t>kanan</t>
        </is>
      </c>
      <c r="F284" s="17" t="n"/>
      <c r="G284" s="17" t="n"/>
    </row>
    <row r="285" s="1">
      <c r="E285" s="17" t="inlineStr">
        <is>
          <t>kanan</t>
        </is>
      </c>
      <c r="F285" s="17" t="n"/>
      <c r="G285" s="17" t="n"/>
    </row>
    <row r="286" s="1">
      <c r="E286" s="17" t="inlineStr">
        <is>
          <t>kanan</t>
        </is>
      </c>
      <c r="F286" s="17" t="n"/>
      <c r="G286" s="17" t="n"/>
    </row>
    <row r="287" s="1">
      <c r="E287" s="17" t="inlineStr">
        <is>
          <t>kanan</t>
        </is>
      </c>
      <c r="F287" s="17" t="n"/>
      <c r="G287" s="17" t="n"/>
    </row>
    <row r="288" s="1">
      <c r="E288" s="17" t="inlineStr">
        <is>
          <t>kanan</t>
        </is>
      </c>
      <c r="F288" s="17" t="n"/>
      <c r="G288" s="17" t="n"/>
    </row>
    <row r="289" s="1">
      <c r="E289" s="17" t="inlineStr">
        <is>
          <t>tengah</t>
        </is>
      </c>
      <c r="F289" s="17" t="n"/>
      <c r="G289" s="17" t="n"/>
    </row>
    <row r="290" s="1">
      <c r="E290" s="17" t="inlineStr">
        <is>
          <t>kanan</t>
        </is>
      </c>
      <c r="F290" s="17" t="n"/>
      <c r="G290" s="17" t="n"/>
    </row>
    <row r="291" s="1">
      <c r="E291" s="17" t="inlineStr">
        <is>
          <t>kanan</t>
        </is>
      </c>
      <c r="F291" s="17" t="n"/>
      <c r="G291" s="17" t="n"/>
    </row>
    <row r="292" s="1">
      <c r="E292" s="17" t="inlineStr">
        <is>
          <t>kanan</t>
        </is>
      </c>
      <c r="F292" s="17" t="n"/>
      <c r="G292" s="17" t="n"/>
    </row>
    <row r="293" s="1">
      <c r="E293" s="17" t="inlineStr">
        <is>
          <t>tengah</t>
        </is>
      </c>
      <c r="F293" s="17" t="n"/>
      <c r="G293" s="17" t="n"/>
    </row>
    <row r="294" s="1">
      <c r="E294" s="17" t="inlineStr">
        <is>
          <t>tengah</t>
        </is>
      </c>
      <c r="F294" s="17" t="n"/>
      <c r="G294" s="17" t="n"/>
    </row>
    <row r="295" s="1">
      <c r="E295" s="17" t="inlineStr">
        <is>
          <t>kanan</t>
        </is>
      </c>
      <c r="F295" s="17" t="n"/>
      <c r="G295" s="17" t="n"/>
    </row>
    <row r="296" s="1">
      <c r="E296" s="17" t="inlineStr">
        <is>
          <t>kanan</t>
        </is>
      </c>
      <c r="F296" s="17" t="n"/>
      <c r="G296" s="17" t="n"/>
    </row>
    <row r="297" s="1">
      <c r="E297" s="17" t="inlineStr">
        <is>
          <t>kanan</t>
        </is>
      </c>
      <c r="F297" s="17" t="n"/>
      <c r="G297" s="17" t="n"/>
    </row>
    <row r="298" s="1">
      <c r="E298" s="17" t="inlineStr">
        <is>
          <t>tengah</t>
        </is>
      </c>
      <c r="F298" s="17" t="n"/>
      <c r="G298" s="17" t="n"/>
    </row>
    <row r="299" s="1">
      <c r="E299" s="17" t="inlineStr">
        <is>
          <t>kanan</t>
        </is>
      </c>
      <c r="F299" s="17" t="n"/>
      <c r="G299" s="17" t="n"/>
    </row>
    <row r="300" s="1">
      <c r="E300" s="17" t="inlineStr">
        <is>
          <t>kanan</t>
        </is>
      </c>
      <c r="F300" s="17" t="n"/>
      <c r="G300" s="17" t="n"/>
    </row>
    <row r="301" s="1">
      <c r="E301" s="17" t="inlineStr">
        <is>
          <t>tengah</t>
        </is>
      </c>
      <c r="F301" s="17" t="n"/>
      <c r="G301" s="17" t="n"/>
    </row>
    <row r="302" s="1">
      <c r="E302" s="17" t="inlineStr">
        <is>
          <t>kanan</t>
        </is>
      </c>
      <c r="F302" s="17" t="n"/>
      <c r="G302" s="17" t="n"/>
    </row>
    <row r="303" s="1">
      <c r="E303" s="17" t="inlineStr">
        <is>
          <t>tengah</t>
        </is>
      </c>
      <c r="F303" s="17" t="n"/>
      <c r="G303" s="17" t="n"/>
    </row>
    <row r="304" s="1">
      <c r="E304" s="17" t="inlineStr">
        <is>
          <t>kanan</t>
        </is>
      </c>
      <c r="F304" s="17" t="n"/>
      <c r="G304" s="17" t="n"/>
    </row>
    <row r="305" s="1">
      <c r="E305" s="17" t="inlineStr">
        <is>
          <t>kanan</t>
        </is>
      </c>
      <c r="F305" s="17" t="n"/>
      <c r="G305" s="17" t="n"/>
    </row>
    <row r="306" s="1">
      <c r="E306" s="17" t="inlineStr">
        <is>
          <t>kanan</t>
        </is>
      </c>
      <c r="F306" s="17" t="n"/>
      <c r="G306" s="17" t="n"/>
    </row>
    <row r="307" s="1">
      <c r="E307" s="17" t="inlineStr">
        <is>
          <t>tengah</t>
        </is>
      </c>
      <c r="F307" s="17" t="n"/>
      <c r="G307" s="17" t="n"/>
    </row>
    <row r="308" s="1">
      <c r="E308" s="17" t="inlineStr">
        <is>
          <t>tengah</t>
        </is>
      </c>
      <c r="F308" s="17" t="n"/>
      <c r="G308" s="17" t="n"/>
    </row>
    <row r="309" s="1">
      <c r="E309" s="17" t="inlineStr">
        <is>
          <t>kanan</t>
        </is>
      </c>
      <c r="F309" s="17" t="n"/>
      <c r="G309" s="17" t="n"/>
    </row>
    <row r="310" s="1">
      <c r="E310" s="17" t="inlineStr">
        <is>
          <t>kanan</t>
        </is>
      </c>
      <c r="F310" s="17" t="n"/>
      <c r="G310" s="17" t="n"/>
    </row>
    <row r="311" s="1">
      <c r="E311" s="17" t="inlineStr">
        <is>
          <t>tengah</t>
        </is>
      </c>
      <c r="F311" s="17" t="n"/>
      <c r="G311" s="17" t="n"/>
    </row>
    <row r="312" s="1">
      <c r="E312" s="17" t="inlineStr">
        <is>
          <t>kanan</t>
        </is>
      </c>
      <c r="F312" s="17" t="n"/>
      <c r="G312" s="17" t="n"/>
    </row>
    <row r="313" s="1">
      <c r="E313" s="17" t="inlineStr">
        <is>
          <t>kanan</t>
        </is>
      </c>
      <c r="F313" s="17" t="n"/>
      <c r="G313" s="17" t="n"/>
    </row>
    <row r="314" s="1">
      <c r="E314" s="17" t="inlineStr">
        <is>
          <t>tengah</t>
        </is>
      </c>
      <c r="F314" s="17" t="n"/>
      <c r="G314" s="17" t="n"/>
    </row>
    <row r="315" s="1">
      <c r="E315" s="17" t="inlineStr">
        <is>
          <t>kanan</t>
        </is>
      </c>
      <c r="F315" s="17" t="n"/>
      <c r="G315" s="17" t="n"/>
    </row>
    <row r="316" s="1">
      <c r="E316" s="17" t="inlineStr">
        <is>
          <t>tengah</t>
        </is>
      </c>
      <c r="F316" s="17" t="n"/>
      <c r="G316" s="17" t="n"/>
    </row>
    <row r="317" s="1">
      <c r="E317" s="17" t="inlineStr">
        <is>
          <t>tengah</t>
        </is>
      </c>
      <c r="F317" s="17" t="n"/>
      <c r="G317" s="17" t="n"/>
    </row>
    <row r="318" s="1">
      <c r="E318" s="17" t="inlineStr">
        <is>
          <t>kanan</t>
        </is>
      </c>
      <c r="F318" s="17" t="n"/>
      <c r="G318" s="17" t="n"/>
    </row>
    <row r="319" s="1">
      <c r="E319" s="17" t="inlineStr">
        <is>
          <t>tengah</t>
        </is>
      </c>
      <c r="F319" s="17" t="n"/>
      <c r="G319" s="17" t="n"/>
    </row>
    <row r="320" s="1">
      <c r="E320" s="17" t="inlineStr">
        <is>
          <t>tengah</t>
        </is>
      </c>
      <c r="F320" s="17" t="n"/>
      <c r="G320" s="17" t="n"/>
    </row>
    <row r="321" s="1">
      <c r="E321" s="17" t="inlineStr">
        <is>
          <t>kanan</t>
        </is>
      </c>
      <c r="F321" s="17" t="n"/>
      <c r="G321" s="17" t="n"/>
    </row>
    <row r="322" s="1">
      <c r="E322" s="17" t="inlineStr">
        <is>
          <t>tengah</t>
        </is>
      </c>
      <c r="F322" s="17" t="n"/>
      <c r="G322" s="17" t="n"/>
    </row>
    <row r="323" s="1">
      <c r="E323" s="17" t="inlineStr">
        <is>
          <t>kanan</t>
        </is>
      </c>
      <c r="F323" s="17" t="n"/>
      <c r="G323" s="17" t="n"/>
    </row>
    <row r="324" s="1">
      <c r="E324" s="17" t="inlineStr">
        <is>
          <t>kanan</t>
        </is>
      </c>
      <c r="F324" s="17" t="n"/>
      <c r="G324" s="17" t="n"/>
    </row>
    <row r="325" s="1">
      <c r="E325" s="17" t="inlineStr">
        <is>
          <t>tengah</t>
        </is>
      </c>
      <c r="F325" s="17" t="n"/>
      <c r="G325" s="17" t="n"/>
    </row>
    <row r="326" s="1">
      <c r="E326" s="17" t="inlineStr">
        <is>
          <t>tengah</t>
        </is>
      </c>
      <c r="F326" s="17" t="n"/>
      <c r="G326" s="17" t="n"/>
    </row>
    <row r="327" s="1">
      <c r="E327" s="17" t="inlineStr">
        <is>
          <t>kanan</t>
        </is>
      </c>
      <c r="F327" s="17" t="n"/>
      <c r="G327" s="17" t="n"/>
    </row>
    <row r="328" s="1">
      <c r="E328" s="17" t="inlineStr">
        <is>
          <t>tengah</t>
        </is>
      </c>
      <c r="F328" s="17" t="n"/>
      <c r="G328" s="17" t="n"/>
    </row>
    <row r="329" s="1">
      <c r="E329" s="17" t="inlineStr">
        <is>
          <t>kanan</t>
        </is>
      </c>
      <c r="F329" s="17" t="n"/>
      <c r="G329" s="17" t="n"/>
    </row>
    <row r="330" s="1">
      <c r="E330" s="17" t="inlineStr">
        <is>
          <t>tengah</t>
        </is>
      </c>
      <c r="F330" s="17" t="n"/>
      <c r="G330" s="17" t="n"/>
    </row>
    <row r="331" s="1">
      <c r="E331" s="17" t="inlineStr">
        <is>
          <t>tengah</t>
        </is>
      </c>
      <c r="F331" s="17" t="n"/>
      <c r="G331" s="17" t="n"/>
    </row>
    <row r="332" s="1">
      <c r="E332" s="17" t="inlineStr">
        <is>
          <t>tengah</t>
        </is>
      </c>
      <c r="F332" s="17" t="n"/>
      <c r="G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32"/>
  <sheetViews>
    <sheetView topLeftCell="M154" zoomScale="93" zoomScaleNormal="93" workbookViewId="0">
      <selection activeCell="Y158" sqref="Y158"/>
    </sheetView>
  </sheetViews>
  <sheetFormatPr baseColWidth="8" defaultColWidth="8.6" defaultRowHeight="15"/>
  <cols>
    <col width="15.8592592592593" customWidth="1" style="1" min="3" max="3"/>
    <col width="22" customWidth="1" style="1" min="4" max="4"/>
    <col width="13.2888888888889" customWidth="1" style="1" min="5" max="5"/>
    <col width="13.8592592592593" customWidth="1" style="1" min="6" max="6"/>
    <col width="15.8592592592593" customWidth="1" style="1" min="10" max="10"/>
    <col width="22" customWidth="1" style="1" min="11" max="11"/>
    <col width="13.2888888888889" customWidth="1" style="1" min="12" max="12"/>
    <col width="13.8592592592593" customWidth="1" style="1" min="13" max="13"/>
    <col width="26.4296296296296" customWidth="1" style="1" min="15" max="15"/>
    <col width="13.1407407407407" customWidth="1" style="1" min="16" max="16"/>
  </cols>
  <sheetData>
    <row r="1" s="1">
      <c r="A1" s="16" t="inlineStr">
        <is>
          <t>No</t>
        </is>
      </c>
      <c r="B1" s="16" t="inlineStr">
        <is>
          <t>Usia</t>
        </is>
      </c>
      <c r="C1" s="16" t="inlineStr">
        <is>
          <t>Lama Rawat Inap</t>
        </is>
      </c>
      <c r="D1" s="16" t="inlineStr">
        <is>
          <t>Jumlah Kasus Per Bulan</t>
        </is>
      </c>
      <c r="E1" s="16" t="inlineStr">
        <is>
          <t>Jenis Kelamin</t>
        </is>
      </c>
      <c r="F1" s="16" t="inlineStr">
        <is>
          <t>Tingkat Resiko</t>
        </is>
      </c>
      <c r="H1" s="17" t="inlineStr">
        <is>
          <t>No</t>
        </is>
      </c>
      <c r="I1" s="17" t="inlineStr">
        <is>
          <t>Usia</t>
        </is>
      </c>
      <c r="J1" s="17" t="inlineStr">
        <is>
          <t>Lama Rawat Inap</t>
        </is>
      </c>
      <c r="K1" s="17" t="inlineStr">
        <is>
          <t>Jumlah Kasus Per Bulan</t>
        </is>
      </c>
      <c r="L1" s="17" t="inlineStr">
        <is>
          <t>Jenis Kelamin</t>
        </is>
      </c>
      <c r="M1" s="17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INDEX(Data_DBD!$B:$B,$A2)</f>
        <v/>
      </c>
      <c r="C2" s="17">
        <f t="array" ref="C2">INDEX(Data_DBD!$C:$C,$A2)</f>
        <v/>
      </c>
      <c r="D2" s="17">
        <f t="array" ref="D2">INDEX(Data_DBD!$D:$D,$A2)</f>
        <v/>
      </c>
      <c r="E2" s="17">
        <f t="array" ref="E2">INDEX(Data_DBD!$E:$E,$A2)</f>
        <v/>
      </c>
      <c r="F2" s="17">
        <f t="array" ref="F2">INDEX(Data_DBD!$F:$F,$A2)</f>
        <v/>
      </c>
      <c r="H2" s="17" t="n">
        <v>98</v>
      </c>
      <c r="I2" s="17" t="n">
        <v>16</v>
      </c>
      <c r="J2" s="17" t="n">
        <v>2</v>
      </c>
      <c r="K2" s="17" t="n">
        <v>18</v>
      </c>
      <c r="L2" s="17" t="n">
        <v>1</v>
      </c>
      <c r="M2" s="17" t="inlineStr">
        <is>
          <t>Tinggi</t>
        </is>
      </c>
      <c r="O2" s="19" t="inlineStr">
        <is>
          <t>Tinggi</t>
        </is>
      </c>
      <c r="P2" s="19">
        <f>COUNTIF(M2:M164,"Tinggi")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INDEX(Data_DBD!$B:$B,$A3)</f>
        <v/>
      </c>
      <c r="C3" s="17">
        <f t="array" ref="C3">INDEX(Data_DBD!$C:$C,$A3)</f>
        <v/>
      </c>
      <c r="D3" s="17">
        <f t="array" ref="D3">INDEX(Data_DBD!$D:$D,$A3)</f>
        <v/>
      </c>
      <c r="E3" s="17">
        <f t="array" ref="E3">INDEX(Data_DBD!$E:$E,$A3)</f>
        <v/>
      </c>
      <c r="F3" s="17">
        <f t="array" ref="F3">INDEX(Data_DBD!$F:$F,$A3)</f>
        <v/>
      </c>
      <c r="H3" s="17" t="n">
        <v>109</v>
      </c>
      <c r="I3" s="17" t="n">
        <v>40</v>
      </c>
      <c r="J3" s="17" t="n">
        <v>3</v>
      </c>
      <c r="K3" s="17" t="n">
        <v>33</v>
      </c>
      <c r="L3" s="17" t="n">
        <v>1</v>
      </c>
      <c r="M3" s="17" t="inlineStr">
        <is>
          <t>Tinggi</t>
        </is>
      </c>
      <c r="O3" s="19" t="inlineStr">
        <is>
          <t>Sedang</t>
        </is>
      </c>
      <c r="P3" s="19">
        <f>COUNTIF(M2:M164,"Sedang")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INDEX(Data_DBD!$B:$B,$A4)</f>
        <v/>
      </c>
      <c r="C4" s="17">
        <f t="array" ref="C4">INDEX(Data_DBD!$C:$C,$A4)</f>
        <v/>
      </c>
      <c r="D4" s="17">
        <f t="array" ref="D4">INDEX(Data_DBD!$D:$D,$A4)</f>
        <v/>
      </c>
      <c r="E4" s="17">
        <f t="array" ref="E4">INDEX(Data_DBD!$E:$E,$A4)</f>
        <v/>
      </c>
      <c r="F4" s="17">
        <f t="array" ref="F4">INDEX(Data_DBD!$F:$F,$A4)</f>
        <v/>
      </c>
      <c r="H4" s="17" t="n">
        <v>38</v>
      </c>
      <c r="I4" s="17" t="n">
        <v>52</v>
      </c>
      <c r="J4" s="17" t="n">
        <v>3</v>
      </c>
      <c r="K4" s="17" t="n">
        <v>4</v>
      </c>
      <c r="L4" s="17" t="n">
        <v>1</v>
      </c>
      <c r="M4" s="17" t="inlineStr">
        <is>
          <t>Rendah</t>
        </is>
      </c>
      <c r="O4" s="19" t="inlineStr">
        <is>
          <t>Rendah</t>
        </is>
      </c>
      <c r="P4" s="19">
        <f>COUNTIF(M2:M164,"Rendah")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INDEX(Data_DBD!$B:$B,$A5)</f>
        <v/>
      </c>
      <c r="C5" s="17">
        <f t="array" ref="C5">INDEX(Data_DBD!$C:$C,$A5)</f>
        <v/>
      </c>
      <c r="D5" s="17">
        <f t="array" ref="D5">INDEX(Data_DBD!$D:$D,$A5)</f>
        <v/>
      </c>
      <c r="E5" s="17">
        <f t="array" ref="E5">INDEX(Data_DBD!$E:$E,$A5)</f>
        <v/>
      </c>
      <c r="F5" s="17">
        <f t="array" ref="F5">INDEX(Data_DBD!$F:$F,$A5)</f>
        <v/>
      </c>
      <c r="H5" s="17" t="n">
        <v>116</v>
      </c>
      <c r="I5" s="17" t="n">
        <v>32</v>
      </c>
      <c r="J5" s="17" t="n">
        <v>4</v>
      </c>
      <c r="K5" s="17" t="n">
        <v>33</v>
      </c>
      <c r="L5" s="17" t="n">
        <v>1</v>
      </c>
      <c r="M5" s="17" t="inlineStr">
        <is>
          <t>Tinggi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INDEX(Data_DBD!$B:$B,$A6)</f>
        <v/>
      </c>
      <c r="C6" s="17">
        <f t="array" ref="C6">INDEX(Data_DBD!$C:$C,$A6)</f>
        <v/>
      </c>
      <c r="D6" s="17">
        <f t="array" ref="D6">INDEX(Data_DBD!$D:$D,$A6)</f>
        <v/>
      </c>
      <c r="E6" s="17">
        <f t="array" ref="E6">INDEX(Data_DBD!$E:$E,$A6)</f>
        <v/>
      </c>
      <c r="F6" s="17">
        <f t="array" ref="F6">INDEX(Data_DBD!$F:$F,$A6)</f>
        <v/>
      </c>
      <c r="H6" s="17" t="n">
        <v>126</v>
      </c>
      <c r="I6" s="17" t="n">
        <v>51</v>
      </c>
      <c r="J6" s="17" t="n">
        <v>3</v>
      </c>
      <c r="K6" s="17" t="n">
        <v>33</v>
      </c>
      <c r="L6" s="17" t="n">
        <v>1</v>
      </c>
      <c r="M6" s="17" t="inlineStr">
        <is>
          <t>Tinggi</t>
        </is>
      </c>
    </row>
    <row r="7" s="1">
      <c r="A7" s="17">
        <f>RANDBETWEEN(2,164)</f>
        <v/>
      </c>
      <c r="B7" s="17">
        <f t="array" ref="B7">INDEX(Data_DBD!$B:$B,$A7)</f>
        <v/>
      </c>
      <c r="C7" s="17">
        <f t="array" ref="C7">INDEX(Data_DBD!$C:$C,$A7)</f>
        <v/>
      </c>
      <c r="D7" s="17">
        <f t="array" ref="D7">INDEX(Data_DBD!$D:$D,$A7)</f>
        <v/>
      </c>
      <c r="E7" s="17">
        <f t="array" ref="E7">INDEX(Data_DBD!$E:$E,$A7)</f>
        <v/>
      </c>
      <c r="F7" s="17">
        <f t="array" ref="F7">INDEX(Data_DBD!$F:$F,$A7)</f>
        <v/>
      </c>
      <c r="H7" s="17" t="n">
        <v>156</v>
      </c>
      <c r="I7" s="17" t="n">
        <v>5</v>
      </c>
      <c r="J7" s="17" t="n">
        <v>2</v>
      </c>
      <c r="K7" s="17" t="n">
        <v>21</v>
      </c>
      <c r="L7" s="17" t="n">
        <v>0</v>
      </c>
      <c r="M7" s="17" t="inlineStr">
        <is>
          <t>Tinggi</t>
        </is>
      </c>
    </row>
    <row r="8" s="1">
      <c r="A8" s="17">
        <f>RANDBETWEEN(2,164)</f>
        <v/>
      </c>
      <c r="B8" s="17">
        <f t="array" ref="B8">INDEX(Data_DBD!$B:$B,$A8)</f>
        <v/>
      </c>
      <c r="C8" s="17">
        <f t="array" ref="C8">INDEX(Data_DBD!$C:$C,$A8)</f>
        <v/>
      </c>
      <c r="D8" s="17">
        <f t="array" ref="D8">INDEX(Data_DBD!$D:$D,$A8)</f>
        <v/>
      </c>
      <c r="E8" s="17">
        <f t="array" ref="E8">INDEX(Data_DBD!$E:$E,$A8)</f>
        <v/>
      </c>
      <c r="F8" s="17">
        <f t="array" ref="F8">INDEX(Data_DBD!$F:$F,$A8)</f>
        <v/>
      </c>
      <c r="H8" s="17" t="n">
        <v>90</v>
      </c>
      <c r="I8" s="17" t="n">
        <v>47</v>
      </c>
      <c r="J8" s="17" t="n">
        <v>3</v>
      </c>
      <c r="K8" s="17" t="n">
        <v>18</v>
      </c>
      <c r="L8" s="17" t="n">
        <v>0</v>
      </c>
      <c r="M8" s="17" t="inlineStr">
        <is>
          <t>Tinggi</t>
        </is>
      </c>
    </row>
    <row r="9" s="1">
      <c r="A9" s="17">
        <f>RANDBETWEEN(2,164)</f>
        <v/>
      </c>
      <c r="B9" s="17">
        <f t="array" ref="B9">INDEX(Data_DBD!$B:$B,$A9)</f>
        <v/>
      </c>
      <c r="C9" s="17">
        <f t="array" ref="C9">INDEX(Data_DBD!$C:$C,$A9)</f>
        <v/>
      </c>
      <c r="D9" s="17">
        <f t="array" ref="D9">INDEX(Data_DBD!$D:$D,$A9)</f>
        <v/>
      </c>
      <c r="E9" s="17">
        <f t="array" ref="E9">INDEX(Data_DBD!$E:$E,$A9)</f>
        <v/>
      </c>
      <c r="F9" s="17">
        <f t="array" ref="F9">INDEX(Data_DBD!$F:$F,$A9)</f>
        <v/>
      </c>
      <c r="H9" s="17" t="n">
        <v>82</v>
      </c>
      <c r="I9" s="17" t="n">
        <v>28</v>
      </c>
      <c r="J9" s="17" t="n">
        <v>3</v>
      </c>
      <c r="K9" s="17" t="n">
        <v>13</v>
      </c>
      <c r="L9" s="17" t="n">
        <v>1</v>
      </c>
      <c r="M9" s="17" t="inlineStr">
        <is>
          <t>Sedang</t>
        </is>
      </c>
    </row>
    <row r="10" s="1">
      <c r="A10" s="17">
        <f>RANDBETWEEN(2,164)</f>
        <v/>
      </c>
      <c r="B10" s="17">
        <f t="array" ref="B10">INDEX(Data_DBD!$B:$B,$A10)</f>
        <v/>
      </c>
      <c r="C10" s="17">
        <f t="array" ref="C10">INDEX(Data_DBD!$C:$C,$A10)</f>
        <v/>
      </c>
      <c r="D10" s="17">
        <f t="array" ref="D10">INDEX(Data_DBD!$D:$D,$A10)</f>
        <v/>
      </c>
      <c r="E10" s="17">
        <f t="array" ref="E10">INDEX(Data_DBD!$E:$E,$A10)</f>
        <v/>
      </c>
      <c r="F10" s="17">
        <f t="array" ref="F10">INDEX(Data_DBD!$F:$F,$A10)</f>
        <v/>
      </c>
      <c r="H10" s="17" t="n">
        <v>65</v>
      </c>
      <c r="I10" s="17" t="n">
        <v>49</v>
      </c>
      <c r="J10" s="17" t="n">
        <v>3</v>
      </c>
      <c r="K10" s="17" t="n">
        <v>15</v>
      </c>
      <c r="L10" s="17" t="n">
        <v>0</v>
      </c>
      <c r="M10" s="17" t="inlineStr">
        <is>
          <t>Sedang</t>
        </is>
      </c>
    </row>
    <row r="11" s="1">
      <c r="A11" s="17">
        <f>RANDBETWEEN(2,164)</f>
        <v/>
      </c>
      <c r="B11" s="17">
        <f t="array" ref="B11">INDEX(Data_DBD!$B:$B,$A11)</f>
        <v/>
      </c>
      <c r="C11" s="17">
        <f t="array" ref="C11">INDEX(Data_DBD!$C:$C,$A11)</f>
        <v/>
      </c>
      <c r="D11" s="17">
        <f t="array" ref="D11">INDEX(Data_DBD!$D:$D,$A11)</f>
        <v/>
      </c>
      <c r="E11" s="17">
        <f t="array" ref="E11">INDEX(Data_DBD!$E:$E,$A11)</f>
        <v/>
      </c>
      <c r="F11" s="17">
        <f t="array" ref="F11">INDEX(Data_DBD!$F:$F,$A11)</f>
        <v/>
      </c>
      <c r="H11" s="17" t="n">
        <v>128</v>
      </c>
      <c r="I11" s="17" t="n">
        <v>38</v>
      </c>
      <c r="J11" s="17" t="n">
        <v>2</v>
      </c>
      <c r="K11" s="17" t="n">
        <v>33</v>
      </c>
      <c r="L11" s="17" t="n">
        <v>0</v>
      </c>
      <c r="M11" s="17" t="inlineStr">
        <is>
          <t>Tinggi</t>
        </is>
      </c>
    </row>
    <row r="12" s="1">
      <c r="A12" s="17">
        <f>RANDBETWEEN(2,164)</f>
        <v/>
      </c>
      <c r="B12" s="17">
        <f t="array" ref="B12">INDEX(Data_DBD!$B:$B,$A12)</f>
        <v/>
      </c>
      <c r="C12" s="17">
        <f t="array" ref="C12">INDEX(Data_DBD!$C:$C,$A12)</f>
        <v/>
      </c>
      <c r="D12" s="17">
        <f t="array" ref="D12">INDEX(Data_DBD!$D:$D,$A12)</f>
        <v/>
      </c>
      <c r="E12" s="17">
        <f t="array" ref="E12">INDEX(Data_DBD!$E:$E,$A12)</f>
        <v/>
      </c>
      <c r="F12" s="17">
        <f t="array" ref="F12">INDEX(Data_DBD!$F:$F,$A12)</f>
        <v/>
      </c>
      <c r="H12" s="17" t="n">
        <v>26</v>
      </c>
      <c r="I12" s="17" t="n">
        <v>75</v>
      </c>
      <c r="J12" s="17" t="n">
        <v>4</v>
      </c>
      <c r="K12" s="17" t="n">
        <v>14</v>
      </c>
      <c r="L12" s="17" t="n">
        <v>1</v>
      </c>
      <c r="M12" s="17" t="inlineStr">
        <is>
          <t>Sedang</t>
        </is>
      </c>
    </row>
    <row r="13" s="1">
      <c r="A13" s="17">
        <f>RANDBETWEEN(2,164)</f>
        <v/>
      </c>
      <c r="B13" s="17">
        <f t="array" ref="B13">INDEX(Data_DBD!$B:$B,$A13)</f>
        <v/>
      </c>
      <c r="C13" s="17">
        <f t="array" ref="C13">INDEX(Data_DBD!$C:$C,$A13)</f>
        <v/>
      </c>
      <c r="D13" s="17">
        <f t="array" ref="D13">INDEX(Data_DBD!$D:$D,$A13)</f>
        <v/>
      </c>
      <c r="E13" s="17">
        <f t="array" ref="E13">INDEX(Data_DBD!$E:$E,$A13)</f>
        <v/>
      </c>
      <c r="F13" s="17">
        <f t="array" ref="F13">INDEX(Data_DBD!$F:$F,$A13)</f>
        <v/>
      </c>
      <c r="H13" s="17" t="n">
        <v>148</v>
      </c>
      <c r="I13" s="17" t="n">
        <v>55</v>
      </c>
      <c r="J13" s="17" t="n">
        <v>3</v>
      </c>
      <c r="K13" s="17" t="n">
        <v>21</v>
      </c>
      <c r="L13" s="17" t="n">
        <v>1</v>
      </c>
      <c r="M13" s="17" t="inlineStr">
        <is>
          <t>Tinggi</t>
        </is>
      </c>
    </row>
    <row r="14" s="1">
      <c r="A14" s="17">
        <f>RANDBETWEEN(2,164)</f>
        <v/>
      </c>
      <c r="B14" s="17">
        <f t="array" ref="B14">INDEX(Data_DBD!$B:$B,$A14)</f>
        <v/>
      </c>
      <c r="C14" s="17">
        <f t="array" ref="C14">INDEX(Data_DBD!$C:$C,$A14)</f>
        <v/>
      </c>
      <c r="D14" s="17">
        <f t="array" ref="D14">INDEX(Data_DBD!$D:$D,$A14)</f>
        <v/>
      </c>
      <c r="E14" s="17">
        <f t="array" ref="E14">INDEX(Data_DBD!$E:$E,$A14)</f>
        <v/>
      </c>
      <c r="F14" s="17">
        <f t="array" ref="F14">INDEX(Data_DBD!$F:$F,$A14)</f>
        <v/>
      </c>
      <c r="H14" s="17" t="n">
        <v>156</v>
      </c>
      <c r="I14" s="17" t="n">
        <v>5</v>
      </c>
      <c r="J14" s="17" t="n">
        <v>2</v>
      </c>
      <c r="K14" s="17" t="n">
        <v>21</v>
      </c>
      <c r="L14" s="17" t="n">
        <v>0</v>
      </c>
      <c r="M14" s="17" t="inlineStr">
        <is>
          <t>Tinggi</t>
        </is>
      </c>
    </row>
    <row r="15" s="1">
      <c r="A15" s="17">
        <f>RANDBETWEEN(2,164)</f>
        <v/>
      </c>
      <c r="B15" s="17">
        <f t="array" ref="B15">INDEX(Data_DBD!$B:$B,$A15)</f>
        <v/>
      </c>
      <c r="C15" s="17">
        <f t="array" ref="C15">INDEX(Data_DBD!$C:$C,$A15)</f>
        <v/>
      </c>
      <c r="D15" s="17">
        <f t="array" ref="D15">INDEX(Data_DBD!$D:$D,$A15)</f>
        <v/>
      </c>
      <c r="E15" s="17">
        <f t="array" ref="E15">INDEX(Data_DBD!$E:$E,$A15)</f>
        <v/>
      </c>
      <c r="F15" s="17">
        <f t="array" ref="F15">INDEX(Data_DBD!$F:$F,$A15)</f>
        <v/>
      </c>
      <c r="H15" s="17" t="n">
        <v>102</v>
      </c>
      <c r="I15" s="17" t="n">
        <v>41</v>
      </c>
      <c r="J15" s="17" t="n">
        <v>4</v>
      </c>
      <c r="K15" s="17" t="n">
        <v>18</v>
      </c>
      <c r="L15" s="17" t="n">
        <v>0</v>
      </c>
      <c r="M15" s="17" t="inlineStr">
        <is>
          <t>Tinggi</t>
        </is>
      </c>
    </row>
    <row r="16" s="1">
      <c r="A16" s="17">
        <f>RANDBETWEEN(2,164)</f>
        <v/>
      </c>
      <c r="B16" s="17">
        <f t="array" ref="B16">INDEX(Data_DBD!$B:$B,$A16)</f>
        <v/>
      </c>
      <c r="C16" s="17">
        <f t="array" ref="C16">INDEX(Data_DBD!$C:$C,$A16)</f>
        <v/>
      </c>
      <c r="D16" s="17">
        <f t="array" ref="D16">INDEX(Data_DBD!$D:$D,$A16)</f>
        <v/>
      </c>
      <c r="E16" s="17">
        <f t="array" ref="E16">INDEX(Data_DBD!$E:$E,$A16)</f>
        <v/>
      </c>
      <c r="F16" s="17">
        <f t="array" ref="F16">INDEX(Data_DBD!$F:$F,$A16)</f>
        <v/>
      </c>
      <c r="H16" s="17" t="n">
        <v>88</v>
      </c>
      <c r="I16" s="17" t="n">
        <v>20</v>
      </c>
      <c r="J16" s="17" t="n">
        <v>4</v>
      </c>
      <c r="K16" s="17" t="n">
        <v>13</v>
      </c>
      <c r="L16" s="17" t="n">
        <v>1</v>
      </c>
      <c r="M16" s="17" t="inlineStr">
        <is>
          <t>Sedang</t>
        </is>
      </c>
    </row>
    <row r="17" s="1">
      <c r="A17" s="17">
        <f>RANDBETWEEN(2,164)</f>
        <v/>
      </c>
      <c r="B17" s="17">
        <f t="array" ref="B17">INDEX(Data_DBD!$B:$B,$A17)</f>
        <v/>
      </c>
      <c r="C17" s="17">
        <f t="array" ref="C17">INDEX(Data_DBD!$C:$C,$A17)</f>
        <v/>
      </c>
      <c r="D17" s="17">
        <f t="array" ref="D17">INDEX(Data_DBD!$D:$D,$A17)</f>
        <v/>
      </c>
      <c r="E17" s="17">
        <f t="array" ref="E17">INDEX(Data_DBD!$E:$E,$A17)</f>
        <v/>
      </c>
      <c r="F17" s="17">
        <f t="array" ref="F17">INDEX(Data_DBD!$F:$F,$A17)</f>
        <v/>
      </c>
      <c r="H17" s="17" t="n">
        <v>111</v>
      </c>
      <c r="I17" s="17" t="n">
        <v>25</v>
      </c>
      <c r="J17" s="17" t="n">
        <v>4</v>
      </c>
      <c r="K17" s="17" t="n">
        <v>33</v>
      </c>
      <c r="L17" s="17" t="n">
        <v>0</v>
      </c>
      <c r="M17" s="17" t="inlineStr">
        <is>
          <t>Tinggi</t>
        </is>
      </c>
    </row>
    <row r="18" s="1">
      <c r="A18" s="17">
        <f>RANDBETWEEN(2,164)</f>
        <v/>
      </c>
      <c r="B18" s="17">
        <f t="array" ref="B18">INDEX(Data_DBD!$B:$B,$A18)</f>
        <v/>
      </c>
      <c r="C18" s="17">
        <f t="array" ref="C18">INDEX(Data_DBD!$C:$C,$A18)</f>
        <v/>
      </c>
      <c r="D18" s="17">
        <f t="array" ref="D18">INDEX(Data_DBD!$D:$D,$A18)</f>
        <v/>
      </c>
      <c r="E18" s="17">
        <f t="array" ref="E18">INDEX(Data_DBD!$E:$E,$A18)</f>
        <v/>
      </c>
      <c r="F18" s="17">
        <f t="array" ref="F18">INDEX(Data_DBD!$F:$F,$A18)</f>
        <v/>
      </c>
      <c r="H18" s="17" t="n">
        <v>76</v>
      </c>
      <c r="I18" s="17" t="n">
        <v>70</v>
      </c>
      <c r="J18" s="17" t="n">
        <v>2</v>
      </c>
      <c r="K18" s="17" t="n">
        <v>10</v>
      </c>
      <c r="L18" s="17" t="n">
        <v>0</v>
      </c>
      <c r="M18" s="17" t="inlineStr">
        <is>
          <t>Sedang</t>
        </is>
      </c>
    </row>
    <row r="19" s="1">
      <c r="A19" s="17">
        <f>RANDBETWEEN(2,164)</f>
        <v/>
      </c>
      <c r="B19" s="17">
        <f t="array" ref="B19">INDEX(Data_DBD!$B:$B,$A19)</f>
        <v/>
      </c>
      <c r="C19" s="17">
        <f t="array" ref="C19">INDEX(Data_DBD!$C:$C,$A19)</f>
        <v/>
      </c>
      <c r="D19" s="17">
        <f t="array" ref="D19">INDEX(Data_DBD!$D:$D,$A19)</f>
        <v/>
      </c>
      <c r="E19" s="17">
        <f t="array" ref="E19">INDEX(Data_DBD!$E:$E,$A19)</f>
        <v/>
      </c>
      <c r="F19" s="17">
        <f t="array" ref="F19">INDEX(Data_DBD!$F:$F,$A19)</f>
        <v/>
      </c>
      <c r="H19" s="17" t="n">
        <v>43</v>
      </c>
      <c r="I19" s="17" t="n">
        <v>15</v>
      </c>
      <c r="J19" s="17" t="n">
        <v>4</v>
      </c>
      <c r="K19" s="17" t="n">
        <v>13</v>
      </c>
      <c r="L19" s="17" t="n">
        <v>0</v>
      </c>
      <c r="M19" s="17" t="inlineStr">
        <is>
          <t>Sedang</t>
        </is>
      </c>
    </row>
    <row r="20" s="1">
      <c r="A20" s="17">
        <f>RANDBETWEEN(2,164)</f>
        <v/>
      </c>
      <c r="B20" s="17">
        <f t="array" ref="B20">INDEX(Data_DBD!$B:$B,$A20)</f>
        <v/>
      </c>
      <c r="C20" s="17">
        <f t="array" ref="C20">INDEX(Data_DBD!$C:$C,$A20)</f>
        <v/>
      </c>
      <c r="D20" s="17">
        <f t="array" ref="D20">INDEX(Data_DBD!$D:$D,$A20)</f>
        <v/>
      </c>
      <c r="E20" s="17">
        <f t="array" ref="E20">INDEX(Data_DBD!$E:$E,$A20)</f>
        <v/>
      </c>
      <c r="F20" s="17">
        <f t="array" ref="F20">INDEX(Data_DBD!$F:$F,$A20)</f>
        <v/>
      </c>
      <c r="H20" s="17" t="n">
        <v>26</v>
      </c>
      <c r="I20" s="17" t="n">
        <v>75</v>
      </c>
      <c r="J20" s="17" t="n">
        <v>4</v>
      </c>
      <c r="K20" s="17" t="n">
        <v>14</v>
      </c>
      <c r="L20" s="17" t="n">
        <v>1</v>
      </c>
      <c r="M20" s="17" t="inlineStr">
        <is>
          <t>Sedang</t>
        </is>
      </c>
    </row>
    <row r="21" s="1">
      <c r="A21" s="17">
        <f>RANDBETWEEN(2,164)</f>
        <v/>
      </c>
      <c r="B21" s="17">
        <f t="array" ref="B21">INDEX(Data_DBD!$B:$B,$A21)</f>
        <v/>
      </c>
      <c r="C21" s="17">
        <f t="array" ref="C21">INDEX(Data_DBD!$C:$C,$A21)</f>
        <v/>
      </c>
      <c r="D21" s="17">
        <f t="array" ref="D21">INDEX(Data_DBD!$D:$D,$A21)</f>
        <v/>
      </c>
      <c r="E21" s="17">
        <f t="array" ref="E21">INDEX(Data_DBD!$E:$E,$A21)</f>
        <v/>
      </c>
      <c r="F21" s="17">
        <f t="array" ref="F21">INDEX(Data_DBD!$F:$F,$A21)</f>
        <v/>
      </c>
      <c r="H21" s="17" t="n">
        <v>83</v>
      </c>
      <c r="I21" s="17" t="n">
        <v>50</v>
      </c>
      <c r="J21" s="17" t="n">
        <v>3</v>
      </c>
      <c r="K21" s="17" t="n">
        <v>13</v>
      </c>
      <c r="L21" s="17" t="n">
        <v>0</v>
      </c>
      <c r="M21" s="17" t="inlineStr">
        <is>
          <t>Sedang</t>
        </is>
      </c>
    </row>
    <row r="22" s="1">
      <c r="A22" s="17">
        <f>RANDBETWEEN(2,164)</f>
        <v/>
      </c>
      <c r="B22" s="17">
        <f t="array" ref="B22">INDEX(Data_DBD!$B:$B,$A22)</f>
        <v/>
      </c>
      <c r="C22" s="17">
        <f t="array" ref="C22">INDEX(Data_DBD!$C:$C,$A22)</f>
        <v/>
      </c>
      <c r="D22" s="17">
        <f t="array" ref="D22">INDEX(Data_DBD!$D:$D,$A22)</f>
        <v/>
      </c>
      <c r="E22" s="17">
        <f t="array" ref="E22">INDEX(Data_DBD!$E:$E,$A22)</f>
        <v/>
      </c>
      <c r="F22" s="17">
        <f t="array" ref="F22">INDEX(Data_DBD!$F:$F,$A22)</f>
        <v/>
      </c>
      <c r="H22" s="17" t="n">
        <v>84</v>
      </c>
      <c r="I22" s="17" t="n">
        <v>42</v>
      </c>
      <c r="J22" s="17" t="n">
        <v>4</v>
      </c>
      <c r="K22" s="17" t="n">
        <v>13</v>
      </c>
      <c r="L22" s="17" t="n">
        <v>1</v>
      </c>
      <c r="M22" s="17" t="inlineStr">
        <is>
          <t>Sedang</t>
        </is>
      </c>
    </row>
    <row r="23" s="1">
      <c r="A23" s="17">
        <f>RANDBETWEEN(2,164)</f>
        <v/>
      </c>
      <c r="B23" s="17">
        <f t="array" ref="B23">INDEX(Data_DBD!$B:$B,$A23)</f>
        <v/>
      </c>
      <c r="C23" s="17">
        <f t="array" ref="C23">INDEX(Data_DBD!$C:$C,$A23)</f>
        <v/>
      </c>
      <c r="D23" s="17">
        <f t="array" ref="D23">INDEX(Data_DBD!$D:$D,$A23)</f>
        <v/>
      </c>
      <c r="E23" s="17">
        <f t="array" ref="E23">INDEX(Data_DBD!$E:$E,$A23)</f>
        <v/>
      </c>
      <c r="F23" s="17">
        <f t="array" ref="F23">INDEX(Data_DBD!$F:$F,$A23)</f>
        <v/>
      </c>
      <c r="H23" s="17" t="n">
        <v>12</v>
      </c>
      <c r="I23" s="17" t="n">
        <v>23</v>
      </c>
      <c r="J23" s="17" t="n">
        <v>3</v>
      </c>
      <c r="K23" s="17" t="n">
        <v>12</v>
      </c>
      <c r="L23" s="17" t="n">
        <v>0</v>
      </c>
      <c r="M23" s="17" t="inlineStr">
        <is>
          <t>Sedang</t>
        </is>
      </c>
    </row>
    <row r="24" s="1">
      <c r="A24" s="17">
        <f>RANDBETWEEN(2,164)</f>
        <v/>
      </c>
      <c r="B24" s="17">
        <f t="array" ref="B24">INDEX(Data_DBD!$B:$B,$A24)</f>
        <v/>
      </c>
      <c r="C24" s="17">
        <f t="array" ref="C24">INDEX(Data_DBD!$C:$C,$A24)</f>
        <v/>
      </c>
      <c r="D24" s="17">
        <f t="array" ref="D24">INDEX(Data_DBD!$D:$D,$A24)</f>
        <v/>
      </c>
      <c r="E24" s="17">
        <f t="array" ref="E24">INDEX(Data_DBD!$E:$E,$A24)</f>
        <v/>
      </c>
      <c r="F24" s="17">
        <f t="array" ref="F24">INDEX(Data_DBD!$F:$F,$A24)</f>
        <v/>
      </c>
      <c r="H24" s="17" t="n">
        <v>43</v>
      </c>
      <c r="I24" s="17" t="n">
        <v>15</v>
      </c>
      <c r="J24" s="17" t="n">
        <v>4</v>
      </c>
      <c r="K24" s="17" t="n">
        <v>13</v>
      </c>
      <c r="L24" s="17" t="n">
        <v>0</v>
      </c>
      <c r="M24" s="17" t="inlineStr">
        <is>
          <t>Sedang</t>
        </is>
      </c>
    </row>
    <row r="25" s="1">
      <c r="A25" s="17">
        <f>RANDBETWEEN(2,164)</f>
        <v/>
      </c>
      <c r="B25" s="17">
        <f t="array" ref="B25">INDEX(Data_DBD!$B:$B,$A25)</f>
        <v/>
      </c>
      <c r="C25" s="17">
        <f t="array" ref="C25">INDEX(Data_DBD!$C:$C,$A25)</f>
        <v/>
      </c>
      <c r="D25" s="17">
        <f t="array" ref="D25">INDEX(Data_DBD!$D:$D,$A25)</f>
        <v/>
      </c>
      <c r="E25" s="17">
        <f t="array" ref="E25">INDEX(Data_DBD!$E:$E,$A25)</f>
        <v/>
      </c>
      <c r="F25" s="17">
        <f t="array" ref="F25">INDEX(Data_DBD!$F:$F,$A25)</f>
        <v/>
      </c>
      <c r="H25" s="17" t="n">
        <v>90</v>
      </c>
      <c r="I25" s="17" t="n">
        <v>47</v>
      </c>
      <c r="J25" s="17" t="n">
        <v>3</v>
      </c>
      <c r="K25" s="17" t="n">
        <v>18</v>
      </c>
      <c r="L25" s="17" t="n">
        <v>0</v>
      </c>
      <c r="M25" s="17" t="inlineStr">
        <is>
          <t>Tinggi</t>
        </is>
      </c>
    </row>
    <row r="26" s="1">
      <c r="A26" s="17">
        <f>RANDBETWEEN(2,164)</f>
        <v/>
      </c>
      <c r="B26" s="17">
        <f t="array" ref="B26">INDEX(Data_DBD!$B:$B,$A26)</f>
        <v/>
      </c>
      <c r="C26" s="17">
        <f t="array" ref="C26">INDEX(Data_DBD!$C:$C,$A26)</f>
        <v/>
      </c>
      <c r="D26" s="17">
        <f t="array" ref="D26">INDEX(Data_DBD!$D:$D,$A26)</f>
        <v/>
      </c>
      <c r="E26" s="17">
        <f t="array" ref="E26">INDEX(Data_DBD!$E:$E,$A26)</f>
        <v/>
      </c>
      <c r="F26" s="17">
        <f t="array" ref="F26">INDEX(Data_DBD!$F:$F,$A26)</f>
        <v/>
      </c>
      <c r="H26" s="17" t="n">
        <v>16</v>
      </c>
      <c r="I26" s="17" t="n">
        <v>66</v>
      </c>
      <c r="J26" s="17" t="n">
        <v>5</v>
      </c>
      <c r="K26" s="17" t="n">
        <v>7</v>
      </c>
      <c r="L26" s="17" t="n">
        <v>1</v>
      </c>
      <c r="M26" s="17" t="inlineStr">
        <is>
          <t>Rendah</t>
        </is>
      </c>
    </row>
    <row r="27" s="1">
      <c r="A27" s="17">
        <f>RANDBETWEEN(2,164)</f>
        <v/>
      </c>
      <c r="B27" s="17">
        <f t="array" ref="B27">INDEX(Data_DBD!$B:$B,$A27)</f>
        <v/>
      </c>
      <c r="C27" s="17">
        <f t="array" ref="C27">INDEX(Data_DBD!$C:$C,$A27)</f>
        <v/>
      </c>
      <c r="D27" s="17">
        <f t="array" ref="D27">INDEX(Data_DBD!$D:$D,$A27)</f>
        <v/>
      </c>
      <c r="E27" s="17">
        <f t="array" ref="E27">INDEX(Data_DBD!$E:$E,$A27)</f>
        <v/>
      </c>
      <c r="F27" s="17">
        <f t="array" ref="F27">INDEX(Data_DBD!$F:$F,$A27)</f>
        <v/>
      </c>
      <c r="H27" s="17" t="n">
        <v>29</v>
      </c>
      <c r="I27" s="17" t="n">
        <v>19</v>
      </c>
      <c r="J27" s="17" t="n">
        <v>2</v>
      </c>
      <c r="K27" s="17" t="n">
        <v>14</v>
      </c>
      <c r="L27" s="17" t="n">
        <v>1</v>
      </c>
      <c r="M27" s="17" t="inlineStr">
        <is>
          <t>Sedang</t>
        </is>
      </c>
    </row>
    <row r="28" s="1">
      <c r="A28" s="17">
        <f>RANDBETWEEN(2,164)</f>
        <v/>
      </c>
      <c r="B28" s="17">
        <f t="array" ref="B28">INDEX(Data_DBD!$B:$B,$A28)</f>
        <v/>
      </c>
      <c r="C28" s="17">
        <f t="array" ref="C28">INDEX(Data_DBD!$C:$C,$A28)</f>
        <v/>
      </c>
      <c r="D28" s="17">
        <f t="array" ref="D28">INDEX(Data_DBD!$D:$D,$A28)</f>
        <v/>
      </c>
      <c r="E28" s="17">
        <f t="array" ref="E28">INDEX(Data_DBD!$E:$E,$A28)</f>
        <v/>
      </c>
      <c r="F28" s="17">
        <f t="array" ref="F28">INDEX(Data_DBD!$F:$F,$A28)</f>
        <v/>
      </c>
      <c r="H28" s="17" t="n">
        <v>29</v>
      </c>
      <c r="I28" s="17" t="n">
        <v>19</v>
      </c>
      <c r="J28" s="17" t="n">
        <v>2</v>
      </c>
      <c r="K28" s="17" t="n">
        <v>14</v>
      </c>
      <c r="L28" s="17" t="n">
        <v>1</v>
      </c>
      <c r="M28" s="17" t="inlineStr">
        <is>
          <t>Sedang</t>
        </is>
      </c>
    </row>
    <row r="29" s="1">
      <c r="A29" s="17">
        <f>RANDBETWEEN(2,164)</f>
        <v/>
      </c>
      <c r="B29" s="17">
        <f t="array" ref="B29">INDEX(Data_DBD!$B:$B,$A29)</f>
        <v/>
      </c>
      <c r="C29" s="17">
        <f t="array" ref="C29">INDEX(Data_DBD!$C:$C,$A29)</f>
        <v/>
      </c>
      <c r="D29" s="17">
        <f t="array" ref="D29">INDEX(Data_DBD!$D:$D,$A29)</f>
        <v/>
      </c>
      <c r="E29" s="17">
        <f t="array" ref="E29">INDEX(Data_DBD!$E:$E,$A29)</f>
        <v/>
      </c>
      <c r="F29" s="17">
        <f t="array" ref="F29">INDEX(Data_DBD!$F:$F,$A29)</f>
        <v/>
      </c>
      <c r="H29" s="17" t="n">
        <v>162</v>
      </c>
      <c r="I29" s="17" t="n">
        <v>22</v>
      </c>
      <c r="J29" s="17" t="n">
        <v>3</v>
      </c>
      <c r="K29" s="17" t="n">
        <v>3</v>
      </c>
      <c r="L29" s="17" t="n">
        <v>1</v>
      </c>
      <c r="M29" s="17" t="inlineStr">
        <is>
          <t>Rendah</t>
        </is>
      </c>
    </row>
    <row r="30" s="1">
      <c r="A30" s="17">
        <f>RANDBETWEEN(2,164)</f>
        <v/>
      </c>
      <c r="B30" s="17">
        <f t="array" ref="B30">INDEX(Data_DBD!$B:$B,$A30)</f>
        <v/>
      </c>
      <c r="C30" s="17">
        <f t="array" ref="C30">INDEX(Data_DBD!$C:$C,$A30)</f>
        <v/>
      </c>
      <c r="D30" s="17">
        <f t="array" ref="D30">INDEX(Data_DBD!$D:$D,$A30)</f>
        <v/>
      </c>
      <c r="E30" s="17">
        <f t="array" ref="E30">INDEX(Data_DBD!$E:$E,$A30)</f>
        <v/>
      </c>
      <c r="F30" s="17">
        <f t="array" ref="F30">INDEX(Data_DBD!$F:$F,$A30)</f>
        <v/>
      </c>
      <c r="H30" s="17" t="n">
        <v>31</v>
      </c>
      <c r="I30" s="17" t="n">
        <v>64</v>
      </c>
      <c r="J30" s="17" t="n">
        <v>4</v>
      </c>
      <c r="K30" s="17" t="n">
        <v>14</v>
      </c>
      <c r="L30" s="17" t="n">
        <v>1</v>
      </c>
      <c r="M30" s="17" t="inlineStr">
        <is>
          <t>Sedang</t>
        </is>
      </c>
    </row>
    <row r="31" s="1">
      <c r="A31" s="17">
        <f>RANDBETWEEN(2,164)</f>
        <v/>
      </c>
      <c r="B31" s="17">
        <f t="array" ref="B31">INDEX(Data_DBD!$B:$B,$A31)</f>
        <v/>
      </c>
      <c r="C31" s="17">
        <f t="array" ref="C31">INDEX(Data_DBD!$C:$C,$A31)</f>
        <v/>
      </c>
      <c r="D31" s="17">
        <f t="array" ref="D31">INDEX(Data_DBD!$D:$D,$A31)</f>
        <v/>
      </c>
      <c r="E31" s="17">
        <f t="array" ref="E31">INDEX(Data_DBD!$E:$E,$A31)</f>
        <v/>
      </c>
      <c r="F31" s="17">
        <f t="array" ref="F31">INDEX(Data_DBD!$F:$F,$A31)</f>
        <v/>
      </c>
      <c r="H31" s="17" t="n">
        <v>88</v>
      </c>
      <c r="I31" s="17" t="n">
        <v>20</v>
      </c>
      <c r="J31" s="17" t="n">
        <v>4</v>
      </c>
      <c r="K31" s="17" t="n">
        <v>13</v>
      </c>
      <c r="L31" s="17" t="n">
        <v>1</v>
      </c>
      <c r="M31" s="17" t="inlineStr">
        <is>
          <t>Sedang</t>
        </is>
      </c>
    </row>
    <row r="32" s="1">
      <c r="A32" s="17">
        <f>RANDBETWEEN(2,164)</f>
        <v/>
      </c>
      <c r="B32" s="17">
        <f t="array" ref="B32">INDEX(Data_DBD!$B:$B,$A32)</f>
        <v/>
      </c>
      <c r="C32" s="17">
        <f t="array" ref="C32">INDEX(Data_DBD!$C:$C,$A32)</f>
        <v/>
      </c>
      <c r="D32" s="17">
        <f t="array" ref="D32">INDEX(Data_DBD!$D:$D,$A32)</f>
        <v/>
      </c>
      <c r="E32" s="17">
        <f t="array" ref="E32">INDEX(Data_DBD!$E:$E,$A32)</f>
        <v/>
      </c>
      <c r="F32" s="17">
        <f t="array" ref="F32">INDEX(Data_DBD!$F:$F,$A32)</f>
        <v/>
      </c>
      <c r="H32" s="17" t="n">
        <v>127</v>
      </c>
      <c r="I32" s="17" t="n">
        <v>21</v>
      </c>
      <c r="J32" s="17" t="n">
        <v>2</v>
      </c>
      <c r="K32" s="17" t="n">
        <v>33</v>
      </c>
      <c r="L32" s="17" t="n">
        <v>0</v>
      </c>
      <c r="M32" s="17" t="inlineStr">
        <is>
          <t>Tinggi</t>
        </is>
      </c>
    </row>
    <row r="33" s="1">
      <c r="A33" s="17">
        <f>RANDBETWEEN(2,164)</f>
        <v/>
      </c>
      <c r="B33" s="17">
        <f t="array" ref="B33">INDEX(Data_DBD!$B:$B,$A33)</f>
        <v/>
      </c>
      <c r="C33" s="17">
        <f t="array" ref="C33">INDEX(Data_DBD!$C:$C,$A33)</f>
        <v/>
      </c>
      <c r="D33" s="17">
        <f t="array" ref="D33">INDEX(Data_DBD!$D:$D,$A33)</f>
        <v/>
      </c>
      <c r="E33" s="17">
        <f t="array" ref="E33">INDEX(Data_DBD!$E:$E,$A33)</f>
        <v/>
      </c>
      <c r="F33" s="17">
        <f t="array" ref="F33">INDEX(Data_DBD!$F:$F,$A33)</f>
        <v/>
      </c>
      <c r="H33" s="17" t="n">
        <v>58</v>
      </c>
      <c r="I33" s="17" t="n">
        <v>17</v>
      </c>
      <c r="J33" s="17" t="n">
        <v>3</v>
      </c>
      <c r="K33" s="17" t="n">
        <v>15</v>
      </c>
      <c r="L33" s="17" t="n">
        <v>0</v>
      </c>
      <c r="M33" s="17" t="inlineStr">
        <is>
          <t>Sedang</t>
        </is>
      </c>
    </row>
    <row r="34" s="1">
      <c r="A34" s="17">
        <f>RANDBETWEEN(2,164)</f>
        <v/>
      </c>
      <c r="B34" s="17">
        <f t="array" ref="B34">INDEX(Data_DBD!$B:$B,$A34)</f>
        <v/>
      </c>
      <c r="C34" s="17">
        <f t="array" ref="C34">INDEX(Data_DBD!$C:$C,$A34)</f>
        <v/>
      </c>
      <c r="D34" s="17">
        <f t="array" ref="D34">INDEX(Data_DBD!$D:$D,$A34)</f>
        <v/>
      </c>
      <c r="E34" s="17">
        <f t="array" ref="E34">INDEX(Data_DBD!$E:$E,$A34)</f>
        <v/>
      </c>
      <c r="F34" s="17">
        <f t="array" ref="F34">INDEX(Data_DBD!$F:$F,$A34)</f>
        <v/>
      </c>
      <c r="H34" s="17" t="n">
        <v>15</v>
      </c>
      <c r="I34" s="17" t="n">
        <v>21</v>
      </c>
      <c r="J34" s="17" t="n">
        <v>2</v>
      </c>
      <c r="K34" s="17" t="n">
        <v>7</v>
      </c>
      <c r="L34" s="17" t="n">
        <v>0</v>
      </c>
      <c r="M34" s="17" t="inlineStr">
        <is>
          <t>Rendah</t>
        </is>
      </c>
    </row>
    <row r="35" s="1">
      <c r="A35" s="17">
        <f>RANDBETWEEN(2,164)</f>
        <v/>
      </c>
      <c r="B35" s="17">
        <f t="array" ref="B35">INDEX(Data_DBD!$B:$B,$A35)</f>
        <v/>
      </c>
      <c r="C35" s="17">
        <f t="array" ref="C35">INDEX(Data_DBD!$C:$C,$A35)</f>
        <v/>
      </c>
      <c r="D35" s="17">
        <f t="array" ref="D35">INDEX(Data_DBD!$D:$D,$A35)</f>
        <v/>
      </c>
      <c r="E35" s="17">
        <f t="array" ref="E35">INDEX(Data_DBD!$E:$E,$A35)</f>
        <v/>
      </c>
      <c r="F35" s="17">
        <f t="array" ref="F35">INDEX(Data_DBD!$F:$F,$A35)</f>
        <v/>
      </c>
      <c r="H35" s="17" t="n">
        <v>60</v>
      </c>
      <c r="I35" s="17" t="n">
        <v>68</v>
      </c>
      <c r="J35" s="17" t="n">
        <v>4</v>
      </c>
      <c r="K35" s="17" t="n">
        <v>15</v>
      </c>
      <c r="L35" s="17" t="n">
        <v>0</v>
      </c>
      <c r="M35" s="17" t="inlineStr">
        <is>
          <t>Sedang</t>
        </is>
      </c>
    </row>
    <row r="36" s="1">
      <c r="A36" s="17">
        <f>RANDBETWEEN(2,164)</f>
        <v/>
      </c>
      <c r="B36" s="17">
        <f t="array" ref="B36">INDEX(Data_DBD!$B:$B,$A36)</f>
        <v/>
      </c>
      <c r="C36" s="17">
        <f t="array" ref="C36">INDEX(Data_DBD!$C:$C,$A36)</f>
        <v/>
      </c>
      <c r="D36" s="17">
        <f t="array" ref="D36">INDEX(Data_DBD!$D:$D,$A36)</f>
        <v/>
      </c>
      <c r="E36" s="17">
        <f t="array" ref="E36">INDEX(Data_DBD!$E:$E,$A36)</f>
        <v/>
      </c>
      <c r="F36" s="17">
        <f t="array" ref="F36">INDEX(Data_DBD!$F:$F,$A36)</f>
        <v/>
      </c>
      <c r="H36" s="17" t="n">
        <v>157</v>
      </c>
      <c r="I36" s="17" t="n">
        <v>15</v>
      </c>
      <c r="J36" s="17" t="n">
        <v>4</v>
      </c>
      <c r="K36" s="17" t="n">
        <v>21</v>
      </c>
      <c r="L36" s="17" t="n">
        <v>1</v>
      </c>
      <c r="M36" s="17" t="inlineStr">
        <is>
          <t>Tinggi</t>
        </is>
      </c>
    </row>
    <row r="37" s="1">
      <c r="A37" s="17">
        <f>RANDBETWEEN(2,164)</f>
        <v/>
      </c>
      <c r="B37" s="17">
        <f t="array" ref="B37">INDEX(Data_DBD!$B:$B,$A37)</f>
        <v/>
      </c>
      <c r="C37" s="17">
        <f t="array" ref="C37">INDEX(Data_DBD!$C:$C,$A37)</f>
        <v/>
      </c>
      <c r="D37" s="17">
        <f t="array" ref="D37">INDEX(Data_DBD!$D:$D,$A37)</f>
        <v/>
      </c>
      <c r="E37" s="17">
        <f t="array" ref="E37">INDEX(Data_DBD!$E:$E,$A37)</f>
        <v/>
      </c>
      <c r="F37" s="17">
        <f t="array" ref="F37">INDEX(Data_DBD!$F:$F,$A37)</f>
        <v/>
      </c>
      <c r="H37" s="17" t="n">
        <v>95</v>
      </c>
      <c r="I37" s="17" t="n">
        <v>11</v>
      </c>
      <c r="J37" s="17" t="n">
        <v>3</v>
      </c>
      <c r="K37" s="17" t="n">
        <v>18</v>
      </c>
      <c r="L37" s="17" t="n">
        <v>1</v>
      </c>
      <c r="M37" s="17" t="inlineStr">
        <is>
          <t>Tinggi</t>
        </is>
      </c>
    </row>
    <row r="38" s="1">
      <c r="A38" s="17">
        <f>RANDBETWEEN(2,164)</f>
        <v/>
      </c>
      <c r="B38" s="17">
        <f t="array" ref="B38">INDEX(Data_DBD!$B:$B,$A38)</f>
        <v/>
      </c>
      <c r="C38" s="17">
        <f t="array" ref="C38">INDEX(Data_DBD!$C:$C,$A38)</f>
        <v/>
      </c>
      <c r="D38" s="17">
        <f t="array" ref="D38">INDEX(Data_DBD!$D:$D,$A38)</f>
        <v/>
      </c>
      <c r="E38" s="17">
        <f t="array" ref="E38">INDEX(Data_DBD!$E:$E,$A38)</f>
        <v/>
      </c>
      <c r="F38" s="17">
        <f t="array" ref="F38">INDEX(Data_DBD!$F:$F,$A38)</f>
        <v/>
      </c>
      <c r="H38" s="17" t="n">
        <v>55</v>
      </c>
      <c r="I38" s="17" t="n">
        <v>7</v>
      </c>
      <c r="J38" s="17" t="n">
        <v>4</v>
      </c>
      <c r="K38" s="17" t="n">
        <v>15</v>
      </c>
      <c r="L38" s="17" t="n">
        <v>1</v>
      </c>
      <c r="M38" s="17" t="inlineStr">
        <is>
          <t>Sedang</t>
        </is>
      </c>
    </row>
    <row r="39" s="1">
      <c r="A39" s="17">
        <f>RANDBETWEEN(2,164)</f>
        <v/>
      </c>
      <c r="B39" s="17">
        <f t="array" ref="B39">INDEX(Data_DBD!$B:$B,$A39)</f>
        <v/>
      </c>
      <c r="C39" s="17">
        <f t="array" ref="C39">INDEX(Data_DBD!$C:$C,$A39)</f>
        <v/>
      </c>
      <c r="D39" s="17">
        <f t="array" ref="D39">INDEX(Data_DBD!$D:$D,$A39)</f>
        <v/>
      </c>
      <c r="E39" s="17">
        <f t="array" ref="E39">INDEX(Data_DBD!$E:$E,$A39)</f>
        <v/>
      </c>
      <c r="F39" s="17">
        <f t="array" ref="F39">INDEX(Data_DBD!$F:$F,$A39)</f>
        <v/>
      </c>
      <c r="H39" s="17" t="n">
        <v>110</v>
      </c>
      <c r="I39" s="17" t="n">
        <v>42</v>
      </c>
      <c r="J39" s="17" t="n">
        <v>2</v>
      </c>
      <c r="K39" s="17" t="n">
        <v>33</v>
      </c>
      <c r="L39" s="17" t="n">
        <v>1</v>
      </c>
      <c r="M39" s="17" t="inlineStr">
        <is>
          <t>Tinggi</t>
        </is>
      </c>
    </row>
    <row r="40" s="1">
      <c r="A40" s="17">
        <f>RANDBETWEEN(2,164)</f>
        <v/>
      </c>
      <c r="B40" s="17">
        <f t="array" ref="B40">INDEX(Data_DBD!$B:$B,$A40)</f>
        <v/>
      </c>
      <c r="C40" s="17">
        <f t="array" ref="C40">INDEX(Data_DBD!$C:$C,$A40)</f>
        <v/>
      </c>
      <c r="D40" s="17">
        <f t="array" ref="D40">INDEX(Data_DBD!$D:$D,$A40)</f>
        <v/>
      </c>
      <c r="E40" s="17">
        <f t="array" ref="E40">INDEX(Data_DBD!$E:$E,$A40)</f>
        <v/>
      </c>
      <c r="F40" s="17">
        <f t="array" ref="F40">INDEX(Data_DBD!$F:$F,$A40)</f>
        <v/>
      </c>
      <c r="H40" s="17" t="n">
        <v>159</v>
      </c>
      <c r="I40" s="17" t="n">
        <v>17</v>
      </c>
      <c r="J40" s="17" t="n">
        <v>2</v>
      </c>
      <c r="K40" s="17" t="n">
        <v>21</v>
      </c>
      <c r="L40" s="17" t="n">
        <v>0</v>
      </c>
      <c r="M40" s="17" t="inlineStr">
        <is>
          <t>Tinggi</t>
        </is>
      </c>
    </row>
    <row r="41" s="1">
      <c r="A41" s="17">
        <f>RANDBETWEEN(2,164)</f>
        <v/>
      </c>
      <c r="B41" s="17">
        <f t="array" ref="B41">INDEX(Data_DBD!$B:$B,$A41)</f>
        <v/>
      </c>
      <c r="C41" s="17">
        <f t="array" ref="C41">INDEX(Data_DBD!$C:$C,$A41)</f>
        <v/>
      </c>
      <c r="D41" s="17">
        <f t="array" ref="D41">INDEX(Data_DBD!$D:$D,$A41)</f>
        <v/>
      </c>
      <c r="E41" s="17">
        <f t="array" ref="E41">INDEX(Data_DBD!$E:$E,$A41)</f>
        <v/>
      </c>
      <c r="F41" s="17">
        <f t="array" ref="F41">INDEX(Data_DBD!$F:$F,$A41)</f>
        <v/>
      </c>
      <c r="H41" s="17" t="n">
        <v>102</v>
      </c>
      <c r="I41" s="17" t="n">
        <v>41</v>
      </c>
      <c r="J41" s="17" t="n">
        <v>4</v>
      </c>
      <c r="K41" s="17" t="n">
        <v>18</v>
      </c>
      <c r="L41" s="17" t="n">
        <v>0</v>
      </c>
      <c r="M41" s="17" t="inlineStr">
        <is>
          <t>Tinggi</t>
        </is>
      </c>
    </row>
    <row r="42" s="1">
      <c r="A42" s="17">
        <f>RANDBETWEEN(2,164)</f>
        <v/>
      </c>
      <c r="B42" s="17">
        <f t="array" ref="B42">INDEX(Data_DBD!$B:$B,$A42)</f>
        <v/>
      </c>
      <c r="C42" s="17">
        <f t="array" ref="C42">INDEX(Data_DBD!$C:$C,$A42)</f>
        <v/>
      </c>
      <c r="D42" s="17">
        <f t="array" ref="D42">INDEX(Data_DBD!$D:$D,$A42)</f>
        <v/>
      </c>
      <c r="E42" s="17">
        <f t="array" ref="E42">INDEX(Data_DBD!$E:$E,$A42)</f>
        <v/>
      </c>
      <c r="F42" s="17">
        <f t="array" ref="F42">INDEX(Data_DBD!$F:$F,$A42)</f>
        <v/>
      </c>
      <c r="H42" s="17" t="n">
        <v>146</v>
      </c>
      <c r="I42" s="17" t="n">
        <v>34</v>
      </c>
      <c r="J42" s="17" t="n">
        <v>2</v>
      </c>
      <c r="K42" s="17" t="n">
        <v>21</v>
      </c>
      <c r="L42" s="17" t="n">
        <v>1</v>
      </c>
      <c r="M42" s="17" t="inlineStr">
        <is>
          <t>Tinggi</t>
        </is>
      </c>
    </row>
    <row r="43" s="1">
      <c r="A43" s="17">
        <f>RANDBETWEEN(2,164)</f>
        <v/>
      </c>
      <c r="B43" s="17">
        <f t="array" ref="B43">INDEX(Data_DBD!$B:$B,$A43)</f>
        <v/>
      </c>
      <c r="C43" s="17">
        <f t="array" ref="C43">INDEX(Data_DBD!$C:$C,$A43)</f>
        <v/>
      </c>
      <c r="D43" s="17">
        <f t="array" ref="D43">INDEX(Data_DBD!$D:$D,$A43)</f>
        <v/>
      </c>
      <c r="E43" s="17">
        <f t="array" ref="E43">INDEX(Data_DBD!$E:$E,$A43)</f>
        <v/>
      </c>
      <c r="F43" s="17">
        <f t="array" ref="F43">INDEX(Data_DBD!$F:$F,$A43)</f>
        <v/>
      </c>
      <c r="H43" s="17" t="n">
        <v>86</v>
      </c>
      <c r="I43" s="17" t="n">
        <v>23</v>
      </c>
      <c r="J43" s="17" t="n">
        <v>3</v>
      </c>
      <c r="K43" s="17" t="n">
        <v>13</v>
      </c>
      <c r="L43" s="17" t="n">
        <v>0</v>
      </c>
      <c r="M43" s="17" t="inlineStr">
        <is>
          <t>Sedang</t>
        </is>
      </c>
    </row>
    <row r="44" s="1">
      <c r="A44" s="17">
        <f>RANDBETWEEN(2,164)</f>
        <v/>
      </c>
      <c r="B44" s="17">
        <f t="array" ref="B44">INDEX(Data_DBD!$B:$B,$A44)</f>
        <v/>
      </c>
      <c r="C44" s="17">
        <f t="array" ref="C44">INDEX(Data_DBD!$C:$C,$A44)</f>
        <v/>
      </c>
      <c r="D44" s="17">
        <f t="array" ref="D44">INDEX(Data_DBD!$D:$D,$A44)</f>
        <v/>
      </c>
      <c r="E44" s="17">
        <f t="array" ref="E44">INDEX(Data_DBD!$E:$E,$A44)</f>
        <v/>
      </c>
      <c r="F44" s="17">
        <f t="array" ref="F44">INDEX(Data_DBD!$F:$F,$A44)</f>
        <v/>
      </c>
      <c r="H44" s="17" t="n">
        <v>90</v>
      </c>
      <c r="I44" s="17" t="n">
        <v>47</v>
      </c>
      <c r="J44" s="17" t="n">
        <v>3</v>
      </c>
      <c r="K44" s="17" t="n">
        <v>18</v>
      </c>
      <c r="L44" s="17" t="n">
        <v>0</v>
      </c>
      <c r="M44" s="17" t="inlineStr">
        <is>
          <t>Tinggi</t>
        </is>
      </c>
    </row>
    <row r="45" s="1">
      <c r="A45" s="17">
        <f>RANDBETWEEN(2,164)</f>
        <v/>
      </c>
      <c r="B45" s="17">
        <f t="array" ref="B45">INDEX(Data_DBD!$B:$B,$A45)</f>
        <v/>
      </c>
      <c r="C45" s="17">
        <f t="array" ref="C45">INDEX(Data_DBD!$C:$C,$A45)</f>
        <v/>
      </c>
      <c r="D45" s="17">
        <f t="array" ref="D45">INDEX(Data_DBD!$D:$D,$A45)</f>
        <v/>
      </c>
      <c r="E45" s="17">
        <f t="array" ref="E45">INDEX(Data_DBD!$E:$E,$A45)</f>
        <v/>
      </c>
      <c r="F45" s="17">
        <f t="array" ref="F45">INDEX(Data_DBD!$F:$F,$A45)</f>
        <v/>
      </c>
      <c r="H45" s="17" t="n">
        <v>67</v>
      </c>
      <c r="I45" s="17" t="n">
        <v>21</v>
      </c>
      <c r="J45" s="17" t="n">
        <v>3</v>
      </c>
      <c r="K45" s="17" t="n">
        <v>10</v>
      </c>
      <c r="L45" s="17" t="n">
        <v>1</v>
      </c>
      <c r="M45" s="17" t="inlineStr">
        <is>
          <t>Sedang</t>
        </is>
      </c>
    </row>
    <row r="46" s="1">
      <c r="A46" s="17">
        <f>RANDBETWEEN(2,164)</f>
        <v/>
      </c>
      <c r="B46" s="17">
        <f t="array" ref="B46">INDEX(Data_DBD!$B:$B,$A46)</f>
        <v/>
      </c>
      <c r="C46" s="17">
        <f t="array" ref="C46">INDEX(Data_DBD!$C:$C,$A46)</f>
        <v/>
      </c>
      <c r="D46" s="17">
        <f t="array" ref="D46">INDEX(Data_DBD!$D:$D,$A46)</f>
        <v/>
      </c>
      <c r="E46" s="17">
        <f t="array" ref="E46">INDEX(Data_DBD!$E:$E,$A46)</f>
        <v/>
      </c>
      <c r="F46" s="17">
        <f t="array" ref="F46">INDEX(Data_DBD!$F:$F,$A46)</f>
        <v/>
      </c>
      <c r="H46" s="17" t="n">
        <v>85</v>
      </c>
      <c r="I46" s="17" t="n">
        <v>27</v>
      </c>
      <c r="J46" s="17" t="n">
        <v>9</v>
      </c>
      <c r="K46" s="17" t="n">
        <v>13</v>
      </c>
      <c r="L46" s="17" t="n">
        <v>0</v>
      </c>
      <c r="M46" s="17" t="inlineStr">
        <is>
          <t>Sedang</t>
        </is>
      </c>
    </row>
    <row r="47" s="1">
      <c r="A47" s="17">
        <f>RANDBETWEEN(2,164)</f>
        <v/>
      </c>
      <c r="B47" s="17">
        <f t="array" ref="B47">INDEX(Data_DBD!$B:$B,$A47)</f>
        <v/>
      </c>
      <c r="C47" s="17">
        <f t="array" ref="C47">INDEX(Data_DBD!$C:$C,$A47)</f>
        <v/>
      </c>
      <c r="D47" s="17">
        <f t="array" ref="D47">INDEX(Data_DBD!$D:$D,$A47)</f>
        <v/>
      </c>
      <c r="E47" s="17">
        <f t="array" ref="E47">INDEX(Data_DBD!$E:$E,$A47)</f>
        <v/>
      </c>
      <c r="F47" s="17">
        <f t="array" ref="F47">INDEX(Data_DBD!$F:$F,$A47)</f>
        <v/>
      </c>
      <c r="H47" s="17" t="n">
        <v>22</v>
      </c>
      <c r="I47" s="17" t="n">
        <v>6</v>
      </c>
      <c r="J47" s="17" t="n">
        <v>3</v>
      </c>
      <c r="K47" s="17" t="n">
        <v>14</v>
      </c>
      <c r="L47" s="17" t="n">
        <v>0</v>
      </c>
      <c r="M47" s="17" t="inlineStr">
        <is>
          <t>Sedang</t>
        </is>
      </c>
    </row>
    <row r="48" s="1">
      <c r="A48" s="17">
        <f>RANDBETWEEN(2,164)</f>
        <v/>
      </c>
      <c r="B48" s="17">
        <f t="array" ref="B48">INDEX(Data_DBD!$B:$B,$A48)</f>
        <v/>
      </c>
      <c r="C48" s="17">
        <f t="array" ref="C48">INDEX(Data_DBD!$C:$C,$A48)</f>
        <v/>
      </c>
      <c r="D48" s="17">
        <f t="array" ref="D48">INDEX(Data_DBD!$D:$D,$A48)</f>
        <v/>
      </c>
      <c r="E48" s="17">
        <f t="array" ref="E48">INDEX(Data_DBD!$E:$E,$A48)</f>
        <v/>
      </c>
      <c r="F48" s="17">
        <f t="array" ref="F48">INDEX(Data_DBD!$F:$F,$A48)</f>
        <v/>
      </c>
      <c r="H48" s="17" t="n">
        <v>163</v>
      </c>
      <c r="I48" s="17" t="n">
        <v>34</v>
      </c>
      <c r="J48" s="17" t="n">
        <v>4</v>
      </c>
      <c r="K48" s="17" t="n">
        <v>3</v>
      </c>
      <c r="L48" s="17" t="n">
        <v>1</v>
      </c>
      <c r="M48" s="17" t="inlineStr">
        <is>
          <t>Rendah</t>
        </is>
      </c>
    </row>
    <row r="49" s="1">
      <c r="A49" s="17">
        <f>RANDBETWEEN(2,164)</f>
        <v/>
      </c>
      <c r="B49" s="17">
        <f t="array" ref="B49">INDEX(Data_DBD!$B:$B,$A49)</f>
        <v/>
      </c>
      <c r="C49" s="17">
        <f t="array" ref="C49">INDEX(Data_DBD!$C:$C,$A49)</f>
        <v/>
      </c>
      <c r="D49" s="17">
        <f t="array" ref="D49">INDEX(Data_DBD!$D:$D,$A49)</f>
        <v/>
      </c>
      <c r="E49" s="17">
        <f t="array" ref="E49">INDEX(Data_DBD!$E:$E,$A49)</f>
        <v/>
      </c>
      <c r="F49" s="17">
        <f t="array" ref="F49">INDEX(Data_DBD!$F:$F,$A49)</f>
        <v/>
      </c>
      <c r="H49" s="17" t="n">
        <v>150</v>
      </c>
      <c r="I49" s="17" t="n">
        <v>61</v>
      </c>
      <c r="J49" s="17" t="n">
        <v>5</v>
      </c>
      <c r="K49" s="17" t="n">
        <v>21</v>
      </c>
      <c r="L49" s="17" t="n">
        <v>1</v>
      </c>
      <c r="M49" s="17" t="inlineStr">
        <is>
          <t>Tinggi</t>
        </is>
      </c>
    </row>
    <row r="50" s="1">
      <c r="A50" s="17">
        <f>RANDBETWEEN(2,164)</f>
        <v/>
      </c>
      <c r="B50" s="17">
        <f t="array" ref="B50">INDEX(Data_DBD!$B:$B,$A50)</f>
        <v/>
      </c>
      <c r="C50" s="17">
        <f t="array" ref="C50">INDEX(Data_DBD!$C:$C,$A50)</f>
        <v/>
      </c>
      <c r="D50" s="17">
        <f t="array" ref="D50">INDEX(Data_DBD!$D:$D,$A50)</f>
        <v/>
      </c>
      <c r="E50" s="17">
        <f t="array" ref="E50">INDEX(Data_DBD!$E:$E,$A50)</f>
        <v/>
      </c>
      <c r="F50" s="17">
        <f t="array" ref="F50">INDEX(Data_DBD!$F:$F,$A50)</f>
        <v/>
      </c>
      <c r="H50" s="17" t="n">
        <v>2</v>
      </c>
      <c r="I50" s="17" t="n">
        <v>34</v>
      </c>
      <c r="J50" s="17" t="n">
        <v>3</v>
      </c>
      <c r="K50" s="17" t="n">
        <v>12</v>
      </c>
      <c r="L50" s="17" t="n">
        <v>0</v>
      </c>
      <c r="M50" s="17" t="inlineStr">
        <is>
          <t>Sedang</t>
        </is>
      </c>
    </row>
    <row r="51" s="1">
      <c r="A51" s="17">
        <f>RANDBETWEEN(2,164)</f>
        <v/>
      </c>
      <c r="B51" s="17">
        <f t="array" ref="B51">INDEX(Data_DBD!$B:$B,$A51)</f>
        <v/>
      </c>
      <c r="C51" s="17">
        <f t="array" ref="C51">INDEX(Data_DBD!$C:$C,$A51)</f>
        <v/>
      </c>
      <c r="D51" s="17">
        <f t="array" ref="D51">INDEX(Data_DBD!$D:$D,$A51)</f>
        <v/>
      </c>
      <c r="E51" s="17">
        <f t="array" ref="E51">INDEX(Data_DBD!$E:$E,$A51)</f>
        <v/>
      </c>
      <c r="F51" s="17">
        <f t="array" ref="F51">INDEX(Data_DBD!$F:$F,$A51)</f>
        <v/>
      </c>
      <c r="H51" s="17" t="n">
        <v>132</v>
      </c>
      <c r="I51" s="17" t="n">
        <v>10</v>
      </c>
      <c r="J51" s="17" t="n">
        <v>3</v>
      </c>
      <c r="K51" s="17" t="n">
        <v>33</v>
      </c>
      <c r="L51" s="17" t="n">
        <v>1</v>
      </c>
      <c r="M51" s="17" t="inlineStr">
        <is>
          <t>Tinggi</t>
        </is>
      </c>
    </row>
    <row r="52" s="1">
      <c r="A52" s="17">
        <f>RANDBETWEEN(2,164)</f>
        <v/>
      </c>
      <c r="B52" s="17">
        <f t="array" ref="B52">INDEX(Data_DBD!$B:$B,$A52)</f>
        <v/>
      </c>
      <c r="C52" s="17">
        <f t="array" ref="C52">INDEX(Data_DBD!$C:$C,$A52)</f>
        <v/>
      </c>
      <c r="D52" s="17">
        <f t="array" ref="D52">INDEX(Data_DBD!$D:$D,$A52)</f>
        <v/>
      </c>
      <c r="E52" s="17">
        <f t="array" ref="E52">INDEX(Data_DBD!$E:$E,$A52)</f>
        <v/>
      </c>
      <c r="F52" s="17">
        <f t="array" ref="F52">INDEX(Data_DBD!$F:$F,$A52)</f>
        <v/>
      </c>
      <c r="H52" s="17" t="n">
        <v>9</v>
      </c>
      <c r="I52" s="17" t="n">
        <v>16</v>
      </c>
      <c r="J52" s="17" t="n">
        <v>6</v>
      </c>
      <c r="K52" s="17" t="n">
        <v>12</v>
      </c>
      <c r="L52" s="17" t="n">
        <v>1</v>
      </c>
      <c r="M52" s="17" t="inlineStr">
        <is>
          <t>Sedang</t>
        </is>
      </c>
    </row>
    <row r="53" s="1">
      <c r="A53" s="17">
        <f>RANDBETWEEN(2,164)</f>
        <v/>
      </c>
      <c r="B53" s="17">
        <f t="array" ref="B53">INDEX(Data_DBD!$B:$B,$A53)</f>
        <v/>
      </c>
      <c r="C53" s="17">
        <f t="array" ref="C53">INDEX(Data_DBD!$C:$C,$A53)</f>
        <v/>
      </c>
      <c r="D53" s="17">
        <f t="array" ref="D53">INDEX(Data_DBD!$D:$D,$A53)</f>
        <v/>
      </c>
      <c r="E53" s="17">
        <f t="array" ref="E53">INDEX(Data_DBD!$E:$E,$A53)</f>
        <v/>
      </c>
      <c r="F53" s="17">
        <f t="array" ref="F53">INDEX(Data_DBD!$F:$F,$A53)</f>
        <v/>
      </c>
      <c r="H53" s="17" t="n">
        <v>148</v>
      </c>
      <c r="I53" s="17" t="n">
        <v>55</v>
      </c>
      <c r="J53" s="17" t="n">
        <v>3</v>
      </c>
      <c r="K53" s="17" t="n">
        <v>21</v>
      </c>
      <c r="L53" s="17" t="n">
        <v>1</v>
      </c>
      <c r="M53" s="17" t="inlineStr">
        <is>
          <t>Tinggi</t>
        </is>
      </c>
    </row>
    <row r="54" s="1">
      <c r="A54" s="17">
        <f>RANDBETWEEN(2,164)</f>
        <v/>
      </c>
      <c r="B54" s="17">
        <f t="array" ref="B54">INDEX(Data_DBD!$B:$B,$A54)</f>
        <v/>
      </c>
      <c r="C54" s="17">
        <f t="array" ref="C54">INDEX(Data_DBD!$C:$C,$A54)</f>
        <v/>
      </c>
      <c r="D54" s="17">
        <f t="array" ref="D54">INDEX(Data_DBD!$D:$D,$A54)</f>
        <v/>
      </c>
      <c r="E54" s="17">
        <f t="array" ref="E54">INDEX(Data_DBD!$E:$E,$A54)</f>
        <v/>
      </c>
      <c r="F54" s="17">
        <f t="array" ref="F54">INDEX(Data_DBD!$F:$F,$A54)</f>
        <v/>
      </c>
      <c r="H54" s="17" t="n">
        <v>12</v>
      </c>
      <c r="I54" s="17" t="n">
        <v>23</v>
      </c>
      <c r="J54" s="17" t="n">
        <v>3</v>
      </c>
      <c r="K54" s="17" t="n">
        <v>12</v>
      </c>
      <c r="L54" s="17" t="n">
        <v>0</v>
      </c>
      <c r="M54" s="17" t="inlineStr">
        <is>
          <t>Sedang</t>
        </is>
      </c>
    </row>
    <row r="55" s="1">
      <c r="A55" s="17">
        <f>RANDBETWEEN(2,164)</f>
        <v/>
      </c>
      <c r="B55" s="17">
        <f t="array" ref="B55">INDEX(Data_DBD!$B:$B,$A55)</f>
        <v/>
      </c>
      <c r="C55" s="17">
        <f t="array" ref="C55">INDEX(Data_DBD!$C:$C,$A55)</f>
        <v/>
      </c>
      <c r="D55" s="17">
        <f t="array" ref="D55">INDEX(Data_DBD!$D:$D,$A55)</f>
        <v/>
      </c>
      <c r="E55" s="17">
        <f t="array" ref="E55">INDEX(Data_DBD!$E:$E,$A55)</f>
        <v/>
      </c>
      <c r="F55" s="17">
        <f t="array" ref="F55">INDEX(Data_DBD!$F:$F,$A55)</f>
        <v/>
      </c>
      <c r="H55" s="17" t="n">
        <v>64</v>
      </c>
      <c r="I55" s="17" t="n">
        <v>35</v>
      </c>
      <c r="J55" s="17" t="n">
        <v>1</v>
      </c>
      <c r="K55" s="17" t="n">
        <v>15</v>
      </c>
      <c r="L55" s="17" t="n">
        <v>0</v>
      </c>
      <c r="M55" s="17" t="inlineStr">
        <is>
          <t>Sedang</t>
        </is>
      </c>
    </row>
    <row r="56" s="1">
      <c r="A56" s="17">
        <f>RANDBETWEEN(2,164)</f>
        <v/>
      </c>
      <c r="B56" s="17">
        <f t="array" ref="B56">INDEX(Data_DBD!$B:$B,$A56)</f>
        <v/>
      </c>
      <c r="C56" s="17">
        <f t="array" ref="C56">INDEX(Data_DBD!$C:$C,$A56)</f>
        <v/>
      </c>
      <c r="D56" s="17">
        <f t="array" ref="D56">INDEX(Data_DBD!$D:$D,$A56)</f>
        <v/>
      </c>
      <c r="E56" s="17">
        <f t="array" ref="E56">INDEX(Data_DBD!$E:$E,$A56)</f>
        <v/>
      </c>
      <c r="F56" s="17">
        <f t="array" ref="F56">INDEX(Data_DBD!$F:$F,$A56)</f>
        <v/>
      </c>
      <c r="H56" s="17" t="n">
        <v>123</v>
      </c>
      <c r="I56" s="17" t="n">
        <v>22</v>
      </c>
      <c r="J56" s="17" t="n">
        <v>4</v>
      </c>
      <c r="K56" s="17" t="n">
        <v>33</v>
      </c>
      <c r="L56" s="17" t="n">
        <v>0</v>
      </c>
      <c r="M56" s="17" t="inlineStr">
        <is>
          <t>Tinggi</t>
        </is>
      </c>
    </row>
    <row r="57" s="1">
      <c r="A57" s="17">
        <f>RANDBETWEEN(2,164)</f>
        <v/>
      </c>
      <c r="B57" s="17">
        <f t="array" ref="B57">INDEX(Data_DBD!$B:$B,$A57)</f>
        <v/>
      </c>
      <c r="C57" s="17">
        <f t="array" ref="C57">INDEX(Data_DBD!$C:$C,$A57)</f>
        <v/>
      </c>
      <c r="D57" s="17">
        <f t="array" ref="D57">INDEX(Data_DBD!$D:$D,$A57)</f>
        <v/>
      </c>
      <c r="E57" s="17">
        <f t="array" ref="E57">INDEX(Data_DBD!$E:$E,$A57)</f>
        <v/>
      </c>
      <c r="F57" s="17">
        <f t="array" ref="F57">INDEX(Data_DBD!$F:$F,$A57)</f>
        <v/>
      </c>
      <c r="H57" s="17" t="n">
        <v>56</v>
      </c>
      <c r="I57" s="17" t="n">
        <v>4</v>
      </c>
      <c r="J57" s="17" t="n">
        <v>3</v>
      </c>
      <c r="K57" s="17" t="n">
        <v>15</v>
      </c>
      <c r="L57" s="17" t="n">
        <v>0</v>
      </c>
      <c r="M57" s="17" t="inlineStr">
        <is>
          <t>Sedang</t>
        </is>
      </c>
    </row>
    <row r="58" s="1">
      <c r="A58" s="17">
        <f>RANDBETWEEN(2,164)</f>
        <v/>
      </c>
      <c r="B58" s="17">
        <f t="array" ref="B58">INDEX(Data_DBD!$B:$B,$A58)</f>
        <v/>
      </c>
      <c r="C58" s="17">
        <f t="array" ref="C58">INDEX(Data_DBD!$C:$C,$A58)</f>
        <v/>
      </c>
      <c r="D58" s="17">
        <f t="array" ref="D58">INDEX(Data_DBD!$D:$D,$A58)</f>
        <v/>
      </c>
      <c r="E58" s="17">
        <f t="array" ref="E58">INDEX(Data_DBD!$E:$E,$A58)</f>
        <v/>
      </c>
      <c r="F58" s="17">
        <f t="array" ref="F58">INDEX(Data_DBD!$F:$F,$A58)</f>
        <v/>
      </c>
      <c r="H58" s="17" t="n">
        <v>12</v>
      </c>
      <c r="I58" s="17" t="n">
        <v>23</v>
      </c>
      <c r="J58" s="17" t="n">
        <v>3</v>
      </c>
      <c r="K58" s="17" t="n">
        <v>12</v>
      </c>
      <c r="L58" s="17" t="n">
        <v>0</v>
      </c>
      <c r="M58" s="17" t="inlineStr">
        <is>
          <t>Sedang</t>
        </is>
      </c>
    </row>
    <row r="59" s="1">
      <c r="A59" s="17">
        <f>RANDBETWEEN(2,164)</f>
        <v/>
      </c>
      <c r="B59" s="17">
        <f t="array" ref="B59">INDEX(Data_DBD!$B:$B,$A59)</f>
        <v/>
      </c>
      <c r="C59" s="17">
        <f t="array" ref="C59">INDEX(Data_DBD!$C:$C,$A59)</f>
        <v/>
      </c>
      <c r="D59" s="17">
        <f t="array" ref="D59">INDEX(Data_DBD!$D:$D,$A59)</f>
        <v/>
      </c>
      <c r="E59" s="17">
        <f t="array" ref="E59">INDEX(Data_DBD!$E:$E,$A59)</f>
        <v/>
      </c>
      <c r="F59" s="17">
        <f t="array" ref="F59">INDEX(Data_DBD!$F:$F,$A59)</f>
        <v/>
      </c>
      <c r="H59" s="17" t="n">
        <v>52</v>
      </c>
      <c r="I59" s="17" t="n">
        <v>59</v>
      </c>
      <c r="J59" s="17" t="n">
        <v>4</v>
      </c>
      <c r="K59" s="17" t="n">
        <v>15</v>
      </c>
      <c r="L59" s="17" t="n">
        <v>1</v>
      </c>
      <c r="M59" s="17" t="inlineStr">
        <is>
          <t>Sedang</t>
        </is>
      </c>
    </row>
    <row r="60" s="1">
      <c r="A60" s="17">
        <f>RANDBETWEEN(2,164)</f>
        <v/>
      </c>
      <c r="B60" s="17">
        <f t="array" ref="B60">INDEX(Data_DBD!$B:$B,$A60)</f>
        <v/>
      </c>
      <c r="C60" s="17">
        <f t="array" ref="C60">INDEX(Data_DBD!$C:$C,$A60)</f>
        <v/>
      </c>
      <c r="D60" s="17">
        <f t="array" ref="D60">INDEX(Data_DBD!$D:$D,$A60)</f>
        <v/>
      </c>
      <c r="E60" s="17">
        <f t="array" ref="E60">INDEX(Data_DBD!$E:$E,$A60)</f>
        <v/>
      </c>
      <c r="F60" s="17">
        <f t="array" ref="F60">INDEX(Data_DBD!$F:$F,$A60)</f>
        <v/>
      </c>
      <c r="H60" s="17" t="n">
        <v>101</v>
      </c>
      <c r="I60" s="17" t="n">
        <v>42</v>
      </c>
      <c r="J60" s="17" t="n">
        <v>5</v>
      </c>
      <c r="K60" s="17" t="n">
        <v>18</v>
      </c>
      <c r="L60" s="17" t="n">
        <v>0</v>
      </c>
      <c r="M60" s="17" t="inlineStr">
        <is>
          <t>Tinggi</t>
        </is>
      </c>
    </row>
    <row r="61" s="1">
      <c r="A61" s="17">
        <f>RANDBETWEEN(2,164)</f>
        <v/>
      </c>
      <c r="B61" s="17">
        <f t="array" ref="B61">INDEX(Data_DBD!$B:$B,$A61)</f>
        <v/>
      </c>
      <c r="C61" s="17">
        <f t="array" ref="C61">INDEX(Data_DBD!$C:$C,$A61)</f>
        <v/>
      </c>
      <c r="D61" s="17">
        <f t="array" ref="D61">INDEX(Data_DBD!$D:$D,$A61)</f>
        <v/>
      </c>
      <c r="E61" s="17">
        <f t="array" ref="E61">INDEX(Data_DBD!$E:$E,$A61)</f>
        <v/>
      </c>
      <c r="F61" s="17">
        <f t="array" ref="F61">INDEX(Data_DBD!$F:$F,$A61)</f>
        <v/>
      </c>
      <c r="H61" s="17" t="n">
        <v>14</v>
      </c>
      <c r="I61" s="17" t="n">
        <v>49</v>
      </c>
      <c r="J61" s="17" t="n">
        <v>4</v>
      </c>
      <c r="K61" s="17" t="n">
        <v>7</v>
      </c>
      <c r="L61" s="17" t="n">
        <v>1</v>
      </c>
      <c r="M61" s="17" t="inlineStr">
        <is>
          <t>Rendah</t>
        </is>
      </c>
    </row>
    <row r="62" s="1">
      <c r="A62" s="17">
        <f>RANDBETWEEN(2,164)</f>
        <v/>
      </c>
      <c r="B62" s="17">
        <f t="array" ref="B62">INDEX(Data_DBD!$B:$B,$A62)</f>
        <v/>
      </c>
      <c r="C62" s="17">
        <f t="array" ref="C62">INDEX(Data_DBD!$C:$C,$A62)</f>
        <v/>
      </c>
      <c r="D62" s="17">
        <f t="array" ref="D62">INDEX(Data_DBD!$D:$D,$A62)</f>
        <v/>
      </c>
      <c r="E62" s="17">
        <f t="array" ref="E62">INDEX(Data_DBD!$E:$E,$A62)</f>
        <v/>
      </c>
      <c r="F62" s="17">
        <f t="array" ref="F62">INDEX(Data_DBD!$F:$F,$A62)</f>
        <v/>
      </c>
      <c r="H62" s="17" t="n">
        <v>30</v>
      </c>
      <c r="I62" s="17" t="n">
        <v>3</v>
      </c>
      <c r="J62" s="17" t="n">
        <v>2</v>
      </c>
      <c r="K62" s="17" t="n">
        <v>14</v>
      </c>
      <c r="L62" s="17" t="n">
        <v>1</v>
      </c>
      <c r="M62" s="17" t="inlineStr">
        <is>
          <t>Sedang</t>
        </is>
      </c>
    </row>
    <row r="63" s="1">
      <c r="A63" s="17">
        <f>RANDBETWEEN(2,164)</f>
        <v/>
      </c>
      <c r="B63" s="17">
        <f t="array" ref="B63">INDEX(Data_DBD!$B:$B,$A63)</f>
        <v/>
      </c>
      <c r="C63" s="17">
        <f t="array" ref="C63">INDEX(Data_DBD!$C:$C,$A63)</f>
        <v/>
      </c>
      <c r="D63" s="17">
        <f t="array" ref="D63">INDEX(Data_DBD!$D:$D,$A63)</f>
        <v/>
      </c>
      <c r="E63" s="17">
        <f t="array" ref="E63">INDEX(Data_DBD!$E:$E,$A63)</f>
        <v/>
      </c>
      <c r="F63" s="17">
        <f t="array" ref="F63">INDEX(Data_DBD!$F:$F,$A63)</f>
        <v/>
      </c>
      <c r="H63" s="17" t="n">
        <v>137</v>
      </c>
      <c r="I63" s="17" t="n">
        <v>3</v>
      </c>
      <c r="J63" s="17" t="n">
        <v>1</v>
      </c>
      <c r="K63" s="17" t="n">
        <v>33</v>
      </c>
      <c r="L63" s="17" t="n">
        <v>1</v>
      </c>
      <c r="M63" s="17" t="inlineStr">
        <is>
          <t>Tinggi</t>
        </is>
      </c>
    </row>
    <row r="64" s="1">
      <c r="A64" s="17">
        <f>RANDBETWEEN(2,164)</f>
        <v/>
      </c>
      <c r="B64" s="17">
        <f t="array" ref="B64">INDEX(Data_DBD!$B:$B,$A64)</f>
        <v/>
      </c>
      <c r="C64" s="17">
        <f t="array" ref="C64">INDEX(Data_DBD!$C:$C,$A64)</f>
        <v/>
      </c>
      <c r="D64" s="17">
        <f t="array" ref="D64">INDEX(Data_DBD!$D:$D,$A64)</f>
        <v/>
      </c>
      <c r="E64" s="17">
        <f t="array" ref="E64">INDEX(Data_DBD!$E:$E,$A64)</f>
        <v/>
      </c>
      <c r="F64" s="17">
        <f t="array" ref="F64">INDEX(Data_DBD!$F:$F,$A64)</f>
        <v/>
      </c>
      <c r="H64" s="17" t="n">
        <v>151</v>
      </c>
      <c r="I64" s="17" t="n">
        <v>24</v>
      </c>
      <c r="J64" s="17" t="n">
        <v>3</v>
      </c>
      <c r="K64" s="17" t="n">
        <v>21</v>
      </c>
      <c r="L64" s="17" t="n">
        <v>0</v>
      </c>
      <c r="M64" s="17" t="inlineStr">
        <is>
          <t>Tinggi</t>
        </is>
      </c>
    </row>
    <row r="65" s="1">
      <c r="A65" s="17">
        <f>RANDBETWEEN(2,164)</f>
        <v/>
      </c>
      <c r="B65" s="17">
        <f t="array" ref="B65">INDEX(Data_DBD!$B:$B,$A65)</f>
        <v/>
      </c>
      <c r="C65" s="17">
        <f t="array" ref="C65">INDEX(Data_DBD!$C:$C,$A65)</f>
        <v/>
      </c>
      <c r="D65" s="17">
        <f t="array" ref="D65">INDEX(Data_DBD!$D:$D,$A65)</f>
        <v/>
      </c>
      <c r="E65" s="17">
        <f t="array" ref="E65">INDEX(Data_DBD!$E:$E,$A65)</f>
        <v/>
      </c>
      <c r="F65" s="17">
        <f t="array" ref="F65">INDEX(Data_DBD!$F:$F,$A65)</f>
        <v/>
      </c>
      <c r="H65" s="17" t="n">
        <v>112</v>
      </c>
      <c r="I65" s="17" t="n">
        <v>61</v>
      </c>
      <c r="J65" s="17" t="n">
        <v>3</v>
      </c>
      <c r="K65" s="17" t="n">
        <v>33</v>
      </c>
      <c r="L65" s="17" t="n">
        <v>1</v>
      </c>
      <c r="M65" s="17" t="inlineStr">
        <is>
          <t>Tinggi</t>
        </is>
      </c>
    </row>
    <row r="66" s="1">
      <c r="A66" s="17">
        <f>RANDBETWEEN(2,164)</f>
        <v/>
      </c>
      <c r="B66" s="17">
        <f t="array" ref="B66">INDEX(Data_DBD!$B:$B,$A66)</f>
        <v/>
      </c>
      <c r="C66" s="17">
        <f t="array" ref="C66">INDEX(Data_DBD!$C:$C,$A66)</f>
        <v/>
      </c>
      <c r="D66" s="17">
        <f t="array" ref="D66">INDEX(Data_DBD!$D:$D,$A66)</f>
        <v/>
      </c>
      <c r="E66" s="17">
        <f t="array" ref="E66">INDEX(Data_DBD!$E:$E,$A66)</f>
        <v/>
      </c>
      <c r="F66" s="17">
        <f t="array" ref="F66">INDEX(Data_DBD!$F:$F,$A66)</f>
        <v/>
      </c>
      <c r="H66" s="17" t="n">
        <v>32</v>
      </c>
      <c r="I66" s="17" t="n">
        <v>54</v>
      </c>
      <c r="J66" s="17" t="n">
        <v>4</v>
      </c>
      <c r="K66" s="17" t="n">
        <v>14</v>
      </c>
      <c r="L66" s="17" t="n">
        <v>0</v>
      </c>
      <c r="M66" s="17" t="inlineStr">
        <is>
          <t>Sedang</t>
        </is>
      </c>
    </row>
    <row r="67" s="1">
      <c r="A67" s="17">
        <f>RANDBETWEEN(2,164)</f>
        <v/>
      </c>
      <c r="B67" s="17">
        <f t="array" ref="B67">INDEX(Data_DBD!$B:$B,$A67)</f>
        <v/>
      </c>
      <c r="C67" s="17">
        <f t="array" ref="C67">INDEX(Data_DBD!$C:$C,$A67)</f>
        <v/>
      </c>
      <c r="D67" s="17">
        <f t="array" ref="D67">INDEX(Data_DBD!$D:$D,$A67)</f>
        <v/>
      </c>
      <c r="E67" s="17">
        <f t="array" ref="E67">INDEX(Data_DBD!$E:$E,$A67)</f>
        <v/>
      </c>
      <c r="F67" s="17">
        <f t="array" ref="F67">INDEX(Data_DBD!$F:$F,$A67)</f>
        <v/>
      </c>
      <c r="H67" s="17" t="n">
        <v>112</v>
      </c>
      <c r="I67" s="17" t="n">
        <v>61</v>
      </c>
      <c r="J67" s="17" t="n">
        <v>3</v>
      </c>
      <c r="K67" s="17" t="n">
        <v>33</v>
      </c>
      <c r="L67" s="17" t="n">
        <v>1</v>
      </c>
      <c r="M67" s="17" t="inlineStr">
        <is>
          <t>Tinggi</t>
        </is>
      </c>
    </row>
    <row r="68" s="1">
      <c r="A68" s="17">
        <f>RANDBETWEEN(2,164)</f>
        <v/>
      </c>
      <c r="B68" s="17">
        <f t="array" ref="B68">INDEX(Data_DBD!$B:$B,$A68)</f>
        <v/>
      </c>
      <c r="C68" s="17">
        <f t="array" ref="C68">INDEX(Data_DBD!$C:$C,$A68)</f>
        <v/>
      </c>
      <c r="D68" s="17">
        <f t="array" ref="D68">INDEX(Data_DBD!$D:$D,$A68)</f>
        <v/>
      </c>
      <c r="E68" s="17">
        <f t="array" ref="E68">INDEX(Data_DBD!$E:$E,$A68)</f>
        <v/>
      </c>
      <c r="F68" s="17">
        <f t="array" ref="F68">INDEX(Data_DBD!$F:$F,$A68)</f>
        <v/>
      </c>
      <c r="H68" s="17" t="n">
        <v>54</v>
      </c>
      <c r="I68" s="17" t="n">
        <v>7</v>
      </c>
      <c r="J68" s="17" t="n">
        <v>3</v>
      </c>
      <c r="K68" s="17" t="n">
        <v>15</v>
      </c>
      <c r="L68" s="17" t="n">
        <v>0</v>
      </c>
      <c r="M68" s="17" t="inlineStr">
        <is>
          <t>Sedang</t>
        </is>
      </c>
    </row>
    <row r="69" s="1">
      <c r="A69" s="17">
        <f>RANDBETWEEN(2,164)</f>
        <v/>
      </c>
      <c r="B69" s="17">
        <f t="array" ref="B69">INDEX(Data_DBD!$B:$B,$A69)</f>
        <v/>
      </c>
      <c r="C69" s="17">
        <f t="array" ref="C69">INDEX(Data_DBD!$C:$C,$A69)</f>
        <v/>
      </c>
      <c r="D69" s="17">
        <f t="array" ref="D69">INDEX(Data_DBD!$D:$D,$A69)</f>
        <v/>
      </c>
      <c r="E69" s="17">
        <f t="array" ref="E69">INDEX(Data_DBD!$E:$E,$A69)</f>
        <v/>
      </c>
      <c r="F69" s="17">
        <f t="array" ref="F69">INDEX(Data_DBD!$F:$F,$A69)</f>
        <v/>
      </c>
      <c r="H69" s="17" t="n">
        <v>16</v>
      </c>
      <c r="I69" s="17" t="n">
        <v>66</v>
      </c>
      <c r="J69" s="17" t="n">
        <v>5</v>
      </c>
      <c r="K69" s="17" t="n">
        <v>7</v>
      </c>
      <c r="L69" s="17" t="n">
        <v>1</v>
      </c>
      <c r="M69" s="17" t="inlineStr">
        <is>
          <t>Rendah</t>
        </is>
      </c>
    </row>
    <row r="70" s="1">
      <c r="A70" s="17">
        <f>RANDBETWEEN(2,164)</f>
        <v/>
      </c>
      <c r="B70" s="17">
        <f t="array" ref="B70">INDEX(Data_DBD!$B:$B,$A70)</f>
        <v/>
      </c>
      <c r="C70" s="17">
        <f t="array" ref="C70">INDEX(Data_DBD!$C:$C,$A70)</f>
        <v/>
      </c>
      <c r="D70" s="17">
        <f t="array" ref="D70">INDEX(Data_DBD!$D:$D,$A70)</f>
        <v/>
      </c>
      <c r="E70" s="17">
        <f t="array" ref="E70">INDEX(Data_DBD!$E:$E,$A70)</f>
        <v/>
      </c>
      <c r="F70" s="17">
        <f t="array" ref="F70">INDEX(Data_DBD!$F:$F,$A70)</f>
        <v/>
      </c>
      <c r="H70" s="17" t="n">
        <v>8</v>
      </c>
      <c r="I70" s="17" t="n">
        <v>4</v>
      </c>
      <c r="J70" s="17" t="n">
        <v>2</v>
      </c>
      <c r="K70" s="17" t="n">
        <v>12</v>
      </c>
      <c r="L70" s="17" t="n">
        <v>0</v>
      </c>
      <c r="M70" s="17" t="inlineStr">
        <is>
          <t>Sedang</t>
        </is>
      </c>
    </row>
    <row r="71" s="1">
      <c r="A71" s="17">
        <f>RANDBETWEEN(2,164)</f>
        <v/>
      </c>
      <c r="B71" s="17">
        <f t="array" ref="B71">INDEX(Data_DBD!$B:$B,$A71)</f>
        <v/>
      </c>
      <c r="C71" s="17">
        <f t="array" ref="C71">INDEX(Data_DBD!$C:$C,$A71)</f>
        <v/>
      </c>
      <c r="D71" s="17">
        <f t="array" ref="D71">INDEX(Data_DBD!$D:$D,$A71)</f>
        <v/>
      </c>
      <c r="E71" s="17">
        <f t="array" ref="E71">INDEX(Data_DBD!$E:$E,$A71)</f>
        <v/>
      </c>
      <c r="F71" s="17">
        <f t="array" ref="F71">INDEX(Data_DBD!$F:$F,$A71)</f>
        <v/>
      </c>
      <c r="H71" s="17" t="n">
        <v>30</v>
      </c>
      <c r="I71" s="17" t="n">
        <v>3</v>
      </c>
      <c r="J71" s="17" t="n">
        <v>2</v>
      </c>
      <c r="K71" s="17" t="n">
        <v>14</v>
      </c>
      <c r="L71" s="17" t="n">
        <v>1</v>
      </c>
      <c r="M71" s="17" t="inlineStr">
        <is>
          <t>Sedang</t>
        </is>
      </c>
    </row>
    <row r="72" s="1">
      <c r="A72" s="17">
        <f>RANDBETWEEN(2,164)</f>
        <v/>
      </c>
      <c r="B72" s="17">
        <f t="array" ref="B72">INDEX(Data_DBD!$B:$B,$A72)</f>
        <v/>
      </c>
      <c r="C72" s="17">
        <f t="array" ref="C72">INDEX(Data_DBD!$C:$C,$A72)</f>
        <v/>
      </c>
      <c r="D72" s="17">
        <f t="array" ref="D72">INDEX(Data_DBD!$D:$D,$A72)</f>
        <v/>
      </c>
      <c r="E72" s="17">
        <f t="array" ref="E72">INDEX(Data_DBD!$E:$E,$A72)</f>
        <v/>
      </c>
      <c r="F72" s="17">
        <f t="array" ref="F72">INDEX(Data_DBD!$F:$F,$A72)</f>
        <v/>
      </c>
      <c r="H72" s="17" t="n">
        <v>135</v>
      </c>
      <c r="I72" s="17" t="n">
        <v>10</v>
      </c>
      <c r="J72" s="17" t="n">
        <v>2</v>
      </c>
      <c r="K72" s="17" t="n">
        <v>33</v>
      </c>
      <c r="L72" s="17" t="n">
        <v>0</v>
      </c>
      <c r="M72" s="17" t="inlineStr">
        <is>
          <t>Tinggi</t>
        </is>
      </c>
    </row>
    <row r="73" s="1">
      <c r="A73" s="17">
        <f>RANDBETWEEN(2,164)</f>
        <v/>
      </c>
      <c r="B73" s="17">
        <f t="array" ref="B73">INDEX(Data_DBD!$B:$B,$A73)</f>
        <v/>
      </c>
      <c r="C73" s="17">
        <f t="array" ref="C73">INDEX(Data_DBD!$C:$C,$A73)</f>
        <v/>
      </c>
      <c r="D73" s="17">
        <f t="array" ref="D73">INDEX(Data_DBD!$D:$D,$A73)</f>
        <v/>
      </c>
      <c r="E73" s="17">
        <f t="array" ref="E73">INDEX(Data_DBD!$E:$E,$A73)</f>
        <v/>
      </c>
      <c r="F73" s="17">
        <f t="array" ref="F73">INDEX(Data_DBD!$F:$F,$A73)</f>
        <v/>
      </c>
      <c r="H73" s="17" t="n">
        <v>15</v>
      </c>
      <c r="I73" s="17" t="n">
        <v>21</v>
      </c>
      <c r="J73" s="17" t="n">
        <v>2</v>
      </c>
      <c r="K73" s="17" t="n">
        <v>7</v>
      </c>
      <c r="L73" s="17" t="n">
        <v>0</v>
      </c>
      <c r="M73" s="17" t="inlineStr">
        <is>
          <t>Rendah</t>
        </is>
      </c>
    </row>
    <row r="74" s="1">
      <c r="A74" s="17">
        <f>RANDBETWEEN(2,164)</f>
        <v/>
      </c>
      <c r="B74" s="17">
        <f t="array" ref="B74">INDEX(Data_DBD!$B:$B,$A74)</f>
        <v/>
      </c>
      <c r="C74" s="17">
        <f t="array" ref="C74">INDEX(Data_DBD!$C:$C,$A74)</f>
        <v/>
      </c>
      <c r="D74" s="17">
        <f t="array" ref="D74">INDEX(Data_DBD!$D:$D,$A74)</f>
        <v/>
      </c>
      <c r="E74" s="17">
        <f t="array" ref="E74">INDEX(Data_DBD!$E:$E,$A74)</f>
        <v/>
      </c>
      <c r="F74" s="17">
        <f t="array" ref="F74">INDEX(Data_DBD!$F:$F,$A74)</f>
        <v/>
      </c>
      <c r="H74" s="17" t="n">
        <v>158</v>
      </c>
      <c r="I74" s="17" t="n">
        <v>5</v>
      </c>
      <c r="J74" s="17" t="n">
        <v>2</v>
      </c>
      <c r="K74" s="17" t="n">
        <v>21</v>
      </c>
      <c r="L74" s="17" t="n">
        <v>0</v>
      </c>
      <c r="M74" s="17" t="inlineStr">
        <is>
          <t>Tinggi</t>
        </is>
      </c>
    </row>
    <row r="75" s="1">
      <c r="A75" s="17">
        <f>RANDBETWEEN(2,164)</f>
        <v/>
      </c>
      <c r="B75" s="17">
        <f t="array" ref="B75">INDEX(Data_DBD!$B:$B,$A75)</f>
        <v/>
      </c>
      <c r="C75" s="17">
        <f t="array" ref="C75">INDEX(Data_DBD!$C:$C,$A75)</f>
        <v/>
      </c>
      <c r="D75" s="17">
        <f t="array" ref="D75">INDEX(Data_DBD!$D:$D,$A75)</f>
        <v/>
      </c>
      <c r="E75" s="17">
        <f t="array" ref="E75">INDEX(Data_DBD!$E:$E,$A75)</f>
        <v/>
      </c>
      <c r="F75" s="17">
        <f t="array" ref="F75">INDEX(Data_DBD!$F:$F,$A75)</f>
        <v/>
      </c>
      <c r="H75" s="17" t="n">
        <v>32</v>
      </c>
      <c r="I75" s="17" t="n">
        <v>54</v>
      </c>
      <c r="J75" s="17" t="n">
        <v>4</v>
      </c>
      <c r="K75" s="17" t="n">
        <v>14</v>
      </c>
      <c r="L75" s="17" t="n">
        <v>0</v>
      </c>
      <c r="M75" s="17" t="inlineStr">
        <is>
          <t>Sedang</t>
        </is>
      </c>
    </row>
    <row r="76" s="1">
      <c r="A76" s="17">
        <f>RANDBETWEEN(2,164)</f>
        <v/>
      </c>
      <c r="B76" s="17">
        <f t="array" ref="B76">INDEX(Data_DBD!$B:$B,$A76)</f>
        <v/>
      </c>
      <c r="C76" s="17">
        <f t="array" ref="C76">INDEX(Data_DBD!$C:$C,$A76)</f>
        <v/>
      </c>
      <c r="D76" s="17">
        <f t="array" ref="D76">INDEX(Data_DBD!$D:$D,$A76)</f>
        <v/>
      </c>
      <c r="E76" s="17">
        <f t="array" ref="E76">INDEX(Data_DBD!$E:$E,$A76)</f>
        <v/>
      </c>
      <c r="F76" s="17">
        <f t="array" ref="F76">INDEX(Data_DBD!$F:$F,$A76)</f>
        <v/>
      </c>
      <c r="H76" s="17" t="n">
        <v>106</v>
      </c>
      <c r="I76" s="17" t="n">
        <v>23</v>
      </c>
      <c r="J76" s="17" t="n">
        <v>3</v>
      </c>
      <c r="K76" s="17" t="n">
        <v>18</v>
      </c>
      <c r="L76" s="17" t="n">
        <v>1</v>
      </c>
      <c r="M76" s="17" t="inlineStr">
        <is>
          <t>Tinggi</t>
        </is>
      </c>
    </row>
    <row r="77" s="1">
      <c r="A77" s="17">
        <f>RANDBETWEEN(2,164)</f>
        <v/>
      </c>
      <c r="B77" s="17">
        <f t="array" ref="B77">INDEX(Data_DBD!$B:$B,$A77)</f>
        <v/>
      </c>
      <c r="C77" s="17">
        <f t="array" ref="C77">INDEX(Data_DBD!$C:$C,$A77)</f>
        <v/>
      </c>
      <c r="D77" s="17">
        <f t="array" ref="D77">INDEX(Data_DBD!$D:$D,$A77)</f>
        <v/>
      </c>
      <c r="E77" s="17">
        <f t="array" ref="E77">INDEX(Data_DBD!$E:$E,$A77)</f>
        <v/>
      </c>
      <c r="F77" s="17">
        <f t="array" ref="F77">INDEX(Data_DBD!$F:$F,$A77)</f>
        <v/>
      </c>
      <c r="H77" s="17" t="n">
        <v>5</v>
      </c>
      <c r="I77" s="17" t="n">
        <v>18</v>
      </c>
      <c r="J77" s="17" t="n">
        <v>2</v>
      </c>
      <c r="K77" s="17" t="n">
        <v>12</v>
      </c>
      <c r="L77" s="17" t="n">
        <v>1</v>
      </c>
      <c r="M77" s="17" t="inlineStr">
        <is>
          <t>Sedang</t>
        </is>
      </c>
    </row>
    <row r="78" s="1">
      <c r="A78" s="17">
        <f>RANDBETWEEN(2,164)</f>
        <v/>
      </c>
      <c r="B78" s="17">
        <f t="array" ref="B78">INDEX(Data_DBD!$B:$B,$A78)</f>
        <v/>
      </c>
      <c r="C78" s="17">
        <f t="array" ref="C78">INDEX(Data_DBD!$C:$C,$A78)</f>
        <v/>
      </c>
      <c r="D78" s="17">
        <f t="array" ref="D78">INDEX(Data_DBD!$D:$D,$A78)</f>
        <v/>
      </c>
      <c r="E78" s="17">
        <f t="array" ref="E78">INDEX(Data_DBD!$E:$E,$A78)</f>
        <v/>
      </c>
      <c r="F78" s="17">
        <f t="array" ref="F78">INDEX(Data_DBD!$F:$F,$A78)</f>
        <v/>
      </c>
      <c r="H78" s="17" t="n">
        <v>46</v>
      </c>
      <c r="I78" s="17" t="n">
        <v>62</v>
      </c>
      <c r="J78" s="17" t="n">
        <v>2</v>
      </c>
      <c r="K78" s="17" t="n">
        <v>13</v>
      </c>
      <c r="L78" s="17" t="n">
        <v>0</v>
      </c>
      <c r="M78" s="17" t="inlineStr">
        <is>
          <t>Sedang</t>
        </is>
      </c>
    </row>
    <row r="79" s="1">
      <c r="A79" s="17">
        <f>RANDBETWEEN(2,164)</f>
        <v/>
      </c>
      <c r="B79" s="17">
        <f t="array" ref="B79">INDEX(Data_DBD!$B:$B,$A79)</f>
        <v/>
      </c>
      <c r="C79" s="17">
        <f t="array" ref="C79">INDEX(Data_DBD!$C:$C,$A79)</f>
        <v/>
      </c>
      <c r="D79" s="17">
        <f t="array" ref="D79">INDEX(Data_DBD!$D:$D,$A79)</f>
        <v/>
      </c>
      <c r="E79" s="17">
        <f t="array" ref="E79">INDEX(Data_DBD!$E:$E,$A79)</f>
        <v/>
      </c>
      <c r="F79" s="17">
        <f t="array" ref="F79">INDEX(Data_DBD!$F:$F,$A79)</f>
        <v/>
      </c>
      <c r="H79" s="17" t="n">
        <v>164</v>
      </c>
      <c r="I79" s="17" t="n">
        <v>10</v>
      </c>
      <c r="J79" s="17" t="n">
        <v>6</v>
      </c>
      <c r="K79" s="17" t="n">
        <v>3</v>
      </c>
      <c r="L79" s="17" t="n">
        <v>0</v>
      </c>
      <c r="M79" s="17" t="inlineStr">
        <is>
          <t>Rendah</t>
        </is>
      </c>
    </row>
    <row r="80" s="1">
      <c r="A80" s="17">
        <f>RANDBETWEEN(2,164)</f>
        <v/>
      </c>
      <c r="B80" s="17">
        <f t="array" ref="B80">INDEX(Data_DBD!$B:$B,$A80)</f>
        <v/>
      </c>
      <c r="C80" s="17">
        <f t="array" ref="C80">INDEX(Data_DBD!$C:$C,$A80)</f>
        <v/>
      </c>
      <c r="D80" s="17">
        <f t="array" ref="D80">INDEX(Data_DBD!$D:$D,$A80)</f>
        <v/>
      </c>
      <c r="E80" s="17">
        <f t="array" ref="E80">INDEX(Data_DBD!$E:$E,$A80)</f>
        <v/>
      </c>
      <c r="F80" s="17">
        <f t="array" ref="F80">INDEX(Data_DBD!$F:$F,$A80)</f>
        <v/>
      </c>
      <c r="H80" s="17" t="n">
        <v>72</v>
      </c>
      <c r="I80" s="17" t="n">
        <v>3</v>
      </c>
      <c r="J80" s="17" t="n">
        <v>5</v>
      </c>
      <c r="K80" s="17" t="n">
        <v>10</v>
      </c>
      <c r="L80" s="17" t="n">
        <v>1</v>
      </c>
      <c r="M80" s="17" t="inlineStr">
        <is>
          <t>Sedang</t>
        </is>
      </c>
    </row>
    <row r="81" s="1">
      <c r="A81" s="17">
        <f>RANDBETWEEN(2,164)</f>
        <v/>
      </c>
      <c r="B81" s="17">
        <f t="array" ref="B81">INDEX(Data_DBD!$B:$B,$A81)</f>
        <v/>
      </c>
      <c r="C81" s="17">
        <f t="array" ref="C81">INDEX(Data_DBD!$C:$C,$A81)</f>
        <v/>
      </c>
      <c r="D81" s="17">
        <f t="array" ref="D81">INDEX(Data_DBD!$D:$D,$A81)</f>
        <v/>
      </c>
      <c r="E81" s="17">
        <f t="array" ref="E81">INDEX(Data_DBD!$E:$E,$A81)</f>
        <v/>
      </c>
      <c r="F81" s="17">
        <f t="array" ref="F81">INDEX(Data_DBD!$F:$F,$A81)</f>
        <v/>
      </c>
      <c r="H81" s="17" t="n">
        <v>98</v>
      </c>
      <c r="I81" s="17" t="n">
        <v>16</v>
      </c>
      <c r="J81" s="17" t="n">
        <v>2</v>
      </c>
      <c r="K81" s="17" t="n">
        <v>18</v>
      </c>
      <c r="L81" s="17" t="n">
        <v>1</v>
      </c>
      <c r="M81" s="17" t="inlineStr">
        <is>
          <t>Tinggi</t>
        </is>
      </c>
    </row>
    <row r="82" s="1">
      <c r="A82" s="17">
        <f>RANDBETWEEN(2,164)</f>
        <v/>
      </c>
      <c r="B82" s="17">
        <f t="array" ref="B82">INDEX(Data_DBD!$B:$B,$A82)</f>
        <v/>
      </c>
      <c r="C82" s="17">
        <f t="array" ref="C82">INDEX(Data_DBD!$C:$C,$A82)</f>
        <v/>
      </c>
      <c r="D82" s="17">
        <f t="array" ref="D82">INDEX(Data_DBD!$D:$D,$A82)</f>
        <v/>
      </c>
      <c r="E82" s="17">
        <f t="array" ref="E82">INDEX(Data_DBD!$E:$E,$A82)</f>
        <v/>
      </c>
      <c r="F82" s="17">
        <f t="array" ref="F82">INDEX(Data_DBD!$F:$F,$A82)</f>
        <v/>
      </c>
      <c r="H82" s="17" t="n">
        <v>5</v>
      </c>
      <c r="I82" s="17" t="n">
        <v>18</v>
      </c>
      <c r="J82" s="17" t="n">
        <v>2</v>
      </c>
      <c r="K82" s="17" t="n">
        <v>12</v>
      </c>
      <c r="L82" s="17" t="n">
        <v>1</v>
      </c>
      <c r="M82" s="17" t="inlineStr">
        <is>
          <t>Sedang</t>
        </is>
      </c>
    </row>
    <row r="83" s="1">
      <c r="A83" s="17">
        <f>RANDBETWEEN(2,164)</f>
        <v/>
      </c>
      <c r="B83" s="17">
        <f t="array" ref="B83">INDEX(Data_DBD!$B:$B,$A83)</f>
        <v/>
      </c>
      <c r="C83" s="17">
        <f t="array" ref="C83">INDEX(Data_DBD!$C:$C,$A83)</f>
        <v/>
      </c>
      <c r="D83" s="17">
        <f t="array" ref="D83">INDEX(Data_DBD!$D:$D,$A83)</f>
        <v/>
      </c>
      <c r="E83" s="17">
        <f t="array" ref="E83">INDEX(Data_DBD!$E:$E,$A83)</f>
        <v/>
      </c>
      <c r="F83" s="17">
        <f t="array" ref="F83">INDEX(Data_DBD!$F:$F,$A83)</f>
        <v/>
      </c>
      <c r="H83" s="17" t="n">
        <v>158</v>
      </c>
      <c r="I83" s="17" t="n">
        <v>5</v>
      </c>
      <c r="J83" s="17" t="n">
        <v>2</v>
      </c>
      <c r="K83" s="17" t="n">
        <v>21</v>
      </c>
      <c r="L83" s="17" t="n">
        <v>0</v>
      </c>
      <c r="M83" s="17" t="inlineStr">
        <is>
          <t>Tinggi</t>
        </is>
      </c>
    </row>
    <row r="84" s="1">
      <c r="A84" s="17">
        <f>RANDBETWEEN(2,164)</f>
        <v/>
      </c>
      <c r="B84" s="17">
        <f t="array" ref="B84">INDEX(Data_DBD!$B:$B,$A84)</f>
        <v/>
      </c>
      <c r="C84" s="17">
        <f t="array" ref="C84">INDEX(Data_DBD!$C:$C,$A84)</f>
        <v/>
      </c>
      <c r="D84" s="17">
        <f t="array" ref="D84">INDEX(Data_DBD!$D:$D,$A84)</f>
        <v/>
      </c>
      <c r="E84" s="17">
        <f t="array" ref="E84">INDEX(Data_DBD!$E:$E,$A84)</f>
        <v/>
      </c>
      <c r="F84" s="17">
        <f t="array" ref="F84">INDEX(Data_DBD!$F:$F,$A84)</f>
        <v/>
      </c>
      <c r="H84" s="17" t="n">
        <v>69</v>
      </c>
      <c r="I84" s="17" t="n">
        <v>24</v>
      </c>
      <c r="J84" s="17" t="n">
        <v>4</v>
      </c>
      <c r="K84" s="17" t="n">
        <v>10</v>
      </c>
      <c r="L84" s="17" t="n">
        <v>1</v>
      </c>
      <c r="M84" s="17" t="inlineStr">
        <is>
          <t>Sedang</t>
        </is>
      </c>
    </row>
    <row r="85" s="1">
      <c r="A85" s="17">
        <f>RANDBETWEEN(2,164)</f>
        <v/>
      </c>
      <c r="B85" s="17">
        <f t="array" ref="B85">INDEX(Data_DBD!$B:$B,$A85)</f>
        <v/>
      </c>
      <c r="C85" s="17">
        <f t="array" ref="C85">INDEX(Data_DBD!$C:$C,$A85)</f>
        <v/>
      </c>
      <c r="D85" s="17">
        <f t="array" ref="D85">INDEX(Data_DBD!$D:$D,$A85)</f>
        <v/>
      </c>
      <c r="E85" s="17">
        <f t="array" ref="E85">INDEX(Data_DBD!$E:$E,$A85)</f>
        <v/>
      </c>
      <c r="F85" s="17">
        <f t="array" ref="F85">INDEX(Data_DBD!$F:$F,$A85)</f>
        <v/>
      </c>
      <c r="H85" s="17" t="n">
        <v>8</v>
      </c>
      <c r="I85" s="17" t="n">
        <v>4</v>
      </c>
      <c r="J85" s="17" t="n">
        <v>2</v>
      </c>
      <c r="K85" s="17" t="n">
        <v>12</v>
      </c>
      <c r="L85" s="17" t="n">
        <v>0</v>
      </c>
      <c r="M85" s="17" t="inlineStr">
        <is>
          <t>Sedang</t>
        </is>
      </c>
    </row>
    <row r="86" s="1">
      <c r="A86" s="17">
        <f>RANDBETWEEN(2,164)</f>
        <v/>
      </c>
      <c r="B86" s="17">
        <f t="array" ref="B86">INDEX(Data_DBD!$B:$B,$A86)</f>
        <v/>
      </c>
      <c r="C86" s="17">
        <f t="array" ref="C86">INDEX(Data_DBD!$C:$C,$A86)</f>
        <v/>
      </c>
      <c r="D86" s="17">
        <f t="array" ref="D86">INDEX(Data_DBD!$D:$D,$A86)</f>
        <v/>
      </c>
      <c r="E86" s="17">
        <f t="array" ref="E86">INDEX(Data_DBD!$E:$E,$A86)</f>
        <v/>
      </c>
      <c r="F86" s="17">
        <f t="array" ref="F86">INDEX(Data_DBD!$F:$F,$A86)</f>
        <v/>
      </c>
      <c r="H86" s="17" t="n">
        <v>157</v>
      </c>
      <c r="I86" s="17" t="n">
        <v>15</v>
      </c>
      <c r="J86" s="17" t="n">
        <v>4</v>
      </c>
      <c r="K86" s="17" t="n">
        <v>21</v>
      </c>
      <c r="L86" s="17" t="n">
        <v>1</v>
      </c>
      <c r="M86" s="17" t="inlineStr">
        <is>
          <t>Tinggi</t>
        </is>
      </c>
    </row>
    <row r="87" s="1">
      <c r="A87" s="17">
        <f>RANDBETWEEN(2,164)</f>
        <v/>
      </c>
      <c r="B87" s="17">
        <f t="array" ref="B87">INDEX(Data_DBD!$B:$B,$A87)</f>
        <v/>
      </c>
      <c r="C87" s="17">
        <f t="array" ref="C87">INDEX(Data_DBD!$C:$C,$A87)</f>
        <v/>
      </c>
      <c r="D87" s="17">
        <f t="array" ref="D87">INDEX(Data_DBD!$D:$D,$A87)</f>
        <v/>
      </c>
      <c r="E87" s="17">
        <f t="array" ref="E87">INDEX(Data_DBD!$E:$E,$A87)</f>
        <v/>
      </c>
      <c r="F87" s="17">
        <f t="array" ref="F87">INDEX(Data_DBD!$F:$F,$A87)</f>
        <v/>
      </c>
      <c r="H87" s="17" t="n">
        <v>28</v>
      </c>
      <c r="I87" s="17" t="n">
        <v>22</v>
      </c>
      <c r="J87" s="17" t="n">
        <v>2</v>
      </c>
      <c r="K87" s="17" t="n">
        <v>14</v>
      </c>
      <c r="L87" s="17" t="n">
        <v>1</v>
      </c>
      <c r="M87" s="17" t="inlineStr">
        <is>
          <t>Sedang</t>
        </is>
      </c>
    </row>
    <row r="88" s="1">
      <c r="A88" s="17">
        <f>RANDBETWEEN(2,164)</f>
        <v/>
      </c>
      <c r="B88" s="17">
        <f t="array" ref="B88">INDEX(Data_DBD!$B:$B,$A88)</f>
        <v/>
      </c>
      <c r="C88" s="17">
        <f t="array" ref="C88">INDEX(Data_DBD!$C:$C,$A88)</f>
        <v/>
      </c>
      <c r="D88" s="17">
        <f t="array" ref="D88">INDEX(Data_DBD!$D:$D,$A88)</f>
        <v/>
      </c>
      <c r="E88" s="17">
        <f t="array" ref="E88">INDEX(Data_DBD!$E:$E,$A88)</f>
        <v/>
      </c>
      <c r="F88" s="17">
        <f t="array" ref="F88">INDEX(Data_DBD!$F:$F,$A88)</f>
        <v/>
      </c>
      <c r="H88" s="17" t="n">
        <v>14</v>
      </c>
      <c r="I88" s="17" t="n">
        <v>49</v>
      </c>
      <c r="J88" s="17" t="n">
        <v>4</v>
      </c>
      <c r="K88" s="17" t="n">
        <v>7</v>
      </c>
      <c r="L88" s="17" t="n">
        <v>1</v>
      </c>
      <c r="M88" s="17" t="inlineStr">
        <is>
          <t>Rendah</t>
        </is>
      </c>
    </row>
    <row r="89" s="1">
      <c r="A89" s="17">
        <f>RANDBETWEEN(2,164)</f>
        <v/>
      </c>
      <c r="B89" s="17">
        <f t="array" ref="B89">INDEX(Data_DBD!$B:$B,$A89)</f>
        <v/>
      </c>
      <c r="C89" s="17">
        <f t="array" ref="C89">INDEX(Data_DBD!$C:$C,$A89)</f>
        <v/>
      </c>
      <c r="D89" s="17">
        <f t="array" ref="D89">INDEX(Data_DBD!$D:$D,$A89)</f>
        <v/>
      </c>
      <c r="E89" s="17">
        <f t="array" ref="E89">INDEX(Data_DBD!$E:$E,$A89)</f>
        <v/>
      </c>
      <c r="F89" s="17">
        <f t="array" ref="F89">INDEX(Data_DBD!$F:$F,$A89)</f>
        <v/>
      </c>
      <c r="H89" s="17" t="n">
        <v>58</v>
      </c>
      <c r="I89" s="17" t="n">
        <v>17</v>
      </c>
      <c r="J89" s="17" t="n">
        <v>3</v>
      </c>
      <c r="K89" s="17" t="n">
        <v>15</v>
      </c>
      <c r="L89" s="17" t="n">
        <v>0</v>
      </c>
      <c r="M89" s="17" t="inlineStr">
        <is>
          <t>Sedang</t>
        </is>
      </c>
    </row>
    <row r="90" s="1">
      <c r="A90" s="17">
        <f>RANDBETWEEN(2,164)</f>
        <v/>
      </c>
      <c r="B90" s="17">
        <f t="array" ref="B90">INDEX(Data_DBD!$B:$B,$A90)</f>
        <v/>
      </c>
      <c r="C90" s="17">
        <f t="array" ref="C90">INDEX(Data_DBD!$C:$C,$A90)</f>
        <v/>
      </c>
      <c r="D90" s="17">
        <f t="array" ref="D90">INDEX(Data_DBD!$D:$D,$A90)</f>
        <v/>
      </c>
      <c r="E90" s="17">
        <f t="array" ref="E90">INDEX(Data_DBD!$E:$E,$A90)</f>
        <v/>
      </c>
      <c r="F90" s="17">
        <f t="array" ref="F90">INDEX(Data_DBD!$F:$F,$A90)</f>
        <v/>
      </c>
      <c r="H90" s="17" t="n">
        <v>157</v>
      </c>
      <c r="I90" s="17" t="n">
        <v>15</v>
      </c>
      <c r="J90" s="17" t="n">
        <v>4</v>
      </c>
      <c r="K90" s="17" t="n">
        <v>21</v>
      </c>
      <c r="L90" s="17" t="n">
        <v>1</v>
      </c>
      <c r="M90" s="17" t="inlineStr">
        <is>
          <t>Tinggi</t>
        </is>
      </c>
    </row>
    <row r="91" s="1">
      <c r="A91" s="17">
        <f>RANDBETWEEN(2,164)</f>
        <v/>
      </c>
      <c r="B91" s="17">
        <f t="array" ref="B91">INDEX(Data_DBD!$B:$B,$A91)</f>
        <v/>
      </c>
      <c r="C91" s="17">
        <f t="array" ref="C91">INDEX(Data_DBD!$C:$C,$A91)</f>
        <v/>
      </c>
      <c r="D91" s="17">
        <f t="array" ref="D91">INDEX(Data_DBD!$D:$D,$A91)</f>
        <v/>
      </c>
      <c r="E91" s="17">
        <f t="array" ref="E91">INDEX(Data_DBD!$E:$E,$A91)</f>
        <v/>
      </c>
      <c r="F91" s="17">
        <f t="array" ref="F91">INDEX(Data_DBD!$F:$F,$A91)</f>
        <v/>
      </c>
      <c r="H91" s="17" t="n">
        <v>129</v>
      </c>
      <c r="I91" s="17" t="n">
        <v>4</v>
      </c>
      <c r="J91" s="17" t="n">
        <v>3</v>
      </c>
      <c r="K91" s="17" t="n">
        <v>33</v>
      </c>
      <c r="L91" s="17" t="n">
        <v>0</v>
      </c>
      <c r="M91" s="17" t="inlineStr">
        <is>
          <t>Tinggi</t>
        </is>
      </c>
    </row>
    <row r="92" s="1">
      <c r="A92" s="17">
        <f>RANDBETWEEN(2,164)</f>
        <v/>
      </c>
      <c r="B92" s="17">
        <f t="array" ref="B92">INDEX(Data_DBD!$B:$B,$A92)</f>
        <v/>
      </c>
      <c r="C92" s="17">
        <f t="array" ref="C92">INDEX(Data_DBD!$C:$C,$A92)</f>
        <v/>
      </c>
      <c r="D92" s="17">
        <f t="array" ref="D92">INDEX(Data_DBD!$D:$D,$A92)</f>
        <v/>
      </c>
      <c r="E92" s="17">
        <f t="array" ref="E92">INDEX(Data_DBD!$E:$E,$A92)</f>
        <v/>
      </c>
      <c r="F92" s="17">
        <f t="array" ref="F92">INDEX(Data_DBD!$F:$F,$A92)</f>
        <v/>
      </c>
      <c r="H92" s="17" t="n">
        <v>120</v>
      </c>
      <c r="I92" s="17" t="n">
        <v>26</v>
      </c>
      <c r="J92" s="17" t="n">
        <v>4</v>
      </c>
      <c r="K92" s="17" t="n">
        <v>33</v>
      </c>
      <c r="L92" s="17" t="n">
        <v>1</v>
      </c>
      <c r="M92" s="17" t="inlineStr">
        <is>
          <t>Tinggi</t>
        </is>
      </c>
    </row>
    <row r="93" s="1">
      <c r="A93" s="17">
        <f>RANDBETWEEN(2,164)</f>
        <v/>
      </c>
      <c r="B93" s="17">
        <f t="array" ref="B93">INDEX(Data_DBD!$B:$B,$A93)</f>
        <v/>
      </c>
      <c r="C93" s="17">
        <f t="array" ref="C93">INDEX(Data_DBD!$C:$C,$A93)</f>
        <v/>
      </c>
      <c r="D93" s="17">
        <f t="array" ref="D93">INDEX(Data_DBD!$D:$D,$A93)</f>
        <v/>
      </c>
      <c r="E93" s="17">
        <f t="array" ref="E93">INDEX(Data_DBD!$E:$E,$A93)</f>
        <v/>
      </c>
      <c r="F93" s="17">
        <f t="array" ref="F93">INDEX(Data_DBD!$F:$F,$A93)</f>
        <v/>
      </c>
      <c r="H93" s="17" t="n">
        <v>56</v>
      </c>
      <c r="I93" s="17" t="n">
        <v>4</v>
      </c>
      <c r="J93" s="17" t="n">
        <v>3</v>
      </c>
      <c r="K93" s="17" t="n">
        <v>15</v>
      </c>
      <c r="L93" s="17" t="n">
        <v>0</v>
      </c>
      <c r="M93" s="17" t="inlineStr">
        <is>
          <t>Sedang</t>
        </is>
      </c>
    </row>
    <row r="94" s="1">
      <c r="A94" s="17">
        <f>RANDBETWEEN(2,164)</f>
        <v/>
      </c>
      <c r="B94" s="17">
        <f t="array" ref="B94">INDEX(Data_DBD!$B:$B,$A94)</f>
        <v/>
      </c>
      <c r="C94" s="17">
        <f t="array" ref="C94">INDEX(Data_DBD!$C:$C,$A94)</f>
        <v/>
      </c>
      <c r="D94" s="17">
        <f t="array" ref="D94">INDEX(Data_DBD!$D:$D,$A94)</f>
        <v/>
      </c>
      <c r="E94" s="17">
        <f t="array" ref="E94">INDEX(Data_DBD!$E:$E,$A94)</f>
        <v/>
      </c>
      <c r="F94" s="17">
        <f t="array" ref="F94">INDEX(Data_DBD!$F:$F,$A94)</f>
        <v/>
      </c>
      <c r="H94" s="17" t="n">
        <v>2</v>
      </c>
      <c r="I94" s="17" t="n">
        <v>34</v>
      </c>
      <c r="J94" s="17" t="n">
        <v>3</v>
      </c>
      <c r="K94" s="17" t="n">
        <v>12</v>
      </c>
      <c r="L94" s="17" t="n">
        <v>0</v>
      </c>
      <c r="M94" s="17" t="inlineStr">
        <is>
          <t>Sedang</t>
        </is>
      </c>
    </row>
    <row r="95" s="1">
      <c r="A95" s="17">
        <f>RANDBETWEEN(2,164)</f>
        <v/>
      </c>
      <c r="B95" s="17">
        <f t="array" ref="B95">INDEX(Data_DBD!$B:$B,$A95)</f>
        <v/>
      </c>
      <c r="C95" s="17">
        <f t="array" ref="C95">INDEX(Data_DBD!$C:$C,$A95)</f>
        <v/>
      </c>
      <c r="D95" s="17">
        <f t="array" ref="D95">INDEX(Data_DBD!$D:$D,$A95)</f>
        <v/>
      </c>
      <c r="E95" s="17">
        <f t="array" ref="E95">INDEX(Data_DBD!$E:$E,$A95)</f>
        <v/>
      </c>
      <c r="F95" s="17">
        <f t="array" ref="F95">INDEX(Data_DBD!$F:$F,$A95)</f>
        <v/>
      </c>
      <c r="H95" s="17" t="n">
        <v>18</v>
      </c>
      <c r="I95" s="17" t="n">
        <v>49</v>
      </c>
      <c r="J95" s="17" t="n">
        <v>4</v>
      </c>
      <c r="K95" s="17" t="n">
        <v>7</v>
      </c>
      <c r="L95" s="17" t="n">
        <v>1</v>
      </c>
      <c r="M95" s="17" t="inlineStr">
        <is>
          <t>Rendah</t>
        </is>
      </c>
    </row>
    <row r="96" s="1">
      <c r="A96" s="17">
        <f>RANDBETWEEN(2,164)</f>
        <v/>
      </c>
      <c r="B96" s="17">
        <f t="array" ref="B96">INDEX(Data_DBD!$B:$B,$A96)</f>
        <v/>
      </c>
      <c r="C96" s="17">
        <f t="array" ref="C96">INDEX(Data_DBD!$C:$C,$A96)</f>
        <v/>
      </c>
      <c r="D96" s="17">
        <f t="array" ref="D96">INDEX(Data_DBD!$D:$D,$A96)</f>
        <v/>
      </c>
      <c r="E96" s="17">
        <f t="array" ref="E96">INDEX(Data_DBD!$E:$E,$A96)</f>
        <v/>
      </c>
      <c r="F96" s="17">
        <f t="array" ref="F96">INDEX(Data_DBD!$F:$F,$A96)</f>
        <v/>
      </c>
      <c r="H96" s="17" t="n">
        <v>104</v>
      </c>
      <c r="I96" s="17" t="n">
        <v>37</v>
      </c>
      <c r="J96" s="17" t="n">
        <v>4</v>
      </c>
      <c r="K96" s="17" t="n">
        <v>18</v>
      </c>
      <c r="L96" s="17" t="n">
        <v>1</v>
      </c>
      <c r="M96" s="17" t="inlineStr">
        <is>
          <t>Tinggi</t>
        </is>
      </c>
    </row>
    <row r="97" s="1">
      <c r="A97" s="17">
        <f>RANDBETWEEN(2,164)</f>
        <v/>
      </c>
      <c r="B97" s="17">
        <f t="array" ref="B97">INDEX(Data_DBD!$B:$B,$A97)</f>
        <v/>
      </c>
      <c r="C97" s="17">
        <f t="array" ref="C97">INDEX(Data_DBD!$C:$C,$A97)</f>
        <v/>
      </c>
      <c r="D97" s="17">
        <f t="array" ref="D97">INDEX(Data_DBD!$D:$D,$A97)</f>
        <v/>
      </c>
      <c r="E97" s="17">
        <f t="array" ref="E97">INDEX(Data_DBD!$E:$E,$A97)</f>
        <v/>
      </c>
      <c r="F97" s="17">
        <f t="array" ref="F97">INDEX(Data_DBD!$F:$F,$A97)</f>
        <v/>
      </c>
      <c r="H97" s="17" t="n">
        <v>7</v>
      </c>
      <c r="I97" s="17" t="n">
        <v>12</v>
      </c>
      <c r="J97" s="17" t="n">
        <v>1</v>
      </c>
      <c r="K97" s="17" t="n">
        <v>12</v>
      </c>
      <c r="L97" s="17" t="n">
        <v>1</v>
      </c>
      <c r="M97" s="17" t="inlineStr">
        <is>
          <t>Sedang</t>
        </is>
      </c>
    </row>
    <row r="98" s="1">
      <c r="A98" s="17">
        <f>RANDBETWEEN(2,164)</f>
        <v/>
      </c>
      <c r="B98" s="17">
        <f t="array" ref="B98">INDEX(Data_DBD!$B:$B,$A98)</f>
        <v/>
      </c>
      <c r="C98" s="17">
        <f t="array" ref="C98">INDEX(Data_DBD!$C:$C,$A98)</f>
        <v/>
      </c>
      <c r="D98" s="17">
        <f t="array" ref="D98">INDEX(Data_DBD!$D:$D,$A98)</f>
        <v/>
      </c>
      <c r="E98" s="17">
        <f t="array" ref="E98">INDEX(Data_DBD!$E:$E,$A98)</f>
        <v/>
      </c>
      <c r="F98" s="17">
        <f t="array" ref="F98">INDEX(Data_DBD!$F:$F,$A98)</f>
        <v/>
      </c>
      <c r="H98" s="17" t="n">
        <v>102</v>
      </c>
      <c r="I98" s="17" t="n">
        <v>41</v>
      </c>
      <c r="J98" s="17" t="n">
        <v>4</v>
      </c>
      <c r="K98" s="17" t="n">
        <v>18</v>
      </c>
      <c r="L98" s="17" t="n">
        <v>0</v>
      </c>
      <c r="M98" s="17" t="inlineStr">
        <is>
          <t>Tinggi</t>
        </is>
      </c>
    </row>
    <row r="99" s="1">
      <c r="A99" s="17">
        <f>RANDBETWEEN(2,164)</f>
        <v/>
      </c>
      <c r="B99" s="17">
        <f t="array" ref="B99">INDEX(Data_DBD!$B:$B,$A99)</f>
        <v/>
      </c>
      <c r="C99" s="17">
        <f t="array" ref="C99">INDEX(Data_DBD!$C:$C,$A99)</f>
        <v/>
      </c>
      <c r="D99" s="17">
        <f t="array" ref="D99">INDEX(Data_DBD!$D:$D,$A99)</f>
        <v/>
      </c>
      <c r="E99" s="17">
        <f t="array" ref="E99">INDEX(Data_DBD!$E:$E,$A99)</f>
        <v/>
      </c>
      <c r="F99" s="17">
        <f t="array" ref="F99">INDEX(Data_DBD!$F:$F,$A99)</f>
        <v/>
      </c>
      <c r="H99" s="17" t="n">
        <v>31</v>
      </c>
      <c r="I99" s="17" t="n">
        <v>64</v>
      </c>
      <c r="J99" s="17" t="n">
        <v>4</v>
      </c>
      <c r="K99" s="17" t="n">
        <v>14</v>
      </c>
      <c r="L99" s="17" t="n">
        <v>1</v>
      </c>
      <c r="M99" s="17" t="inlineStr">
        <is>
          <t>Sedang</t>
        </is>
      </c>
    </row>
    <row r="100" s="1">
      <c r="A100" s="17">
        <f>RANDBETWEEN(2,164)</f>
        <v/>
      </c>
      <c r="B100" s="17">
        <f t="array" ref="B100">INDEX(Data_DBD!$B:$B,$A100)</f>
        <v/>
      </c>
      <c r="C100" s="17">
        <f t="array" ref="C100">INDEX(Data_DBD!$C:$C,$A100)</f>
        <v/>
      </c>
      <c r="D100" s="17">
        <f t="array" ref="D100">INDEX(Data_DBD!$D:$D,$A100)</f>
        <v/>
      </c>
      <c r="E100" s="17">
        <f t="array" ref="E100">INDEX(Data_DBD!$E:$E,$A100)</f>
        <v/>
      </c>
      <c r="F100" s="17">
        <f t="array" ref="F100">INDEX(Data_DBD!$F:$F,$A100)</f>
        <v/>
      </c>
      <c r="H100" s="17" t="n">
        <v>102</v>
      </c>
      <c r="I100" s="17" t="n">
        <v>41</v>
      </c>
      <c r="J100" s="17" t="n">
        <v>4</v>
      </c>
      <c r="K100" s="17" t="n">
        <v>18</v>
      </c>
      <c r="L100" s="17" t="n">
        <v>0</v>
      </c>
      <c r="M100" s="17" t="inlineStr">
        <is>
          <t>Tinggi</t>
        </is>
      </c>
    </row>
    <row r="101" s="1">
      <c r="A101" s="17">
        <f>RANDBETWEEN(2,164)</f>
        <v/>
      </c>
      <c r="B101" s="17">
        <f t="array" ref="B101">INDEX(Data_DBD!$B:$B,$A101)</f>
        <v/>
      </c>
      <c r="C101" s="17">
        <f t="array" ref="C101">INDEX(Data_DBD!$C:$C,$A101)</f>
        <v/>
      </c>
      <c r="D101" s="17">
        <f t="array" ref="D101">INDEX(Data_DBD!$D:$D,$A101)</f>
        <v/>
      </c>
      <c r="E101" s="17">
        <f t="array" ref="E101">INDEX(Data_DBD!$E:$E,$A101)</f>
        <v/>
      </c>
      <c r="F101" s="17">
        <f t="array" ref="F101">INDEX(Data_DBD!$F:$F,$A101)</f>
        <v/>
      </c>
      <c r="H101" s="17" t="n">
        <v>127</v>
      </c>
      <c r="I101" s="17" t="n">
        <v>21</v>
      </c>
      <c r="J101" s="17" t="n">
        <v>2</v>
      </c>
      <c r="K101" s="17" t="n">
        <v>33</v>
      </c>
      <c r="L101" s="17" t="n">
        <v>0</v>
      </c>
      <c r="M101" s="17" t="inlineStr">
        <is>
          <t>Tinggi</t>
        </is>
      </c>
    </row>
    <row r="102" s="1">
      <c r="A102" s="17">
        <f>RANDBETWEEN(2,164)</f>
        <v/>
      </c>
      <c r="B102" s="17">
        <f t="array" ref="B102">INDEX(Data_DBD!$B:$B,$A102)</f>
        <v/>
      </c>
      <c r="C102" s="17">
        <f t="array" ref="C102">INDEX(Data_DBD!$C:$C,$A102)</f>
        <v/>
      </c>
      <c r="D102" s="17">
        <f t="array" ref="D102">INDEX(Data_DBD!$D:$D,$A102)</f>
        <v/>
      </c>
      <c r="E102" s="17">
        <f t="array" ref="E102">INDEX(Data_DBD!$E:$E,$A102)</f>
        <v/>
      </c>
      <c r="F102" s="17">
        <f t="array" ref="F102">INDEX(Data_DBD!$F:$F,$A102)</f>
        <v/>
      </c>
      <c r="H102" s="17" t="n">
        <v>157</v>
      </c>
      <c r="I102" s="17" t="n">
        <v>15</v>
      </c>
      <c r="J102" s="17" t="n">
        <v>4</v>
      </c>
      <c r="K102" s="17" t="n">
        <v>21</v>
      </c>
      <c r="L102" s="17" t="n">
        <v>1</v>
      </c>
      <c r="M102" s="17" t="inlineStr">
        <is>
          <t>Tinggi</t>
        </is>
      </c>
    </row>
    <row r="103" s="1">
      <c r="A103" s="17">
        <f>RANDBETWEEN(2,164)</f>
        <v/>
      </c>
      <c r="B103" s="17">
        <f t="array" ref="B103">INDEX(Data_DBD!$B:$B,$A103)</f>
        <v/>
      </c>
      <c r="C103" s="17">
        <f t="array" ref="C103">INDEX(Data_DBD!$C:$C,$A103)</f>
        <v/>
      </c>
      <c r="D103" s="17">
        <f t="array" ref="D103">INDEX(Data_DBD!$D:$D,$A103)</f>
        <v/>
      </c>
      <c r="E103" s="17">
        <f t="array" ref="E103">INDEX(Data_DBD!$E:$E,$A103)</f>
        <v/>
      </c>
      <c r="F103" s="17">
        <f t="array" ref="F103">INDEX(Data_DBD!$F:$F,$A103)</f>
        <v/>
      </c>
      <c r="H103" s="17" t="n">
        <v>85</v>
      </c>
      <c r="I103" s="17" t="n">
        <v>27</v>
      </c>
      <c r="J103" s="17" t="n">
        <v>9</v>
      </c>
      <c r="K103" s="17" t="n">
        <v>13</v>
      </c>
      <c r="L103" s="17" t="n">
        <v>0</v>
      </c>
      <c r="M103" s="17" t="inlineStr">
        <is>
          <t>Sedang</t>
        </is>
      </c>
    </row>
    <row r="104" s="1">
      <c r="A104" s="17">
        <f>RANDBETWEEN(2,164)</f>
        <v/>
      </c>
      <c r="B104" s="17">
        <f t="array" ref="B104">INDEX(Data_DBD!$B:$B,$A104)</f>
        <v/>
      </c>
      <c r="C104" s="17">
        <f t="array" ref="C104">INDEX(Data_DBD!$C:$C,$A104)</f>
        <v/>
      </c>
      <c r="D104" s="17">
        <f t="array" ref="D104">INDEX(Data_DBD!$D:$D,$A104)</f>
        <v/>
      </c>
      <c r="E104" s="17">
        <f t="array" ref="E104">INDEX(Data_DBD!$E:$E,$A104)</f>
        <v/>
      </c>
      <c r="F104" s="17">
        <f t="array" ref="F104">INDEX(Data_DBD!$F:$F,$A104)</f>
        <v/>
      </c>
      <c r="H104" s="17" t="n">
        <v>89</v>
      </c>
      <c r="I104" s="17" t="n">
        <v>32</v>
      </c>
      <c r="J104" s="17" t="n">
        <v>4</v>
      </c>
      <c r="K104" s="17" t="n">
        <v>13</v>
      </c>
      <c r="L104" s="17" t="n">
        <v>0</v>
      </c>
      <c r="M104" s="17" t="inlineStr">
        <is>
          <t>Sedang</t>
        </is>
      </c>
    </row>
    <row r="105" s="1">
      <c r="A105" s="17">
        <f>RANDBETWEEN(2,164)</f>
        <v/>
      </c>
      <c r="B105" s="17">
        <f t="array" ref="B105">INDEX(Data_DBD!$B:$B,$A105)</f>
        <v/>
      </c>
      <c r="C105" s="17">
        <f t="array" ref="C105">INDEX(Data_DBD!$C:$C,$A105)</f>
        <v/>
      </c>
      <c r="D105" s="17">
        <f t="array" ref="D105">INDEX(Data_DBD!$D:$D,$A105)</f>
        <v/>
      </c>
      <c r="E105" s="17">
        <f t="array" ref="E105">INDEX(Data_DBD!$E:$E,$A105)</f>
        <v/>
      </c>
      <c r="F105" s="17">
        <f t="array" ref="F105">INDEX(Data_DBD!$F:$F,$A105)</f>
        <v/>
      </c>
      <c r="H105" s="17" t="n">
        <v>160</v>
      </c>
      <c r="I105" s="17" t="n">
        <v>16</v>
      </c>
      <c r="J105" s="17" t="n">
        <v>3</v>
      </c>
      <c r="K105" s="17" t="n">
        <v>21</v>
      </c>
      <c r="L105" s="17" t="n">
        <v>0</v>
      </c>
      <c r="M105" s="17" t="inlineStr">
        <is>
          <t>Tinggi</t>
        </is>
      </c>
    </row>
    <row r="106" s="1">
      <c r="A106" s="17">
        <f>RANDBETWEEN(2,164)</f>
        <v/>
      </c>
      <c r="B106" s="17">
        <f t="array" ref="B106">INDEX(Data_DBD!$B:$B,$A106)</f>
        <v/>
      </c>
      <c r="C106" s="17">
        <f t="array" ref="C106">INDEX(Data_DBD!$C:$C,$A106)</f>
        <v/>
      </c>
      <c r="D106" s="17">
        <f t="array" ref="D106">INDEX(Data_DBD!$D:$D,$A106)</f>
        <v/>
      </c>
      <c r="E106" s="17">
        <f t="array" ref="E106">INDEX(Data_DBD!$E:$E,$A106)</f>
        <v/>
      </c>
      <c r="F106" s="17">
        <f t="array" ref="F106">INDEX(Data_DBD!$F:$F,$A106)</f>
        <v/>
      </c>
      <c r="H106" s="17" t="n">
        <v>21</v>
      </c>
      <c r="I106" s="17" t="n">
        <v>10</v>
      </c>
      <c r="J106" s="17" t="n">
        <v>5</v>
      </c>
      <c r="K106" s="17" t="n">
        <v>14</v>
      </c>
      <c r="L106" s="17" t="n">
        <v>1</v>
      </c>
      <c r="M106" s="17" t="inlineStr">
        <is>
          <t>Sedang</t>
        </is>
      </c>
    </row>
    <row r="107" s="1">
      <c r="A107" s="17">
        <f>RANDBETWEEN(2,164)</f>
        <v/>
      </c>
      <c r="B107" s="17">
        <f t="array" ref="B107">INDEX(Data_DBD!$B:$B,$A107)</f>
        <v/>
      </c>
      <c r="C107" s="17">
        <f t="array" ref="C107">INDEX(Data_DBD!$C:$C,$A107)</f>
        <v/>
      </c>
      <c r="D107" s="17">
        <f t="array" ref="D107">INDEX(Data_DBD!$D:$D,$A107)</f>
        <v/>
      </c>
      <c r="E107" s="17">
        <f t="array" ref="E107">INDEX(Data_DBD!$E:$E,$A107)</f>
        <v/>
      </c>
      <c r="F107" s="17">
        <f t="array" ref="F107">INDEX(Data_DBD!$F:$F,$A107)</f>
        <v/>
      </c>
      <c r="H107" s="17" t="n">
        <v>129</v>
      </c>
      <c r="I107" s="17" t="n">
        <v>4</v>
      </c>
      <c r="J107" s="17" t="n">
        <v>3</v>
      </c>
      <c r="K107" s="17" t="n">
        <v>33</v>
      </c>
      <c r="L107" s="17" t="n">
        <v>0</v>
      </c>
      <c r="M107" s="17" t="inlineStr">
        <is>
          <t>Tinggi</t>
        </is>
      </c>
    </row>
    <row r="108" s="1">
      <c r="A108" s="17">
        <f>RANDBETWEEN(2,164)</f>
        <v/>
      </c>
      <c r="B108" s="17">
        <f t="array" ref="B108">INDEX(Data_DBD!$B:$B,$A108)</f>
        <v/>
      </c>
      <c r="C108" s="17">
        <f t="array" ref="C108">INDEX(Data_DBD!$C:$C,$A108)</f>
        <v/>
      </c>
      <c r="D108" s="17">
        <f t="array" ref="D108">INDEX(Data_DBD!$D:$D,$A108)</f>
        <v/>
      </c>
      <c r="E108" s="17">
        <f t="array" ref="E108">INDEX(Data_DBD!$E:$E,$A108)</f>
        <v/>
      </c>
      <c r="F108" s="17">
        <f t="array" ref="F108">INDEX(Data_DBD!$F:$F,$A108)</f>
        <v/>
      </c>
      <c r="H108" s="17" t="n">
        <v>34</v>
      </c>
      <c r="I108" s="17" t="n">
        <v>55</v>
      </c>
      <c r="J108" s="17" t="n">
        <v>3</v>
      </c>
      <c r="K108" s="17" t="n">
        <v>14</v>
      </c>
      <c r="L108" s="17" t="n">
        <v>0</v>
      </c>
      <c r="M108" s="17" t="inlineStr">
        <is>
          <t>Sedang</t>
        </is>
      </c>
    </row>
    <row r="109" s="1">
      <c r="A109" s="17">
        <f>RANDBETWEEN(2,164)</f>
        <v/>
      </c>
      <c r="B109" s="17">
        <f t="array" ref="B109">INDEX(Data_DBD!$B:$B,$A109)</f>
        <v/>
      </c>
      <c r="C109" s="17">
        <f t="array" ref="C109">INDEX(Data_DBD!$C:$C,$A109)</f>
        <v/>
      </c>
      <c r="D109" s="17">
        <f t="array" ref="D109">INDEX(Data_DBD!$D:$D,$A109)</f>
        <v/>
      </c>
      <c r="E109" s="17">
        <f t="array" ref="E109">INDEX(Data_DBD!$E:$E,$A109)</f>
        <v/>
      </c>
      <c r="F109" s="17">
        <f t="array" ref="F109">INDEX(Data_DBD!$F:$F,$A109)</f>
        <v/>
      </c>
      <c r="H109" s="17" t="n">
        <v>121</v>
      </c>
      <c r="I109" s="17" t="n">
        <v>82</v>
      </c>
      <c r="J109" s="17" t="n">
        <v>5</v>
      </c>
      <c r="K109" s="17" t="n">
        <v>33</v>
      </c>
      <c r="L109" s="17" t="n">
        <v>1</v>
      </c>
      <c r="M109" s="17" t="inlineStr">
        <is>
          <t>Tinggi</t>
        </is>
      </c>
    </row>
    <row r="110" s="1">
      <c r="A110" s="17">
        <f>RANDBETWEEN(2,164)</f>
        <v/>
      </c>
      <c r="B110" s="17">
        <f t="array" ref="B110">INDEX(Data_DBD!$B:$B,$A110)</f>
        <v/>
      </c>
      <c r="C110" s="17">
        <f t="array" ref="C110">INDEX(Data_DBD!$C:$C,$A110)</f>
        <v/>
      </c>
      <c r="D110" s="17">
        <f t="array" ref="D110">INDEX(Data_DBD!$D:$D,$A110)</f>
        <v/>
      </c>
      <c r="E110" s="17">
        <f t="array" ref="E110">INDEX(Data_DBD!$E:$E,$A110)</f>
        <v/>
      </c>
      <c r="F110" s="17">
        <f t="array" ref="F110">INDEX(Data_DBD!$F:$F,$A110)</f>
        <v/>
      </c>
      <c r="H110" s="17" t="n">
        <v>20</v>
      </c>
      <c r="I110" s="17" t="n">
        <v>15</v>
      </c>
      <c r="J110" s="17" t="n">
        <v>5</v>
      </c>
      <c r="K110" s="17" t="n">
        <v>7</v>
      </c>
      <c r="L110" s="17" t="n">
        <v>0</v>
      </c>
      <c r="M110" s="17" t="inlineStr">
        <is>
          <t>Rendah</t>
        </is>
      </c>
    </row>
    <row r="111" s="1">
      <c r="A111" s="17">
        <f>RANDBETWEEN(2,164)</f>
        <v/>
      </c>
      <c r="B111" s="17">
        <f t="array" ref="B111">INDEX(Data_DBD!$B:$B,$A111)</f>
        <v/>
      </c>
      <c r="C111" s="17">
        <f t="array" ref="C111">INDEX(Data_DBD!$C:$C,$A111)</f>
        <v/>
      </c>
      <c r="D111" s="17">
        <f t="array" ref="D111">INDEX(Data_DBD!$D:$D,$A111)</f>
        <v/>
      </c>
      <c r="E111" s="17">
        <f t="array" ref="E111">INDEX(Data_DBD!$E:$E,$A111)</f>
        <v/>
      </c>
      <c r="F111" s="17">
        <f t="array" ref="F111">INDEX(Data_DBD!$F:$F,$A111)</f>
        <v/>
      </c>
      <c r="H111" s="17" t="n">
        <v>137</v>
      </c>
      <c r="I111" s="17" t="n">
        <v>3</v>
      </c>
      <c r="J111" s="17" t="n">
        <v>1</v>
      </c>
      <c r="K111" s="17" t="n">
        <v>33</v>
      </c>
      <c r="L111" s="17" t="n">
        <v>1</v>
      </c>
      <c r="M111" s="17" t="inlineStr">
        <is>
          <t>Tinggi</t>
        </is>
      </c>
    </row>
    <row r="112" s="1">
      <c r="A112" s="17">
        <f>RANDBETWEEN(2,164)</f>
        <v/>
      </c>
      <c r="B112" s="17">
        <f t="array" ref="B112">INDEX(Data_DBD!$B:$B,$A112)</f>
        <v/>
      </c>
      <c r="C112" s="17">
        <f t="array" ref="C112">INDEX(Data_DBD!$C:$C,$A112)</f>
        <v/>
      </c>
      <c r="D112" s="17">
        <f t="array" ref="D112">INDEX(Data_DBD!$D:$D,$A112)</f>
        <v/>
      </c>
      <c r="E112" s="17">
        <f t="array" ref="E112">INDEX(Data_DBD!$E:$E,$A112)</f>
        <v/>
      </c>
      <c r="F112" s="17">
        <f t="array" ref="F112">INDEX(Data_DBD!$F:$F,$A112)</f>
        <v/>
      </c>
      <c r="H112" s="17" t="n">
        <v>14</v>
      </c>
      <c r="I112" s="17" t="n">
        <v>49</v>
      </c>
      <c r="J112" s="17" t="n">
        <v>4</v>
      </c>
      <c r="K112" s="17" t="n">
        <v>7</v>
      </c>
      <c r="L112" s="17" t="n">
        <v>1</v>
      </c>
      <c r="M112" s="17" t="inlineStr">
        <is>
          <t>Rendah</t>
        </is>
      </c>
    </row>
    <row r="113" s="1">
      <c r="A113" s="17">
        <f>RANDBETWEEN(2,164)</f>
        <v/>
      </c>
      <c r="B113" s="17">
        <f t="array" ref="B113">INDEX(Data_DBD!$B:$B,$A113)</f>
        <v/>
      </c>
      <c r="C113" s="17">
        <f t="array" ref="C113">INDEX(Data_DBD!$C:$C,$A113)</f>
        <v/>
      </c>
      <c r="D113" s="17">
        <f t="array" ref="D113">INDEX(Data_DBD!$D:$D,$A113)</f>
        <v/>
      </c>
      <c r="E113" s="17">
        <f t="array" ref="E113">INDEX(Data_DBD!$E:$E,$A113)</f>
        <v/>
      </c>
      <c r="F113" s="17">
        <f t="array" ref="F113">INDEX(Data_DBD!$F:$F,$A113)</f>
        <v/>
      </c>
      <c r="H113" s="17" t="n">
        <v>157</v>
      </c>
      <c r="I113" s="17" t="n">
        <v>15</v>
      </c>
      <c r="J113" s="17" t="n">
        <v>4</v>
      </c>
      <c r="K113" s="17" t="n">
        <v>21</v>
      </c>
      <c r="L113" s="17" t="n">
        <v>1</v>
      </c>
      <c r="M113" s="17" t="inlineStr">
        <is>
          <t>Tinggi</t>
        </is>
      </c>
    </row>
    <row r="114" s="1">
      <c r="A114" s="17">
        <f>RANDBETWEEN(2,164)</f>
        <v/>
      </c>
      <c r="B114" s="17">
        <f t="array" ref="B114">INDEX(Data_DBD!$B:$B,$A114)</f>
        <v/>
      </c>
      <c r="C114" s="17">
        <f t="array" ref="C114">INDEX(Data_DBD!$C:$C,$A114)</f>
        <v/>
      </c>
      <c r="D114" s="17">
        <f t="array" ref="D114">INDEX(Data_DBD!$D:$D,$A114)</f>
        <v/>
      </c>
      <c r="E114" s="17">
        <f t="array" ref="E114">INDEX(Data_DBD!$E:$E,$A114)</f>
        <v/>
      </c>
      <c r="F114" s="17">
        <f t="array" ref="F114">INDEX(Data_DBD!$F:$F,$A114)</f>
        <v/>
      </c>
      <c r="H114" s="17" t="n">
        <v>121</v>
      </c>
      <c r="I114" s="17" t="n">
        <v>82</v>
      </c>
      <c r="J114" s="17" t="n">
        <v>5</v>
      </c>
      <c r="K114" s="17" t="n">
        <v>33</v>
      </c>
      <c r="L114" s="17" t="n">
        <v>1</v>
      </c>
      <c r="M114" s="17" t="inlineStr">
        <is>
          <t>Tinggi</t>
        </is>
      </c>
    </row>
    <row r="115" s="1">
      <c r="A115" s="17">
        <f>RANDBETWEEN(2,164)</f>
        <v/>
      </c>
      <c r="B115" s="17">
        <f t="array" ref="B115">INDEX(Data_DBD!$B:$B,$A115)</f>
        <v/>
      </c>
      <c r="C115" s="17">
        <f t="array" ref="C115">INDEX(Data_DBD!$C:$C,$A115)</f>
        <v/>
      </c>
      <c r="D115" s="17">
        <f t="array" ref="D115">INDEX(Data_DBD!$D:$D,$A115)</f>
        <v/>
      </c>
      <c r="E115" s="17">
        <f t="array" ref="E115">INDEX(Data_DBD!$E:$E,$A115)</f>
        <v/>
      </c>
      <c r="F115" s="17">
        <f t="array" ref="F115">INDEX(Data_DBD!$F:$F,$A115)</f>
        <v/>
      </c>
      <c r="H115" s="17" t="n">
        <v>56</v>
      </c>
      <c r="I115" s="17" t="n">
        <v>4</v>
      </c>
      <c r="J115" s="17" t="n">
        <v>3</v>
      </c>
      <c r="K115" s="17" t="n">
        <v>15</v>
      </c>
      <c r="L115" s="17" t="n">
        <v>0</v>
      </c>
      <c r="M115" s="17" t="inlineStr">
        <is>
          <t>Sedang</t>
        </is>
      </c>
    </row>
    <row r="116" s="1">
      <c r="A116" s="17">
        <f>RANDBETWEEN(2,164)</f>
        <v/>
      </c>
      <c r="B116" s="17">
        <f t="array" ref="B116">INDEX(Data_DBD!$B:$B,$A116)</f>
        <v/>
      </c>
      <c r="C116" s="17">
        <f t="array" ref="C116">INDEX(Data_DBD!$C:$C,$A116)</f>
        <v/>
      </c>
      <c r="D116" s="17">
        <f t="array" ref="D116">INDEX(Data_DBD!$D:$D,$A116)</f>
        <v/>
      </c>
      <c r="E116" s="17">
        <f t="array" ref="E116">INDEX(Data_DBD!$E:$E,$A116)</f>
        <v/>
      </c>
      <c r="F116" s="17">
        <f t="array" ref="F116">INDEX(Data_DBD!$F:$F,$A116)</f>
        <v/>
      </c>
      <c r="H116" s="17" t="n">
        <v>8</v>
      </c>
      <c r="I116" s="17" t="n">
        <v>4</v>
      </c>
      <c r="J116" s="17" t="n">
        <v>2</v>
      </c>
      <c r="K116" s="17" t="n">
        <v>12</v>
      </c>
      <c r="L116" s="17" t="n">
        <v>0</v>
      </c>
      <c r="M116" s="17" t="inlineStr">
        <is>
          <t>Sedang</t>
        </is>
      </c>
    </row>
    <row r="117" s="1">
      <c r="A117" s="17">
        <f>RANDBETWEEN(2,164)</f>
        <v/>
      </c>
      <c r="B117" s="17">
        <f t="array" ref="B117">INDEX(Data_DBD!$B:$B,$A117)</f>
        <v/>
      </c>
      <c r="C117" s="17">
        <f t="array" ref="C117">INDEX(Data_DBD!$C:$C,$A117)</f>
        <v/>
      </c>
      <c r="D117" s="17">
        <f t="array" ref="D117">INDEX(Data_DBD!$D:$D,$A117)</f>
        <v/>
      </c>
      <c r="E117" s="17">
        <f t="array" ref="E117">INDEX(Data_DBD!$E:$E,$A117)</f>
        <v/>
      </c>
      <c r="F117" s="17">
        <f t="array" ref="F117">INDEX(Data_DBD!$F:$F,$A117)</f>
        <v/>
      </c>
      <c r="H117" s="17" t="n">
        <v>94</v>
      </c>
      <c r="I117" s="17" t="n">
        <v>12</v>
      </c>
      <c r="J117" s="17" t="n">
        <v>4</v>
      </c>
      <c r="K117" s="17" t="n">
        <v>18</v>
      </c>
      <c r="L117" s="17" t="n">
        <v>0</v>
      </c>
      <c r="M117" s="17" t="inlineStr">
        <is>
          <t>Tinggi</t>
        </is>
      </c>
    </row>
    <row r="118" s="1">
      <c r="A118" s="17">
        <f>RANDBETWEEN(2,164)</f>
        <v/>
      </c>
      <c r="B118" s="17">
        <f t="array" ref="B118">INDEX(Data_DBD!$B:$B,$A118)</f>
        <v/>
      </c>
      <c r="C118" s="17">
        <f t="array" ref="C118">INDEX(Data_DBD!$C:$C,$A118)</f>
        <v/>
      </c>
      <c r="D118" s="17">
        <f t="array" ref="D118">INDEX(Data_DBD!$D:$D,$A118)</f>
        <v/>
      </c>
      <c r="E118" s="17">
        <f t="array" ref="E118">INDEX(Data_DBD!$E:$E,$A118)</f>
        <v/>
      </c>
      <c r="F118" s="17">
        <f t="array" ref="F118">INDEX(Data_DBD!$F:$F,$A118)</f>
        <v/>
      </c>
      <c r="H118" s="17" t="n">
        <v>10</v>
      </c>
      <c r="I118" s="17" t="n">
        <v>18</v>
      </c>
      <c r="J118" s="17" t="n">
        <v>5</v>
      </c>
      <c r="K118" s="17" t="n">
        <v>12</v>
      </c>
      <c r="L118" s="17" t="n">
        <v>0</v>
      </c>
      <c r="M118" s="17" t="inlineStr">
        <is>
          <t>Sedang</t>
        </is>
      </c>
    </row>
    <row r="119" s="1">
      <c r="A119" s="17">
        <f>RANDBETWEEN(2,164)</f>
        <v/>
      </c>
      <c r="B119" s="17">
        <f t="array" ref="B119">INDEX(Data_DBD!$B:$B,$A119)</f>
        <v/>
      </c>
      <c r="C119" s="17">
        <f t="array" ref="C119">INDEX(Data_DBD!$C:$C,$A119)</f>
        <v/>
      </c>
      <c r="D119" s="17">
        <f t="array" ref="D119">INDEX(Data_DBD!$D:$D,$A119)</f>
        <v/>
      </c>
      <c r="E119" s="17">
        <f t="array" ref="E119">INDEX(Data_DBD!$E:$E,$A119)</f>
        <v/>
      </c>
      <c r="F119" s="17">
        <f t="array" ref="F119">INDEX(Data_DBD!$F:$F,$A119)</f>
        <v/>
      </c>
      <c r="H119" s="17" t="n">
        <v>154</v>
      </c>
      <c r="I119" s="17" t="n">
        <v>18</v>
      </c>
      <c r="J119" s="17" t="n">
        <v>5</v>
      </c>
      <c r="K119" s="17" t="n">
        <v>21</v>
      </c>
      <c r="L119" s="17" t="n">
        <v>1</v>
      </c>
      <c r="M119" s="17" t="inlineStr">
        <is>
          <t>Tinggi</t>
        </is>
      </c>
    </row>
    <row r="120" s="1">
      <c r="A120" s="17">
        <f>RANDBETWEEN(2,164)</f>
        <v/>
      </c>
      <c r="B120" s="17">
        <f t="array" ref="B120">INDEX(Data_DBD!$B:$B,$A120)</f>
        <v/>
      </c>
      <c r="C120" s="17">
        <f t="array" ref="C120">INDEX(Data_DBD!$C:$C,$A120)</f>
        <v/>
      </c>
      <c r="D120" s="17">
        <f t="array" ref="D120">INDEX(Data_DBD!$D:$D,$A120)</f>
        <v/>
      </c>
      <c r="E120" s="17">
        <f t="array" ref="E120">INDEX(Data_DBD!$E:$E,$A120)</f>
        <v/>
      </c>
      <c r="F120" s="17">
        <f t="array" ref="F120">INDEX(Data_DBD!$F:$F,$A120)</f>
        <v/>
      </c>
      <c r="H120" s="17" t="n">
        <v>65</v>
      </c>
      <c r="I120" s="17" t="n">
        <v>49</v>
      </c>
      <c r="J120" s="17" t="n">
        <v>3</v>
      </c>
      <c r="K120" s="17" t="n">
        <v>15</v>
      </c>
      <c r="L120" s="17" t="n">
        <v>0</v>
      </c>
      <c r="M120" s="17" t="inlineStr">
        <is>
          <t>Sedang</t>
        </is>
      </c>
    </row>
    <row r="121" s="1">
      <c r="A121" s="17">
        <f>RANDBETWEEN(2,164)</f>
        <v/>
      </c>
      <c r="B121" s="17">
        <f t="array" ref="B121">INDEX(Data_DBD!$B:$B,$A121)</f>
        <v/>
      </c>
      <c r="C121" s="17">
        <f t="array" ref="C121">INDEX(Data_DBD!$C:$C,$A121)</f>
        <v/>
      </c>
      <c r="D121" s="17">
        <f t="array" ref="D121">INDEX(Data_DBD!$D:$D,$A121)</f>
        <v/>
      </c>
      <c r="E121" s="17">
        <f t="array" ref="E121">INDEX(Data_DBD!$E:$E,$A121)</f>
        <v/>
      </c>
      <c r="F121" s="17">
        <f t="array" ref="F121">INDEX(Data_DBD!$F:$F,$A121)</f>
        <v/>
      </c>
      <c r="H121" s="17" t="n">
        <v>75</v>
      </c>
      <c r="I121" s="17" t="n">
        <v>2</v>
      </c>
      <c r="J121" s="17" t="n">
        <v>2</v>
      </c>
      <c r="K121" s="17" t="n">
        <v>10</v>
      </c>
      <c r="L121" s="17" t="n">
        <v>1</v>
      </c>
      <c r="M121" s="17" t="inlineStr">
        <is>
          <t>Sedang</t>
        </is>
      </c>
    </row>
    <row r="122" s="1">
      <c r="A122" s="17">
        <f>RANDBETWEEN(2,164)</f>
        <v/>
      </c>
      <c r="B122" s="17">
        <f t="array" ref="B122">INDEX(Data_DBD!$B:$B,$A122)</f>
        <v/>
      </c>
      <c r="C122" s="17">
        <f t="array" ref="C122">INDEX(Data_DBD!$C:$C,$A122)</f>
        <v/>
      </c>
      <c r="D122" s="17">
        <f t="array" ref="D122">INDEX(Data_DBD!$D:$D,$A122)</f>
        <v/>
      </c>
      <c r="E122" s="17">
        <f t="array" ref="E122">INDEX(Data_DBD!$E:$E,$A122)</f>
        <v/>
      </c>
      <c r="F122" s="17">
        <f t="array" ref="F122">INDEX(Data_DBD!$F:$F,$A122)</f>
        <v/>
      </c>
      <c r="H122" s="17" t="n">
        <v>4</v>
      </c>
      <c r="I122" s="17" t="n">
        <v>23</v>
      </c>
      <c r="J122" s="17" t="n">
        <v>5</v>
      </c>
      <c r="K122" s="17" t="n">
        <v>12</v>
      </c>
      <c r="L122" s="17" t="n">
        <v>0</v>
      </c>
      <c r="M122" s="17" t="inlineStr">
        <is>
          <t>Sedang</t>
        </is>
      </c>
    </row>
    <row r="123" s="1">
      <c r="A123" s="17">
        <f>RANDBETWEEN(2,164)</f>
        <v/>
      </c>
      <c r="B123" s="17">
        <f t="array" ref="B123">INDEX(Data_DBD!$B:$B,$A123)</f>
        <v/>
      </c>
      <c r="C123" s="17">
        <f t="array" ref="C123">INDEX(Data_DBD!$C:$C,$A123)</f>
        <v/>
      </c>
      <c r="D123" s="17">
        <f t="array" ref="D123">INDEX(Data_DBD!$D:$D,$A123)</f>
        <v/>
      </c>
      <c r="E123" s="17">
        <f t="array" ref="E123">INDEX(Data_DBD!$E:$E,$A123)</f>
        <v/>
      </c>
      <c r="F123" s="17">
        <f t="array" ref="F123">INDEX(Data_DBD!$F:$F,$A123)</f>
        <v/>
      </c>
      <c r="H123" s="17" t="n">
        <v>105</v>
      </c>
      <c r="I123" s="17" t="n">
        <v>61</v>
      </c>
      <c r="J123" s="17" t="n">
        <v>3</v>
      </c>
      <c r="K123" s="17" t="n">
        <v>18</v>
      </c>
      <c r="L123" s="17" t="n">
        <v>1</v>
      </c>
      <c r="M123" s="17" t="inlineStr">
        <is>
          <t>Tinggi</t>
        </is>
      </c>
    </row>
    <row r="124" s="1">
      <c r="A124" s="17">
        <f>RANDBETWEEN(2,164)</f>
        <v/>
      </c>
      <c r="B124" s="17">
        <f t="array" ref="B124">INDEX(Data_DBD!$B:$B,$A124)</f>
        <v/>
      </c>
      <c r="C124" s="17">
        <f t="array" ref="C124">INDEX(Data_DBD!$C:$C,$A124)</f>
        <v/>
      </c>
      <c r="D124" s="17">
        <f t="array" ref="D124">INDEX(Data_DBD!$D:$D,$A124)</f>
        <v/>
      </c>
      <c r="E124" s="17">
        <f t="array" ref="E124">INDEX(Data_DBD!$E:$E,$A124)</f>
        <v/>
      </c>
      <c r="F124" s="17">
        <f t="array" ref="F124">INDEX(Data_DBD!$F:$F,$A124)</f>
        <v/>
      </c>
      <c r="H124" s="17" t="n">
        <v>123</v>
      </c>
      <c r="I124" s="17" t="n">
        <v>22</v>
      </c>
      <c r="J124" s="17" t="n">
        <v>4</v>
      </c>
      <c r="K124" s="17" t="n">
        <v>33</v>
      </c>
      <c r="L124" s="17" t="n">
        <v>0</v>
      </c>
      <c r="M124" s="17" t="inlineStr">
        <is>
          <t>Tinggi</t>
        </is>
      </c>
    </row>
    <row r="125" s="1">
      <c r="A125" s="17">
        <f>RANDBETWEEN(2,164)</f>
        <v/>
      </c>
      <c r="B125" s="17">
        <f t="array" ref="B125">INDEX(Data_DBD!$B:$B,$A125)</f>
        <v/>
      </c>
      <c r="C125" s="17">
        <f t="array" ref="C125">INDEX(Data_DBD!$C:$C,$A125)</f>
        <v/>
      </c>
      <c r="D125" s="17">
        <f t="array" ref="D125">INDEX(Data_DBD!$D:$D,$A125)</f>
        <v/>
      </c>
      <c r="E125" s="17">
        <f t="array" ref="E125">INDEX(Data_DBD!$E:$E,$A125)</f>
        <v/>
      </c>
      <c r="F125" s="17">
        <f t="array" ref="F125">INDEX(Data_DBD!$F:$F,$A125)</f>
        <v/>
      </c>
      <c r="H125" s="17" t="n">
        <v>59</v>
      </c>
      <c r="I125" s="17" t="n">
        <v>28</v>
      </c>
      <c r="J125" s="17" t="n">
        <v>4</v>
      </c>
      <c r="K125" s="17" t="n">
        <v>15</v>
      </c>
      <c r="L125" s="17" t="n">
        <v>0</v>
      </c>
      <c r="M125" s="17" t="inlineStr">
        <is>
          <t>Sedang</t>
        </is>
      </c>
    </row>
    <row r="126" s="1">
      <c r="A126" s="17">
        <f>RANDBETWEEN(2,164)</f>
        <v/>
      </c>
      <c r="B126" s="17">
        <f t="array" ref="B126">INDEX(Data_DBD!$B:$B,$A126)</f>
        <v/>
      </c>
      <c r="C126" s="17">
        <f t="array" ref="C126">INDEX(Data_DBD!$C:$C,$A126)</f>
        <v/>
      </c>
      <c r="D126" s="17">
        <f t="array" ref="D126">INDEX(Data_DBD!$D:$D,$A126)</f>
        <v/>
      </c>
      <c r="E126" s="17">
        <f t="array" ref="E126">INDEX(Data_DBD!$E:$E,$A126)</f>
        <v/>
      </c>
      <c r="F126" s="17">
        <f t="array" ref="F126">INDEX(Data_DBD!$F:$F,$A126)</f>
        <v/>
      </c>
      <c r="H126" s="17" t="n">
        <v>34</v>
      </c>
      <c r="I126" s="17" t="n">
        <v>55</v>
      </c>
      <c r="J126" s="17" t="n">
        <v>3</v>
      </c>
      <c r="K126" s="17" t="n">
        <v>14</v>
      </c>
      <c r="L126" s="17" t="n">
        <v>0</v>
      </c>
      <c r="M126" s="17" t="inlineStr">
        <is>
          <t>Sedang</t>
        </is>
      </c>
    </row>
    <row r="127" s="1">
      <c r="A127" s="17">
        <f>RANDBETWEEN(2,164)</f>
        <v/>
      </c>
      <c r="B127" s="17">
        <f t="array" ref="B127">INDEX(Data_DBD!$B:$B,$A127)</f>
        <v/>
      </c>
      <c r="C127" s="17">
        <f t="array" ref="C127">INDEX(Data_DBD!$C:$C,$A127)</f>
        <v/>
      </c>
      <c r="D127" s="17">
        <f t="array" ref="D127">INDEX(Data_DBD!$D:$D,$A127)</f>
        <v/>
      </c>
      <c r="E127" s="17">
        <f t="array" ref="E127">INDEX(Data_DBD!$E:$E,$A127)</f>
        <v/>
      </c>
      <c r="F127" s="17">
        <f t="array" ref="F127">INDEX(Data_DBD!$F:$F,$A127)</f>
        <v/>
      </c>
      <c r="H127" s="17" t="n">
        <v>109</v>
      </c>
      <c r="I127" s="17" t="n">
        <v>40</v>
      </c>
      <c r="J127" s="17" t="n">
        <v>3</v>
      </c>
      <c r="K127" s="17" t="n">
        <v>33</v>
      </c>
      <c r="L127" s="17" t="n">
        <v>1</v>
      </c>
      <c r="M127" s="17" t="inlineStr">
        <is>
          <t>Tinggi</t>
        </is>
      </c>
    </row>
    <row r="128" s="1">
      <c r="A128" s="17">
        <f>RANDBETWEEN(2,164)</f>
        <v/>
      </c>
      <c r="B128" s="17">
        <f t="array" ref="B128">INDEX(Data_DBD!$B:$B,$A128)</f>
        <v/>
      </c>
      <c r="C128" s="17">
        <f t="array" ref="C128">INDEX(Data_DBD!$C:$C,$A128)</f>
        <v/>
      </c>
      <c r="D128" s="17">
        <f t="array" ref="D128">INDEX(Data_DBD!$D:$D,$A128)</f>
        <v/>
      </c>
      <c r="E128" s="17">
        <f t="array" ref="E128">INDEX(Data_DBD!$E:$E,$A128)</f>
        <v/>
      </c>
      <c r="F128" s="17">
        <f t="array" ref="F128">INDEX(Data_DBD!$F:$F,$A128)</f>
        <v/>
      </c>
      <c r="H128" s="17" t="n">
        <v>29</v>
      </c>
      <c r="I128" s="17" t="n">
        <v>19</v>
      </c>
      <c r="J128" s="17" t="n">
        <v>2</v>
      </c>
      <c r="K128" s="17" t="n">
        <v>14</v>
      </c>
      <c r="L128" s="17" t="n">
        <v>1</v>
      </c>
      <c r="M128" s="17" t="inlineStr">
        <is>
          <t>Sedang</t>
        </is>
      </c>
    </row>
    <row r="129" s="1">
      <c r="A129" s="17">
        <f>RANDBETWEEN(2,164)</f>
        <v/>
      </c>
      <c r="B129" s="17">
        <f t="array" ref="B129">INDEX(Data_DBD!$B:$B,$A129)</f>
        <v/>
      </c>
      <c r="C129" s="17">
        <f t="array" ref="C129">INDEX(Data_DBD!$C:$C,$A129)</f>
        <v/>
      </c>
      <c r="D129" s="17">
        <f t="array" ref="D129">INDEX(Data_DBD!$D:$D,$A129)</f>
        <v/>
      </c>
      <c r="E129" s="17">
        <f t="array" ref="E129">INDEX(Data_DBD!$E:$E,$A129)</f>
        <v/>
      </c>
      <c r="F129" s="17">
        <f t="array" ref="F129">INDEX(Data_DBD!$F:$F,$A129)</f>
        <v/>
      </c>
      <c r="H129" s="17" t="n">
        <v>48</v>
      </c>
      <c r="I129" s="17" t="n">
        <v>50</v>
      </c>
      <c r="J129" s="17" t="n">
        <v>5</v>
      </c>
      <c r="K129" s="17" t="n">
        <v>13</v>
      </c>
      <c r="L129" s="17" t="n">
        <v>1</v>
      </c>
      <c r="M129" s="17" t="inlineStr">
        <is>
          <t>Sedang</t>
        </is>
      </c>
    </row>
    <row r="130" s="1">
      <c r="A130" s="17">
        <f>RANDBETWEEN(2,164)</f>
        <v/>
      </c>
      <c r="B130" s="17">
        <f t="array" ref="B130">INDEX(Data_DBD!$B:$B,$A130)</f>
        <v/>
      </c>
      <c r="C130" s="17">
        <f t="array" ref="C130">INDEX(Data_DBD!$C:$C,$A130)</f>
        <v/>
      </c>
      <c r="D130" s="17">
        <f t="array" ref="D130">INDEX(Data_DBD!$D:$D,$A130)</f>
        <v/>
      </c>
      <c r="E130" s="17">
        <f t="array" ref="E130">INDEX(Data_DBD!$E:$E,$A130)</f>
        <v/>
      </c>
      <c r="F130" s="17">
        <f t="array" ref="F130">INDEX(Data_DBD!$F:$F,$A130)</f>
        <v/>
      </c>
      <c r="H130" s="17" t="n">
        <v>16</v>
      </c>
      <c r="I130" s="17" t="n">
        <v>66</v>
      </c>
      <c r="J130" s="17" t="n">
        <v>5</v>
      </c>
      <c r="K130" s="17" t="n">
        <v>7</v>
      </c>
      <c r="L130" s="17" t="n">
        <v>1</v>
      </c>
      <c r="M130" s="17" t="inlineStr">
        <is>
          <t>Rendah</t>
        </is>
      </c>
    </row>
    <row r="131" s="1">
      <c r="A131" s="17">
        <f>RANDBETWEEN(2,164)</f>
        <v/>
      </c>
      <c r="B131" s="17">
        <f t="array" ref="B131">INDEX(Data_DBD!$B:$B,$A131)</f>
        <v/>
      </c>
      <c r="C131" s="17">
        <f t="array" ref="C131">INDEX(Data_DBD!$C:$C,$A131)</f>
        <v/>
      </c>
      <c r="D131" s="17">
        <f t="array" ref="D131">INDEX(Data_DBD!$D:$D,$A131)</f>
        <v/>
      </c>
      <c r="E131" s="17">
        <f t="array" ref="E131">INDEX(Data_DBD!$E:$E,$A131)</f>
        <v/>
      </c>
      <c r="F131" s="17">
        <f t="array" ref="F131">INDEX(Data_DBD!$F:$F,$A131)</f>
        <v/>
      </c>
      <c r="H131" s="17" t="n">
        <v>126</v>
      </c>
      <c r="I131" s="17" t="n">
        <v>51</v>
      </c>
      <c r="J131" s="17" t="n">
        <v>3</v>
      </c>
      <c r="K131" s="17" t="n">
        <v>33</v>
      </c>
      <c r="L131" s="17" t="n">
        <v>1</v>
      </c>
      <c r="M131" s="17" t="inlineStr">
        <is>
          <t>Tinggi</t>
        </is>
      </c>
    </row>
    <row r="132" s="1">
      <c r="A132" s="17">
        <f>RANDBETWEEN(2,164)</f>
        <v/>
      </c>
      <c r="B132" s="17">
        <f t="array" ref="B132">INDEX(Data_DBD!$B:$B,$A132)</f>
        <v/>
      </c>
      <c r="C132" s="17">
        <f t="array" ref="C132">INDEX(Data_DBD!$C:$C,$A132)</f>
        <v/>
      </c>
      <c r="D132" s="17">
        <f t="array" ref="D132">INDEX(Data_DBD!$D:$D,$A132)</f>
        <v/>
      </c>
      <c r="E132" s="17">
        <f t="array" ref="E132">INDEX(Data_DBD!$E:$E,$A132)</f>
        <v/>
      </c>
      <c r="F132" s="17">
        <f t="array" ref="F132">INDEX(Data_DBD!$F:$F,$A132)</f>
        <v/>
      </c>
      <c r="H132" s="17" t="n">
        <v>56</v>
      </c>
      <c r="I132" s="17" t="n">
        <v>4</v>
      </c>
      <c r="J132" s="17" t="n">
        <v>3</v>
      </c>
      <c r="K132" s="17" t="n">
        <v>15</v>
      </c>
      <c r="L132" s="17" t="n">
        <v>0</v>
      </c>
      <c r="M132" s="17" t="inlineStr">
        <is>
          <t>Sedang</t>
        </is>
      </c>
    </row>
    <row r="133" s="1">
      <c r="A133" s="17">
        <f>RANDBETWEEN(2,164)</f>
        <v/>
      </c>
      <c r="B133" s="17">
        <f t="array" ref="B133">INDEX(Data_DBD!$B:$B,$A133)</f>
        <v/>
      </c>
      <c r="C133" s="17">
        <f t="array" ref="C133">INDEX(Data_DBD!$C:$C,$A133)</f>
        <v/>
      </c>
      <c r="D133" s="17">
        <f t="array" ref="D133">INDEX(Data_DBD!$D:$D,$A133)</f>
        <v/>
      </c>
      <c r="E133" s="17">
        <f t="array" ref="E133">INDEX(Data_DBD!$E:$E,$A133)</f>
        <v/>
      </c>
      <c r="F133" s="17">
        <f t="array" ref="F133">INDEX(Data_DBD!$F:$F,$A133)</f>
        <v/>
      </c>
      <c r="H133" s="17" t="n">
        <v>146</v>
      </c>
      <c r="I133" s="17" t="n">
        <v>34</v>
      </c>
      <c r="J133" s="17" t="n">
        <v>2</v>
      </c>
      <c r="K133" s="17" t="n">
        <v>21</v>
      </c>
      <c r="L133" s="17" t="n">
        <v>1</v>
      </c>
      <c r="M133" s="17" t="inlineStr">
        <is>
          <t>Tinggi</t>
        </is>
      </c>
    </row>
    <row r="134" s="1">
      <c r="A134" s="17">
        <f>RANDBETWEEN(2,164)</f>
        <v/>
      </c>
      <c r="B134" s="17">
        <f t="array" ref="B134">INDEX(Data_DBD!$B:$B,$A134)</f>
        <v/>
      </c>
      <c r="C134" s="17">
        <f t="array" ref="C134">INDEX(Data_DBD!$C:$C,$A134)</f>
        <v/>
      </c>
      <c r="D134" s="17">
        <f t="array" ref="D134">INDEX(Data_DBD!$D:$D,$A134)</f>
        <v/>
      </c>
      <c r="E134" s="17">
        <f t="array" ref="E134">INDEX(Data_DBD!$E:$E,$A134)</f>
        <v/>
      </c>
      <c r="F134" s="17">
        <f t="array" ref="F134">INDEX(Data_DBD!$F:$F,$A134)</f>
        <v/>
      </c>
      <c r="H134" s="17" t="n">
        <v>8</v>
      </c>
      <c r="I134" s="17" t="n">
        <v>4</v>
      </c>
      <c r="J134" s="17" t="n">
        <v>2</v>
      </c>
      <c r="K134" s="17" t="n">
        <v>12</v>
      </c>
      <c r="L134" s="17" t="n">
        <v>0</v>
      </c>
      <c r="M134" s="17" t="inlineStr">
        <is>
          <t>Sedang</t>
        </is>
      </c>
    </row>
    <row r="135" s="1">
      <c r="A135" s="17">
        <f>RANDBETWEEN(2,164)</f>
        <v/>
      </c>
      <c r="B135" s="17">
        <f t="array" ref="B135">INDEX(Data_DBD!$B:$B,$A135)</f>
        <v/>
      </c>
      <c r="C135" s="17">
        <f t="array" ref="C135">INDEX(Data_DBD!$C:$C,$A135)</f>
        <v/>
      </c>
      <c r="D135" s="17">
        <f t="array" ref="D135">INDEX(Data_DBD!$D:$D,$A135)</f>
        <v/>
      </c>
      <c r="E135" s="17">
        <f t="array" ref="E135">INDEX(Data_DBD!$E:$E,$A135)</f>
        <v/>
      </c>
      <c r="F135" s="17">
        <f t="array" ref="F135">INDEX(Data_DBD!$F:$F,$A135)</f>
        <v/>
      </c>
      <c r="H135" s="17" t="n">
        <v>103</v>
      </c>
      <c r="I135" s="17" t="n">
        <v>22</v>
      </c>
      <c r="J135" s="17" t="n">
        <v>5</v>
      </c>
      <c r="K135" s="17" t="n">
        <v>18</v>
      </c>
      <c r="L135" s="17" t="n">
        <v>0</v>
      </c>
      <c r="M135" s="17" t="inlineStr">
        <is>
          <t>Tinggi</t>
        </is>
      </c>
    </row>
    <row r="136" s="1">
      <c r="A136" s="17">
        <f>RANDBETWEEN(2,164)</f>
        <v/>
      </c>
      <c r="B136" s="17">
        <f t="array" ref="B136">INDEX(Data_DBD!$B:$B,$A136)</f>
        <v/>
      </c>
      <c r="C136" s="17">
        <f t="array" ref="C136">INDEX(Data_DBD!$C:$C,$A136)</f>
        <v/>
      </c>
      <c r="D136" s="17">
        <f t="array" ref="D136">INDEX(Data_DBD!$D:$D,$A136)</f>
        <v/>
      </c>
      <c r="E136" s="17">
        <f t="array" ref="E136">INDEX(Data_DBD!$E:$E,$A136)</f>
        <v/>
      </c>
      <c r="F136" s="17">
        <f t="array" ref="F136">INDEX(Data_DBD!$F:$F,$A136)</f>
        <v/>
      </c>
      <c r="H136" s="17" t="n">
        <v>126</v>
      </c>
      <c r="I136" s="17" t="n">
        <v>51</v>
      </c>
      <c r="J136" s="17" t="n">
        <v>3</v>
      </c>
      <c r="K136" s="17" t="n">
        <v>33</v>
      </c>
      <c r="L136" s="17" t="n">
        <v>1</v>
      </c>
      <c r="M136" s="17" t="inlineStr">
        <is>
          <t>Tinggi</t>
        </is>
      </c>
    </row>
    <row r="137" s="1">
      <c r="A137" s="17">
        <f>RANDBETWEEN(2,164)</f>
        <v/>
      </c>
      <c r="B137" s="17">
        <f t="array" ref="B137">INDEX(Data_DBD!$B:$B,$A137)</f>
        <v/>
      </c>
      <c r="C137" s="17">
        <f t="array" ref="C137">INDEX(Data_DBD!$C:$C,$A137)</f>
        <v/>
      </c>
      <c r="D137" s="17">
        <f t="array" ref="D137">INDEX(Data_DBD!$D:$D,$A137)</f>
        <v/>
      </c>
      <c r="E137" s="17">
        <f t="array" ref="E137">INDEX(Data_DBD!$E:$E,$A137)</f>
        <v/>
      </c>
      <c r="F137" s="17">
        <f t="array" ref="F137">INDEX(Data_DBD!$F:$F,$A137)</f>
        <v/>
      </c>
      <c r="H137" s="17" t="n">
        <v>100</v>
      </c>
      <c r="I137" s="17" t="n">
        <v>19</v>
      </c>
      <c r="J137" s="17" t="n">
        <v>6</v>
      </c>
      <c r="K137" s="17" t="n">
        <v>18</v>
      </c>
      <c r="L137" s="17" t="n">
        <v>0</v>
      </c>
      <c r="M137" s="17" t="inlineStr">
        <is>
          <t>Tinggi</t>
        </is>
      </c>
    </row>
    <row r="138" s="1">
      <c r="A138" s="17">
        <f>RANDBETWEEN(2,164)</f>
        <v/>
      </c>
      <c r="B138" s="17">
        <f t="array" ref="B138">INDEX(Data_DBD!$B:$B,$A138)</f>
        <v/>
      </c>
      <c r="C138" s="17">
        <f t="array" ref="C138">INDEX(Data_DBD!$C:$C,$A138)</f>
        <v/>
      </c>
      <c r="D138" s="17">
        <f t="array" ref="D138">INDEX(Data_DBD!$D:$D,$A138)</f>
        <v/>
      </c>
      <c r="E138" s="17">
        <f t="array" ref="E138">INDEX(Data_DBD!$E:$E,$A138)</f>
        <v/>
      </c>
      <c r="F138" s="17">
        <f t="array" ref="F138">INDEX(Data_DBD!$F:$F,$A138)</f>
        <v/>
      </c>
      <c r="H138" s="17" t="n">
        <v>56</v>
      </c>
      <c r="I138" s="17" t="n">
        <v>4</v>
      </c>
      <c r="J138" s="17" t="n">
        <v>3</v>
      </c>
      <c r="K138" s="17" t="n">
        <v>15</v>
      </c>
      <c r="L138" s="17" t="n">
        <v>0</v>
      </c>
      <c r="M138" s="17" t="inlineStr">
        <is>
          <t>Sedang</t>
        </is>
      </c>
    </row>
    <row r="139" s="1">
      <c r="A139" s="17">
        <f>RANDBETWEEN(2,164)</f>
        <v/>
      </c>
      <c r="B139" s="17">
        <f t="array" ref="B139">INDEX(Data_DBD!$B:$B,$A139)</f>
        <v/>
      </c>
      <c r="C139" s="17">
        <f t="array" ref="C139">INDEX(Data_DBD!$C:$C,$A139)</f>
        <v/>
      </c>
      <c r="D139" s="17">
        <f t="array" ref="D139">INDEX(Data_DBD!$D:$D,$A139)</f>
        <v/>
      </c>
      <c r="E139" s="17">
        <f t="array" ref="E139">INDEX(Data_DBD!$E:$E,$A139)</f>
        <v/>
      </c>
      <c r="F139" s="17">
        <f t="array" ref="F139">INDEX(Data_DBD!$F:$F,$A139)</f>
        <v/>
      </c>
      <c r="H139" s="17" t="n">
        <v>118</v>
      </c>
      <c r="I139" s="17" t="n">
        <v>67</v>
      </c>
      <c r="J139" s="17" t="n">
        <v>4</v>
      </c>
      <c r="K139" s="17" t="n">
        <v>33</v>
      </c>
      <c r="L139" s="17" t="n">
        <v>1</v>
      </c>
      <c r="M139" s="17" t="inlineStr">
        <is>
          <t>Tinggi</t>
        </is>
      </c>
    </row>
    <row r="140" s="1">
      <c r="A140" s="17">
        <f>RANDBETWEEN(2,164)</f>
        <v/>
      </c>
      <c r="B140" s="17">
        <f t="array" ref="B140">INDEX(Data_DBD!$B:$B,$A140)</f>
        <v/>
      </c>
      <c r="C140" s="17">
        <f t="array" ref="C140">INDEX(Data_DBD!$C:$C,$A140)</f>
        <v/>
      </c>
      <c r="D140" s="17">
        <f t="array" ref="D140">INDEX(Data_DBD!$D:$D,$A140)</f>
        <v/>
      </c>
      <c r="E140" s="17">
        <f t="array" ref="E140">INDEX(Data_DBD!$E:$E,$A140)</f>
        <v/>
      </c>
      <c r="F140" s="17">
        <f t="array" ref="F140">INDEX(Data_DBD!$F:$F,$A140)</f>
        <v/>
      </c>
      <c r="H140" s="17" t="n">
        <v>56</v>
      </c>
      <c r="I140" s="17" t="n">
        <v>4</v>
      </c>
      <c r="J140" s="17" t="n">
        <v>3</v>
      </c>
      <c r="K140" s="17" t="n">
        <v>15</v>
      </c>
      <c r="L140" s="17" t="n">
        <v>0</v>
      </c>
      <c r="M140" s="17" t="inlineStr">
        <is>
          <t>Sedang</t>
        </is>
      </c>
    </row>
    <row r="141" s="1">
      <c r="A141" s="17">
        <f>RANDBETWEEN(2,164)</f>
        <v/>
      </c>
      <c r="B141" s="17">
        <f t="array" ref="B141">INDEX(Data_DBD!$B:$B,$A141)</f>
        <v/>
      </c>
      <c r="C141" s="17">
        <f t="array" ref="C141">INDEX(Data_DBD!$C:$C,$A141)</f>
        <v/>
      </c>
      <c r="D141" s="17">
        <f t="array" ref="D141">INDEX(Data_DBD!$D:$D,$A141)</f>
        <v/>
      </c>
      <c r="E141" s="17">
        <f t="array" ref="E141">INDEX(Data_DBD!$E:$E,$A141)</f>
        <v/>
      </c>
      <c r="F141" s="17">
        <f t="array" ref="F141">INDEX(Data_DBD!$F:$F,$A141)</f>
        <v/>
      </c>
      <c r="H141" s="17" t="n">
        <v>91</v>
      </c>
      <c r="I141" s="17" t="n">
        <v>35</v>
      </c>
      <c r="J141" s="17" t="n">
        <v>1</v>
      </c>
      <c r="K141" s="17" t="n">
        <v>18</v>
      </c>
      <c r="L141" s="17" t="n">
        <v>1</v>
      </c>
      <c r="M141" s="17" t="inlineStr">
        <is>
          <t>Tinggi</t>
        </is>
      </c>
    </row>
    <row r="142" s="1">
      <c r="A142" s="17">
        <f>RANDBETWEEN(2,164)</f>
        <v/>
      </c>
      <c r="B142" s="17">
        <f t="array" ref="B142">INDEX(Data_DBD!$B:$B,$A142)</f>
        <v/>
      </c>
      <c r="C142" s="17">
        <f t="array" ref="C142">INDEX(Data_DBD!$C:$C,$A142)</f>
        <v/>
      </c>
      <c r="D142" s="17">
        <f t="array" ref="D142">INDEX(Data_DBD!$D:$D,$A142)</f>
        <v/>
      </c>
      <c r="E142" s="17">
        <f t="array" ref="E142">INDEX(Data_DBD!$E:$E,$A142)</f>
        <v/>
      </c>
      <c r="F142" s="17">
        <f t="array" ref="F142">INDEX(Data_DBD!$F:$F,$A142)</f>
        <v/>
      </c>
      <c r="H142" s="17" t="n">
        <v>86</v>
      </c>
      <c r="I142" s="17" t="n">
        <v>23</v>
      </c>
      <c r="J142" s="17" t="n">
        <v>3</v>
      </c>
      <c r="K142" s="17" t="n">
        <v>13</v>
      </c>
      <c r="L142" s="17" t="n">
        <v>0</v>
      </c>
      <c r="M142" s="17" t="inlineStr">
        <is>
          <t>Sedang</t>
        </is>
      </c>
    </row>
    <row r="143" s="1">
      <c r="A143" s="17">
        <f>RANDBETWEEN(2,164)</f>
        <v/>
      </c>
      <c r="B143" s="17">
        <f t="array" ref="B143">INDEX(Data_DBD!$B:$B,$A143)</f>
        <v/>
      </c>
      <c r="C143" s="17">
        <f t="array" ref="C143">INDEX(Data_DBD!$C:$C,$A143)</f>
        <v/>
      </c>
      <c r="D143" s="17">
        <f t="array" ref="D143">INDEX(Data_DBD!$D:$D,$A143)</f>
        <v/>
      </c>
      <c r="E143" s="17">
        <f t="array" ref="E143">INDEX(Data_DBD!$E:$E,$A143)</f>
        <v/>
      </c>
      <c r="F143" s="17">
        <f t="array" ref="F143">INDEX(Data_DBD!$F:$F,$A143)</f>
        <v/>
      </c>
      <c r="H143" s="17" t="n">
        <v>162</v>
      </c>
      <c r="I143" s="17" t="n">
        <v>22</v>
      </c>
      <c r="J143" s="17" t="n">
        <v>3</v>
      </c>
      <c r="K143" s="17" t="n">
        <v>3</v>
      </c>
      <c r="L143" s="17" t="n">
        <v>1</v>
      </c>
      <c r="M143" s="17" t="inlineStr">
        <is>
          <t>Rendah</t>
        </is>
      </c>
    </row>
    <row r="144" s="1">
      <c r="A144" s="17">
        <f>RANDBETWEEN(2,164)</f>
        <v/>
      </c>
      <c r="B144" s="17">
        <f t="array" ref="B144">INDEX(Data_DBD!$B:$B,$A144)</f>
        <v/>
      </c>
      <c r="C144" s="17">
        <f t="array" ref="C144">INDEX(Data_DBD!$C:$C,$A144)</f>
        <v/>
      </c>
      <c r="D144" s="17">
        <f t="array" ref="D144">INDEX(Data_DBD!$D:$D,$A144)</f>
        <v/>
      </c>
      <c r="E144" s="17">
        <f t="array" ref="E144">INDEX(Data_DBD!$E:$E,$A144)</f>
        <v/>
      </c>
      <c r="F144" s="17">
        <f t="array" ref="F144">INDEX(Data_DBD!$F:$F,$A144)</f>
        <v/>
      </c>
      <c r="H144" s="17" t="n">
        <v>153</v>
      </c>
      <c r="I144" s="17" t="n">
        <v>73</v>
      </c>
      <c r="J144" s="17" t="n">
        <v>7</v>
      </c>
      <c r="K144" s="17" t="n">
        <v>21</v>
      </c>
      <c r="L144" s="17" t="n">
        <v>1</v>
      </c>
      <c r="M144" s="17" t="inlineStr">
        <is>
          <t>Tinggi</t>
        </is>
      </c>
    </row>
    <row r="145" s="1">
      <c r="A145" s="17">
        <f>RANDBETWEEN(2,164)</f>
        <v/>
      </c>
      <c r="B145" s="17">
        <f t="array" ref="B145">INDEX(Data_DBD!$B:$B,$A145)</f>
        <v/>
      </c>
      <c r="C145" s="17">
        <f t="array" ref="C145">INDEX(Data_DBD!$C:$C,$A145)</f>
        <v/>
      </c>
      <c r="D145" s="17">
        <f t="array" ref="D145">INDEX(Data_DBD!$D:$D,$A145)</f>
        <v/>
      </c>
      <c r="E145" s="17">
        <f t="array" ref="E145">INDEX(Data_DBD!$E:$E,$A145)</f>
        <v/>
      </c>
      <c r="F145" s="17">
        <f t="array" ref="F145">INDEX(Data_DBD!$F:$F,$A145)</f>
        <v/>
      </c>
      <c r="H145" s="17" t="n">
        <v>128</v>
      </c>
      <c r="I145" s="17" t="n">
        <v>38</v>
      </c>
      <c r="J145" s="17" t="n">
        <v>2</v>
      </c>
      <c r="K145" s="17" t="n">
        <v>33</v>
      </c>
      <c r="L145" s="17" t="n">
        <v>0</v>
      </c>
      <c r="M145" s="17" t="inlineStr">
        <is>
          <t>Tinggi</t>
        </is>
      </c>
    </row>
    <row r="146" s="1">
      <c r="A146" s="17">
        <f>RANDBETWEEN(2,164)</f>
        <v/>
      </c>
      <c r="B146" s="17">
        <f t="array" ref="B146">INDEX(Data_DBD!$B:$B,$A146)</f>
        <v/>
      </c>
      <c r="C146" s="17">
        <f t="array" ref="C146">INDEX(Data_DBD!$C:$C,$A146)</f>
        <v/>
      </c>
      <c r="D146" s="17">
        <f t="array" ref="D146">INDEX(Data_DBD!$D:$D,$A146)</f>
        <v/>
      </c>
      <c r="E146" s="17">
        <f t="array" ref="E146">INDEX(Data_DBD!$E:$E,$A146)</f>
        <v/>
      </c>
      <c r="F146" s="17">
        <f t="array" ref="F146">INDEX(Data_DBD!$F:$F,$A146)</f>
        <v/>
      </c>
      <c r="H146" s="17" t="n">
        <v>107</v>
      </c>
      <c r="I146" s="17" t="n">
        <v>48</v>
      </c>
      <c r="J146" s="17" t="n">
        <v>5</v>
      </c>
      <c r="K146" s="17" t="n">
        <v>18</v>
      </c>
      <c r="L146" s="17" t="n">
        <v>0</v>
      </c>
      <c r="M146" s="17" t="inlineStr">
        <is>
          <t>Tinggi</t>
        </is>
      </c>
    </row>
    <row r="147" s="1">
      <c r="A147" s="17">
        <f>RANDBETWEEN(2,164)</f>
        <v/>
      </c>
      <c r="B147" s="17">
        <f t="array" ref="B147">INDEX(Data_DBD!$B:$B,$A147)</f>
        <v/>
      </c>
      <c r="C147" s="17">
        <f t="array" ref="C147">INDEX(Data_DBD!$C:$C,$A147)</f>
        <v/>
      </c>
      <c r="D147" s="17">
        <f t="array" ref="D147">INDEX(Data_DBD!$D:$D,$A147)</f>
        <v/>
      </c>
      <c r="E147" s="17">
        <f t="array" ref="E147">INDEX(Data_DBD!$E:$E,$A147)</f>
        <v/>
      </c>
      <c r="F147" s="17">
        <f t="array" ref="F147">INDEX(Data_DBD!$F:$F,$A147)</f>
        <v/>
      </c>
      <c r="H147" s="17" t="n">
        <v>145</v>
      </c>
      <c r="I147" s="17" t="n">
        <v>28</v>
      </c>
      <c r="J147" s="17" t="n">
        <v>4</v>
      </c>
      <c r="K147" s="17" t="n">
        <v>21</v>
      </c>
      <c r="L147" s="17" t="n">
        <v>1</v>
      </c>
      <c r="M147" s="17" t="inlineStr">
        <is>
          <t>Tinggi</t>
        </is>
      </c>
    </row>
    <row r="148" s="1">
      <c r="A148" s="17">
        <f>RANDBETWEEN(2,164)</f>
        <v/>
      </c>
      <c r="B148" s="17">
        <f t="array" ref="B148">INDEX(Data_DBD!$B:$B,$A148)</f>
        <v/>
      </c>
      <c r="C148" s="17">
        <f t="array" ref="C148">INDEX(Data_DBD!$C:$C,$A148)</f>
        <v/>
      </c>
      <c r="D148" s="17">
        <f t="array" ref="D148">INDEX(Data_DBD!$D:$D,$A148)</f>
        <v/>
      </c>
      <c r="E148" s="17">
        <f t="array" ref="E148">INDEX(Data_DBD!$E:$E,$A148)</f>
        <v/>
      </c>
      <c r="F148" s="17">
        <f t="array" ref="F148">INDEX(Data_DBD!$F:$F,$A148)</f>
        <v/>
      </c>
      <c r="H148" s="17" t="n">
        <v>15</v>
      </c>
      <c r="I148" s="17" t="n">
        <v>21</v>
      </c>
      <c r="J148" s="17" t="n">
        <v>2</v>
      </c>
      <c r="K148" s="17" t="n">
        <v>7</v>
      </c>
      <c r="L148" s="17" t="n">
        <v>0</v>
      </c>
      <c r="M148" s="17" t="inlineStr">
        <is>
          <t>Rendah</t>
        </is>
      </c>
    </row>
    <row r="149" s="1">
      <c r="A149" s="17">
        <f>RANDBETWEEN(2,164)</f>
        <v/>
      </c>
      <c r="B149" s="17">
        <f t="array" ref="B149">INDEX(Data_DBD!$B:$B,$A149)</f>
        <v/>
      </c>
      <c r="C149" s="17">
        <f t="array" ref="C149">INDEX(Data_DBD!$C:$C,$A149)</f>
        <v/>
      </c>
      <c r="D149" s="17">
        <f t="array" ref="D149">INDEX(Data_DBD!$D:$D,$A149)</f>
        <v/>
      </c>
      <c r="E149" s="17">
        <f t="array" ref="E149">INDEX(Data_DBD!$E:$E,$A149)</f>
        <v/>
      </c>
      <c r="F149" s="17">
        <f t="array" ref="F149">INDEX(Data_DBD!$F:$F,$A149)</f>
        <v/>
      </c>
      <c r="H149" s="17" t="n">
        <v>96</v>
      </c>
      <c r="I149" s="17" t="n">
        <v>56</v>
      </c>
      <c r="J149" s="17" t="n">
        <v>4</v>
      </c>
      <c r="K149" s="17" t="n">
        <v>18</v>
      </c>
      <c r="L149" s="17" t="n">
        <v>0</v>
      </c>
      <c r="M149" s="17" t="inlineStr">
        <is>
          <t>Tinggi</t>
        </is>
      </c>
    </row>
    <row r="150" s="1">
      <c r="A150" s="17">
        <f>RANDBETWEEN(2,164)</f>
        <v/>
      </c>
      <c r="B150" s="17">
        <f t="array" ref="B150">INDEX(Data_DBD!$B:$B,$A150)</f>
        <v/>
      </c>
      <c r="C150" s="17">
        <f t="array" ref="C150">INDEX(Data_DBD!$C:$C,$A150)</f>
        <v/>
      </c>
      <c r="D150" s="17">
        <f t="array" ref="D150">INDEX(Data_DBD!$D:$D,$A150)</f>
        <v/>
      </c>
      <c r="E150" s="17">
        <f t="array" ref="E150">INDEX(Data_DBD!$E:$E,$A150)</f>
        <v/>
      </c>
      <c r="F150" s="17">
        <f t="array" ref="F150">INDEX(Data_DBD!$F:$F,$A150)</f>
        <v/>
      </c>
      <c r="H150" s="17" t="n">
        <v>100</v>
      </c>
      <c r="I150" s="17" t="n">
        <v>19</v>
      </c>
      <c r="J150" s="17" t="n">
        <v>6</v>
      </c>
      <c r="K150" s="17" t="n">
        <v>18</v>
      </c>
      <c r="L150" s="17" t="n">
        <v>0</v>
      </c>
      <c r="M150" s="17" t="inlineStr">
        <is>
          <t>Tinggi</t>
        </is>
      </c>
    </row>
    <row r="151" s="1">
      <c r="A151" s="17">
        <f>RANDBETWEEN(2,164)</f>
        <v/>
      </c>
      <c r="B151" s="17">
        <f t="array" ref="B151">INDEX(Data_DBD!$B:$B,$A151)</f>
        <v/>
      </c>
      <c r="C151" s="17">
        <f t="array" ref="C151">INDEX(Data_DBD!$C:$C,$A151)</f>
        <v/>
      </c>
      <c r="D151" s="17">
        <f t="array" ref="D151">INDEX(Data_DBD!$D:$D,$A151)</f>
        <v/>
      </c>
      <c r="E151" s="17">
        <f t="array" ref="E151">INDEX(Data_DBD!$E:$E,$A151)</f>
        <v/>
      </c>
      <c r="F151" s="17">
        <f t="array" ref="F151">INDEX(Data_DBD!$F:$F,$A151)</f>
        <v/>
      </c>
      <c r="H151" s="17" t="n">
        <v>119</v>
      </c>
      <c r="I151" s="17" t="n">
        <v>30</v>
      </c>
      <c r="J151" s="17" t="n">
        <v>7</v>
      </c>
      <c r="K151" s="17" t="n">
        <v>33</v>
      </c>
      <c r="L151" s="17" t="n">
        <v>0</v>
      </c>
      <c r="M151" s="17" t="inlineStr">
        <is>
          <t>Tinggi</t>
        </is>
      </c>
    </row>
    <row r="152" s="1">
      <c r="A152" s="17">
        <f>RANDBETWEEN(2,164)</f>
        <v/>
      </c>
      <c r="B152" s="17">
        <f t="array" ref="B152">INDEX(Data_DBD!$B:$B,$A152)</f>
        <v/>
      </c>
      <c r="C152" s="17">
        <f t="array" ref="C152">INDEX(Data_DBD!$C:$C,$A152)</f>
        <v/>
      </c>
      <c r="D152" s="17">
        <f t="array" ref="D152">INDEX(Data_DBD!$D:$D,$A152)</f>
        <v/>
      </c>
      <c r="E152" s="17">
        <f t="array" ref="E152">INDEX(Data_DBD!$E:$E,$A152)</f>
        <v/>
      </c>
      <c r="F152" s="17">
        <f t="array" ref="F152">INDEX(Data_DBD!$F:$F,$A152)</f>
        <v/>
      </c>
      <c r="H152" s="17" t="n">
        <v>71</v>
      </c>
      <c r="I152" s="17" t="n">
        <v>84</v>
      </c>
      <c r="J152" s="17" t="n">
        <v>3</v>
      </c>
      <c r="K152" s="17" t="n">
        <v>10</v>
      </c>
      <c r="L152" s="17" t="n">
        <v>0</v>
      </c>
      <c r="M152" s="17" t="inlineStr">
        <is>
          <t>Sedang</t>
        </is>
      </c>
    </row>
    <row r="153" s="1">
      <c r="A153" s="17">
        <f>RANDBETWEEN(2,164)</f>
        <v/>
      </c>
      <c r="B153" s="17">
        <f t="array" ref="B153">INDEX(Data_DBD!$B:$B,$A153)</f>
        <v/>
      </c>
      <c r="C153" s="17">
        <f t="array" ref="C153">INDEX(Data_DBD!$C:$C,$A153)</f>
        <v/>
      </c>
      <c r="D153" s="17">
        <f t="array" ref="D153">INDEX(Data_DBD!$D:$D,$A153)</f>
        <v/>
      </c>
      <c r="E153" s="17">
        <f t="array" ref="E153">INDEX(Data_DBD!$E:$E,$A153)</f>
        <v/>
      </c>
      <c r="F153" s="17">
        <f t="array" ref="F153">INDEX(Data_DBD!$F:$F,$A153)</f>
        <v/>
      </c>
      <c r="H153" s="17" t="n">
        <v>16</v>
      </c>
      <c r="I153" s="17" t="n">
        <v>66</v>
      </c>
      <c r="J153" s="17" t="n">
        <v>5</v>
      </c>
      <c r="K153" s="17" t="n">
        <v>7</v>
      </c>
      <c r="L153" s="17" t="n">
        <v>1</v>
      </c>
      <c r="M153" s="17" t="inlineStr">
        <is>
          <t>Rendah</t>
        </is>
      </c>
    </row>
    <row r="154" s="1">
      <c r="A154" s="17">
        <f>RANDBETWEEN(2,164)</f>
        <v/>
      </c>
      <c r="B154" s="17">
        <f t="array" ref="B154">INDEX(Data_DBD!$B:$B,$A154)</f>
        <v/>
      </c>
      <c r="C154" s="17">
        <f t="array" ref="C154">INDEX(Data_DBD!$C:$C,$A154)</f>
        <v/>
      </c>
      <c r="D154" s="17">
        <f t="array" ref="D154">INDEX(Data_DBD!$D:$D,$A154)</f>
        <v/>
      </c>
      <c r="E154" s="17">
        <f t="array" ref="E154">INDEX(Data_DBD!$E:$E,$A154)</f>
        <v/>
      </c>
      <c r="F154" s="17">
        <f t="array" ref="F154">INDEX(Data_DBD!$F:$F,$A154)</f>
        <v/>
      </c>
      <c r="H154" s="17" t="n">
        <v>129</v>
      </c>
      <c r="I154" s="17" t="n">
        <v>4</v>
      </c>
      <c r="J154" s="17" t="n">
        <v>3</v>
      </c>
      <c r="K154" s="17" t="n">
        <v>33</v>
      </c>
      <c r="L154" s="17" t="n">
        <v>0</v>
      </c>
      <c r="M154" s="17" t="inlineStr">
        <is>
          <t>Tinggi</t>
        </is>
      </c>
    </row>
    <row r="155" s="1">
      <c r="A155" s="17">
        <f>RANDBETWEEN(2,164)</f>
        <v/>
      </c>
      <c r="B155" s="17">
        <f t="array" ref="B155">INDEX(Data_DBD!$B:$B,$A155)</f>
        <v/>
      </c>
      <c r="C155" s="17">
        <f t="array" ref="C155">INDEX(Data_DBD!$C:$C,$A155)</f>
        <v/>
      </c>
      <c r="D155" s="17">
        <f t="array" ref="D155">INDEX(Data_DBD!$D:$D,$A155)</f>
        <v/>
      </c>
      <c r="E155" s="17">
        <f t="array" ref="E155">INDEX(Data_DBD!$E:$E,$A155)</f>
        <v/>
      </c>
      <c r="F155" s="17">
        <f t="array" ref="F155">INDEX(Data_DBD!$F:$F,$A155)</f>
        <v/>
      </c>
      <c r="H155" s="17" t="n">
        <v>127</v>
      </c>
      <c r="I155" s="17" t="n">
        <v>21</v>
      </c>
      <c r="J155" s="17" t="n">
        <v>2</v>
      </c>
      <c r="K155" s="17" t="n">
        <v>33</v>
      </c>
      <c r="L155" s="17" t="n">
        <v>0</v>
      </c>
      <c r="M155" s="17" t="inlineStr">
        <is>
          <t>Tinggi</t>
        </is>
      </c>
    </row>
    <row r="156" s="1">
      <c r="A156" s="17">
        <f>RANDBETWEEN(2,164)</f>
        <v/>
      </c>
      <c r="B156" s="17">
        <f t="array" ref="B156">INDEX(Data_DBD!$B:$B,$A156)</f>
        <v/>
      </c>
      <c r="C156" s="17">
        <f t="array" ref="C156">INDEX(Data_DBD!$C:$C,$A156)</f>
        <v/>
      </c>
      <c r="D156" s="17">
        <f t="array" ref="D156">INDEX(Data_DBD!$D:$D,$A156)</f>
        <v/>
      </c>
      <c r="E156" s="17">
        <f t="array" ref="E156">INDEX(Data_DBD!$E:$E,$A156)</f>
        <v/>
      </c>
      <c r="F156" s="17">
        <f t="array" ref="F156">INDEX(Data_DBD!$F:$F,$A156)</f>
        <v/>
      </c>
      <c r="H156" s="17" t="n">
        <v>157</v>
      </c>
      <c r="I156" s="17" t="n">
        <v>15</v>
      </c>
      <c r="J156" s="17" t="n">
        <v>4</v>
      </c>
      <c r="K156" s="17" t="n">
        <v>21</v>
      </c>
      <c r="L156" s="17" t="n">
        <v>1</v>
      </c>
      <c r="M156" s="17" t="inlineStr">
        <is>
          <t>Tinggi</t>
        </is>
      </c>
    </row>
    <row r="157" s="1">
      <c r="A157" s="17">
        <f>RANDBETWEEN(2,164)</f>
        <v/>
      </c>
      <c r="B157" s="17">
        <f t="array" ref="B157">INDEX(Data_DBD!$B:$B,$A157)</f>
        <v/>
      </c>
      <c r="C157" s="17">
        <f t="array" ref="C157">INDEX(Data_DBD!$C:$C,$A157)</f>
        <v/>
      </c>
      <c r="D157" s="17">
        <f t="array" ref="D157">INDEX(Data_DBD!$D:$D,$A157)</f>
        <v/>
      </c>
      <c r="E157" s="17">
        <f t="array" ref="E157">INDEX(Data_DBD!$E:$E,$A157)</f>
        <v/>
      </c>
      <c r="F157" s="17">
        <f t="array" ref="F157">INDEX(Data_DBD!$F:$F,$A157)</f>
        <v/>
      </c>
      <c r="H157" s="17" t="n">
        <v>152</v>
      </c>
      <c r="I157" s="17" t="n">
        <v>47</v>
      </c>
      <c r="J157" s="17" t="n">
        <v>3</v>
      </c>
      <c r="K157" s="17" t="n">
        <v>21</v>
      </c>
      <c r="L157" s="17" t="n">
        <v>1</v>
      </c>
      <c r="M157" s="17" t="inlineStr">
        <is>
          <t>Tinggi</t>
        </is>
      </c>
    </row>
    <row r="158" s="1">
      <c r="A158" s="17">
        <f>RANDBETWEEN(2,164)</f>
        <v/>
      </c>
      <c r="B158" s="17">
        <f t="array" ref="B158">INDEX(Data_DBD!$B:$B,$A158)</f>
        <v/>
      </c>
      <c r="C158" s="17">
        <f t="array" ref="C158">INDEX(Data_DBD!$C:$C,$A158)</f>
        <v/>
      </c>
      <c r="D158" s="17">
        <f t="array" ref="D158">INDEX(Data_DBD!$D:$D,$A158)</f>
        <v/>
      </c>
      <c r="E158" s="17">
        <f t="array" ref="E158">INDEX(Data_DBD!$E:$E,$A158)</f>
        <v/>
      </c>
      <c r="F158" s="17">
        <f t="array" ref="F158">INDEX(Data_DBD!$F:$F,$A158)</f>
        <v/>
      </c>
      <c r="H158" s="17" t="n">
        <v>45</v>
      </c>
      <c r="I158" s="17" t="n">
        <v>75</v>
      </c>
      <c r="J158" s="17" t="n">
        <v>3</v>
      </c>
      <c r="K158" s="17" t="n">
        <v>13</v>
      </c>
      <c r="L158" s="17" t="n">
        <v>1</v>
      </c>
      <c r="M158" s="17" t="inlineStr">
        <is>
          <t>Sedang</t>
        </is>
      </c>
    </row>
    <row r="159" s="1">
      <c r="A159" s="17">
        <f>RANDBETWEEN(2,164)</f>
        <v/>
      </c>
      <c r="B159" s="17">
        <f t="array" ref="B159">INDEX(Data_DBD!$B:$B,$A159)</f>
        <v/>
      </c>
      <c r="C159" s="17">
        <f t="array" ref="C159">INDEX(Data_DBD!$C:$C,$A159)</f>
        <v/>
      </c>
      <c r="D159" s="17">
        <f t="array" ref="D159">INDEX(Data_DBD!$D:$D,$A159)</f>
        <v/>
      </c>
      <c r="E159" s="17">
        <f t="array" ref="E159">INDEX(Data_DBD!$E:$E,$A159)</f>
        <v/>
      </c>
      <c r="F159" s="17">
        <f t="array" ref="F159">INDEX(Data_DBD!$F:$F,$A159)</f>
        <v/>
      </c>
      <c r="H159" s="17" t="n">
        <v>164</v>
      </c>
      <c r="I159" s="17" t="n">
        <v>10</v>
      </c>
      <c r="J159" s="17" t="n">
        <v>6</v>
      </c>
      <c r="K159" s="17" t="n">
        <v>3</v>
      </c>
      <c r="L159" s="17" t="n">
        <v>0</v>
      </c>
      <c r="M159" s="17" t="inlineStr">
        <is>
          <t>Rendah</t>
        </is>
      </c>
    </row>
    <row r="160" s="1">
      <c r="A160" s="17">
        <f>RANDBETWEEN(2,164)</f>
        <v/>
      </c>
      <c r="B160" s="17">
        <f t="array" ref="B160">INDEX(Data_DBD!$B:$B,$A160)</f>
        <v/>
      </c>
      <c r="C160" s="17">
        <f t="array" ref="C160">INDEX(Data_DBD!$C:$C,$A160)</f>
        <v/>
      </c>
      <c r="D160" s="17">
        <f t="array" ref="D160">INDEX(Data_DBD!$D:$D,$A160)</f>
        <v/>
      </c>
      <c r="E160" s="17">
        <f t="array" ref="E160">INDEX(Data_DBD!$E:$E,$A160)</f>
        <v/>
      </c>
      <c r="F160" s="17">
        <f t="array" ref="F160">INDEX(Data_DBD!$F:$F,$A160)</f>
        <v/>
      </c>
      <c r="H160" s="17" t="n">
        <v>63</v>
      </c>
      <c r="I160" s="17" t="n">
        <v>25</v>
      </c>
      <c r="J160" s="17" t="n">
        <v>3</v>
      </c>
      <c r="K160" s="17" t="n">
        <v>15</v>
      </c>
      <c r="L160" s="17" t="n">
        <v>0</v>
      </c>
      <c r="M160" s="17" t="inlineStr">
        <is>
          <t>Sedang</t>
        </is>
      </c>
    </row>
    <row r="161" s="1">
      <c r="A161" s="17">
        <f>RANDBETWEEN(2,164)</f>
        <v/>
      </c>
      <c r="B161" s="17">
        <f t="array" ref="B161">INDEX(Data_DBD!$B:$B,$A161)</f>
        <v/>
      </c>
      <c r="C161" s="17">
        <f t="array" ref="C161">INDEX(Data_DBD!$C:$C,$A161)</f>
        <v/>
      </c>
      <c r="D161" s="17">
        <f t="array" ref="D161">INDEX(Data_DBD!$D:$D,$A161)</f>
        <v/>
      </c>
      <c r="E161" s="17">
        <f t="array" ref="E161">INDEX(Data_DBD!$E:$E,$A161)</f>
        <v/>
      </c>
      <c r="F161" s="17">
        <f t="array" ref="F161">INDEX(Data_DBD!$F:$F,$A161)</f>
        <v/>
      </c>
      <c r="H161" s="17" t="n">
        <v>156</v>
      </c>
      <c r="I161" s="17" t="n">
        <v>5</v>
      </c>
      <c r="J161" s="17" t="n">
        <v>2</v>
      </c>
      <c r="K161" s="17" t="n">
        <v>21</v>
      </c>
      <c r="L161" s="17" t="n">
        <v>0</v>
      </c>
      <c r="M161" s="17" t="inlineStr">
        <is>
          <t>Tinggi</t>
        </is>
      </c>
    </row>
    <row r="162" s="1">
      <c r="A162" s="17">
        <f>RANDBETWEEN(2,164)</f>
        <v/>
      </c>
      <c r="B162" s="17">
        <f t="array" ref="B162">INDEX(Data_DBD!$B:$B,$A162)</f>
        <v/>
      </c>
      <c r="C162" s="17">
        <f t="array" ref="C162">INDEX(Data_DBD!$C:$C,$A162)</f>
        <v/>
      </c>
      <c r="D162" s="17">
        <f t="array" ref="D162">INDEX(Data_DBD!$D:$D,$A162)</f>
        <v/>
      </c>
      <c r="E162" s="17">
        <f t="array" ref="E162">INDEX(Data_DBD!$E:$E,$A162)</f>
        <v/>
      </c>
      <c r="F162" s="17">
        <f t="array" ref="F162">INDEX(Data_DBD!$F:$F,$A162)</f>
        <v/>
      </c>
      <c r="H162" s="17" t="n">
        <v>57</v>
      </c>
      <c r="I162" s="17" t="n">
        <v>2</v>
      </c>
      <c r="J162" s="17" t="n">
        <v>2</v>
      </c>
      <c r="K162" s="17" t="n">
        <v>15</v>
      </c>
      <c r="L162" s="17" t="n">
        <v>1</v>
      </c>
      <c r="M162" s="17" t="inlineStr">
        <is>
          <t>Sedang</t>
        </is>
      </c>
    </row>
    <row r="163" s="1">
      <c r="A163" s="17">
        <f>RANDBETWEEN(2,164)</f>
        <v/>
      </c>
      <c r="B163" s="17">
        <f t="array" ref="B163">INDEX(Data_DBD!$B:$B,$A163)</f>
        <v/>
      </c>
      <c r="C163" s="17">
        <f t="array" ref="C163">INDEX(Data_DBD!$C:$C,$A163)</f>
        <v/>
      </c>
      <c r="D163" s="17">
        <f t="array" ref="D163">INDEX(Data_DBD!$D:$D,$A163)</f>
        <v/>
      </c>
      <c r="E163" s="17">
        <f t="array" ref="E163">INDEX(Data_DBD!$E:$E,$A163)</f>
        <v/>
      </c>
      <c r="F163" s="17">
        <f t="array" ref="F163">INDEX(Data_DBD!$F:$F,$A163)</f>
        <v/>
      </c>
      <c r="H163" s="17" t="n">
        <v>62</v>
      </c>
      <c r="I163" s="17" t="n">
        <v>43</v>
      </c>
      <c r="J163" s="17" t="n">
        <v>4</v>
      </c>
      <c r="K163" s="17" t="n">
        <v>15</v>
      </c>
      <c r="L163" s="17" t="n">
        <v>1</v>
      </c>
      <c r="M163" s="17" t="inlineStr">
        <is>
          <t>Sedang</t>
        </is>
      </c>
    </row>
    <row r="164" s="1">
      <c r="A164" s="17">
        <f>RANDBETWEEN(2,164)</f>
        <v/>
      </c>
      <c r="B164" s="17">
        <f t="array" ref="B164">INDEX(Data_DBD!$B:$B,$A164)</f>
        <v/>
      </c>
      <c r="C164" s="17">
        <f t="array" ref="C164">INDEX(Data_DBD!$C:$C,$A164)</f>
        <v/>
      </c>
      <c r="D164" s="17">
        <f t="array" ref="D164">INDEX(Data_DBD!$D:$D,$A164)</f>
        <v/>
      </c>
      <c r="E164" s="17">
        <f t="array" ref="E164">INDEX(Data_DBD!$E:$E,$A164)</f>
        <v/>
      </c>
      <c r="F164" s="17">
        <f t="array" ref="F164">INDEX(Data_DBD!$F:$F,$A164)</f>
        <v/>
      </c>
      <c r="H164" s="17" t="n">
        <v>89</v>
      </c>
      <c r="I164" s="17" t="n">
        <v>32</v>
      </c>
      <c r="J164" s="17" t="n">
        <v>4</v>
      </c>
      <c r="K164" s="17" t="n">
        <v>13</v>
      </c>
      <c r="L164" s="17" t="n">
        <v>0</v>
      </c>
      <c r="M164" s="17" t="inlineStr">
        <is>
          <t>Sedang</t>
        </is>
      </c>
    </row>
    <row r="165" s="1">
      <c r="I165">
        <f>AVERAGE(I2:I164)</f>
        <v/>
      </c>
      <c r="J165">
        <f>AVERAGE(J2:J164)</f>
        <v/>
      </c>
      <c r="K165">
        <f>AVERAGE(K2:K164)</f>
        <v/>
      </c>
      <c r="L165">
        <f>AVERAGE(L2:L164)</f>
        <v/>
      </c>
    </row>
    <row r="166" s="1">
      <c r="B166" t="n">
        <v>43</v>
      </c>
    </row>
    <row r="168" s="1">
      <c r="E168" s="21" t="inlineStr">
        <is>
          <t>USIA</t>
        </is>
      </c>
      <c r="J168" s="21" t="inlineStr">
        <is>
          <t>LAMA RAWAT INAP</t>
        </is>
      </c>
      <c r="O168" s="21" t="inlineStr">
        <is>
          <t>JUMLAH KASUS PER BULAN</t>
        </is>
      </c>
      <c r="T168" s="21" t="inlineStr">
        <is>
          <t>JENIS KELAMIN</t>
        </is>
      </c>
    </row>
    <row r="169" s="1">
      <c r="E169" s="17" t="inlineStr">
        <is>
          <t>Usia</t>
        </is>
      </c>
      <c r="F169" s="17">
        <f>AVERAGEIF($I$2:$I$164,"&lt;="&amp;$I$165)</f>
        <v/>
      </c>
      <c r="G169" s="17">
        <f>AVERAGEIF($I$2:$I$164,"&gt;"&amp;$I$165)</f>
        <v/>
      </c>
      <c r="J169" s="17" t="inlineStr">
        <is>
          <t>Lama rawat inap</t>
        </is>
      </c>
      <c r="K169" s="17">
        <f>AVERAGEIF($J$2:$J$164,"&lt;="&amp;$J$165)</f>
        <v/>
      </c>
      <c r="L169" s="17">
        <f>AVERAGEIF($J$2:$J$164,"&gt;"&amp;$J$165)</f>
        <v/>
      </c>
      <c r="O169" s="17" t="inlineStr">
        <is>
          <t>Jumlah kasus perbulan</t>
        </is>
      </c>
      <c r="P169" s="17">
        <f>AVERAGEIF($K$2:$K$164,"&lt;="&amp;$K$165)</f>
        <v/>
      </c>
      <c r="Q169" s="17">
        <f>AVERAGEIF($K$2:$K$164,"&gt;"&amp;$K$165)</f>
        <v/>
      </c>
      <c r="T169" s="17" t="inlineStr">
        <is>
          <t>Jenis kelamin</t>
        </is>
      </c>
      <c r="U169" s="17">
        <f>AVERAGEIF($L$2:$L$164,"&lt;="&amp;$L$165)</f>
        <v/>
      </c>
      <c r="V169" s="17">
        <f>AVERAGEIF($L$2:$L$164,"&gt;"&amp;$L$165)</f>
        <v/>
      </c>
    </row>
    <row r="170" s="1">
      <c r="E170" s="17">
        <f t="array" ref="E170:E332">IF($I$2:$I$164&lt;$F$169,"kiri",IF($I$2:$I$164&lt;$G$169,"tengah","kanan"))</f>
        <v/>
      </c>
      <c r="F170" s="17" t="inlineStr">
        <is>
          <t>Kanan &gt; 52.01</t>
        </is>
      </c>
      <c r="G170" s="17" t="n"/>
      <c r="J170" s="17">
        <f t="array" ref="J170:J332">IF($J$2:$J$164&lt;$K$169,"kiri",IF($J$2:$J$164&lt;$L$169,"tengah","kanan"))</f>
        <v/>
      </c>
      <c r="K170" s="17" t="inlineStr">
        <is>
          <t>Kanan &gt; 4.6</t>
        </is>
      </c>
      <c r="L170" s="17" t="n"/>
      <c r="O170" s="17">
        <f t="array" ref="O170:O332">IF($K$2:$K$164&lt;$P$169,"kiri",IF($K$2:$K$164&lt;$Q$169,"tengah","kanan"))</f>
        <v/>
      </c>
      <c r="P170" s="17" t="inlineStr">
        <is>
          <t>Kanan &gt; 24.90</t>
        </is>
      </c>
      <c r="Q170" s="17" t="n"/>
      <c r="T170" s="17">
        <f t="array" ref="T170:T332">IF($L$2:$L$164&lt;$U$169,"kiri",IF($L$2:$L$164&lt;$V$169,"tengah","kanan"))</f>
        <v/>
      </c>
      <c r="U170" s="17" t="inlineStr">
        <is>
          <t>Kanan &gt; 1</t>
        </is>
      </c>
      <c r="V170" s="17" t="n"/>
    </row>
    <row r="171" s="1">
      <c r="E171" s="17" t="inlineStr">
        <is>
          <t>tengah</t>
        </is>
      </c>
      <c r="F171" s="17">
        <f>COUNTIFS($E$170:$E$332,"Kanan",$M$2:$M$164,"Tinggi")</f>
        <v/>
      </c>
      <c r="G171" s="17">
        <f>F171/29</f>
        <v/>
      </c>
      <c r="J171" s="17" t="inlineStr">
        <is>
          <t>tengah</t>
        </is>
      </c>
      <c r="K171" s="17">
        <f>COUNTIFS($J$170:$J$332,"Kanan",$M$2:$M$164,"Tinggi")</f>
        <v/>
      </c>
      <c r="L171" s="17">
        <f>K171/26</f>
        <v/>
      </c>
      <c r="O171" s="17" t="inlineStr">
        <is>
          <t>kanan</t>
        </is>
      </c>
      <c r="P171" s="17">
        <f>COUNTIFS($O$170:$O$332,"Kanan",$M$2:$M$164,"Tinggi")</f>
        <v/>
      </c>
      <c r="Q171" s="17">
        <f>P171/29</f>
        <v/>
      </c>
      <c r="T171" s="17" t="inlineStr">
        <is>
          <t>kanan</t>
        </is>
      </c>
      <c r="U171" s="17">
        <f>COUNTIFS($T$170:$T$332,"Kanan",$M$2:$M$164,"Tinggi")</f>
        <v/>
      </c>
      <c r="V171" s="17">
        <f>U171/79</f>
        <v/>
      </c>
    </row>
    <row r="172" s="1">
      <c r="E172" s="17" t="inlineStr">
        <is>
          <t>tengah</t>
        </is>
      </c>
      <c r="F172" s="17">
        <f>COUNTIFS($E$170:$E$332,"Kanan",$M$2:$M$164,"Sedang")</f>
        <v/>
      </c>
      <c r="G172" s="17">
        <f>F172/29</f>
        <v/>
      </c>
      <c r="J172" s="17" t="inlineStr">
        <is>
          <t>tengah</t>
        </is>
      </c>
      <c r="K172" s="17">
        <f>COUNTIFS($J$170:$J$332,"Kanan",$M$2:$M$164,"Sedang")</f>
        <v/>
      </c>
      <c r="L172" s="17">
        <f>K172/26</f>
        <v/>
      </c>
      <c r="O172" s="17" t="inlineStr">
        <is>
          <t>kiri</t>
        </is>
      </c>
      <c r="P172" s="17">
        <f>COUNTIFS($O$170:$O$332,"Kanan",$M$2:$M$164,"Sedang")</f>
        <v/>
      </c>
      <c r="Q172" s="17">
        <f>P172/29</f>
        <v/>
      </c>
      <c r="T172" s="17" t="inlineStr">
        <is>
          <t>kanan</t>
        </is>
      </c>
      <c r="U172" s="17">
        <f>COUNTIFS($T$170:$T$332,"Kanan",$M$2:$M$164,"Sedang")</f>
        <v/>
      </c>
      <c r="V172" s="17">
        <f>U172/79</f>
        <v/>
      </c>
    </row>
    <row r="173" s="1">
      <c r="E173" s="17" t="inlineStr">
        <is>
          <t>tengah</t>
        </is>
      </c>
      <c r="F173" s="17">
        <f>COUNTIFS($E$170:$E$332,"Kanan",$M$2:$M$164,"Rendah")</f>
        <v/>
      </c>
      <c r="G173" s="17">
        <f>F173/29</f>
        <v/>
      </c>
      <c r="J173" s="17" t="inlineStr">
        <is>
          <t>tengah</t>
        </is>
      </c>
      <c r="K173" s="17">
        <f>COUNTIFS($J$170:$J$332,"Kanan",$M$2:$M$164,"Rendah")</f>
        <v/>
      </c>
      <c r="L173" s="17">
        <f>K173/26</f>
        <v/>
      </c>
      <c r="O173" s="17" t="inlineStr">
        <is>
          <t>kanan</t>
        </is>
      </c>
      <c r="P173" s="17">
        <f>COUNTIFS($O$170:$O$332,"Kanan",$M$2:$M$164,"Rendah")</f>
        <v/>
      </c>
      <c r="Q173" s="17">
        <f>P173/29</f>
        <v/>
      </c>
      <c r="T173" s="17" t="inlineStr">
        <is>
          <t>kanan</t>
        </is>
      </c>
      <c r="U173" s="17">
        <f>COUNTIFS($T$170:$T$332,"Kanan",$M$2:$M$164,"Rendah")</f>
        <v/>
      </c>
      <c r="V173" s="17">
        <f>U173/79</f>
        <v/>
      </c>
    </row>
    <row r="174" s="1">
      <c r="E174" s="17" t="inlineStr">
        <is>
          <t>tengah</t>
        </is>
      </c>
      <c r="F174" s="17" t="inlineStr">
        <is>
          <t>Entropy</t>
        </is>
      </c>
      <c r="G174" s="17">
        <f>-(IFERROR(G171*LOG(G171,2),0)+IFERROR(G172*LOG(G172,2),0)+IFERROR(G173*LOG(G173,2),0))</f>
        <v/>
      </c>
      <c r="J174" s="17" t="inlineStr">
        <is>
          <t>tengah</t>
        </is>
      </c>
      <c r="K174" s="17" t="inlineStr">
        <is>
          <t>Entropy</t>
        </is>
      </c>
      <c r="L174" s="17">
        <f>-(IFERROR(L171*LOG(L171,2),0)+IFERROR(L172*LOG(L172,2),0)+IFERROR(L173*LOG(L173,2),0))</f>
        <v/>
      </c>
      <c r="O174" s="17" t="inlineStr">
        <is>
          <t>kanan</t>
        </is>
      </c>
      <c r="P174" s="17" t="inlineStr">
        <is>
          <t>Entropy</t>
        </is>
      </c>
      <c r="Q174" s="17">
        <f>-(IFERROR(Q171*LOG(Q171,2),0)+IFERROR(Q172*LOG(Q172,2),0)+IFERROR(Q173*LOG(Q173,2),0))</f>
        <v/>
      </c>
      <c r="T174" s="17" t="inlineStr">
        <is>
          <t>kanan</t>
        </is>
      </c>
      <c r="U174" s="17" t="inlineStr">
        <is>
          <t>Entropy</t>
        </is>
      </c>
      <c r="V174" s="17">
        <f>-(IFERROR(V171*LOG(V171,2),0)+IFERROR(V172*LOG(V172,2),0)+IFERROR(V173*LOG(V173,2),0))</f>
        <v/>
      </c>
    </row>
    <row r="175" s="1">
      <c r="E175" s="17" t="inlineStr">
        <is>
          <t>kiri</t>
        </is>
      </c>
      <c r="F175" s="17" t="n"/>
      <c r="G175" s="17">
        <f>SUM(F171:F173)/163</f>
        <v/>
      </c>
      <c r="J175" s="17" t="inlineStr">
        <is>
          <t>kiri</t>
        </is>
      </c>
      <c r="K175" s="17" t="n"/>
      <c r="L175" s="17">
        <f>SUM(K171:K173)/163</f>
        <v/>
      </c>
      <c r="O175" s="17" t="inlineStr">
        <is>
          <t>tengah</t>
        </is>
      </c>
      <c r="P175" s="17" t="n"/>
      <c r="Q175" s="17">
        <f>SUM(P171:P173)/163</f>
        <v/>
      </c>
      <c r="T175" s="17" t="inlineStr">
        <is>
          <t>tengah</t>
        </is>
      </c>
      <c r="U175" s="17" t="n"/>
      <c r="V175" s="17">
        <f>SUM(U171:U173)/163</f>
        <v/>
      </c>
    </row>
    <row r="176" s="1">
      <c r="E176" s="17" t="inlineStr">
        <is>
          <t>tengah</t>
        </is>
      </c>
      <c r="F176" s="17" t="n"/>
      <c r="G176" s="23">
        <f>G174*G175</f>
        <v/>
      </c>
      <c r="J176" s="17" t="inlineStr">
        <is>
          <t>tengah</t>
        </is>
      </c>
      <c r="K176" s="17" t="n"/>
      <c r="L176" s="23">
        <f>L174*L175</f>
        <v/>
      </c>
      <c r="O176" s="17" t="inlineStr">
        <is>
          <t>tengah</t>
        </is>
      </c>
      <c r="P176" s="17" t="n"/>
      <c r="Q176" s="23">
        <f>Q174*Q175</f>
        <v/>
      </c>
      <c r="T176" s="17" t="inlineStr">
        <is>
          <t>tengah</t>
        </is>
      </c>
      <c r="U176" s="17" t="n"/>
      <c r="V176" s="23">
        <f>V174*V175</f>
        <v/>
      </c>
    </row>
    <row r="177" s="1">
      <c r="E177" s="17" t="inlineStr">
        <is>
          <t>tengah</t>
        </is>
      </c>
      <c r="F177" s="17" t="n"/>
      <c r="G177" s="17" t="n"/>
      <c r="J177" s="17" t="inlineStr">
        <is>
          <t>tengah</t>
        </is>
      </c>
      <c r="K177" s="17" t="n"/>
      <c r="L177" s="17" t="n"/>
      <c r="O177" s="17" t="inlineStr">
        <is>
          <t>tengah</t>
        </is>
      </c>
      <c r="P177" s="17" t="n"/>
      <c r="Q177" s="17" t="n"/>
      <c r="T177" s="17" t="inlineStr">
        <is>
          <t>kanan</t>
        </is>
      </c>
      <c r="U177" s="17" t="n"/>
      <c r="V177" s="17" t="n"/>
    </row>
    <row r="178" s="1">
      <c r="E178" s="17" t="inlineStr">
        <is>
          <t>tengah</t>
        </is>
      </c>
      <c r="F178" s="17" t="n"/>
      <c r="G178" s="17" t="n"/>
      <c r="J178" s="17" t="inlineStr">
        <is>
          <t>tengah</t>
        </is>
      </c>
      <c r="K178" s="17" t="n"/>
      <c r="L178" s="17" t="n"/>
      <c r="O178" s="17" t="inlineStr">
        <is>
          <t>tengah</t>
        </is>
      </c>
      <c r="P178" s="17" t="n"/>
      <c r="Q178" s="17" t="n"/>
      <c r="T178" s="17" t="inlineStr">
        <is>
          <t>tengah</t>
        </is>
      </c>
      <c r="U178" s="17" t="n"/>
      <c r="V178" s="17" t="n"/>
    </row>
    <row r="179" s="1">
      <c r="E179" s="17" t="inlineStr">
        <is>
          <t>tengah</t>
        </is>
      </c>
      <c r="F179" s="17" t="inlineStr">
        <is>
          <t>Kiri&lt;14.78</t>
        </is>
      </c>
      <c r="G179" s="17" t="n"/>
      <c r="J179" s="17" t="inlineStr">
        <is>
          <t>kiri</t>
        </is>
      </c>
      <c r="K179" s="17" t="inlineStr">
        <is>
          <t>Kiri&lt;2.50</t>
        </is>
      </c>
      <c r="L179" s="17" t="n"/>
      <c r="O179" s="17" t="inlineStr">
        <is>
          <t>kanan</t>
        </is>
      </c>
      <c r="P179" s="17" t="inlineStr">
        <is>
          <t>Kiri&lt;11.77</t>
        </is>
      </c>
      <c r="Q179" s="17" t="n"/>
      <c r="T179" s="17" t="inlineStr">
        <is>
          <t>tengah</t>
        </is>
      </c>
      <c r="U179" s="17" t="inlineStr">
        <is>
          <t>Kiri&lt;0</t>
        </is>
      </c>
      <c r="V179" s="17" t="n"/>
    </row>
    <row r="180" s="1">
      <c r="E180" s="17" t="inlineStr">
        <is>
          <t>kanan</t>
        </is>
      </c>
      <c r="F180" s="17">
        <f>COUNTIFS($E$170:$E$332,"Kiri",$M$2:$M$164,"Tinggi")</f>
        <v/>
      </c>
      <c r="G180" s="17">
        <f>F180/36</f>
        <v/>
      </c>
      <c r="J180" s="17" t="inlineStr">
        <is>
          <t>tengah</t>
        </is>
      </c>
      <c r="K180" s="17">
        <f>COUNTIFS($J$170:$J$332,"Kiri",$M$2:$M$164,"Tinggi")</f>
        <v/>
      </c>
      <c r="L180" s="17">
        <f>K180/41</f>
        <v/>
      </c>
      <c r="O180" s="17" t="inlineStr">
        <is>
          <t>tengah</t>
        </is>
      </c>
      <c r="P180" s="17">
        <f>COUNTIFS($O$170:$O$332,"Kiri",$M$2:$M$164,"Tinggi")</f>
        <v/>
      </c>
      <c r="Q180" s="17">
        <f>P180/24</f>
        <v/>
      </c>
      <c r="T180" s="17" t="inlineStr">
        <is>
          <t>kanan</t>
        </is>
      </c>
      <c r="U180" s="17">
        <f>COUNTIFS($T$170:$T$332,"Kiri",$M$2:$M$164,"Tinggi")</f>
        <v/>
      </c>
      <c r="V180" s="17">
        <f>U180/79</f>
        <v/>
      </c>
    </row>
    <row r="181" s="1">
      <c r="E181" s="17" t="inlineStr">
        <is>
          <t>kanan</t>
        </is>
      </c>
      <c r="F181" s="17">
        <f>COUNTIFS($E$170:$E$332,"Kiri",$M$2:$M$164,"Sedang")</f>
        <v/>
      </c>
      <c r="G181" s="17">
        <f>F181/36</f>
        <v/>
      </c>
      <c r="J181" s="17" t="inlineStr">
        <is>
          <t>tengah</t>
        </is>
      </c>
      <c r="K181" s="17">
        <f>COUNTIFS($J$170:$J$332,"Kiri",$M$2:$M$164,"Sedang")</f>
        <v/>
      </c>
      <c r="L181" s="17">
        <f>K181/41</f>
        <v/>
      </c>
      <c r="O181" s="17" t="inlineStr">
        <is>
          <t>tengah</t>
        </is>
      </c>
      <c r="P181" s="17">
        <f>COUNTIFS($O$170:$O$332,"Kiri",$M$2:$M$164,"Sedang")</f>
        <v/>
      </c>
      <c r="Q181" s="17">
        <f>P181/24</f>
        <v/>
      </c>
      <c r="T181" s="17" t="inlineStr">
        <is>
          <t>kanan</t>
        </is>
      </c>
      <c r="U181" s="17">
        <f>COUNTIFS($T$170:$T$332,"Kiri",$M$2:$M$164,"Sedang")</f>
        <v/>
      </c>
      <c r="V181" s="17">
        <f>U181/79</f>
        <v/>
      </c>
    </row>
    <row r="182" s="1">
      <c r="E182" s="17" t="inlineStr">
        <is>
          <t>kiri</t>
        </is>
      </c>
      <c r="F182" s="17">
        <f>COUNTIFS($E$170:$E$332,"Kiri",$M$2:$M$164,"Rendah")</f>
        <v/>
      </c>
      <c r="G182" s="17">
        <f>F182/36</f>
        <v/>
      </c>
      <c r="J182" s="17" t="inlineStr">
        <is>
          <t>kiri</t>
        </is>
      </c>
      <c r="K182" s="17">
        <f>COUNTIFS($J$170:$J$332,"Kiri",$M$2:$M$164,"Rendah")</f>
        <v/>
      </c>
      <c r="L182" s="17">
        <f>K182/41</f>
        <v/>
      </c>
      <c r="O182" s="17" t="inlineStr">
        <is>
          <t>tengah</t>
        </is>
      </c>
      <c r="P182" s="17">
        <f>COUNTIFS($O$170:$O$332,"Kiri",$M$2:$M$164,"Rendah")</f>
        <v/>
      </c>
      <c r="Q182" s="17">
        <f>P182/24</f>
        <v/>
      </c>
      <c r="T182" s="17" t="inlineStr">
        <is>
          <t>tengah</t>
        </is>
      </c>
      <c r="U182" s="17">
        <f>COUNTIFS($T$170:$T$332,"Kiri",$M$2:$M$164,"Rendah")</f>
        <v/>
      </c>
      <c r="V182" s="17">
        <f>U182/79</f>
        <v/>
      </c>
    </row>
    <row r="183" s="1">
      <c r="E183" s="17" t="inlineStr">
        <is>
          <t>tengah</t>
        </is>
      </c>
      <c r="F183" s="17" t="inlineStr">
        <is>
          <t>Entropy</t>
        </is>
      </c>
      <c r="G183" s="17">
        <f>-(IFERROR(G180*LOG(G180,2),0)+IFERROR(G181*LOG(G181,2),0)+IFERROR(G182*LOG(G182,2),0))</f>
        <v/>
      </c>
      <c r="J183" s="17" t="inlineStr">
        <is>
          <t>tengah</t>
        </is>
      </c>
      <c r="K183" s="17" t="inlineStr">
        <is>
          <t>Entropy</t>
        </is>
      </c>
      <c r="L183" s="17">
        <f>-(IFERROR(L180*LOG(L180,2),0)+IFERROR(L181*LOG(L181,2),0)+IFERROR(L182*LOG(L182,2),0))</f>
        <v/>
      </c>
      <c r="O183" s="17" t="inlineStr">
        <is>
          <t>tengah</t>
        </is>
      </c>
      <c r="P183" s="17" t="inlineStr">
        <is>
          <t>Entropy</t>
        </is>
      </c>
      <c r="Q183" s="17">
        <f>-(IFERROR(Q180*LOG(Q180,2),0)+IFERROR(Q181*LOG(Q181,2),0)+IFERROR(Q182*LOG(Q182,2),0))</f>
        <v/>
      </c>
      <c r="T183" s="17" t="inlineStr">
        <is>
          <t>tengah</t>
        </is>
      </c>
      <c r="U183" s="17" t="inlineStr">
        <is>
          <t>Entropy</t>
        </is>
      </c>
      <c r="V183" s="17">
        <f>-(IFERROR(V180*LOG(V180,2),0)+IFERROR(V181*LOG(V181,2),0)+IFERROR(V182*LOG(V182,2),0))</f>
        <v/>
      </c>
    </row>
    <row r="184" s="1">
      <c r="E184" s="17" t="inlineStr">
        <is>
          <t>tengah</t>
        </is>
      </c>
      <c r="F184" s="17" t="n"/>
      <c r="G184" s="17">
        <f>SUM(F180:F182)/163</f>
        <v/>
      </c>
      <c r="J184" s="17" t="inlineStr">
        <is>
          <t>tengah</t>
        </is>
      </c>
      <c r="K184" s="17" t="n"/>
      <c r="L184" s="17">
        <f>SUM(K180:K182)/163</f>
        <v/>
      </c>
      <c r="O184" s="17" t="inlineStr">
        <is>
          <t>tengah</t>
        </is>
      </c>
      <c r="P184" s="17" t="n"/>
      <c r="Q184" s="17">
        <f>SUM(P180:P182)/163</f>
        <v/>
      </c>
      <c r="T184" s="17" t="inlineStr">
        <is>
          <t>kanan</t>
        </is>
      </c>
      <c r="U184" s="17" t="n"/>
      <c r="V184" s="17">
        <f>SUM(U180:U182)/163</f>
        <v/>
      </c>
    </row>
    <row r="185" s="1">
      <c r="E185" s="17" t="inlineStr">
        <is>
          <t>tengah</t>
        </is>
      </c>
      <c r="F185" s="17" t="n"/>
      <c r="G185" s="23">
        <f>G183*G184</f>
        <v/>
      </c>
      <c r="J185" s="17" t="inlineStr">
        <is>
          <t>tengah</t>
        </is>
      </c>
      <c r="K185" s="17" t="n"/>
      <c r="L185" s="23">
        <f>L183*L184</f>
        <v/>
      </c>
      <c r="O185" s="17" t="inlineStr">
        <is>
          <t>kanan</t>
        </is>
      </c>
      <c r="P185" s="17" t="n"/>
      <c r="Q185" s="23">
        <f>Q183*Q184</f>
        <v/>
      </c>
      <c r="T185" s="17" t="inlineStr">
        <is>
          <t>tengah</t>
        </is>
      </c>
      <c r="U185" s="17" t="n"/>
      <c r="V185" s="23">
        <f>V183*V184</f>
        <v/>
      </c>
    </row>
    <row r="186" s="1">
      <c r="E186" s="17" t="inlineStr">
        <is>
          <t>kanan</t>
        </is>
      </c>
      <c r="F186" s="17" t="n"/>
      <c r="G186" s="17" t="n"/>
      <c r="J186" s="17" t="inlineStr">
        <is>
          <t>kiri</t>
        </is>
      </c>
      <c r="K186" s="17" t="n"/>
      <c r="L186" s="17" t="n"/>
      <c r="O186" s="17" t="inlineStr">
        <is>
          <t>kiri</t>
        </is>
      </c>
      <c r="P186" s="17" t="n"/>
      <c r="Q186" s="17" t="n"/>
      <c r="T186" s="17" t="inlineStr">
        <is>
          <t>tengah</t>
        </is>
      </c>
      <c r="U186" s="17" t="n"/>
      <c r="V186" s="17" t="n"/>
    </row>
    <row r="187" s="1">
      <c r="E187" s="17" t="inlineStr">
        <is>
          <t>tengah</t>
        </is>
      </c>
      <c r="F187" s="17" t="n"/>
      <c r="G187" s="17" t="n"/>
      <c r="J187" s="17" t="inlineStr">
        <is>
          <t>tengah</t>
        </is>
      </c>
      <c r="K187" s="17" t="n"/>
      <c r="L187" s="17" t="n"/>
      <c r="O187" s="17" t="inlineStr">
        <is>
          <t>tengah</t>
        </is>
      </c>
      <c r="P187" s="17" t="n"/>
      <c r="Q187" s="17" t="n"/>
      <c r="T187" s="17" t="inlineStr">
        <is>
          <t>tengah</t>
        </is>
      </c>
      <c r="U187" s="17" t="n"/>
      <c r="V187" s="17" t="n"/>
    </row>
    <row r="188" s="1">
      <c r="E188" s="17" t="inlineStr">
        <is>
          <t>kanan</t>
        </is>
      </c>
      <c r="F188" s="17" t="inlineStr">
        <is>
          <t>Tengah</t>
        </is>
      </c>
      <c r="G188" s="17" t="n"/>
      <c r="J188" s="17" t="inlineStr">
        <is>
          <t>tengah</t>
        </is>
      </c>
      <c r="K188" s="17" t="inlineStr">
        <is>
          <t>Tengah</t>
        </is>
      </c>
      <c r="L188" s="17" t="n"/>
      <c r="O188" s="17" t="inlineStr">
        <is>
          <t>tengah</t>
        </is>
      </c>
      <c r="P188" s="17" t="inlineStr">
        <is>
          <t>Tengah</t>
        </is>
      </c>
      <c r="Q188" s="17" t="n"/>
      <c r="T188" s="17" t="inlineStr">
        <is>
          <t>kanan</t>
        </is>
      </c>
      <c r="U188" s="17" t="inlineStr">
        <is>
          <t>Tengah</t>
        </is>
      </c>
      <c r="V188" s="17" t="n"/>
    </row>
    <row r="189" s="1">
      <c r="E189" s="17" t="inlineStr">
        <is>
          <t>tengah</t>
        </is>
      </c>
      <c r="F189" s="17">
        <f>COUNTIFS($E$170:$E$332,"Tengah",$M$2:$M$164,"Tinggi")</f>
        <v/>
      </c>
      <c r="G189" s="17">
        <f>F189/98</f>
        <v/>
      </c>
      <c r="J189" s="17" t="inlineStr">
        <is>
          <t>tengah</t>
        </is>
      </c>
      <c r="K189" s="17">
        <f>COUNTIFS($J$170:$J$332,"Tengah",$M$2:$M$164,"Tinggi")</f>
        <v/>
      </c>
      <c r="L189" s="17">
        <f>K189/96</f>
        <v/>
      </c>
      <c r="O189" s="17" t="inlineStr">
        <is>
          <t>tengah</t>
        </is>
      </c>
      <c r="P189" s="17">
        <f>COUNTIFS($O$170:$O$332,"Tengah",$M$2:$M$164,"Tinggi")</f>
        <v/>
      </c>
      <c r="Q189" s="17">
        <f>P189/110</f>
        <v/>
      </c>
      <c r="T189" s="17" t="inlineStr">
        <is>
          <t>tengah</t>
        </is>
      </c>
      <c r="U189" s="17">
        <f>COUNTIFS($T$170:$T$332,"Tengah",$M$2:$M$164,"Tinggi")</f>
        <v/>
      </c>
      <c r="V189" s="17">
        <f>U189/84</f>
        <v/>
      </c>
    </row>
    <row r="190" s="1">
      <c r="E190" s="17" t="inlineStr">
        <is>
          <t>tengah</t>
        </is>
      </c>
      <c r="F190" s="17">
        <f>COUNTIFS($E$170:$E$332,"Tengah",$M$2:$M$164,"Sedang")</f>
        <v/>
      </c>
      <c r="G190" s="17">
        <f>F190/98</f>
        <v/>
      </c>
      <c r="J190" s="17" t="inlineStr">
        <is>
          <t>tengah</t>
        </is>
      </c>
      <c r="K190" s="17">
        <f>COUNTIFS($J$170:$J$332,"Tengah",$M$2:$M$164,"Sedang")</f>
        <v/>
      </c>
      <c r="L190" s="17">
        <f>K190/96</f>
        <v/>
      </c>
      <c r="O190" s="17" t="inlineStr">
        <is>
          <t>tengah</t>
        </is>
      </c>
      <c r="P190" s="17">
        <f>COUNTIFS($O$170:$O$332,"Tengah",$M$2:$M$164,"Sedang")</f>
        <v/>
      </c>
      <c r="Q190" s="17">
        <f>P190/110</f>
        <v/>
      </c>
      <c r="T190" s="17" t="inlineStr">
        <is>
          <t>kanan</t>
        </is>
      </c>
      <c r="U190" s="17">
        <f>COUNTIFS($T$170:$T$332,"Tengah",$M$2:$M$164,"Sedang")</f>
        <v/>
      </c>
      <c r="V190" s="17">
        <f>U190/84</f>
        <v/>
      </c>
    </row>
    <row r="191" s="1">
      <c r="E191" s="17" t="inlineStr">
        <is>
          <t>tengah</t>
        </is>
      </c>
      <c r="F191" s="17">
        <f>COUNTIFS($E$170:$E$332,"Tengah",$M$2:$M$164,"Rendah")</f>
        <v/>
      </c>
      <c r="G191" s="17">
        <f>F191/98</f>
        <v/>
      </c>
      <c r="J191" s="17" t="inlineStr">
        <is>
          <t>tengah</t>
        </is>
      </c>
      <c r="K191" s="17">
        <f>COUNTIFS($J$170:$J$332,"Tengah",$M$2:$M$164,"Rendah")</f>
        <v/>
      </c>
      <c r="L191" s="17">
        <f>K191/96</f>
        <v/>
      </c>
      <c r="O191" s="17" t="inlineStr">
        <is>
          <t>tengah</t>
        </is>
      </c>
      <c r="P191" s="17">
        <f>COUNTIFS($O$170:$O$332,"Tengah",$M$2:$M$164,"Rendah")</f>
        <v/>
      </c>
      <c r="Q191" s="17">
        <f>P191/110</f>
        <v/>
      </c>
      <c r="T191" s="17" t="inlineStr">
        <is>
          <t>tengah</t>
        </is>
      </c>
      <c r="U191" s="17">
        <f>COUNTIFS($T$170:$T$332,"Tengah",$M$2:$M$164,"Rendah")</f>
        <v/>
      </c>
      <c r="V191" s="17">
        <f>U191/84</f>
        <v/>
      </c>
    </row>
    <row r="192" s="1">
      <c r="E192" s="17" t="inlineStr">
        <is>
          <t>tengah</t>
        </is>
      </c>
      <c r="F192" s="17" t="inlineStr">
        <is>
          <t>Entropy</t>
        </is>
      </c>
      <c r="G192" s="17">
        <f>-(IFERROR(G189*LOG(G189,2),0)+IFERROR(G190*LOG(G190,2),0)+IFERROR(G191*LOG(G191,2),0))</f>
        <v/>
      </c>
      <c r="J192" s="17" t="inlineStr">
        <is>
          <t>tengah</t>
        </is>
      </c>
      <c r="K192" s="17" t="inlineStr">
        <is>
          <t>Entropy</t>
        </is>
      </c>
      <c r="L192" s="17">
        <f>-(IFERROR(L189*LOG(L189,2),0)+IFERROR(L190*LOG(L190,2),0)+IFERROR(L191*LOG(L191,2),0))</f>
        <v/>
      </c>
      <c r="O192" s="17" t="inlineStr">
        <is>
          <t>tengah</t>
        </is>
      </c>
      <c r="P192" s="17" t="inlineStr">
        <is>
          <t>Entropy</t>
        </is>
      </c>
      <c r="Q192" s="17">
        <f>-(IFERROR(Q189*LOG(Q189,2),0)+IFERROR(Q190*LOG(Q190,2),0)+IFERROR(Q191*LOG(Q191,2),0))</f>
        <v/>
      </c>
      <c r="T192" s="17" t="inlineStr">
        <is>
          <t>tengah</t>
        </is>
      </c>
      <c r="U192" s="17" t="inlineStr">
        <is>
          <t>Entropy</t>
        </is>
      </c>
      <c r="V192" s="17">
        <f>-(IFERROR(V189*LOG(V189,2),0)+IFERROR(V190*LOG(V190,2),0)+IFERROR(V191*LOG(V191,2),0))</f>
        <v/>
      </c>
    </row>
    <row r="193" s="1">
      <c r="E193" s="17" t="inlineStr">
        <is>
          <t>tengah</t>
        </is>
      </c>
      <c r="F193" s="17" t="n"/>
      <c r="G193" s="17">
        <f>SUM(F189:F191)/163</f>
        <v/>
      </c>
      <c r="J193" s="17" t="inlineStr">
        <is>
          <t>tengah</t>
        </is>
      </c>
      <c r="K193" s="17" t="n"/>
      <c r="L193" s="17">
        <f>SUM(K189:K191)/163</f>
        <v/>
      </c>
      <c r="O193" s="17" t="inlineStr">
        <is>
          <t>tengah</t>
        </is>
      </c>
      <c r="P193" s="17" t="n"/>
      <c r="Q193" s="17">
        <f>SUM(P189:P191)/163</f>
        <v/>
      </c>
      <c r="T193" s="17" t="inlineStr">
        <is>
          <t>tengah</t>
        </is>
      </c>
      <c r="U193" s="17" t="n"/>
      <c r="V193" s="17">
        <f>SUM(U189:U191)/163</f>
        <v/>
      </c>
    </row>
    <row r="194" s="1">
      <c r="E194" s="17" t="inlineStr">
        <is>
          <t>kanan</t>
        </is>
      </c>
      <c r="F194" s="17" t="n"/>
      <c r="G194" s="23">
        <f>G192*G193</f>
        <v/>
      </c>
      <c r="J194" s="17" t="inlineStr">
        <is>
          <t>kanan</t>
        </is>
      </c>
      <c r="K194" s="17" t="n"/>
      <c r="L194" s="23">
        <f>L192*L193</f>
        <v/>
      </c>
      <c r="O194" s="17" t="inlineStr">
        <is>
          <t>kiri</t>
        </is>
      </c>
      <c r="P194" s="17" t="n"/>
      <c r="Q194" s="23">
        <f>Q192*Q193</f>
        <v/>
      </c>
      <c r="T194" s="17" t="inlineStr">
        <is>
          <t>kanan</t>
        </is>
      </c>
      <c r="U194" s="17" t="n"/>
      <c r="V194" s="23">
        <f>V192*V193</f>
        <v/>
      </c>
    </row>
    <row r="195" s="1">
      <c r="E195" s="17" t="inlineStr">
        <is>
          <t>tengah</t>
        </is>
      </c>
      <c r="F195" s="17" t="n"/>
      <c r="G195" s="17" t="n"/>
      <c r="J195" s="17" t="inlineStr">
        <is>
          <t>kiri</t>
        </is>
      </c>
      <c r="K195" s="17" t="n"/>
      <c r="L195" s="17" t="n"/>
      <c r="O195" s="17" t="inlineStr">
        <is>
          <t>tengah</t>
        </is>
      </c>
      <c r="P195" s="17" t="n"/>
      <c r="Q195" s="17" t="n"/>
      <c r="T195" s="17" t="inlineStr">
        <is>
          <t>kanan</t>
        </is>
      </c>
      <c r="U195" s="17" t="n"/>
      <c r="V195" s="17" t="n"/>
    </row>
    <row r="196" s="1">
      <c r="E196" s="17" t="inlineStr">
        <is>
          <t>tengah</t>
        </is>
      </c>
      <c r="F196" s="17" t="inlineStr">
        <is>
          <t>IG</t>
        </is>
      </c>
      <c r="G196" s="17" t="n"/>
      <c r="J196" s="17" t="inlineStr">
        <is>
          <t>kiri</t>
        </is>
      </c>
      <c r="K196" s="17" t="inlineStr">
        <is>
          <t>IG</t>
        </is>
      </c>
      <c r="L196" s="17" t="n"/>
      <c r="O196" s="17" t="inlineStr">
        <is>
          <t>tengah</t>
        </is>
      </c>
      <c r="P196" s="17" t="inlineStr">
        <is>
          <t>IG</t>
        </is>
      </c>
      <c r="Q196" s="17" t="n"/>
      <c r="T196" s="17" t="inlineStr">
        <is>
          <t>kanan</t>
        </is>
      </c>
      <c r="U196" s="17" t="inlineStr">
        <is>
          <t>IG</t>
        </is>
      </c>
      <c r="V196" s="17" t="n"/>
    </row>
    <row r="197" s="1">
      <c r="E197" s="17" t="inlineStr">
        <is>
          <t>tengah</t>
        </is>
      </c>
      <c r="F197" s="24">
        <f>P5-(G176+G185+G194)</f>
        <v/>
      </c>
      <c r="G197" s="17" t="n"/>
      <c r="J197" s="17" t="inlineStr">
        <is>
          <t>tengah</t>
        </is>
      </c>
      <c r="K197" s="24">
        <f>P5-(L176+L185+L194)</f>
        <v/>
      </c>
      <c r="L197" s="17" t="n"/>
      <c r="O197" s="17" t="inlineStr">
        <is>
          <t>kiri</t>
        </is>
      </c>
      <c r="P197" s="24">
        <f>P5-(Q176+Q185+Q194)</f>
        <v/>
      </c>
      <c r="Q197" s="17" t="n"/>
      <c r="T197" s="17" t="inlineStr">
        <is>
          <t>kanan</t>
        </is>
      </c>
      <c r="U197" s="24">
        <f>P5-(V176+V185+V194)</f>
        <v/>
      </c>
      <c r="V197" s="17" t="n"/>
    </row>
    <row r="198" s="1">
      <c r="E198" s="17" t="inlineStr">
        <is>
          <t>kanan</t>
        </is>
      </c>
      <c r="F198" s="17" t="n"/>
      <c r="G198" s="17" t="n"/>
      <c r="J198" s="17" t="inlineStr">
        <is>
          <t>tengah</t>
        </is>
      </c>
      <c r="K198" s="17" t="n"/>
      <c r="L198" s="17" t="n"/>
      <c r="O198" s="17" t="inlineStr">
        <is>
          <t>tengah</t>
        </is>
      </c>
      <c r="P198" s="17" t="n"/>
      <c r="Q198" s="17" t="n"/>
      <c r="T198" s="17" t="inlineStr">
        <is>
          <t>kanan</t>
        </is>
      </c>
      <c r="U198" s="17" t="n"/>
      <c r="V198" s="17" t="n"/>
    </row>
    <row r="199" s="1">
      <c r="E199" s="17" t="inlineStr">
        <is>
          <t>tengah</t>
        </is>
      </c>
      <c r="F199" s="17" t="n"/>
      <c r="G199" s="17" t="n"/>
      <c r="J199" s="17" t="inlineStr">
        <is>
          <t>tengah</t>
        </is>
      </c>
      <c r="K199" s="17" t="n"/>
      <c r="L199" s="17" t="n"/>
      <c r="O199" s="17" t="inlineStr">
        <is>
          <t>tengah</t>
        </is>
      </c>
      <c r="P199" s="17" t="n"/>
      <c r="Q199" s="17" t="n"/>
      <c r="T199" s="17" t="inlineStr">
        <is>
          <t>kanan</t>
        </is>
      </c>
      <c r="U199" s="17" t="n"/>
      <c r="V199" s="17" t="n"/>
    </row>
    <row r="200" s="1">
      <c r="E200" s="17" t="inlineStr">
        <is>
          <t>tengah</t>
        </is>
      </c>
      <c r="F200" s="17" t="n"/>
      <c r="G200" s="17" t="n"/>
      <c r="J200" s="17" t="inlineStr">
        <is>
          <t>kiri</t>
        </is>
      </c>
      <c r="K200" s="17" t="n"/>
      <c r="L200" s="17" t="n"/>
      <c r="O200" s="17" t="inlineStr">
        <is>
          <t>kanan</t>
        </is>
      </c>
      <c r="P200" s="17" t="n"/>
      <c r="Q200" s="17" t="n"/>
      <c r="T200" s="17" t="inlineStr">
        <is>
          <t>tengah</t>
        </is>
      </c>
      <c r="U200" s="17" t="n"/>
      <c r="V200" s="17" t="n"/>
    </row>
    <row r="201" s="1">
      <c r="E201" s="17" t="inlineStr">
        <is>
          <t>tengah</t>
        </is>
      </c>
      <c r="F201" s="17" t="n"/>
      <c r="G201" s="17" t="n"/>
      <c r="J201" s="17" t="inlineStr">
        <is>
          <t>tengah</t>
        </is>
      </c>
      <c r="K201" s="17" t="n"/>
      <c r="L201" s="17" t="n"/>
      <c r="O201" s="17" t="inlineStr">
        <is>
          <t>tengah</t>
        </is>
      </c>
      <c r="P201" s="17" t="n"/>
      <c r="Q201" s="17" t="n"/>
      <c r="T201" s="17" t="inlineStr">
        <is>
          <t>tengah</t>
        </is>
      </c>
      <c r="U201" s="17" t="n"/>
      <c r="V201" s="17" t="n"/>
    </row>
    <row r="202" s="1">
      <c r="E202" s="17" t="inlineStr">
        <is>
          <t>tengah</t>
        </is>
      </c>
      <c r="F202" s="17" t="n"/>
      <c r="G202" s="17" t="n"/>
      <c r="J202" s="17" t="inlineStr">
        <is>
          <t>kiri</t>
        </is>
      </c>
      <c r="K202" s="17" t="n"/>
      <c r="L202" s="17" t="n"/>
      <c r="O202" s="17" t="inlineStr">
        <is>
          <t>kiri</t>
        </is>
      </c>
      <c r="P202" s="17" t="n"/>
      <c r="Q202" s="17" t="n"/>
      <c r="T202" s="17" t="inlineStr">
        <is>
          <t>tengah</t>
        </is>
      </c>
      <c r="U202" s="17" t="n"/>
      <c r="V202" s="17" t="n"/>
    </row>
    <row r="203" s="1">
      <c r="E203" s="17" t="inlineStr">
        <is>
          <t>kanan</t>
        </is>
      </c>
      <c r="F203" s="17" t="n"/>
      <c r="G203" s="17" t="n"/>
      <c r="J203" s="17" t="inlineStr">
        <is>
          <t>tengah</t>
        </is>
      </c>
      <c r="K203" s="17" t="n"/>
      <c r="L203" s="17" t="n"/>
      <c r="O203" s="17" t="inlineStr">
        <is>
          <t>tengah</t>
        </is>
      </c>
      <c r="P203" s="17" t="n"/>
      <c r="Q203" s="17" t="n"/>
      <c r="T203" s="17" t="inlineStr">
        <is>
          <t>tengah</t>
        </is>
      </c>
      <c r="U203" s="17" t="n"/>
      <c r="V203" s="17" t="n"/>
    </row>
    <row r="204" s="1">
      <c r="E204" s="17" t="inlineStr">
        <is>
          <t>tengah</t>
        </is>
      </c>
      <c r="F204" s="17" t="n"/>
      <c r="G204" s="17" t="n"/>
      <c r="J204" s="17" t="inlineStr">
        <is>
          <t>tengah</t>
        </is>
      </c>
      <c r="K204" s="17" t="n"/>
      <c r="L204" s="17" t="n"/>
      <c r="O204" s="17" t="inlineStr">
        <is>
          <t>tengah</t>
        </is>
      </c>
      <c r="P204" s="17" t="n"/>
      <c r="Q204" s="17" t="n"/>
      <c r="T204" s="17" t="inlineStr">
        <is>
          <t>kanan</t>
        </is>
      </c>
      <c r="U204" s="17" t="n"/>
      <c r="V204" s="17" t="n"/>
    </row>
    <row r="205" s="1">
      <c r="E205" s="17" t="inlineStr">
        <is>
          <t>kiri</t>
        </is>
      </c>
      <c r="F205" s="17" t="n"/>
      <c r="G205" s="17" t="n"/>
      <c r="J205" s="17" t="inlineStr">
        <is>
          <t>tengah</t>
        </is>
      </c>
      <c r="K205" s="17" t="n"/>
      <c r="L205" s="17" t="n"/>
      <c r="O205" s="17" t="inlineStr">
        <is>
          <t>tengah</t>
        </is>
      </c>
      <c r="P205" s="17" t="n"/>
      <c r="Q205" s="17" t="n"/>
      <c r="T205" s="17" t="inlineStr">
        <is>
          <t>kanan</t>
        </is>
      </c>
      <c r="U205" s="17" t="n"/>
      <c r="V205" s="17" t="n"/>
    </row>
    <row r="206" s="1">
      <c r="E206" s="17" t="inlineStr">
        <is>
          <t>kiri</t>
        </is>
      </c>
      <c r="F206" s="17" t="n"/>
      <c r="G206" s="17" t="n"/>
      <c r="J206" s="17" t="inlineStr">
        <is>
          <t>tengah</t>
        </is>
      </c>
      <c r="K206" s="17" t="n"/>
      <c r="L206" s="17" t="n"/>
      <c r="O206" s="17" t="inlineStr">
        <is>
          <t>tengah</t>
        </is>
      </c>
      <c r="P206" s="17" t="n"/>
      <c r="Q206" s="17" t="n"/>
      <c r="T206" s="17" t="inlineStr">
        <is>
          <t>kanan</t>
        </is>
      </c>
      <c r="U206" s="17" t="n"/>
      <c r="V206" s="17" t="n"/>
    </row>
    <row r="207" s="1">
      <c r="E207" s="17" t="inlineStr">
        <is>
          <t>tengah</t>
        </is>
      </c>
      <c r="F207" s="17" t="n"/>
      <c r="G207" s="17" t="n"/>
      <c r="J207" s="17" t="inlineStr">
        <is>
          <t>kiri</t>
        </is>
      </c>
      <c r="K207" s="17" t="n"/>
      <c r="L207" s="17" t="n"/>
      <c r="O207" s="17" t="inlineStr">
        <is>
          <t>kanan</t>
        </is>
      </c>
      <c r="P207" s="17" t="n"/>
      <c r="Q207" s="17" t="n"/>
      <c r="T207" s="17" t="inlineStr">
        <is>
          <t>kanan</t>
        </is>
      </c>
      <c r="U207" s="17" t="n"/>
      <c r="V207" s="17" t="n"/>
    </row>
    <row r="208" s="1">
      <c r="E208" s="17" t="inlineStr">
        <is>
          <t>tengah</t>
        </is>
      </c>
      <c r="F208" s="17" t="n"/>
      <c r="G208" s="17" t="n"/>
      <c r="J208" s="17" t="inlineStr">
        <is>
          <t>kiri</t>
        </is>
      </c>
      <c r="K208" s="17" t="n"/>
      <c r="L208" s="17" t="n"/>
      <c r="O208" s="17" t="inlineStr">
        <is>
          <t>tengah</t>
        </is>
      </c>
      <c r="P208" s="17" t="n"/>
      <c r="Q208" s="17" t="n"/>
      <c r="T208" s="17" t="inlineStr">
        <is>
          <t>tengah</t>
        </is>
      </c>
      <c r="U208" s="17" t="n"/>
      <c r="V208" s="17" t="n"/>
    </row>
    <row r="209" s="1">
      <c r="E209" s="17" t="inlineStr">
        <is>
          <t>tengah</t>
        </is>
      </c>
      <c r="F209" s="17" t="n"/>
      <c r="G209" s="17" t="n"/>
      <c r="J209" s="17" t="inlineStr">
        <is>
          <t>tengah</t>
        </is>
      </c>
      <c r="K209" s="17" t="n"/>
      <c r="L209" s="17" t="n"/>
      <c r="O209" s="17" t="inlineStr">
        <is>
          <t>tengah</t>
        </is>
      </c>
      <c r="P209" s="17" t="n"/>
      <c r="Q209" s="17" t="n"/>
      <c r="T209" s="17" t="inlineStr">
        <is>
          <t>tengah</t>
        </is>
      </c>
      <c r="U209" s="17" t="n"/>
      <c r="V209" s="17" t="n"/>
    </row>
    <row r="210" s="1">
      <c r="E210" s="17" t="inlineStr">
        <is>
          <t>tengah</t>
        </is>
      </c>
      <c r="F210" s="17" t="n"/>
      <c r="G210" s="17" t="n"/>
      <c r="J210" s="17" t="inlineStr">
        <is>
          <t>kiri</t>
        </is>
      </c>
      <c r="K210" s="17" t="n"/>
      <c r="L210" s="17" t="n"/>
      <c r="O210" s="17" t="inlineStr">
        <is>
          <t>tengah</t>
        </is>
      </c>
      <c r="P210" s="17" t="n"/>
      <c r="Q210" s="17" t="n"/>
      <c r="T210" s="17" t="inlineStr">
        <is>
          <t>kanan</t>
        </is>
      </c>
      <c r="U210" s="17" t="n"/>
      <c r="V210" s="17" t="n"/>
    </row>
    <row r="211" s="1">
      <c r="E211" s="17" t="inlineStr">
        <is>
          <t>tengah</t>
        </is>
      </c>
      <c r="F211" s="17" t="n"/>
      <c r="G211" s="17" t="n"/>
      <c r="J211" s="17" t="inlineStr">
        <is>
          <t>tengah</t>
        </is>
      </c>
      <c r="K211" s="17" t="n"/>
      <c r="L211" s="17" t="n"/>
      <c r="O211" s="17" t="inlineStr">
        <is>
          <t>tengah</t>
        </is>
      </c>
      <c r="P211" s="17" t="n"/>
      <c r="Q211" s="17" t="n"/>
      <c r="T211" s="17" t="inlineStr">
        <is>
          <t>tengah</t>
        </is>
      </c>
      <c r="U211" s="17" t="n"/>
      <c r="V211" s="17" t="n"/>
    </row>
    <row r="212" s="1">
      <c r="E212" s="17" t="inlineStr">
        <is>
          <t>tengah</t>
        </is>
      </c>
      <c r="F212" s="17" t="n"/>
      <c r="G212" s="17" t="n"/>
      <c r="J212" s="17" t="inlineStr">
        <is>
          <t>tengah</t>
        </is>
      </c>
      <c r="K212" s="17" t="n"/>
      <c r="L212" s="17" t="n"/>
      <c r="O212" s="17" t="inlineStr">
        <is>
          <t>tengah</t>
        </is>
      </c>
      <c r="P212" s="17" t="n"/>
      <c r="Q212" s="17" t="n"/>
      <c r="T212" s="17" t="inlineStr">
        <is>
          <t>tengah</t>
        </is>
      </c>
      <c r="U212" s="17" t="n"/>
      <c r="V212" s="17" t="n"/>
    </row>
    <row r="213" s="1">
      <c r="E213" s="17" t="inlineStr">
        <is>
          <t>tengah</t>
        </is>
      </c>
      <c r="F213" s="17" t="n"/>
      <c r="G213" s="17" t="n"/>
      <c r="J213" s="17" t="inlineStr">
        <is>
          <t>tengah</t>
        </is>
      </c>
      <c r="K213" s="17" t="n"/>
      <c r="L213" s="17" t="n"/>
      <c r="O213" s="17" t="inlineStr">
        <is>
          <t>kiri</t>
        </is>
      </c>
      <c r="P213" s="17" t="n"/>
      <c r="Q213" s="17" t="n"/>
      <c r="T213" s="17" t="inlineStr">
        <is>
          <t>kanan</t>
        </is>
      </c>
      <c r="U213" s="17" t="n"/>
      <c r="V213" s="17" t="n"/>
    </row>
    <row r="214" s="1">
      <c r="E214" s="17" t="inlineStr">
        <is>
          <t>tengah</t>
        </is>
      </c>
      <c r="F214" s="17" t="n"/>
      <c r="G214" s="17" t="n"/>
      <c r="J214" s="17" t="inlineStr">
        <is>
          <t>kanan</t>
        </is>
      </c>
      <c r="K214" s="17" t="n"/>
      <c r="L214" s="17" t="n"/>
      <c r="O214" s="17" t="inlineStr">
        <is>
          <t>tengah</t>
        </is>
      </c>
      <c r="P214" s="17" t="n"/>
      <c r="Q214" s="17" t="n"/>
      <c r="T214" s="17" t="inlineStr">
        <is>
          <t>tengah</t>
        </is>
      </c>
      <c r="U214" s="17" t="n"/>
      <c r="V214" s="17" t="n"/>
    </row>
    <row r="215" s="1">
      <c r="E215" s="17" t="inlineStr">
        <is>
          <t>kiri</t>
        </is>
      </c>
      <c r="F215" s="17" t="n"/>
      <c r="G215" s="17" t="n"/>
      <c r="J215" s="17" t="inlineStr">
        <is>
          <t>tengah</t>
        </is>
      </c>
      <c r="K215" s="17" t="n"/>
      <c r="L215" s="17" t="n"/>
      <c r="O215" s="17" t="inlineStr">
        <is>
          <t>tengah</t>
        </is>
      </c>
      <c r="P215" s="17" t="n"/>
      <c r="Q215" s="17" t="n"/>
      <c r="T215" s="17" t="inlineStr">
        <is>
          <t>tengah</t>
        </is>
      </c>
      <c r="U215" s="17" t="n"/>
      <c r="V215" s="17" t="n"/>
    </row>
    <row r="216" s="1">
      <c r="E216" s="17" t="inlineStr">
        <is>
          <t>tengah</t>
        </is>
      </c>
      <c r="F216" s="17" t="n"/>
      <c r="G216" s="17" t="n"/>
      <c r="J216" s="17" t="inlineStr">
        <is>
          <t>tengah</t>
        </is>
      </c>
      <c r="K216" s="17" t="n"/>
      <c r="L216" s="17" t="n"/>
      <c r="O216" s="17" t="inlineStr">
        <is>
          <t>kiri</t>
        </is>
      </c>
      <c r="P216" s="17" t="n"/>
      <c r="Q216" s="17" t="n"/>
      <c r="T216" s="17" t="inlineStr">
        <is>
          <t>kanan</t>
        </is>
      </c>
      <c r="U216" s="17" t="n"/>
      <c r="V216" s="17" t="n"/>
    </row>
    <row r="217" s="1">
      <c r="E217" s="17" t="inlineStr">
        <is>
          <t>kanan</t>
        </is>
      </c>
      <c r="F217" s="17" t="n"/>
      <c r="G217" s="17" t="n"/>
      <c r="J217" s="17" t="inlineStr">
        <is>
          <t>kanan</t>
        </is>
      </c>
      <c r="K217" s="17" t="n"/>
      <c r="L217" s="17" t="n"/>
      <c r="O217" s="17" t="inlineStr">
        <is>
          <t>tengah</t>
        </is>
      </c>
      <c r="P217" s="17" t="n"/>
      <c r="Q217" s="17" t="n"/>
      <c r="T217" s="17" t="inlineStr">
        <is>
          <t>kanan</t>
        </is>
      </c>
      <c r="U217" s="17" t="n"/>
      <c r="V217" s="17" t="n"/>
    </row>
    <row r="218" s="1">
      <c r="E218" s="17" t="inlineStr">
        <is>
          <t>tengah</t>
        </is>
      </c>
      <c r="F218" s="17" t="n"/>
      <c r="G218" s="17" t="n"/>
      <c r="J218" s="17" t="inlineStr">
        <is>
          <t>tengah</t>
        </is>
      </c>
      <c r="K218" s="17" t="n"/>
      <c r="L218" s="17" t="n"/>
      <c r="O218" s="17" t="inlineStr">
        <is>
          <t>tengah</t>
        </is>
      </c>
      <c r="P218" s="17" t="n"/>
      <c r="Q218" s="17" t="n"/>
      <c r="T218" s="17" t="inlineStr">
        <is>
          <t>tengah</t>
        </is>
      </c>
      <c r="U218" s="17" t="n"/>
      <c r="V218" s="17" t="n"/>
    </row>
    <row r="219" s="1">
      <c r="E219" s="17" t="inlineStr">
        <is>
          <t>kiri</t>
        </is>
      </c>
      <c r="F219" s="17" t="n"/>
      <c r="G219" s="17" t="n"/>
      <c r="J219" s="17" t="inlineStr">
        <is>
          <t>tengah</t>
        </is>
      </c>
      <c r="K219" s="17" t="n"/>
      <c r="L219" s="17" t="n"/>
      <c r="O219" s="17" t="inlineStr">
        <is>
          <t>kanan</t>
        </is>
      </c>
      <c r="P219" s="17" t="n"/>
      <c r="Q219" s="17" t="n"/>
      <c r="T219" s="17" t="inlineStr">
        <is>
          <t>kanan</t>
        </is>
      </c>
      <c r="U219" s="17" t="n"/>
      <c r="V219" s="17" t="n"/>
    </row>
    <row r="220" s="1">
      <c r="E220" s="17" t="inlineStr">
        <is>
          <t>tengah</t>
        </is>
      </c>
      <c r="F220" s="17" t="n"/>
      <c r="G220" s="17" t="n"/>
      <c r="J220" s="17" t="inlineStr">
        <is>
          <t>kanan</t>
        </is>
      </c>
      <c r="K220" s="17" t="n"/>
      <c r="L220" s="17" t="n"/>
      <c r="O220" s="17" t="inlineStr">
        <is>
          <t>tengah</t>
        </is>
      </c>
      <c r="P220" s="17" t="n"/>
      <c r="Q220" s="17" t="n"/>
      <c r="T220" s="17" t="inlineStr">
        <is>
          <t>kanan</t>
        </is>
      </c>
      <c r="U220" s="17" t="n"/>
      <c r="V220" s="17" t="n"/>
    </row>
    <row r="221" s="1">
      <c r="E221" s="17" t="inlineStr">
        <is>
          <t>kanan</t>
        </is>
      </c>
      <c r="F221" s="17" t="n"/>
      <c r="G221" s="17" t="n"/>
      <c r="J221" s="17" t="inlineStr">
        <is>
          <t>tengah</t>
        </is>
      </c>
      <c r="K221" s="17" t="n"/>
      <c r="L221" s="17" t="n"/>
      <c r="O221" s="17" t="inlineStr">
        <is>
          <t>tengah</t>
        </is>
      </c>
      <c r="P221" s="17" t="n"/>
      <c r="Q221" s="17" t="n"/>
      <c r="T221" s="17" t="inlineStr">
        <is>
          <t>kanan</t>
        </is>
      </c>
      <c r="U221" s="17" t="n"/>
      <c r="V221" s="17" t="n"/>
    </row>
    <row r="222" s="1">
      <c r="E222" s="17" t="inlineStr">
        <is>
          <t>tengah</t>
        </is>
      </c>
      <c r="F222" s="17" t="n"/>
      <c r="G222" s="17" t="n"/>
      <c r="J222" s="17" t="inlineStr">
        <is>
          <t>tengah</t>
        </is>
      </c>
      <c r="K222" s="17" t="n"/>
      <c r="L222" s="17" t="n"/>
      <c r="O222" s="17" t="inlineStr">
        <is>
          <t>tengah</t>
        </is>
      </c>
      <c r="P222" s="17" t="n"/>
      <c r="Q222" s="17" t="n"/>
      <c r="T222" s="17" t="inlineStr">
        <is>
          <t>tengah</t>
        </is>
      </c>
      <c r="U222" s="17" t="n"/>
      <c r="V222" s="17" t="n"/>
    </row>
    <row r="223" s="1">
      <c r="E223" s="17" t="inlineStr">
        <is>
          <t>tengah</t>
        </is>
      </c>
      <c r="F223" s="17" t="n"/>
      <c r="G223" s="17" t="n"/>
      <c r="J223" s="17" t="inlineStr">
        <is>
          <t>kiri</t>
        </is>
      </c>
      <c r="K223" s="17" t="n"/>
      <c r="L223" s="17" t="n"/>
      <c r="O223" s="17" t="inlineStr">
        <is>
          <t>tengah</t>
        </is>
      </c>
      <c r="P223" s="17" t="n"/>
      <c r="Q223" s="17" t="n"/>
      <c r="T223" s="17" t="inlineStr">
        <is>
          <t>tengah</t>
        </is>
      </c>
      <c r="U223" s="17" t="n"/>
      <c r="V223" s="17" t="n"/>
    </row>
    <row r="224" s="1">
      <c r="E224" s="17" t="inlineStr">
        <is>
          <t>tengah</t>
        </is>
      </c>
      <c r="F224" s="17" t="n"/>
      <c r="G224" s="17" t="n"/>
      <c r="J224" s="17" t="inlineStr">
        <is>
          <t>tengah</t>
        </is>
      </c>
      <c r="K224" s="17" t="n"/>
      <c r="L224" s="17" t="n"/>
      <c r="O224" s="17" t="inlineStr">
        <is>
          <t>kanan</t>
        </is>
      </c>
      <c r="P224" s="17" t="n"/>
      <c r="Q224" s="17" t="n"/>
      <c r="T224" s="17" t="inlineStr">
        <is>
          <t>tengah</t>
        </is>
      </c>
      <c r="U224" s="17" t="n"/>
      <c r="V224" s="17" t="n"/>
    </row>
    <row r="225" s="1">
      <c r="E225" s="17" t="inlineStr">
        <is>
          <t>kiri</t>
        </is>
      </c>
      <c r="F225" s="17" t="n"/>
      <c r="G225" s="17" t="n"/>
      <c r="J225" s="17" t="inlineStr">
        <is>
          <t>tengah</t>
        </is>
      </c>
      <c r="K225" s="17" t="n"/>
      <c r="L225" s="17" t="n"/>
      <c r="O225" s="17" t="inlineStr">
        <is>
          <t>tengah</t>
        </is>
      </c>
      <c r="P225" s="17" t="n"/>
      <c r="Q225" s="17" t="n"/>
      <c r="T225" s="17" t="inlineStr">
        <is>
          <t>tengah</t>
        </is>
      </c>
      <c r="U225" s="17" t="n"/>
      <c r="V225" s="17" t="n"/>
    </row>
    <row r="226" s="1">
      <c r="E226" s="17" t="inlineStr">
        <is>
          <t>tengah</t>
        </is>
      </c>
      <c r="F226" s="17" t="n"/>
      <c r="G226" s="17" t="n"/>
      <c r="J226" s="17" t="inlineStr">
        <is>
          <t>tengah</t>
        </is>
      </c>
      <c r="K226" s="17" t="n"/>
      <c r="L226" s="17" t="n"/>
      <c r="O226" s="17" t="inlineStr">
        <is>
          <t>tengah</t>
        </is>
      </c>
      <c r="P226" s="17" t="n"/>
      <c r="Q226" s="17" t="n"/>
      <c r="T226" s="17" t="inlineStr">
        <is>
          <t>tengah</t>
        </is>
      </c>
      <c r="U226" s="17" t="n"/>
      <c r="V226" s="17" t="n"/>
    </row>
    <row r="227" s="1">
      <c r="E227" s="17" t="inlineStr">
        <is>
          <t>kanan</t>
        </is>
      </c>
      <c r="F227" s="17" t="n"/>
      <c r="G227" s="17" t="n"/>
      <c r="J227" s="17" t="inlineStr">
        <is>
          <t>tengah</t>
        </is>
      </c>
      <c r="K227" s="17" t="n"/>
      <c r="L227" s="17" t="n"/>
      <c r="O227" s="17" t="inlineStr">
        <is>
          <t>tengah</t>
        </is>
      </c>
      <c r="P227" s="17" t="n"/>
      <c r="Q227" s="17" t="n"/>
      <c r="T227" s="17" t="inlineStr">
        <is>
          <t>kanan</t>
        </is>
      </c>
      <c r="U227" s="17" t="n"/>
      <c r="V227" s="17" t="n"/>
    </row>
    <row r="228" s="1">
      <c r="E228" s="17" t="inlineStr">
        <is>
          <t>tengah</t>
        </is>
      </c>
      <c r="F228" s="17" t="n"/>
      <c r="G228" s="17" t="n"/>
      <c r="J228" s="17" t="inlineStr">
        <is>
          <t>kanan</t>
        </is>
      </c>
      <c r="K228" s="17" t="n"/>
      <c r="L228" s="17" t="n"/>
      <c r="O228" s="17" t="inlineStr">
        <is>
          <t>tengah</t>
        </is>
      </c>
      <c r="P228" s="17" t="n"/>
      <c r="Q228" s="17" t="n"/>
      <c r="T228" s="17" t="inlineStr">
        <is>
          <t>tengah</t>
        </is>
      </c>
      <c r="U228" s="17" t="n"/>
      <c r="V228" s="17" t="n"/>
    </row>
    <row r="229" s="1">
      <c r="E229" s="17" t="inlineStr">
        <is>
          <t>tengah</t>
        </is>
      </c>
      <c r="F229" s="17" t="n"/>
      <c r="G229" s="17" t="n"/>
      <c r="J229" s="17" t="inlineStr">
        <is>
          <t>tengah</t>
        </is>
      </c>
      <c r="K229" s="17" t="n"/>
      <c r="L229" s="17" t="n"/>
      <c r="O229" s="17" t="inlineStr">
        <is>
          <t>kiri</t>
        </is>
      </c>
      <c r="P229" s="17" t="n"/>
      <c r="Q229" s="17" t="n"/>
      <c r="T229" s="17" t="inlineStr">
        <is>
          <t>kanan</t>
        </is>
      </c>
      <c r="U229" s="17" t="n"/>
      <c r="V229" s="17" t="n"/>
    </row>
    <row r="230" s="1">
      <c r="E230" s="17" t="inlineStr">
        <is>
          <t>kiri</t>
        </is>
      </c>
      <c r="F230" s="17" t="n"/>
      <c r="G230" s="17" t="n"/>
      <c r="J230" s="17" t="inlineStr">
        <is>
          <t>kiri</t>
        </is>
      </c>
      <c r="K230" s="17" t="n"/>
      <c r="L230" s="17" t="n"/>
      <c r="O230" s="17" t="inlineStr">
        <is>
          <t>tengah</t>
        </is>
      </c>
      <c r="P230" s="17" t="n"/>
      <c r="Q230" s="17" t="n"/>
      <c r="T230" s="17" t="inlineStr">
        <is>
          <t>kanan</t>
        </is>
      </c>
      <c r="U230" s="17" t="n"/>
      <c r="V230" s="17" t="n"/>
    </row>
    <row r="231" s="1">
      <c r="E231" s="17" t="inlineStr">
        <is>
          <t>kiri</t>
        </is>
      </c>
      <c r="F231" s="17" t="n"/>
      <c r="G231" s="17" t="n"/>
      <c r="J231" s="17" t="inlineStr">
        <is>
          <t>kiri</t>
        </is>
      </c>
      <c r="K231" s="17" t="n"/>
      <c r="L231" s="17" t="n"/>
      <c r="O231" s="17" t="inlineStr">
        <is>
          <t>kanan</t>
        </is>
      </c>
      <c r="P231" s="17" t="n"/>
      <c r="Q231" s="17" t="n"/>
      <c r="T231" s="17" t="inlineStr">
        <is>
          <t>kanan</t>
        </is>
      </c>
      <c r="U231" s="17" t="n"/>
      <c r="V231" s="17" t="n"/>
    </row>
    <row r="232" s="1">
      <c r="E232" s="17" t="inlineStr">
        <is>
          <t>tengah</t>
        </is>
      </c>
      <c r="F232" s="17" t="n"/>
      <c r="G232" s="17" t="n"/>
      <c r="J232" s="17" t="inlineStr">
        <is>
          <t>tengah</t>
        </is>
      </c>
      <c r="K232" s="17" t="n"/>
      <c r="L232" s="17" t="n"/>
      <c r="O232" s="17" t="inlineStr">
        <is>
          <t>tengah</t>
        </is>
      </c>
      <c r="P232" s="17" t="n"/>
      <c r="Q232" s="17" t="n"/>
      <c r="T232" s="17" t="inlineStr">
        <is>
          <t>tengah</t>
        </is>
      </c>
      <c r="U232" s="17" t="n"/>
      <c r="V232" s="17" t="n"/>
    </row>
    <row r="233" s="1">
      <c r="E233" s="17" t="inlineStr">
        <is>
          <t>kanan</t>
        </is>
      </c>
      <c r="F233" s="17" t="n"/>
      <c r="G233" s="17" t="n"/>
      <c r="J233" s="17" t="inlineStr">
        <is>
          <t>tengah</t>
        </is>
      </c>
      <c r="K233" s="17" t="n"/>
      <c r="L233" s="17" t="n"/>
      <c r="O233" s="17" t="inlineStr">
        <is>
          <t>kanan</t>
        </is>
      </c>
      <c r="P233" s="17" t="n"/>
      <c r="Q233" s="17" t="n"/>
      <c r="T233" s="17" t="inlineStr">
        <is>
          <t>kanan</t>
        </is>
      </c>
      <c r="U233" s="17" t="n"/>
      <c r="V233" s="17" t="n"/>
    </row>
    <row r="234" s="1">
      <c r="E234" s="17" t="inlineStr">
        <is>
          <t>kanan</t>
        </is>
      </c>
      <c r="F234" s="17" t="n"/>
      <c r="G234" s="17" t="n"/>
      <c r="J234" s="17" t="inlineStr">
        <is>
          <t>tengah</t>
        </is>
      </c>
      <c r="K234" s="17" t="n"/>
      <c r="L234" s="17" t="n"/>
      <c r="O234" s="17" t="inlineStr">
        <is>
          <t>tengah</t>
        </is>
      </c>
      <c r="P234" s="17" t="n"/>
      <c r="Q234" s="17" t="n"/>
      <c r="T234" s="17" t="inlineStr">
        <is>
          <t>tengah</t>
        </is>
      </c>
      <c r="U234" s="17" t="n"/>
      <c r="V234" s="17" t="n"/>
    </row>
    <row r="235" s="1">
      <c r="E235" s="17" t="inlineStr">
        <is>
          <t>kanan</t>
        </is>
      </c>
      <c r="F235" s="17" t="n"/>
      <c r="G235" s="17" t="n"/>
      <c r="J235" s="17" t="inlineStr">
        <is>
          <t>tengah</t>
        </is>
      </c>
      <c r="K235" s="17" t="n"/>
      <c r="L235" s="17" t="n"/>
      <c r="O235" s="17" t="inlineStr">
        <is>
          <t>kanan</t>
        </is>
      </c>
      <c r="P235" s="17" t="n"/>
      <c r="Q235" s="17" t="n"/>
      <c r="T235" s="17" t="inlineStr">
        <is>
          <t>kanan</t>
        </is>
      </c>
      <c r="U235" s="17" t="n"/>
      <c r="V235" s="17" t="n"/>
    </row>
    <row r="236" s="1">
      <c r="E236" s="17" t="inlineStr">
        <is>
          <t>kiri</t>
        </is>
      </c>
      <c r="F236" s="17" t="n"/>
      <c r="G236" s="17" t="n"/>
      <c r="J236" s="17" t="inlineStr">
        <is>
          <t>tengah</t>
        </is>
      </c>
      <c r="K236" s="17" t="n"/>
      <c r="L236" s="17" t="n"/>
      <c r="O236" s="17" t="inlineStr">
        <is>
          <t>tengah</t>
        </is>
      </c>
      <c r="P236" s="17" t="n"/>
      <c r="Q236" s="17" t="n"/>
      <c r="T236" s="17" t="inlineStr">
        <is>
          <t>tengah</t>
        </is>
      </c>
      <c r="U236" s="17" t="n"/>
      <c r="V236" s="17" t="n"/>
    </row>
    <row r="237" s="1">
      <c r="E237" s="17" t="inlineStr">
        <is>
          <t>kanan</t>
        </is>
      </c>
      <c r="F237" s="17" t="n"/>
      <c r="G237" s="17" t="n"/>
      <c r="J237" s="17" t="inlineStr">
        <is>
          <t>kanan</t>
        </is>
      </c>
      <c r="K237" s="17" t="n"/>
      <c r="L237" s="17" t="n"/>
      <c r="O237" s="17" t="inlineStr">
        <is>
          <t>kiri</t>
        </is>
      </c>
      <c r="P237" s="17" t="n"/>
      <c r="Q237" s="17" t="n"/>
      <c r="T237" s="17" t="inlineStr">
        <is>
          <t>kanan</t>
        </is>
      </c>
      <c r="U237" s="17" t="n"/>
      <c r="V237" s="17" t="n"/>
    </row>
    <row r="238" s="1">
      <c r="E238" s="17" t="inlineStr">
        <is>
          <t>kiri</t>
        </is>
      </c>
      <c r="F238" s="17" t="n"/>
      <c r="G238" s="17" t="n"/>
      <c r="J238" s="17" t="inlineStr">
        <is>
          <t>kiri</t>
        </is>
      </c>
      <c r="K238" s="17" t="n"/>
      <c r="L238" s="17" t="n"/>
      <c r="O238" s="17" t="inlineStr">
        <is>
          <t>tengah</t>
        </is>
      </c>
      <c r="P238" s="17" t="n"/>
      <c r="Q238" s="17" t="n"/>
      <c r="T238" s="17" t="inlineStr">
        <is>
          <t>tengah</t>
        </is>
      </c>
      <c r="U238" s="17" t="n"/>
      <c r="V238" s="17" t="n"/>
    </row>
    <row r="239" s="1">
      <c r="E239" s="17" t="inlineStr">
        <is>
          <t>kiri</t>
        </is>
      </c>
      <c r="F239" s="17" t="n"/>
      <c r="G239" s="17" t="n"/>
      <c r="J239" s="17" t="inlineStr">
        <is>
          <t>kiri</t>
        </is>
      </c>
      <c r="K239" s="17" t="n"/>
      <c r="L239" s="17" t="n"/>
      <c r="O239" s="17" t="inlineStr">
        <is>
          <t>tengah</t>
        </is>
      </c>
      <c r="P239" s="17" t="n"/>
      <c r="Q239" s="17" t="n"/>
      <c r="T239" s="17" t="inlineStr">
        <is>
          <t>kanan</t>
        </is>
      </c>
      <c r="U239" s="17" t="n"/>
      <c r="V239" s="17" t="n"/>
    </row>
    <row r="240" s="1">
      <c r="E240" s="17" t="inlineStr">
        <is>
          <t>kiri</t>
        </is>
      </c>
      <c r="F240" s="17" t="n"/>
      <c r="G240" s="17" t="n"/>
      <c r="J240" s="17" t="inlineStr">
        <is>
          <t>kiri</t>
        </is>
      </c>
      <c r="K240" s="17" t="n"/>
      <c r="L240" s="17" t="n"/>
      <c r="O240" s="17" t="inlineStr">
        <is>
          <t>kanan</t>
        </is>
      </c>
      <c r="P240" s="17" t="n"/>
      <c r="Q240" s="17" t="n"/>
      <c r="T240" s="17" t="inlineStr">
        <is>
          <t>tengah</t>
        </is>
      </c>
      <c r="U240" s="17" t="n"/>
      <c r="V240" s="17" t="n"/>
    </row>
    <row r="241" s="1">
      <c r="E241" s="17" t="inlineStr">
        <is>
          <t>tengah</t>
        </is>
      </c>
      <c r="F241" s="17" t="n"/>
      <c r="G241" s="17" t="n"/>
      <c r="J241" s="17" t="inlineStr">
        <is>
          <t>kiri</t>
        </is>
      </c>
      <c r="K241" s="17" t="n"/>
      <c r="L241" s="17" t="n"/>
      <c r="O241" s="17" t="inlineStr">
        <is>
          <t>kiri</t>
        </is>
      </c>
      <c r="P241" s="17" t="n"/>
      <c r="Q241" s="17" t="n"/>
      <c r="T241" s="17" t="inlineStr">
        <is>
          <t>tengah</t>
        </is>
      </c>
      <c r="U241" s="17" t="n"/>
      <c r="V241" s="17" t="n"/>
    </row>
    <row r="242" s="1">
      <c r="E242" s="17" t="inlineStr">
        <is>
          <t>kiri</t>
        </is>
      </c>
      <c r="F242" s="17" t="n"/>
      <c r="G242" s="17" t="n"/>
      <c r="J242" s="17" t="inlineStr">
        <is>
          <t>kiri</t>
        </is>
      </c>
      <c r="K242" s="17" t="n"/>
      <c r="L242" s="17" t="n"/>
      <c r="O242" s="17" t="inlineStr">
        <is>
          <t>tengah</t>
        </is>
      </c>
      <c r="P242" s="17" t="n"/>
      <c r="Q242" s="17" t="n"/>
      <c r="T242" s="17" t="inlineStr">
        <is>
          <t>tengah</t>
        </is>
      </c>
      <c r="U242" s="17" t="n"/>
      <c r="V242" s="17" t="n"/>
    </row>
    <row r="243" s="1">
      <c r="E243" s="17" t="inlineStr">
        <is>
          <t>kanan</t>
        </is>
      </c>
      <c r="F243" s="17" t="n"/>
      <c r="G243" s="17" t="n"/>
      <c r="J243" s="17" t="inlineStr">
        <is>
          <t>tengah</t>
        </is>
      </c>
      <c r="K243" s="17" t="n"/>
      <c r="L243" s="17" t="n"/>
      <c r="O243" s="17" t="inlineStr">
        <is>
          <t>tengah</t>
        </is>
      </c>
      <c r="P243" s="17" t="n"/>
      <c r="Q243" s="17" t="n"/>
      <c r="T243" s="17" t="inlineStr">
        <is>
          <t>tengah</t>
        </is>
      </c>
      <c r="U243" s="17" t="n"/>
      <c r="V243" s="17" t="n"/>
    </row>
    <row r="244" s="1">
      <c r="E244" s="17" t="inlineStr">
        <is>
          <t>tengah</t>
        </is>
      </c>
      <c r="F244" s="17" t="n"/>
      <c r="G244" s="17" t="n"/>
      <c r="J244" s="17" t="inlineStr">
        <is>
          <t>tengah</t>
        </is>
      </c>
      <c r="K244" s="17" t="n"/>
      <c r="L244" s="17" t="n"/>
      <c r="O244" s="17" t="inlineStr">
        <is>
          <t>tengah</t>
        </is>
      </c>
      <c r="P244" s="17" t="n"/>
      <c r="Q244" s="17" t="n"/>
      <c r="T244" s="17" t="inlineStr">
        <is>
          <t>kanan</t>
        </is>
      </c>
      <c r="U244" s="17" t="n"/>
      <c r="V244" s="17" t="n"/>
    </row>
    <row r="245" s="1">
      <c r="E245" s="17" t="inlineStr">
        <is>
          <t>tengah</t>
        </is>
      </c>
      <c r="F245" s="17" t="n"/>
      <c r="G245" s="17" t="n"/>
      <c r="J245" s="17" t="inlineStr">
        <is>
          <t>kiri</t>
        </is>
      </c>
      <c r="K245" s="17" t="n"/>
      <c r="L245" s="17" t="n"/>
      <c r="O245" s="17" t="inlineStr">
        <is>
          <t>tengah</t>
        </is>
      </c>
      <c r="P245" s="17" t="n"/>
      <c r="Q245" s="17" t="n"/>
      <c r="T245" s="17" t="inlineStr">
        <is>
          <t>kanan</t>
        </is>
      </c>
      <c r="U245" s="17" t="n"/>
      <c r="V245" s="17" t="n"/>
    </row>
    <row r="246" s="1">
      <c r="E246" s="17" t="inlineStr">
        <is>
          <t>kanan</t>
        </is>
      </c>
      <c r="F246" s="17" t="n"/>
      <c r="G246" s="17" t="n"/>
      <c r="J246" s="17" t="inlineStr">
        <is>
          <t>kiri</t>
        </is>
      </c>
      <c r="K246" s="17" t="n"/>
      <c r="L246" s="17" t="n"/>
      <c r="O246" s="17" t="inlineStr">
        <is>
          <t>tengah</t>
        </is>
      </c>
      <c r="P246" s="17" t="n"/>
      <c r="Q246" s="17" t="n"/>
      <c r="T246" s="17" t="inlineStr">
        <is>
          <t>tengah</t>
        </is>
      </c>
      <c r="U246" s="17" t="n"/>
      <c r="V246" s="17" t="n"/>
    </row>
    <row r="247" s="1">
      <c r="E247" s="17" t="inlineStr">
        <is>
          <t>kiri</t>
        </is>
      </c>
      <c r="F247" s="17" t="n"/>
      <c r="G247" s="17" t="n"/>
      <c r="J247" s="17" t="inlineStr">
        <is>
          <t>kanan</t>
        </is>
      </c>
      <c r="K247" s="17" t="n"/>
      <c r="L247" s="17" t="n"/>
      <c r="O247" s="17" t="inlineStr">
        <is>
          <t>kiri</t>
        </is>
      </c>
      <c r="P247" s="17" t="n"/>
      <c r="Q247" s="17" t="n"/>
      <c r="T247" s="17" t="inlineStr">
        <is>
          <t>tengah</t>
        </is>
      </c>
      <c r="U247" s="17" t="n"/>
      <c r="V247" s="17" t="n"/>
    </row>
    <row r="248" s="1">
      <c r="E248" s="17" t="inlineStr">
        <is>
          <t>kiri</t>
        </is>
      </c>
      <c r="F248" s="17" t="n"/>
      <c r="G248" s="17" t="n"/>
      <c r="J248" s="17" t="inlineStr">
        <is>
          <t>kanan</t>
        </is>
      </c>
      <c r="K248" s="17" t="n"/>
      <c r="L248" s="17" t="n"/>
      <c r="O248" s="17" t="inlineStr">
        <is>
          <t>kiri</t>
        </is>
      </c>
      <c r="P248" s="17" t="n"/>
      <c r="Q248" s="17" t="n"/>
      <c r="T248" s="17" t="inlineStr">
        <is>
          <t>kanan</t>
        </is>
      </c>
      <c r="U248" s="17" t="n"/>
      <c r="V248" s="17" t="n"/>
    </row>
    <row r="249" s="1">
      <c r="E249" s="17" t="inlineStr">
        <is>
          <t>tengah</t>
        </is>
      </c>
      <c r="F249" s="17" t="n"/>
      <c r="G249" s="17" t="n"/>
      <c r="J249" s="17" t="inlineStr">
        <is>
          <t>kiri</t>
        </is>
      </c>
      <c r="K249" s="17" t="n"/>
      <c r="L249" s="17" t="n"/>
      <c r="O249" s="17" t="inlineStr">
        <is>
          <t>tengah</t>
        </is>
      </c>
      <c r="P249" s="17" t="n"/>
      <c r="Q249" s="17" t="n"/>
      <c r="T249" s="17" t="inlineStr">
        <is>
          <t>kanan</t>
        </is>
      </c>
      <c r="U249" s="17" t="n"/>
      <c r="V249" s="17" t="n"/>
    </row>
    <row r="250" s="1">
      <c r="E250" s="17" t="inlineStr">
        <is>
          <t>tengah</t>
        </is>
      </c>
      <c r="F250" s="17" t="n"/>
      <c r="G250" s="17" t="n"/>
      <c r="J250" s="17" t="inlineStr">
        <is>
          <t>kiri</t>
        </is>
      </c>
      <c r="K250" s="17" t="n"/>
      <c r="L250" s="17" t="n"/>
      <c r="O250" s="17" t="inlineStr">
        <is>
          <t>tengah</t>
        </is>
      </c>
      <c r="P250" s="17" t="n"/>
      <c r="Q250" s="17" t="n"/>
      <c r="T250" s="17" t="inlineStr">
        <is>
          <t>kanan</t>
        </is>
      </c>
      <c r="U250" s="17" t="n"/>
      <c r="V250" s="17" t="n"/>
    </row>
    <row r="251" s="1">
      <c r="E251" s="17" t="inlineStr">
        <is>
          <t>kiri</t>
        </is>
      </c>
      <c r="F251" s="17" t="n"/>
      <c r="G251" s="17" t="n"/>
      <c r="J251" s="17" t="inlineStr">
        <is>
          <t>kiri</t>
        </is>
      </c>
      <c r="K251" s="17" t="n"/>
      <c r="L251" s="17" t="n"/>
      <c r="O251" s="17" t="inlineStr">
        <is>
          <t>tengah</t>
        </is>
      </c>
      <c r="P251" s="17" t="n"/>
      <c r="Q251" s="17" t="n"/>
      <c r="T251" s="17" t="inlineStr">
        <is>
          <t>tengah</t>
        </is>
      </c>
      <c r="U251" s="17" t="n"/>
      <c r="V251" s="17" t="n"/>
    </row>
    <row r="252" s="1">
      <c r="E252" s="17" t="inlineStr">
        <is>
          <t>tengah</t>
        </is>
      </c>
      <c r="F252" s="17" t="n"/>
      <c r="G252" s="17" t="n"/>
      <c r="J252" s="17" t="inlineStr">
        <is>
          <t>tengah</t>
        </is>
      </c>
      <c r="K252" s="17" t="n"/>
      <c r="L252" s="17" t="n"/>
      <c r="O252" s="17" t="inlineStr">
        <is>
          <t>kiri</t>
        </is>
      </c>
      <c r="P252" s="17" t="n"/>
      <c r="Q252" s="17" t="n"/>
      <c r="T252" s="17" t="inlineStr">
        <is>
          <t>kanan</t>
        </is>
      </c>
      <c r="U252" s="17" t="n"/>
      <c r="V252" s="17" t="n"/>
    </row>
    <row r="253" s="1">
      <c r="E253" s="17" t="inlineStr">
        <is>
          <t>kiri</t>
        </is>
      </c>
      <c r="F253" s="17" t="n"/>
      <c r="G253" s="17" t="n"/>
      <c r="J253" s="17" t="inlineStr">
        <is>
          <t>kiri</t>
        </is>
      </c>
      <c r="K253" s="17" t="n"/>
      <c r="L253" s="17" t="n"/>
      <c r="O253" s="17" t="inlineStr">
        <is>
          <t>tengah</t>
        </is>
      </c>
      <c r="P253" s="17" t="n"/>
      <c r="Q253" s="17" t="n"/>
      <c r="T253" s="17" t="inlineStr">
        <is>
          <t>tengah</t>
        </is>
      </c>
      <c r="U253" s="17" t="n"/>
      <c r="V253" s="17" t="n"/>
    </row>
    <row r="254" s="1">
      <c r="E254" s="17" t="inlineStr">
        <is>
          <t>tengah</t>
        </is>
      </c>
      <c r="F254" s="17" t="n"/>
      <c r="G254" s="17" t="n"/>
      <c r="J254" s="17" t="inlineStr">
        <is>
          <t>tengah</t>
        </is>
      </c>
      <c r="K254" s="17" t="n"/>
      <c r="L254" s="17" t="n"/>
      <c r="O254" s="17" t="inlineStr">
        <is>
          <t>tengah</t>
        </is>
      </c>
      <c r="P254" s="17" t="n"/>
      <c r="Q254" s="17" t="n"/>
      <c r="T254" s="17" t="inlineStr">
        <is>
          <t>kanan</t>
        </is>
      </c>
      <c r="U254" s="17" t="n"/>
      <c r="V254" s="17" t="n"/>
    </row>
    <row r="255" s="1">
      <c r="E255" s="17" t="inlineStr">
        <is>
          <t>tengah</t>
        </is>
      </c>
      <c r="F255" s="17" t="n"/>
      <c r="G255" s="17" t="n"/>
      <c r="J255" s="17" t="inlineStr">
        <is>
          <t>kiri</t>
        </is>
      </c>
      <c r="K255" s="17" t="n"/>
      <c r="L255" s="17" t="n"/>
      <c r="O255" s="17" t="inlineStr">
        <is>
          <t>tengah</t>
        </is>
      </c>
      <c r="P255" s="17" t="n"/>
      <c r="Q255" s="17" t="n"/>
      <c r="T255" s="17" t="inlineStr">
        <is>
          <t>kanan</t>
        </is>
      </c>
      <c r="U255" s="17" t="n"/>
      <c r="V255" s="17" t="n"/>
    </row>
    <row r="256" s="1">
      <c r="E256" s="17" t="inlineStr">
        <is>
          <t>tengah</t>
        </is>
      </c>
      <c r="F256" s="17" t="n"/>
      <c r="G256" s="17" t="n"/>
      <c r="J256" s="17" t="inlineStr">
        <is>
          <t>tengah</t>
        </is>
      </c>
      <c r="K256" s="17" t="n"/>
      <c r="L256" s="17" t="n"/>
      <c r="O256" s="17" t="inlineStr">
        <is>
          <t>kiri</t>
        </is>
      </c>
      <c r="P256" s="17" t="n"/>
      <c r="Q256" s="17" t="n"/>
      <c r="T256" s="17" t="inlineStr">
        <is>
          <t>kanan</t>
        </is>
      </c>
      <c r="U256" s="17" t="n"/>
      <c r="V256" s="17" t="n"/>
    </row>
    <row r="257" s="1">
      <c r="E257" s="17" t="inlineStr">
        <is>
          <t>tengah</t>
        </is>
      </c>
      <c r="F257" s="17" t="n"/>
      <c r="G257" s="17" t="n"/>
      <c r="J257" s="17" t="inlineStr">
        <is>
          <t>tengah</t>
        </is>
      </c>
      <c r="K257" s="17" t="n"/>
      <c r="L257" s="17" t="n"/>
      <c r="O257" s="17" t="inlineStr">
        <is>
          <t>tengah</t>
        </is>
      </c>
      <c r="P257" s="17" t="n"/>
      <c r="Q257" s="17" t="n"/>
      <c r="T257" s="17" t="inlineStr">
        <is>
          <t>tengah</t>
        </is>
      </c>
      <c r="U257" s="17" t="n"/>
      <c r="V257" s="17" t="n"/>
    </row>
    <row r="258" s="1">
      <c r="E258" s="17" t="inlineStr">
        <is>
          <t>tengah</t>
        </is>
      </c>
      <c r="F258" s="17" t="n"/>
      <c r="G258" s="17" t="n"/>
      <c r="J258" s="17" t="inlineStr">
        <is>
          <t>tengah</t>
        </is>
      </c>
      <c r="K258" s="17" t="n"/>
      <c r="L258" s="17" t="n"/>
      <c r="O258" s="17" t="inlineStr">
        <is>
          <t>tengah</t>
        </is>
      </c>
      <c r="P258" s="17" t="n"/>
      <c r="Q258" s="17" t="n"/>
      <c r="T258" s="17" t="inlineStr">
        <is>
          <t>kanan</t>
        </is>
      </c>
      <c r="U258" s="17" t="n"/>
      <c r="V258" s="17" t="n"/>
    </row>
    <row r="259" s="1">
      <c r="E259" s="17" t="inlineStr">
        <is>
          <t>kiri</t>
        </is>
      </c>
      <c r="F259" s="17" t="n"/>
      <c r="G259" s="17" t="n"/>
      <c r="J259" s="17" t="inlineStr">
        <is>
          <t>tengah</t>
        </is>
      </c>
      <c r="K259" s="17" t="n"/>
      <c r="L259" s="17" t="n"/>
      <c r="O259" s="17" t="inlineStr">
        <is>
          <t>kanan</t>
        </is>
      </c>
      <c r="P259" s="17" t="n"/>
      <c r="Q259" s="17" t="n"/>
      <c r="T259" s="17" t="inlineStr">
        <is>
          <t>tengah</t>
        </is>
      </c>
      <c r="U259" s="17" t="n"/>
      <c r="V259" s="17" t="n"/>
    </row>
    <row r="260" s="1">
      <c r="E260" s="17" t="inlineStr">
        <is>
          <t>tengah</t>
        </is>
      </c>
      <c r="F260" s="17" t="n"/>
      <c r="G260" s="17" t="n"/>
      <c r="J260" s="17" t="inlineStr">
        <is>
          <t>tengah</t>
        </is>
      </c>
      <c r="K260" s="17" t="n"/>
      <c r="L260" s="17" t="n"/>
      <c r="O260" s="17" t="inlineStr">
        <is>
          <t>kanan</t>
        </is>
      </c>
      <c r="P260" s="17" t="n"/>
      <c r="Q260" s="17" t="n"/>
      <c r="T260" s="17" t="inlineStr">
        <is>
          <t>kanan</t>
        </is>
      </c>
      <c r="U260" s="17" t="n"/>
      <c r="V260" s="17" t="n"/>
    </row>
    <row r="261" s="1">
      <c r="E261" s="17" t="inlineStr">
        <is>
          <t>kiri</t>
        </is>
      </c>
      <c r="F261" s="17" t="n"/>
      <c r="G261" s="17" t="n"/>
      <c r="J261" s="17" t="inlineStr">
        <is>
          <t>tengah</t>
        </is>
      </c>
      <c r="K261" s="17" t="n"/>
      <c r="L261" s="17" t="n"/>
      <c r="O261" s="17" t="inlineStr">
        <is>
          <t>tengah</t>
        </is>
      </c>
      <c r="P261" s="17" t="n"/>
      <c r="Q261" s="17" t="n"/>
      <c r="T261" s="17" t="inlineStr">
        <is>
          <t>tengah</t>
        </is>
      </c>
      <c r="U261" s="17" t="n"/>
      <c r="V261" s="17" t="n"/>
    </row>
    <row r="262" s="1">
      <c r="E262" s="17" t="inlineStr">
        <is>
          <t>tengah</t>
        </is>
      </c>
      <c r="F262" s="17" t="n"/>
      <c r="G262" s="17" t="n"/>
      <c r="J262" s="17" t="inlineStr">
        <is>
          <t>tengah</t>
        </is>
      </c>
      <c r="K262" s="17" t="n"/>
      <c r="L262" s="17" t="n"/>
      <c r="O262" s="17" t="inlineStr">
        <is>
          <t>tengah</t>
        </is>
      </c>
      <c r="P262" s="17" t="n"/>
      <c r="Q262" s="17" t="n"/>
      <c r="T262" s="17" t="inlineStr">
        <is>
          <t>tengah</t>
        </is>
      </c>
      <c r="U262" s="17" t="n"/>
      <c r="V262" s="17" t="n"/>
    </row>
    <row r="263" s="1">
      <c r="E263" s="17" t="inlineStr">
        <is>
          <t>tengah</t>
        </is>
      </c>
      <c r="F263" s="17" t="n"/>
      <c r="G263" s="17" t="n"/>
      <c r="J263" s="17" t="inlineStr">
        <is>
          <t>tengah</t>
        </is>
      </c>
      <c r="K263" s="17" t="n"/>
      <c r="L263" s="17" t="n"/>
      <c r="O263" s="17" t="inlineStr">
        <is>
          <t>kiri</t>
        </is>
      </c>
      <c r="P263" s="17" t="n"/>
      <c r="Q263" s="17" t="n"/>
      <c r="T263" s="17" t="inlineStr">
        <is>
          <t>kanan</t>
        </is>
      </c>
      <c r="U263" s="17" t="n"/>
      <c r="V263" s="17" t="n"/>
    </row>
    <row r="264" s="1">
      <c r="E264" s="17" t="inlineStr">
        <is>
          <t>tengah</t>
        </is>
      </c>
      <c r="F264" s="17" t="n"/>
      <c r="G264" s="17" t="n"/>
      <c r="J264" s="17" t="inlineStr">
        <is>
          <t>tengah</t>
        </is>
      </c>
      <c r="K264" s="17" t="n"/>
      <c r="L264" s="17" t="n"/>
      <c r="O264" s="17" t="inlineStr">
        <is>
          <t>tengah</t>
        </is>
      </c>
      <c r="P264" s="17" t="n"/>
      <c r="Q264" s="17" t="n"/>
      <c r="T264" s="17" t="inlineStr">
        <is>
          <t>kanan</t>
        </is>
      </c>
      <c r="U264" s="17" t="n"/>
      <c r="V264" s="17" t="n"/>
    </row>
    <row r="265" s="1">
      <c r="E265" s="17" t="inlineStr">
        <is>
          <t>kiri</t>
        </is>
      </c>
      <c r="F265" s="17" t="n"/>
      <c r="G265" s="17" t="n"/>
      <c r="J265" s="17" t="inlineStr">
        <is>
          <t>kiri</t>
        </is>
      </c>
      <c r="K265" s="17" t="n"/>
      <c r="L265" s="17" t="n"/>
      <c r="O265" s="17" t="inlineStr">
        <is>
          <t>tengah</t>
        </is>
      </c>
      <c r="P265" s="17" t="n"/>
      <c r="Q265" s="17" t="n"/>
      <c r="T265" s="17" t="inlineStr">
        <is>
          <t>kanan</t>
        </is>
      </c>
      <c r="U265" s="17" t="n"/>
      <c r="V265" s="17" t="n"/>
    </row>
    <row r="266" s="1">
      <c r="E266" s="17" t="inlineStr">
        <is>
          <t>tengah</t>
        </is>
      </c>
      <c r="F266" s="17" t="n"/>
      <c r="G266" s="17" t="n"/>
      <c r="J266" s="17" t="inlineStr">
        <is>
          <t>tengah</t>
        </is>
      </c>
      <c r="K266" s="17" t="n"/>
      <c r="L266" s="17" t="n"/>
      <c r="O266" s="17" t="inlineStr">
        <is>
          <t>tengah</t>
        </is>
      </c>
      <c r="P266" s="17" t="n"/>
      <c r="Q266" s="17" t="n"/>
      <c r="T266" s="17" t="inlineStr">
        <is>
          <t>tengah</t>
        </is>
      </c>
      <c r="U266" s="17" t="n"/>
      <c r="V266" s="17" t="n"/>
    </row>
    <row r="267" s="1">
      <c r="E267" s="17" t="inlineStr">
        <is>
          <t>kanan</t>
        </is>
      </c>
      <c r="F267" s="17" t="n"/>
      <c r="G267" s="17" t="n"/>
      <c r="J267" s="17" t="inlineStr">
        <is>
          <t>tengah</t>
        </is>
      </c>
      <c r="K267" s="17" t="n"/>
      <c r="L267" s="17" t="n"/>
      <c r="O267" s="17" t="inlineStr">
        <is>
          <t>tengah</t>
        </is>
      </c>
      <c r="P267" s="17" t="n"/>
      <c r="Q267" s="17" t="n"/>
      <c r="T267" s="17" t="inlineStr">
        <is>
          <t>kanan</t>
        </is>
      </c>
      <c r="U267" s="17" t="n"/>
      <c r="V267" s="17" t="n"/>
    </row>
    <row r="268" s="1">
      <c r="E268" s="17" t="inlineStr">
        <is>
          <t>tengah</t>
        </is>
      </c>
      <c r="F268" s="17" t="n"/>
      <c r="G268" s="17" t="n"/>
      <c r="J268" s="17" t="inlineStr">
        <is>
          <t>tengah</t>
        </is>
      </c>
      <c r="K268" s="17" t="n"/>
      <c r="L268" s="17" t="n"/>
      <c r="O268" s="17" t="inlineStr">
        <is>
          <t>tengah</t>
        </is>
      </c>
      <c r="P268" s="17" t="n"/>
      <c r="Q268" s="17" t="n"/>
      <c r="T268" s="17" t="inlineStr">
        <is>
          <t>tengah</t>
        </is>
      </c>
      <c r="U268" s="17" t="n"/>
      <c r="V268" s="17" t="n"/>
    </row>
    <row r="269" s="1">
      <c r="E269" s="17" t="inlineStr">
        <is>
          <t>tengah</t>
        </is>
      </c>
      <c r="F269" s="17" t="n"/>
      <c r="G269" s="17" t="n"/>
      <c r="J269" s="17" t="inlineStr">
        <is>
          <t>kiri</t>
        </is>
      </c>
      <c r="K269" s="17" t="n"/>
      <c r="L269" s="17" t="n"/>
      <c r="O269" s="17" t="inlineStr">
        <is>
          <t>kanan</t>
        </is>
      </c>
      <c r="P269" s="17" t="n"/>
      <c r="Q269" s="17" t="n"/>
      <c r="T269" s="17" t="inlineStr">
        <is>
          <t>tengah</t>
        </is>
      </c>
      <c r="U269" s="17" t="n"/>
      <c r="V269" s="17" t="n"/>
    </row>
    <row r="270" s="1">
      <c r="E270" s="17" t="inlineStr">
        <is>
          <t>tengah</t>
        </is>
      </c>
      <c r="F270" s="17" t="n"/>
      <c r="G270" s="17" t="n"/>
      <c r="J270" s="17" t="inlineStr">
        <is>
          <t>tengah</t>
        </is>
      </c>
      <c r="K270" s="17" t="n"/>
      <c r="L270" s="17" t="n"/>
      <c r="O270" s="17" t="inlineStr">
        <is>
          <t>tengah</t>
        </is>
      </c>
      <c r="P270" s="17" t="n"/>
      <c r="Q270" s="17" t="n"/>
      <c r="T270" s="17" t="inlineStr">
        <is>
          <t>kanan</t>
        </is>
      </c>
      <c r="U270" s="17" t="n"/>
      <c r="V270" s="17" t="n"/>
    </row>
    <row r="271" s="1">
      <c r="E271" s="17" t="inlineStr">
        <is>
          <t>tengah</t>
        </is>
      </c>
      <c r="F271" s="17" t="n"/>
      <c r="G271" s="17" t="n"/>
      <c r="J271" s="17" t="inlineStr">
        <is>
          <t>kanan</t>
        </is>
      </c>
      <c r="K271" s="17" t="n"/>
      <c r="L271" s="17" t="n"/>
      <c r="O271" s="17" t="inlineStr">
        <is>
          <t>tengah</t>
        </is>
      </c>
      <c r="P271" s="17" t="n"/>
      <c r="Q271" s="17" t="n"/>
      <c r="T271" s="17" t="inlineStr">
        <is>
          <t>tengah</t>
        </is>
      </c>
      <c r="U271" s="17" t="n"/>
      <c r="V271" s="17" t="n"/>
    </row>
    <row r="272" s="1">
      <c r="E272" s="17" t="inlineStr">
        <is>
          <t>tengah</t>
        </is>
      </c>
      <c r="F272" s="17" t="n"/>
      <c r="G272" s="17" t="n"/>
      <c r="J272" s="17" t="inlineStr">
        <is>
          <t>tengah</t>
        </is>
      </c>
      <c r="K272" s="17" t="n"/>
      <c r="L272" s="17" t="n"/>
      <c r="O272" s="17" t="inlineStr">
        <is>
          <t>tengah</t>
        </is>
      </c>
      <c r="P272" s="17" t="n"/>
      <c r="Q272" s="17" t="n"/>
      <c r="T272" s="17" t="inlineStr">
        <is>
          <t>tengah</t>
        </is>
      </c>
      <c r="U272" s="17" t="n"/>
      <c r="V272" s="17" t="n"/>
    </row>
    <row r="273" s="1">
      <c r="E273" s="17" t="inlineStr">
        <is>
          <t>tengah</t>
        </is>
      </c>
      <c r="F273" s="17" t="n"/>
      <c r="G273" s="17" t="n"/>
      <c r="J273" s="17" t="inlineStr">
        <is>
          <t>tengah</t>
        </is>
      </c>
      <c r="K273" s="17" t="n"/>
      <c r="L273" s="17" t="n"/>
      <c r="O273" s="17" t="inlineStr">
        <is>
          <t>tengah</t>
        </is>
      </c>
      <c r="P273" s="17" t="n"/>
      <c r="Q273" s="17" t="n"/>
      <c r="T273" s="17" t="inlineStr">
        <is>
          <t>tengah</t>
        </is>
      </c>
      <c r="U273" s="17" t="n"/>
      <c r="V273" s="17" t="n"/>
    </row>
    <row r="274" s="1">
      <c r="E274" s="17" t="inlineStr">
        <is>
          <t>kiri</t>
        </is>
      </c>
      <c r="F274" s="17" t="n"/>
      <c r="G274" s="17" t="n"/>
      <c r="J274" s="17" t="inlineStr">
        <is>
          <t>kanan</t>
        </is>
      </c>
      <c r="K274" s="17" t="n"/>
      <c r="L274" s="17" t="n"/>
      <c r="O274" s="17" t="inlineStr">
        <is>
          <t>tengah</t>
        </is>
      </c>
      <c r="P274" s="17" t="n"/>
      <c r="Q274" s="17" t="n"/>
      <c r="T274" s="17" t="inlineStr">
        <is>
          <t>kanan</t>
        </is>
      </c>
      <c r="U274" s="17" t="n"/>
      <c r="V274" s="17" t="n"/>
    </row>
    <row r="275" s="1">
      <c r="E275" s="17" t="inlineStr">
        <is>
          <t>kiri</t>
        </is>
      </c>
      <c r="F275" s="17" t="n"/>
      <c r="G275" s="17" t="n"/>
      <c r="J275" s="17" t="inlineStr">
        <is>
          <t>tengah</t>
        </is>
      </c>
      <c r="K275" s="17" t="n"/>
      <c r="L275" s="17" t="n"/>
      <c r="O275" s="17" t="inlineStr">
        <is>
          <t>kanan</t>
        </is>
      </c>
      <c r="P275" s="17" t="n"/>
      <c r="Q275" s="17" t="n"/>
      <c r="T275" s="17" t="inlineStr">
        <is>
          <t>tengah</t>
        </is>
      </c>
      <c r="U275" s="17" t="n"/>
      <c r="V275" s="17" t="n"/>
    </row>
    <row r="276" s="1">
      <c r="E276" s="17" t="inlineStr">
        <is>
          <t>kanan</t>
        </is>
      </c>
      <c r="F276" s="17" t="n"/>
      <c r="G276" s="17" t="n"/>
      <c r="J276" s="17" t="inlineStr">
        <is>
          <t>tengah</t>
        </is>
      </c>
      <c r="K276" s="17" t="n"/>
      <c r="L276" s="17" t="n"/>
      <c r="O276" s="17" t="inlineStr">
        <is>
          <t>tengah</t>
        </is>
      </c>
      <c r="P276" s="17" t="n"/>
      <c r="Q276" s="17" t="n"/>
      <c r="T276" s="17" t="inlineStr">
        <is>
          <t>tengah</t>
        </is>
      </c>
      <c r="U276" s="17" t="n"/>
      <c r="V276" s="17" t="n"/>
    </row>
    <row r="277" s="1">
      <c r="E277" s="17" t="inlineStr">
        <is>
          <t>kanan</t>
        </is>
      </c>
      <c r="F277" s="17" t="n"/>
      <c r="G277" s="17" t="n"/>
      <c r="J277" s="17" t="inlineStr">
        <is>
          <t>kanan</t>
        </is>
      </c>
      <c r="K277" s="17" t="n"/>
      <c r="L277" s="17" t="n"/>
      <c r="O277" s="17" t="inlineStr">
        <is>
          <t>kanan</t>
        </is>
      </c>
      <c r="P277" s="17" t="n"/>
      <c r="Q277" s="17" t="n"/>
      <c r="T277" s="17" t="inlineStr">
        <is>
          <t>kanan</t>
        </is>
      </c>
      <c r="U277" s="17" t="n"/>
      <c r="V277" s="17" t="n"/>
    </row>
    <row r="278" s="1">
      <c r="E278" s="17" t="inlineStr">
        <is>
          <t>tengah</t>
        </is>
      </c>
      <c r="F278" s="17" t="n"/>
      <c r="G278" s="17" t="n"/>
      <c r="J278" s="17" t="inlineStr">
        <is>
          <t>kanan</t>
        </is>
      </c>
      <c r="K278" s="17" t="n"/>
      <c r="L278" s="17" t="n"/>
      <c r="O278" s="17" t="inlineStr">
        <is>
          <t>kiri</t>
        </is>
      </c>
      <c r="P278" s="17" t="n"/>
      <c r="Q278" s="17" t="n"/>
      <c r="T278" s="17" t="inlineStr">
        <is>
          <t>tengah</t>
        </is>
      </c>
      <c r="U278" s="17" t="n"/>
      <c r="V278" s="17" t="n"/>
    </row>
    <row r="279" s="1">
      <c r="E279" s="17" t="inlineStr">
        <is>
          <t>kiri</t>
        </is>
      </c>
      <c r="F279" s="17" t="n"/>
      <c r="G279" s="17" t="n"/>
      <c r="J279" s="17" t="inlineStr">
        <is>
          <t>kiri</t>
        </is>
      </c>
      <c r="K279" s="17" t="n"/>
      <c r="L279" s="17" t="n"/>
      <c r="O279" s="17" t="inlineStr">
        <is>
          <t>kanan</t>
        </is>
      </c>
      <c r="P279" s="17" t="n"/>
      <c r="Q279" s="17" t="n"/>
      <c r="T279" s="17" t="inlineStr">
        <is>
          <t>kanan</t>
        </is>
      </c>
      <c r="U279" s="17" t="n"/>
      <c r="V279" s="17" t="n"/>
    </row>
    <row r="280" s="1">
      <c r="E280" s="17" t="inlineStr">
        <is>
          <t>tengah</t>
        </is>
      </c>
      <c r="F280" s="17" t="n"/>
      <c r="G280" s="17" t="n"/>
      <c r="J280" s="17" t="inlineStr">
        <is>
          <t>tengah</t>
        </is>
      </c>
      <c r="K280" s="17" t="n"/>
      <c r="L280" s="17" t="n"/>
      <c r="O280" s="17" t="inlineStr">
        <is>
          <t>kiri</t>
        </is>
      </c>
      <c r="P280" s="17" t="n"/>
      <c r="Q280" s="17" t="n"/>
      <c r="T280" s="17" t="inlineStr">
        <is>
          <t>kanan</t>
        </is>
      </c>
      <c r="U280" s="17" t="n"/>
      <c r="V280" s="17" t="n"/>
    </row>
    <row r="281" s="1">
      <c r="E281" s="17" t="inlineStr">
        <is>
          <t>tengah</t>
        </is>
      </c>
      <c r="F281" s="17" t="n"/>
      <c r="G281" s="17" t="n"/>
      <c r="J281" s="17" t="inlineStr">
        <is>
          <t>tengah</t>
        </is>
      </c>
      <c r="K281" s="17" t="n"/>
      <c r="L281" s="17" t="n"/>
      <c r="O281" s="17" t="inlineStr">
        <is>
          <t>tengah</t>
        </is>
      </c>
      <c r="P281" s="17" t="n"/>
      <c r="Q281" s="17" t="n"/>
      <c r="T281" s="17" t="inlineStr">
        <is>
          <t>kanan</t>
        </is>
      </c>
      <c r="U281" s="17" t="n"/>
      <c r="V281" s="17" t="n"/>
    </row>
    <row r="282" s="1">
      <c r="E282" s="17" t="inlineStr">
        <is>
          <t>kanan</t>
        </is>
      </c>
      <c r="F282" s="17" t="n"/>
      <c r="G282" s="17" t="n"/>
      <c r="J282" s="17" t="inlineStr">
        <is>
          <t>kanan</t>
        </is>
      </c>
      <c r="K282" s="17" t="n"/>
      <c r="L282" s="17" t="n"/>
      <c r="O282" s="17" t="inlineStr">
        <is>
          <t>kanan</t>
        </is>
      </c>
      <c r="P282" s="17" t="n"/>
      <c r="Q282" s="17" t="n"/>
      <c r="T282" s="17" t="inlineStr">
        <is>
          <t>kanan</t>
        </is>
      </c>
      <c r="U282" s="17" t="n"/>
      <c r="V282" s="17" t="n"/>
    </row>
    <row r="283" s="1">
      <c r="E283" s="17" t="inlineStr">
        <is>
          <t>kiri</t>
        </is>
      </c>
      <c r="F283" s="17" t="n"/>
      <c r="G283" s="17" t="n"/>
      <c r="J283" s="17" t="inlineStr">
        <is>
          <t>tengah</t>
        </is>
      </c>
      <c r="K283" s="17" t="n"/>
      <c r="L283" s="17" t="n"/>
      <c r="O283" s="17" t="inlineStr">
        <is>
          <t>tengah</t>
        </is>
      </c>
      <c r="P283" s="17" t="n"/>
      <c r="Q283" s="17" t="n"/>
      <c r="T283" s="17" t="inlineStr">
        <is>
          <t>tengah</t>
        </is>
      </c>
      <c r="U283" s="17" t="n"/>
      <c r="V283" s="17" t="n"/>
    </row>
    <row r="284" s="1">
      <c r="E284" s="17" t="inlineStr">
        <is>
          <t>kiri</t>
        </is>
      </c>
      <c r="F284" s="17" t="n"/>
      <c r="G284" s="17" t="n"/>
      <c r="J284" s="17" t="inlineStr">
        <is>
          <t>kiri</t>
        </is>
      </c>
      <c r="K284" s="17" t="n"/>
      <c r="L284" s="17" t="n"/>
      <c r="O284" s="17" t="inlineStr">
        <is>
          <t>tengah</t>
        </is>
      </c>
      <c r="P284" s="17" t="n"/>
      <c r="Q284" s="17" t="n"/>
      <c r="T284" s="17" t="inlineStr">
        <is>
          <t>tengah</t>
        </is>
      </c>
      <c r="U284" s="17" t="n"/>
      <c r="V284" s="17" t="n"/>
    </row>
    <row r="285" s="1">
      <c r="E285" s="17" t="inlineStr">
        <is>
          <t>kiri</t>
        </is>
      </c>
      <c r="F285" s="17" t="n"/>
      <c r="G285" s="17" t="n"/>
      <c r="J285" s="17" t="inlineStr">
        <is>
          <t>tengah</t>
        </is>
      </c>
      <c r="K285" s="17" t="n"/>
      <c r="L285" s="17" t="n"/>
      <c r="O285" s="17" t="inlineStr">
        <is>
          <t>tengah</t>
        </is>
      </c>
      <c r="P285" s="17" t="n"/>
      <c r="Q285" s="17" t="n"/>
      <c r="T285" s="17" t="inlineStr">
        <is>
          <t>tengah</t>
        </is>
      </c>
      <c r="U285" s="17" t="n"/>
      <c r="V285" s="17" t="n"/>
    </row>
    <row r="286" s="1">
      <c r="E286" s="17" t="inlineStr">
        <is>
          <t>tengah</t>
        </is>
      </c>
      <c r="F286" s="17" t="n"/>
      <c r="G286" s="17" t="n"/>
      <c r="J286" s="17" t="inlineStr">
        <is>
          <t>kanan</t>
        </is>
      </c>
      <c r="K286" s="17" t="n"/>
      <c r="L286" s="17" t="n"/>
      <c r="O286" s="17" t="inlineStr">
        <is>
          <t>tengah</t>
        </is>
      </c>
      <c r="P286" s="17" t="n"/>
      <c r="Q286" s="17" t="n"/>
      <c r="T286" s="17" t="inlineStr">
        <is>
          <t>tengah</t>
        </is>
      </c>
      <c r="U286" s="17" t="n"/>
      <c r="V286" s="17" t="n"/>
    </row>
    <row r="287" s="1">
      <c r="E287" s="17" t="inlineStr">
        <is>
          <t>tengah</t>
        </is>
      </c>
      <c r="F287" s="17" t="n"/>
      <c r="G287" s="17" t="n"/>
      <c r="J287" s="17" t="inlineStr">
        <is>
          <t>kanan</t>
        </is>
      </c>
      <c r="K287" s="17" t="n"/>
      <c r="L287" s="17" t="n"/>
      <c r="O287" s="17" t="inlineStr">
        <is>
          <t>tengah</t>
        </is>
      </c>
      <c r="P287" s="17" t="n"/>
      <c r="Q287" s="17" t="n"/>
      <c r="T287" s="17" t="inlineStr">
        <is>
          <t>kanan</t>
        </is>
      </c>
      <c r="U287" s="17" t="n"/>
      <c r="V287" s="17" t="n"/>
    </row>
    <row r="288" s="1">
      <c r="E288" s="17" t="inlineStr">
        <is>
          <t>tengah</t>
        </is>
      </c>
      <c r="F288" s="17" t="n"/>
      <c r="G288" s="17" t="n"/>
      <c r="J288" s="17" t="inlineStr">
        <is>
          <t>tengah</t>
        </is>
      </c>
      <c r="K288" s="17" t="n"/>
      <c r="L288" s="17" t="n"/>
      <c r="O288" s="17" t="inlineStr">
        <is>
          <t>tengah</t>
        </is>
      </c>
      <c r="P288" s="17" t="n"/>
      <c r="Q288" s="17" t="n"/>
      <c r="T288" s="17" t="inlineStr">
        <is>
          <t>tengah</t>
        </is>
      </c>
      <c r="U288" s="17" t="n"/>
      <c r="V288" s="17" t="n"/>
    </row>
    <row r="289" s="1">
      <c r="E289" s="17" t="inlineStr">
        <is>
          <t>kiri</t>
        </is>
      </c>
      <c r="F289" s="17" t="n"/>
      <c r="G289" s="17" t="n"/>
      <c r="J289" s="17" t="inlineStr">
        <is>
          <t>kiri</t>
        </is>
      </c>
      <c r="K289" s="17" t="n"/>
      <c r="L289" s="17" t="n"/>
      <c r="O289" s="17" t="inlineStr">
        <is>
          <t>kiri</t>
        </is>
      </c>
      <c r="P289" s="17" t="n"/>
      <c r="Q289" s="17" t="n"/>
      <c r="T289" s="17" t="inlineStr">
        <is>
          <t>kanan</t>
        </is>
      </c>
      <c r="U289" s="17" t="n"/>
      <c r="V289" s="17" t="n"/>
    </row>
    <row r="290" s="1">
      <c r="E290" s="17" t="inlineStr">
        <is>
          <t>tengah</t>
        </is>
      </c>
      <c r="F290" s="17" t="n"/>
      <c r="G290" s="17" t="n"/>
      <c r="J290" s="17" t="inlineStr">
        <is>
          <t>kanan</t>
        </is>
      </c>
      <c r="K290" s="17" t="n"/>
      <c r="L290" s="17" t="n"/>
      <c r="O290" s="17" t="inlineStr">
        <is>
          <t>tengah</t>
        </is>
      </c>
      <c r="P290" s="17" t="n"/>
      <c r="Q290" s="17" t="n"/>
      <c r="T290" s="17" t="inlineStr">
        <is>
          <t>tengah</t>
        </is>
      </c>
      <c r="U290" s="17" t="n"/>
      <c r="V290" s="17" t="n"/>
    </row>
    <row r="291" s="1">
      <c r="E291" s="17" t="inlineStr">
        <is>
          <t>kanan</t>
        </is>
      </c>
      <c r="F291" s="17" t="n"/>
      <c r="G291" s="17" t="n"/>
      <c r="J291" s="17" t="inlineStr">
        <is>
          <t>tengah</t>
        </is>
      </c>
      <c r="K291" s="17" t="n"/>
      <c r="L291" s="17" t="n"/>
      <c r="O291" s="17" t="inlineStr">
        <is>
          <t>tengah</t>
        </is>
      </c>
      <c r="P291" s="17" t="n"/>
      <c r="Q291" s="17" t="n"/>
      <c r="T291" s="17" t="inlineStr">
        <is>
          <t>kanan</t>
        </is>
      </c>
      <c r="U291" s="17" t="n"/>
      <c r="V291" s="17" t="n"/>
    </row>
    <row r="292" s="1">
      <c r="E292" s="17" t="inlineStr">
        <is>
          <t>tengah</t>
        </is>
      </c>
      <c r="F292" s="17" t="n"/>
      <c r="G292" s="17" t="n"/>
      <c r="J292" s="17" t="inlineStr">
        <is>
          <t>tengah</t>
        </is>
      </c>
      <c r="K292" s="17" t="n"/>
      <c r="L292" s="17" t="n"/>
      <c r="O292" s="17" t="inlineStr">
        <is>
          <t>kanan</t>
        </is>
      </c>
      <c r="P292" s="17" t="n"/>
      <c r="Q292" s="17" t="n"/>
      <c r="T292" s="17" t="inlineStr">
        <is>
          <t>tengah</t>
        </is>
      </c>
      <c r="U292" s="17" t="n"/>
      <c r="V292" s="17" t="n"/>
    </row>
    <row r="293" s="1">
      <c r="E293" s="17" t="inlineStr">
        <is>
          <t>tengah</t>
        </is>
      </c>
      <c r="F293" s="17" t="n"/>
      <c r="G293" s="17" t="n"/>
      <c r="J293" s="17" t="inlineStr">
        <is>
          <t>tengah</t>
        </is>
      </c>
      <c r="K293" s="17" t="n"/>
      <c r="L293" s="17" t="n"/>
      <c r="O293" s="17" t="inlineStr">
        <is>
          <t>tengah</t>
        </is>
      </c>
      <c r="P293" s="17" t="n"/>
      <c r="Q293" s="17" t="n"/>
      <c r="T293" s="17" t="inlineStr">
        <is>
          <t>tengah</t>
        </is>
      </c>
      <c r="U293" s="17" t="n"/>
      <c r="V293" s="17" t="n"/>
    </row>
    <row r="294" s="1">
      <c r="E294" s="17" t="inlineStr">
        <is>
          <t>kanan</t>
        </is>
      </c>
      <c r="F294" s="17" t="n"/>
      <c r="G294" s="17" t="n"/>
      <c r="J294" s="17" t="inlineStr">
        <is>
          <t>tengah</t>
        </is>
      </c>
      <c r="K294" s="17" t="n"/>
      <c r="L294" s="17" t="n"/>
      <c r="O294" s="17" t="inlineStr">
        <is>
          <t>tengah</t>
        </is>
      </c>
      <c r="P294" s="17" t="n"/>
      <c r="Q294" s="17" t="n"/>
      <c r="T294" s="17" t="inlineStr">
        <is>
          <t>tengah</t>
        </is>
      </c>
      <c r="U294" s="17" t="n"/>
      <c r="V294" s="17" t="n"/>
    </row>
    <row r="295" s="1">
      <c r="E295" s="17" t="inlineStr">
        <is>
          <t>tengah</t>
        </is>
      </c>
      <c r="F295" s="17" t="n"/>
      <c r="G295" s="17" t="n"/>
      <c r="J295" s="17" t="inlineStr">
        <is>
          <t>tengah</t>
        </is>
      </c>
      <c r="K295" s="17" t="n"/>
      <c r="L295" s="17" t="n"/>
      <c r="O295" s="17" t="inlineStr">
        <is>
          <t>kanan</t>
        </is>
      </c>
      <c r="P295" s="17" t="n"/>
      <c r="Q295" s="17" t="n"/>
      <c r="T295" s="17" t="inlineStr">
        <is>
          <t>kanan</t>
        </is>
      </c>
      <c r="U295" s="17" t="n"/>
      <c r="V295" s="17" t="n"/>
    </row>
    <row r="296" s="1">
      <c r="E296" s="17" t="inlineStr">
        <is>
          <t>tengah</t>
        </is>
      </c>
      <c r="F296" s="17" t="n"/>
      <c r="G296" s="17" t="n"/>
      <c r="J296" s="17" t="inlineStr">
        <is>
          <t>kiri</t>
        </is>
      </c>
      <c r="K296" s="17" t="n"/>
      <c r="L296" s="17" t="n"/>
      <c r="O296" s="17" t="inlineStr">
        <is>
          <t>tengah</t>
        </is>
      </c>
      <c r="P296" s="17" t="n"/>
      <c r="Q296" s="17" t="n"/>
      <c r="T296" s="17" t="inlineStr">
        <is>
          <t>kanan</t>
        </is>
      </c>
      <c r="U296" s="17" t="n"/>
      <c r="V296" s="17" t="n"/>
    </row>
    <row r="297" s="1">
      <c r="E297" s="17" t="inlineStr">
        <is>
          <t>tengah</t>
        </is>
      </c>
      <c r="F297" s="17" t="n"/>
      <c r="G297" s="17" t="n"/>
      <c r="J297" s="17" t="inlineStr">
        <is>
          <t>kanan</t>
        </is>
      </c>
      <c r="K297" s="17" t="n"/>
      <c r="L297" s="17" t="n"/>
      <c r="O297" s="17" t="inlineStr">
        <is>
          <t>tengah</t>
        </is>
      </c>
      <c r="P297" s="17" t="n"/>
      <c r="Q297" s="17" t="n"/>
      <c r="T297" s="17" t="inlineStr">
        <is>
          <t>kanan</t>
        </is>
      </c>
      <c r="U297" s="17" t="n"/>
      <c r="V297" s="17" t="n"/>
    </row>
    <row r="298" s="1">
      <c r="E298" s="17" t="inlineStr">
        <is>
          <t>kanan</t>
        </is>
      </c>
      <c r="F298" s="17" t="n"/>
      <c r="G298" s="17" t="n"/>
      <c r="J298" s="17" t="inlineStr">
        <is>
          <t>kanan</t>
        </is>
      </c>
      <c r="K298" s="17" t="n"/>
      <c r="L298" s="17" t="n"/>
      <c r="O298" s="17" t="inlineStr">
        <is>
          <t>kiri</t>
        </is>
      </c>
      <c r="P298" s="17" t="n"/>
      <c r="Q298" s="17" t="n"/>
      <c r="T298" s="17" t="inlineStr">
        <is>
          <t>kanan</t>
        </is>
      </c>
      <c r="U298" s="17" t="n"/>
      <c r="V298" s="17" t="n"/>
    </row>
    <row r="299" s="1">
      <c r="E299" s="17" t="inlineStr">
        <is>
          <t>tengah</t>
        </is>
      </c>
      <c r="F299" s="17" t="n"/>
      <c r="G299" s="17" t="n"/>
      <c r="J299" s="17" t="inlineStr">
        <is>
          <t>tengah</t>
        </is>
      </c>
      <c r="K299" s="17" t="n"/>
      <c r="L299" s="17" t="n"/>
      <c r="O299" s="17" t="inlineStr">
        <is>
          <t>kanan</t>
        </is>
      </c>
      <c r="P299" s="17" t="n"/>
      <c r="Q299" s="17" t="n"/>
      <c r="T299" s="17" t="inlineStr">
        <is>
          <t>kanan</t>
        </is>
      </c>
      <c r="U299" s="17" t="n"/>
      <c r="V299" s="17" t="n"/>
    </row>
    <row r="300" s="1">
      <c r="E300" s="17" t="inlineStr">
        <is>
          <t>kiri</t>
        </is>
      </c>
      <c r="F300" s="17" t="n"/>
      <c r="G300" s="17" t="n"/>
      <c r="J300" s="17" t="inlineStr">
        <is>
          <t>tengah</t>
        </is>
      </c>
      <c r="K300" s="17" t="n"/>
      <c r="L300" s="17" t="n"/>
      <c r="O300" s="17" t="inlineStr">
        <is>
          <t>tengah</t>
        </is>
      </c>
      <c r="P300" s="17" t="n"/>
      <c r="Q300" s="17" t="n"/>
      <c r="T300" s="17" t="inlineStr">
        <is>
          <t>tengah</t>
        </is>
      </c>
      <c r="U300" s="17" t="n"/>
      <c r="V300" s="17" t="n"/>
    </row>
    <row r="301" s="1">
      <c r="E301" s="17" t="inlineStr">
        <is>
          <t>tengah</t>
        </is>
      </c>
      <c r="F301" s="17" t="n"/>
      <c r="G301" s="17" t="n"/>
      <c r="J301" s="17" t="inlineStr">
        <is>
          <t>kiri</t>
        </is>
      </c>
      <c r="K301" s="17" t="n"/>
      <c r="L301" s="17" t="n"/>
      <c r="O301" s="17" t="inlineStr">
        <is>
          <t>tengah</t>
        </is>
      </c>
      <c r="P301" s="17" t="n"/>
      <c r="Q301" s="17" t="n"/>
      <c r="T301" s="17" t="inlineStr">
        <is>
          <t>kanan</t>
        </is>
      </c>
      <c r="U301" s="17" t="n"/>
      <c r="V301" s="17" t="n"/>
    </row>
    <row r="302" s="1">
      <c r="E302" s="17" t="inlineStr">
        <is>
          <t>kiri</t>
        </is>
      </c>
      <c r="F302" s="17" t="n"/>
      <c r="G302" s="17" t="n"/>
      <c r="J302" s="17" t="inlineStr">
        <is>
          <t>kiri</t>
        </is>
      </c>
      <c r="K302" s="17" t="n"/>
      <c r="L302" s="17" t="n"/>
      <c r="O302" s="17" t="inlineStr">
        <is>
          <t>tengah</t>
        </is>
      </c>
      <c r="P302" s="17" t="n"/>
      <c r="Q302" s="17" t="n"/>
      <c r="T302" s="17" t="inlineStr">
        <is>
          <t>tengah</t>
        </is>
      </c>
      <c r="U302" s="17" t="n"/>
      <c r="V302" s="17" t="n"/>
    </row>
    <row r="303" s="1">
      <c r="E303" s="17" t="inlineStr">
        <is>
          <t>tengah</t>
        </is>
      </c>
      <c r="F303" s="17" t="n"/>
      <c r="G303" s="17" t="n"/>
      <c r="J303" s="17" t="inlineStr">
        <is>
          <t>kanan</t>
        </is>
      </c>
      <c r="K303" s="17" t="n"/>
      <c r="L303" s="17" t="n"/>
      <c r="O303" s="17" t="inlineStr">
        <is>
          <t>tengah</t>
        </is>
      </c>
      <c r="P303" s="17" t="n"/>
      <c r="Q303" s="17" t="n"/>
      <c r="T303" s="17" t="inlineStr">
        <is>
          <t>tengah</t>
        </is>
      </c>
      <c r="U303" s="17" t="n"/>
      <c r="V303" s="17" t="n"/>
    </row>
    <row r="304" s="1">
      <c r="E304" s="17" t="inlineStr">
        <is>
          <t>tengah</t>
        </is>
      </c>
      <c r="F304" s="17" t="n"/>
      <c r="G304" s="17" t="n"/>
      <c r="J304" s="17" t="inlineStr">
        <is>
          <t>tengah</t>
        </is>
      </c>
      <c r="K304" s="17" t="n"/>
      <c r="L304" s="17" t="n"/>
      <c r="O304" s="17" t="inlineStr">
        <is>
          <t>kanan</t>
        </is>
      </c>
      <c r="P304" s="17" t="n"/>
      <c r="Q304" s="17" t="n"/>
      <c r="T304" s="17" t="inlineStr">
        <is>
          <t>kanan</t>
        </is>
      </c>
      <c r="U304" s="17" t="n"/>
      <c r="V304" s="17" t="n"/>
    </row>
    <row r="305" s="1">
      <c r="E305" s="17" t="inlineStr">
        <is>
          <t>tengah</t>
        </is>
      </c>
      <c r="F305" s="17" t="n"/>
      <c r="G305" s="17" t="n"/>
      <c r="J305" s="17" t="inlineStr">
        <is>
          <t>kanan</t>
        </is>
      </c>
      <c r="K305" s="17" t="n"/>
      <c r="L305" s="17" t="n"/>
      <c r="O305" s="17" t="inlineStr">
        <is>
          <t>tengah</t>
        </is>
      </c>
      <c r="P305" s="17" t="n"/>
      <c r="Q305" s="17" t="n"/>
      <c r="T305" s="17" t="inlineStr">
        <is>
          <t>tengah</t>
        </is>
      </c>
      <c r="U305" s="17" t="n"/>
      <c r="V305" s="17" t="n"/>
    </row>
    <row r="306" s="1">
      <c r="E306" s="17" t="inlineStr">
        <is>
          <t>kiri</t>
        </is>
      </c>
      <c r="F306" s="17" t="n"/>
      <c r="G306" s="17" t="n"/>
      <c r="J306" s="17" t="inlineStr">
        <is>
          <t>tengah</t>
        </is>
      </c>
      <c r="K306" s="17" t="n"/>
      <c r="L306" s="17" t="n"/>
      <c r="O306" s="17" t="inlineStr">
        <is>
          <t>tengah</t>
        </is>
      </c>
      <c r="P306" s="17" t="n"/>
      <c r="Q306" s="17" t="n"/>
      <c r="T306" s="17" t="inlineStr">
        <is>
          <t>tengah</t>
        </is>
      </c>
      <c r="U306" s="17" t="n"/>
      <c r="V306" s="17" t="n"/>
    </row>
    <row r="307" s="1">
      <c r="E307" s="17" t="inlineStr">
        <is>
          <t>kanan</t>
        </is>
      </c>
      <c r="F307" s="17" t="n"/>
      <c r="G307" s="17" t="n"/>
      <c r="J307" s="17" t="inlineStr">
        <is>
          <t>tengah</t>
        </is>
      </c>
      <c r="K307" s="17" t="n"/>
      <c r="L307" s="17" t="n"/>
      <c r="O307" s="17" t="inlineStr">
        <is>
          <t>kanan</t>
        </is>
      </c>
      <c r="P307" s="17" t="n"/>
      <c r="Q307" s="17" t="n"/>
      <c r="T307" s="17" t="inlineStr">
        <is>
          <t>kanan</t>
        </is>
      </c>
      <c r="U307" s="17" t="n"/>
      <c r="V307" s="17" t="n"/>
    </row>
    <row r="308" s="1">
      <c r="E308" s="17" t="inlineStr">
        <is>
          <t>kiri</t>
        </is>
      </c>
      <c r="F308" s="17" t="n"/>
      <c r="G308" s="17" t="n"/>
      <c r="J308" s="17" t="inlineStr">
        <is>
          <t>tengah</t>
        </is>
      </c>
      <c r="K308" s="17" t="n"/>
      <c r="L308" s="17" t="n"/>
      <c r="O308" s="17" t="inlineStr">
        <is>
          <t>tengah</t>
        </is>
      </c>
      <c r="P308" s="17" t="n"/>
      <c r="Q308" s="17" t="n"/>
      <c r="T308" s="17" t="inlineStr">
        <is>
          <t>tengah</t>
        </is>
      </c>
      <c r="U308" s="17" t="n"/>
      <c r="V308" s="17" t="n"/>
    </row>
    <row r="309" s="1">
      <c r="E309" s="17" t="inlineStr">
        <is>
          <t>tengah</t>
        </is>
      </c>
      <c r="F309" s="17" t="n"/>
      <c r="G309" s="17" t="n"/>
      <c r="J309" s="17" t="inlineStr">
        <is>
          <t>kiri</t>
        </is>
      </c>
      <c r="K309" s="17" t="n"/>
      <c r="L309" s="17" t="n"/>
      <c r="O309" s="17" t="inlineStr">
        <is>
          <t>tengah</t>
        </is>
      </c>
      <c r="P309" s="17" t="n"/>
      <c r="Q309" s="17" t="n"/>
      <c r="T309" s="17" t="inlineStr">
        <is>
          <t>kanan</t>
        </is>
      </c>
      <c r="U309" s="17" t="n"/>
      <c r="V309" s="17" t="n"/>
    </row>
    <row r="310" s="1">
      <c r="E310" s="17" t="inlineStr">
        <is>
          <t>tengah</t>
        </is>
      </c>
      <c r="F310" s="17" t="n"/>
      <c r="G310" s="17" t="n"/>
      <c r="J310" s="17" t="inlineStr">
        <is>
          <t>tengah</t>
        </is>
      </c>
      <c r="K310" s="17" t="n"/>
      <c r="L310" s="17" t="n"/>
      <c r="O310" s="17" t="inlineStr">
        <is>
          <t>tengah</t>
        </is>
      </c>
      <c r="P310" s="17" t="n"/>
      <c r="Q310" s="17" t="n"/>
      <c r="T310" s="17" t="inlineStr">
        <is>
          <t>tengah</t>
        </is>
      </c>
      <c r="U310" s="17" t="n"/>
      <c r="V310" s="17" t="n"/>
    </row>
    <row r="311" s="1">
      <c r="E311" s="17" t="inlineStr">
        <is>
          <t>tengah</t>
        </is>
      </c>
      <c r="F311" s="17" t="n"/>
      <c r="G311" s="17" t="n"/>
      <c r="J311" s="17" t="inlineStr">
        <is>
          <t>tengah</t>
        </is>
      </c>
      <c r="K311" s="17" t="n"/>
      <c r="L311" s="17" t="n"/>
      <c r="O311" s="17" t="inlineStr">
        <is>
          <t>kiri</t>
        </is>
      </c>
      <c r="P311" s="17" t="n"/>
      <c r="Q311" s="17" t="n"/>
      <c r="T311" s="17" t="inlineStr">
        <is>
          <t>kanan</t>
        </is>
      </c>
      <c r="U311" s="17" t="n"/>
      <c r="V311" s="17" t="n"/>
    </row>
    <row r="312" s="1">
      <c r="E312" s="17" t="inlineStr">
        <is>
          <t>kanan</t>
        </is>
      </c>
      <c r="F312" s="17" t="n"/>
      <c r="G312" s="17" t="n"/>
      <c r="J312" s="17" t="inlineStr">
        <is>
          <t>kanan</t>
        </is>
      </c>
      <c r="K312" s="17" t="n"/>
      <c r="L312" s="17" t="n"/>
      <c r="O312" s="17" t="inlineStr">
        <is>
          <t>tengah</t>
        </is>
      </c>
      <c r="P312" s="17" t="n"/>
      <c r="Q312" s="17" t="n"/>
      <c r="T312" s="17" t="inlineStr">
        <is>
          <t>kanan</t>
        </is>
      </c>
      <c r="U312" s="17" t="n"/>
      <c r="V312" s="17" t="n"/>
    </row>
    <row r="313" s="1">
      <c r="E313" s="17" t="inlineStr">
        <is>
          <t>tengah</t>
        </is>
      </c>
      <c r="F313" s="17" t="n"/>
      <c r="G313" s="17" t="n"/>
      <c r="J313" s="17" t="inlineStr">
        <is>
          <t>kiri</t>
        </is>
      </c>
      <c r="K313" s="17" t="n"/>
      <c r="L313" s="17" t="n"/>
      <c r="O313" s="17" t="inlineStr">
        <is>
          <t>kanan</t>
        </is>
      </c>
      <c r="P313" s="17" t="n"/>
      <c r="Q313" s="17" t="n"/>
      <c r="T313" s="17" t="inlineStr">
        <is>
          <t>tengah</t>
        </is>
      </c>
      <c r="U313" s="17" t="n"/>
      <c r="V313" s="17" t="n"/>
    </row>
    <row r="314" s="1">
      <c r="E314" s="17" t="inlineStr">
        <is>
          <t>tengah</t>
        </is>
      </c>
      <c r="F314" s="17" t="n"/>
      <c r="G314" s="17" t="n"/>
      <c r="J314" s="17" t="inlineStr">
        <is>
          <t>kanan</t>
        </is>
      </c>
      <c r="K314" s="17" t="n"/>
      <c r="L314" s="17" t="n"/>
      <c r="O314" s="17" t="inlineStr">
        <is>
          <t>tengah</t>
        </is>
      </c>
      <c r="P314" s="17" t="n"/>
      <c r="Q314" s="17" t="n"/>
      <c r="T314" s="17" t="inlineStr">
        <is>
          <t>tengah</t>
        </is>
      </c>
      <c r="U314" s="17" t="n"/>
      <c r="V314" s="17" t="n"/>
    </row>
    <row r="315" s="1">
      <c r="E315" s="17" t="inlineStr">
        <is>
          <t>tengah</t>
        </is>
      </c>
      <c r="F315" s="17" t="n"/>
      <c r="G315" s="17" t="n"/>
      <c r="J315" s="17" t="inlineStr">
        <is>
          <t>tengah</t>
        </is>
      </c>
      <c r="K315" s="17" t="n"/>
      <c r="L315" s="17" t="n"/>
      <c r="O315" s="17" t="inlineStr">
        <is>
          <t>tengah</t>
        </is>
      </c>
      <c r="P315" s="17" t="n"/>
      <c r="Q315" s="17" t="n"/>
      <c r="T315" s="17" t="inlineStr">
        <is>
          <t>kanan</t>
        </is>
      </c>
      <c r="U315" s="17" t="n"/>
      <c r="V315" s="17" t="n"/>
    </row>
    <row r="316" s="1">
      <c r="E316" s="17" t="inlineStr">
        <is>
          <t>tengah</t>
        </is>
      </c>
      <c r="F316" s="17" t="n"/>
      <c r="G316" s="17" t="n"/>
      <c r="J316" s="17" t="inlineStr">
        <is>
          <t>kiri</t>
        </is>
      </c>
      <c r="K316" s="17" t="n"/>
      <c r="L316" s="17" t="n"/>
      <c r="O316" s="17" t="inlineStr">
        <is>
          <t>kiri</t>
        </is>
      </c>
      <c r="P316" s="17" t="n"/>
      <c r="Q316" s="17" t="n"/>
      <c r="T316" s="17" t="inlineStr">
        <is>
          <t>tengah</t>
        </is>
      </c>
      <c r="U316" s="17" t="n"/>
      <c r="V316" s="17" t="n"/>
    </row>
    <row r="317" s="1">
      <c r="E317" s="17" t="inlineStr">
        <is>
          <t>kanan</t>
        </is>
      </c>
      <c r="F317" s="17" t="n"/>
      <c r="G317" s="17" t="n"/>
      <c r="J317" s="17" t="inlineStr">
        <is>
          <t>tengah</t>
        </is>
      </c>
      <c r="K317" s="17" t="n"/>
      <c r="L317" s="17" t="n"/>
      <c r="O317" s="17" t="inlineStr">
        <is>
          <t>tengah</t>
        </is>
      </c>
      <c r="P317" s="17" t="n"/>
      <c r="Q317" s="17" t="n"/>
      <c r="T317" s="17" t="inlineStr">
        <is>
          <t>tengah</t>
        </is>
      </c>
      <c r="U317" s="17" t="n"/>
      <c r="V317" s="17" t="n"/>
    </row>
    <row r="318" s="1">
      <c r="E318" s="17" t="inlineStr">
        <is>
          <t>tengah</t>
        </is>
      </c>
      <c r="F318" s="17" t="n"/>
      <c r="G318" s="17" t="n"/>
      <c r="J318" s="17" t="inlineStr">
        <is>
          <t>kanan</t>
        </is>
      </c>
      <c r="K318" s="17" t="n"/>
      <c r="L318" s="17" t="n"/>
      <c r="O318" s="17" t="inlineStr">
        <is>
          <t>tengah</t>
        </is>
      </c>
      <c r="P318" s="17" t="n"/>
      <c r="Q318" s="17" t="n"/>
      <c r="T318" s="17" t="inlineStr">
        <is>
          <t>tengah</t>
        </is>
      </c>
      <c r="U318" s="17" t="n"/>
      <c r="V318" s="17" t="n"/>
    </row>
    <row r="319" s="1">
      <c r="E319" s="17" t="inlineStr">
        <is>
          <t>tengah</t>
        </is>
      </c>
      <c r="F319" s="17" t="n"/>
      <c r="G319" s="17" t="n"/>
      <c r="J319" s="17" t="inlineStr">
        <is>
          <t>kanan</t>
        </is>
      </c>
      <c r="K319" s="17" t="n"/>
      <c r="L319" s="17" t="n"/>
      <c r="O319" s="17" t="inlineStr">
        <is>
          <t>kanan</t>
        </is>
      </c>
      <c r="P319" s="17" t="n"/>
      <c r="Q319" s="17" t="n"/>
      <c r="T319" s="17" t="inlineStr">
        <is>
          <t>tengah</t>
        </is>
      </c>
      <c r="U319" s="17" t="n"/>
      <c r="V319" s="17" t="n"/>
    </row>
    <row r="320" s="1">
      <c r="E320" s="17" t="inlineStr">
        <is>
          <t>kanan</t>
        </is>
      </c>
      <c r="F320" s="17" t="n"/>
      <c r="G320" s="17" t="n"/>
      <c r="J320" s="17" t="inlineStr">
        <is>
          <t>tengah</t>
        </is>
      </c>
      <c r="K320" s="17" t="n"/>
      <c r="L320" s="17" t="n"/>
      <c r="O320" s="17" t="inlineStr">
        <is>
          <t>kiri</t>
        </is>
      </c>
      <c r="P320" s="17" t="n"/>
      <c r="Q320" s="17" t="n"/>
      <c r="T320" s="17" t="inlineStr">
        <is>
          <t>tengah</t>
        </is>
      </c>
      <c r="U320" s="17" t="n"/>
      <c r="V320" s="17" t="n"/>
    </row>
    <row r="321" s="1">
      <c r="E321" s="17" t="inlineStr">
        <is>
          <t>kanan</t>
        </is>
      </c>
      <c r="F321" s="17" t="n"/>
      <c r="G321" s="17" t="n"/>
      <c r="J321" s="17" t="inlineStr">
        <is>
          <t>kanan</t>
        </is>
      </c>
      <c r="K321" s="17" t="n"/>
      <c r="L321" s="17" t="n"/>
      <c r="O321" s="17" t="inlineStr">
        <is>
          <t>kiri</t>
        </is>
      </c>
      <c r="P321" s="17" t="n"/>
      <c r="Q321" s="17" t="n"/>
      <c r="T321" s="17" t="inlineStr">
        <is>
          <t>kanan</t>
        </is>
      </c>
      <c r="U321" s="17" t="n"/>
      <c r="V321" s="17" t="n"/>
    </row>
    <row r="322" s="1">
      <c r="E322" s="17" t="inlineStr">
        <is>
          <t>kiri</t>
        </is>
      </c>
      <c r="F322" s="17" t="n"/>
      <c r="G322" s="17" t="n"/>
      <c r="J322" s="17" t="inlineStr">
        <is>
          <t>tengah</t>
        </is>
      </c>
      <c r="K322" s="17" t="n"/>
      <c r="L322" s="17" t="n"/>
      <c r="O322" s="17" t="inlineStr">
        <is>
          <t>kanan</t>
        </is>
      </c>
      <c r="P322" s="17" t="n"/>
      <c r="Q322" s="17" t="n"/>
      <c r="T322" s="17" t="inlineStr">
        <is>
          <t>tengah</t>
        </is>
      </c>
      <c r="U322" s="17" t="n"/>
      <c r="V322" s="17" t="n"/>
    </row>
    <row r="323" s="1">
      <c r="E323" s="17" t="inlineStr">
        <is>
          <t>tengah</t>
        </is>
      </c>
      <c r="F323" s="17" t="n"/>
      <c r="G323" s="17" t="n"/>
      <c r="J323" s="17" t="inlineStr">
        <is>
          <t>kiri</t>
        </is>
      </c>
      <c r="K323" s="17" t="n"/>
      <c r="L323" s="17" t="n"/>
      <c r="O323" s="17" t="inlineStr">
        <is>
          <t>kanan</t>
        </is>
      </c>
      <c r="P323" s="17" t="n"/>
      <c r="Q323" s="17" t="n"/>
      <c r="T323" s="17" t="inlineStr">
        <is>
          <t>tengah</t>
        </is>
      </c>
      <c r="U323" s="17" t="n"/>
      <c r="V323" s="17" t="n"/>
    </row>
    <row r="324" s="1">
      <c r="E324" s="17" t="inlineStr">
        <is>
          <t>tengah</t>
        </is>
      </c>
      <c r="F324" s="17" t="n"/>
      <c r="G324" s="17" t="n"/>
      <c r="J324" s="17" t="inlineStr">
        <is>
          <t>tengah</t>
        </is>
      </c>
      <c r="K324" s="17" t="n"/>
      <c r="L324" s="17" t="n"/>
      <c r="O324" s="17" t="inlineStr">
        <is>
          <t>tengah</t>
        </is>
      </c>
      <c r="P324" s="17" t="n"/>
      <c r="Q324" s="17" t="n"/>
      <c r="T324" s="17" t="inlineStr">
        <is>
          <t>kanan</t>
        </is>
      </c>
      <c r="U324" s="17" t="n"/>
      <c r="V324" s="17" t="n"/>
    </row>
    <row r="325" s="1">
      <c r="E325" s="17" t="inlineStr">
        <is>
          <t>tengah</t>
        </is>
      </c>
      <c r="F325" s="17" t="n"/>
      <c r="G325" s="17" t="n"/>
      <c r="J325" s="17" t="inlineStr">
        <is>
          <t>tengah</t>
        </is>
      </c>
      <c r="K325" s="17" t="n"/>
      <c r="L325" s="17" t="n"/>
      <c r="O325" s="17" t="inlineStr">
        <is>
          <t>tengah</t>
        </is>
      </c>
      <c r="P325" s="17" t="n"/>
      <c r="Q325" s="17" t="n"/>
      <c r="T325" s="17" t="inlineStr">
        <is>
          <t>kanan</t>
        </is>
      </c>
      <c r="U325" s="17" t="n"/>
      <c r="V325" s="17" t="n"/>
    </row>
    <row r="326" s="1">
      <c r="E326" s="17" t="inlineStr">
        <is>
          <t>kanan</t>
        </is>
      </c>
      <c r="F326" s="17" t="n"/>
      <c r="G326" s="17" t="n"/>
      <c r="J326" s="17" t="inlineStr">
        <is>
          <t>tengah</t>
        </is>
      </c>
      <c r="K326" s="17" t="n"/>
      <c r="L326" s="17" t="n"/>
      <c r="O326" s="17" t="inlineStr">
        <is>
          <t>tengah</t>
        </is>
      </c>
      <c r="P326" s="17" t="n"/>
      <c r="Q326" s="17" t="n"/>
      <c r="T326" s="17" t="inlineStr">
        <is>
          <t>kanan</t>
        </is>
      </c>
      <c r="U326" s="17" t="n"/>
      <c r="V326" s="17" t="n"/>
    </row>
    <row r="327" s="1">
      <c r="E327" s="17" t="inlineStr">
        <is>
          <t>kiri</t>
        </is>
      </c>
      <c r="F327" s="17" t="n"/>
      <c r="G327" s="17" t="n"/>
      <c r="J327" s="17" t="inlineStr">
        <is>
          <t>kanan</t>
        </is>
      </c>
      <c r="K327" s="17" t="n"/>
      <c r="L327" s="17" t="n"/>
      <c r="O327" s="17" t="inlineStr">
        <is>
          <t>kiri</t>
        </is>
      </c>
      <c r="P327" s="17" t="n"/>
      <c r="Q327" s="17" t="n"/>
      <c r="T327" s="17" t="inlineStr">
        <is>
          <t>tengah</t>
        </is>
      </c>
      <c r="U327" s="17" t="n"/>
      <c r="V327" s="17" t="n"/>
    </row>
    <row r="328" s="1">
      <c r="E328" s="17" t="inlineStr">
        <is>
          <t>tengah</t>
        </is>
      </c>
      <c r="F328" s="17" t="n"/>
      <c r="G328" s="17" t="n"/>
      <c r="J328" s="17" t="inlineStr">
        <is>
          <t>tengah</t>
        </is>
      </c>
      <c r="K328" s="17" t="n"/>
      <c r="L328" s="17" t="n"/>
      <c r="O328" s="17" t="inlineStr">
        <is>
          <t>tengah</t>
        </is>
      </c>
      <c r="P328" s="17" t="n"/>
      <c r="Q328" s="17" t="n"/>
      <c r="T328" s="17" t="inlineStr">
        <is>
          <t>tengah</t>
        </is>
      </c>
      <c r="U328" s="17" t="n"/>
      <c r="V328" s="17" t="n"/>
    </row>
    <row r="329" s="1">
      <c r="E329" s="17" t="inlineStr">
        <is>
          <t>kiri</t>
        </is>
      </c>
      <c r="F329" s="17" t="n"/>
      <c r="G329" s="17" t="n"/>
      <c r="J329" s="17" t="inlineStr">
        <is>
          <t>kiri</t>
        </is>
      </c>
      <c r="K329" s="17" t="n"/>
      <c r="L329" s="17" t="n"/>
      <c r="O329" s="17" t="inlineStr">
        <is>
          <t>tengah</t>
        </is>
      </c>
      <c r="P329" s="17" t="n"/>
      <c r="Q329" s="17" t="n"/>
      <c r="T329" s="17" t="inlineStr">
        <is>
          <t>tengah</t>
        </is>
      </c>
      <c r="U329" s="17" t="n"/>
      <c r="V329" s="17" t="n"/>
    </row>
    <row r="330" s="1">
      <c r="E330" s="17" t="inlineStr">
        <is>
          <t>kiri</t>
        </is>
      </c>
      <c r="F330" s="17" t="n"/>
      <c r="G330" s="17" t="n"/>
      <c r="J330" s="17" t="inlineStr">
        <is>
          <t>kiri</t>
        </is>
      </c>
      <c r="K330" s="17" t="n"/>
      <c r="L330" s="17" t="n"/>
      <c r="O330" s="17" t="inlineStr">
        <is>
          <t>tengah</t>
        </is>
      </c>
      <c r="P330" s="17" t="n"/>
      <c r="Q330" s="17" t="n"/>
      <c r="T330" s="17" t="inlineStr">
        <is>
          <t>kanan</t>
        </is>
      </c>
      <c r="U330" s="17" t="n"/>
      <c r="V330" s="17" t="n"/>
    </row>
    <row r="331" s="1">
      <c r="E331" s="17" t="inlineStr">
        <is>
          <t>tengah</t>
        </is>
      </c>
      <c r="F331" s="17" t="n"/>
      <c r="G331" s="17" t="n"/>
      <c r="J331" s="17" t="inlineStr">
        <is>
          <t>tengah</t>
        </is>
      </c>
      <c r="K331" s="17" t="n"/>
      <c r="L331" s="17" t="n"/>
      <c r="O331" s="17" t="inlineStr">
        <is>
          <t>tengah</t>
        </is>
      </c>
      <c r="P331" s="17" t="n"/>
      <c r="Q331" s="17" t="n"/>
      <c r="T331" s="17" t="inlineStr">
        <is>
          <t>kanan</t>
        </is>
      </c>
      <c r="U331" s="17" t="n"/>
      <c r="V331" s="17" t="n"/>
    </row>
    <row r="332" s="1">
      <c r="E332" s="17" t="inlineStr">
        <is>
          <t>tengah</t>
        </is>
      </c>
      <c r="F332" s="17" t="n"/>
      <c r="G332" s="17" t="n"/>
      <c r="J332" s="17" t="inlineStr">
        <is>
          <t>tengah</t>
        </is>
      </c>
      <c r="K332" s="17" t="n"/>
      <c r="L332" s="17" t="n"/>
      <c r="O332" s="17" t="inlineStr">
        <is>
          <t>tengah</t>
        </is>
      </c>
      <c r="P332" s="17" t="n"/>
      <c r="Q332" s="17" t="n"/>
      <c r="T332" s="17" t="inlineStr">
        <is>
          <t>tengah</t>
        </is>
      </c>
      <c r="U332" s="17" t="n"/>
      <c r="V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32"/>
  <sheetViews>
    <sheetView topLeftCell="M157" workbookViewId="0">
      <selection activeCell="S171" sqref="S171"/>
    </sheetView>
  </sheetViews>
  <sheetFormatPr baseColWidth="8" defaultColWidth="8.6" defaultRowHeight="15"/>
  <cols>
    <col width="15.8592592592593" customWidth="1" style="1" min="3" max="3"/>
    <col width="13.2888888888889" customWidth="1" style="1" min="4" max="4"/>
    <col width="13.8592592592593" customWidth="1" style="1" min="5" max="5"/>
    <col width="12.5703703703704" customWidth="1" style="1" min="6" max="6"/>
    <col width="15.8592592592593" customWidth="1" style="1" min="10" max="10"/>
    <col width="13.2888888888889" customWidth="1" style="1" min="11" max="11"/>
    <col width="13.8592592592593" customWidth="1" style="1" min="12" max="12"/>
  </cols>
  <sheetData>
    <row r="1" s="1">
      <c r="A1" s="16" t="inlineStr">
        <is>
          <t>No</t>
        </is>
      </c>
      <c r="B1" s="16" t="inlineStr">
        <is>
          <t>Usia</t>
        </is>
      </c>
      <c r="C1" s="16" t="inlineStr">
        <is>
          <t>Lama Rawat Inap</t>
        </is>
      </c>
      <c r="D1" s="16" t="inlineStr">
        <is>
          <t>Jenis Kelamin</t>
        </is>
      </c>
      <c r="E1" s="16" t="inlineStr">
        <is>
          <t>Tingkat Resiko</t>
        </is>
      </c>
      <c r="H1" s="25" t="inlineStr">
        <is>
          <t>No</t>
        </is>
      </c>
      <c r="I1" s="25" t="inlineStr">
        <is>
          <t>Usia</t>
        </is>
      </c>
      <c r="J1" s="25" t="inlineStr">
        <is>
          <t>Lama Rawat Inap</t>
        </is>
      </c>
      <c r="K1" s="25" t="inlineStr">
        <is>
          <t>Jenis Kelamin</t>
        </is>
      </c>
      <c r="L1" s="25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INDEX(Data_DBD!$B:$B,$A2)</f>
        <v/>
      </c>
      <c r="C2" s="17">
        <f t="array" ref="C2">INDEX(Data_DBD!$C:$C,$A2)</f>
        <v/>
      </c>
      <c r="D2" s="17">
        <f t="array" ref="D2">INDEX(Data_DBD!$E:$E,$A2)</f>
        <v/>
      </c>
      <c r="E2" s="17">
        <f t="array" ref="E2">INDEX(Data_DBD!$F:$F,$A2)</f>
        <v/>
      </c>
      <c r="H2" s="17" t="n">
        <v>54</v>
      </c>
      <c r="I2" s="17" t="n">
        <v>7</v>
      </c>
      <c r="J2" s="17" t="n">
        <v>3</v>
      </c>
      <c r="K2" s="17" t="n">
        <v>0</v>
      </c>
      <c r="L2" s="17" t="inlineStr">
        <is>
          <t>Sedang</t>
        </is>
      </c>
      <c r="O2" s="19" t="inlineStr">
        <is>
          <t>Tinggi</t>
        </is>
      </c>
      <c r="P2" s="19">
        <f>COUNTIF(L2:L164,"Tinggi")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INDEX(Data_DBD!$B:$B,$A3)</f>
        <v/>
      </c>
      <c r="C3" s="17">
        <f t="array" ref="C3">INDEX(Data_DBD!$C:$C,$A3)</f>
        <v/>
      </c>
      <c r="D3" s="17">
        <f t="array" ref="D3">INDEX(Data_DBD!$E:$E,$A3)</f>
        <v/>
      </c>
      <c r="E3" s="17">
        <f t="array" ref="E3">INDEX(Data_DBD!$F:$F,$A3)</f>
        <v/>
      </c>
      <c r="H3" s="17" t="n">
        <v>91</v>
      </c>
      <c r="I3" s="17" t="n">
        <v>35</v>
      </c>
      <c r="J3" s="17" t="n">
        <v>1</v>
      </c>
      <c r="K3" s="17" t="n">
        <v>1</v>
      </c>
      <c r="L3" s="17" t="inlineStr">
        <is>
          <t>Tinggi</t>
        </is>
      </c>
      <c r="O3" s="19" t="inlineStr">
        <is>
          <t>Sedang</t>
        </is>
      </c>
      <c r="P3" s="19">
        <f>COUNTIF(L2:L164,"Sedang")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INDEX(Data_DBD!$B:$B,$A4)</f>
        <v/>
      </c>
      <c r="C4" s="17">
        <f t="array" ref="C4">INDEX(Data_DBD!$C:$C,$A4)</f>
        <v/>
      </c>
      <c r="D4" s="17">
        <f t="array" ref="D4">INDEX(Data_DBD!$E:$E,$A4)</f>
        <v/>
      </c>
      <c r="E4" s="17">
        <f t="array" ref="E4">INDEX(Data_DBD!$F:$F,$A4)</f>
        <v/>
      </c>
      <c r="H4" s="17" t="n">
        <v>59</v>
      </c>
      <c r="I4" s="17" t="n">
        <v>28</v>
      </c>
      <c r="J4" s="17" t="n">
        <v>4</v>
      </c>
      <c r="K4" s="17" t="n">
        <v>0</v>
      </c>
      <c r="L4" s="17" t="inlineStr">
        <is>
          <t>Sedang</t>
        </is>
      </c>
      <c r="O4" s="19" t="inlineStr">
        <is>
          <t>Rendah</t>
        </is>
      </c>
      <c r="P4" s="19">
        <f>COUNTIF(L2:L164,"Rendah")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INDEX(Data_DBD!$B:$B,$A5)</f>
        <v/>
      </c>
      <c r="C5" s="17">
        <f t="array" ref="C5">INDEX(Data_DBD!$C:$C,$A5)</f>
        <v/>
      </c>
      <c r="D5" s="17">
        <f t="array" ref="D5">INDEX(Data_DBD!$E:$E,$A5)</f>
        <v/>
      </c>
      <c r="E5" s="17">
        <f t="array" ref="E5">INDEX(Data_DBD!$F:$F,$A5)</f>
        <v/>
      </c>
      <c r="H5" s="17" t="n">
        <v>38</v>
      </c>
      <c r="I5" s="17" t="n">
        <v>52</v>
      </c>
      <c r="J5" s="17" t="n">
        <v>3</v>
      </c>
      <c r="K5" s="17" t="n">
        <v>1</v>
      </c>
      <c r="L5" s="17" t="inlineStr">
        <is>
          <t>Rendah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INDEX(Data_DBD!$B:$B,$A6)</f>
        <v/>
      </c>
      <c r="C6" s="17">
        <f t="array" ref="C6">INDEX(Data_DBD!$C:$C,$A6)</f>
        <v/>
      </c>
      <c r="D6" s="17">
        <f t="array" ref="D6">INDEX(Data_DBD!$E:$E,$A6)</f>
        <v/>
      </c>
      <c r="E6" s="17">
        <f t="array" ref="E6">INDEX(Data_DBD!$F:$F,$A6)</f>
        <v/>
      </c>
      <c r="H6" s="17" t="n">
        <v>142</v>
      </c>
      <c r="I6" s="17" t="n">
        <v>39</v>
      </c>
      <c r="J6" s="17" t="n">
        <v>2</v>
      </c>
      <c r="K6" s="17" t="n">
        <v>1</v>
      </c>
      <c r="L6" s="17" t="inlineStr">
        <is>
          <t>Tinggi</t>
        </is>
      </c>
    </row>
    <row r="7" s="1">
      <c r="A7" s="17">
        <f>RANDBETWEEN(2,164)</f>
        <v/>
      </c>
      <c r="B7" s="17">
        <f t="array" ref="B7">INDEX(Data_DBD!$B:$B,$A7)</f>
        <v/>
      </c>
      <c r="C7" s="17">
        <f t="array" ref="C7">INDEX(Data_DBD!$C:$C,$A7)</f>
        <v/>
      </c>
      <c r="D7" s="17">
        <f t="array" ref="D7">INDEX(Data_DBD!$E:$E,$A7)</f>
        <v/>
      </c>
      <c r="E7" s="17">
        <f t="array" ref="E7">INDEX(Data_DBD!$F:$F,$A7)</f>
        <v/>
      </c>
      <c r="H7" s="17" t="n">
        <v>142</v>
      </c>
      <c r="I7" s="17" t="n">
        <v>39</v>
      </c>
      <c r="J7" s="17" t="n">
        <v>2</v>
      </c>
      <c r="K7" s="17" t="n">
        <v>1</v>
      </c>
      <c r="L7" s="17" t="inlineStr">
        <is>
          <t>Tinggi</t>
        </is>
      </c>
    </row>
    <row r="8" s="1">
      <c r="A8" s="17">
        <f>RANDBETWEEN(2,164)</f>
        <v/>
      </c>
      <c r="B8" s="17">
        <f t="array" ref="B8">INDEX(Data_DBD!$B:$B,$A8)</f>
        <v/>
      </c>
      <c r="C8" s="17">
        <f t="array" ref="C8">INDEX(Data_DBD!$C:$C,$A8)</f>
        <v/>
      </c>
      <c r="D8" s="17">
        <f t="array" ref="D8">INDEX(Data_DBD!$E:$E,$A8)</f>
        <v/>
      </c>
      <c r="E8" s="17">
        <f t="array" ref="E8">INDEX(Data_DBD!$F:$F,$A8)</f>
        <v/>
      </c>
      <c r="H8" s="17" t="n">
        <v>33</v>
      </c>
      <c r="I8" s="17" t="n">
        <v>19</v>
      </c>
      <c r="J8" s="17" t="n">
        <v>4</v>
      </c>
      <c r="K8" s="17" t="n">
        <v>1</v>
      </c>
      <c r="L8" s="17" t="inlineStr">
        <is>
          <t>Sedang</t>
        </is>
      </c>
    </row>
    <row r="9" s="1">
      <c r="A9" s="17">
        <f>RANDBETWEEN(2,164)</f>
        <v/>
      </c>
      <c r="B9" s="17">
        <f t="array" ref="B9">INDEX(Data_DBD!$B:$B,$A9)</f>
        <v/>
      </c>
      <c r="C9" s="17">
        <f t="array" ref="C9">INDEX(Data_DBD!$C:$C,$A9)</f>
        <v/>
      </c>
      <c r="D9" s="17">
        <f t="array" ref="D9">INDEX(Data_DBD!$E:$E,$A9)</f>
        <v/>
      </c>
      <c r="E9" s="17">
        <f t="array" ref="E9">INDEX(Data_DBD!$F:$F,$A9)</f>
        <v/>
      </c>
      <c r="H9" s="17" t="n">
        <v>106</v>
      </c>
      <c r="I9" s="17" t="n">
        <v>23</v>
      </c>
      <c r="J9" s="17" t="n">
        <v>3</v>
      </c>
      <c r="K9" s="17" t="n">
        <v>1</v>
      </c>
      <c r="L9" s="17" t="inlineStr">
        <is>
          <t>Tinggi</t>
        </is>
      </c>
    </row>
    <row r="10" s="1">
      <c r="A10" s="17">
        <f>RANDBETWEEN(2,164)</f>
        <v/>
      </c>
      <c r="B10" s="17">
        <f t="array" ref="B10">INDEX(Data_DBD!$B:$B,$A10)</f>
        <v/>
      </c>
      <c r="C10" s="17">
        <f t="array" ref="C10">INDEX(Data_DBD!$C:$C,$A10)</f>
        <v/>
      </c>
      <c r="D10" s="17">
        <f t="array" ref="D10">INDEX(Data_DBD!$E:$E,$A10)</f>
        <v/>
      </c>
      <c r="E10" s="17">
        <f t="array" ref="E10">INDEX(Data_DBD!$F:$F,$A10)</f>
        <v/>
      </c>
      <c r="H10" s="17" t="n">
        <v>109</v>
      </c>
      <c r="I10" s="17" t="n">
        <v>40</v>
      </c>
      <c r="J10" s="17" t="n">
        <v>3</v>
      </c>
      <c r="K10" s="17" t="n">
        <v>1</v>
      </c>
      <c r="L10" s="17" t="inlineStr">
        <is>
          <t>Tinggi</t>
        </is>
      </c>
    </row>
    <row r="11" s="1">
      <c r="A11" s="17">
        <f>RANDBETWEEN(2,164)</f>
        <v/>
      </c>
      <c r="B11" s="17">
        <f t="array" ref="B11">INDEX(Data_DBD!$B:$B,$A11)</f>
        <v/>
      </c>
      <c r="C11" s="17">
        <f t="array" ref="C11">INDEX(Data_DBD!$C:$C,$A11)</f>
        <v/>
      </c>
      <c r="D11" s="17">
        <f t="array" ref="D11">INDEX(Data_DBD!$E:$E,$A11)</f>
        <v/>
      </c>
      <c r="E11" s="17">
        <f t="array" ref="E11">INDEX(Data_DBD!$F:$F,$A11)</f>
        <v/>
      </c>
      <c r="H11" s="17" t="n">
        <v>152</v>
      </c>
      <c r="I11" s="17" t="n">
        <v>47</v>
      </c>
      <c r="J11" s="17" t="n">
        <v>3</v>
      </c>
      <c r="K11" s="17" t="n">
        <v>1</v>
      </c>
      <c r="L11" s="17" t="inlineStr">
        <is>
          <t>Tinggi</t>
        </is>
      </c>
    </row>
    <row r="12" s="1">
      <c r="A12" s="17">
        <f>RANDBETWEEN(2,164)</f>
        <v/>
      </c>
      <c r="B12" s="17">
        <f t="array" ref="B12">INDEX(Data_DBD!$B:$B,$A12)</f>
        <v/>
      </c>
      <c r="C12" s="17">
        <f t="array" ref="C12">INDEX(Data_DBD!$C:$C,$A12)</f>
        <v/>
      </c>
      <c r="D12" s="17">
        <f t="array" ref="D12">INDEX(Data_DBD!$E:$E,$A12)</f>
        <v/>
      </c>
      <c r="E12" s="17">
        <f t="array" ref="E12">INDEX(Data_DBD!$F:$F,$A12)</f>
        <v/>
      </c>
      <c r="H12" s="17" t="n">
        <v>35</v>
      </c>
      <c r="I12" s="17" t="n">
        <v>40</v>
      </c>
      <c r="J12" s="17" t="n">
        <v>3</v>
      </c>
      <c r="K12" s="17" t="n">
        <v>1</v>
      </c>
      <c r="L12" s="17" t="inlineStr">
        <is>
          <t>Rendah</t>
        </is>
      </c>
    </row>
    <row r="13" s="1">
      <c r="A13" s="17">
        <f>RANDBETWEEN(2,164)</f>
        <v/>
      </c>
      <c r="B13" s="17">
        <f t="array" ref="B13">INDEX(Data_DBD!$B:$B,$A13)</f>
        <v/>
      </c>
      <c r="C13" s="17">
        <f t="array" ref="C13">INDEX(Data_DBD!$C:$C,$A13)</f>
        <v/>
      </c>
      <c r="D13" s="17">
        <f t="array" ref="D13">INDEX(Data_DBD!$E:$E,$A13)</f>
        <v/>
      </c>
      <c r="E13" s="17">
        <f t="array" ref="E13">INDEX(Data_DBD!$F:$F,$A13)</f>
        <v/>
      </c>
      <c r="H13" s="17" t="n">
        <v>129</v>
      </c>
      <c r="I13" s="17" t="n">
        <v>4</v>
      </c>
      <c r="J13" s="17" t="n">
        <v>3</v>
      </c>
      <c r="K13" s="17" t="n">
        <v>0</v>
      </c>
      <c r="L13" s="17" t="inlineStr">
        <is>
          <t>Tinggi</t>
        </is>
      </c>
    </row>
    <row r="14" s="1">
      <c r="A14" s="17">
        <f>RANDBETWEEN(2,164)</f>
        <v/>
      </c>
      <c r="B14" s="17">
        <f t="array" ref="B14">INDEX(Data_DBD!$B:$B,$A14)</f>
        <v/>
      </c>
      <c r="C14" s="17">
        <f t="array" ref="C14">INDEX(Data_DBD!$C:$C,$A14)</f>
        <v/>
      </c>
      <c r="D14" s="17">
        <f t="array" ref="D14">INDEX(Data_DBD!$E:$E,$A14)</f>
        <v/>
      </c>
      <c r="E14" s="17">
        <f t="array" ref="E14">INDEX(Data_DBD!$F:$F,$A14)</f>
        <v/>
      </c>
      <c r="H14" s="17" t="n">
        <v>141</v>
      </c>
      <c r="I14" s="17" t="n">
        <v>36</v>
      </c>
      <c r="J14" s="17" t="n">
        <v>2</v>
      </c>
      <c r="K14" s="17" t="n">
        <v>0</v>
      </c>
      <c r="L14" s="17" t="inlineStr">
        <is>
          <t>Tinggi</t>
        </is>
      </c>
    </row>
    <row r="15" s="1">
      <c r="A15" s="17">
        <f>RANDBETWEEN(2,164)</f>
        <v/>
      </c>
      <c r="B15" s="17">
        <f t="array" ref="B15">INDEX(Data_DBD!$B:$B,$A15)</f>
        <v/>
      </c>
      <c r="C15" s="17">
        <f t="array" ref="C15">INDEX(Data_DBD!$C:$C,$A15)</f>
        <v/>
      </c>
      <c r="D15" s="17">
        <f t="array" ref="D15">INDEX(Data_DBD!$E:$E,$A15)</f>
        <v/>
      </c>
      <c r="E15" s="17">
        <f t="array" ref="E15">INDEX(Data_DBD!$F:$F,$A15)</f>
        <v/>
      </c>
      <c r="H15" s="17" t="n">
        <v>134</v>
      </c>
      <c r="I15" s="17" t="n">
        <v>4</v>
      </c>
      <c r="J15" s="17" t="n">
        <v>2</v>
      </c>
      <c r="K15" s="17" t="n">
        <v>1</v>
      </c>
      <c r="L15" s="17" t="inlineStr">
        <is>
          <t>Tinggi</t>
        </is>
      </c>
    </row>
    <row r="16" s="1">
      <c r="A16" s="17">
        <f>RANDBETWEEN(2,164)</f>
        <v/>
      </c>
      <c r="B16" s="17">
        <f t="array" ref="B16">INDEX(Data_DBD!$B:$B,$A16)</f>
        <v/>
      </c>
      <c r="C16" s="17">
        <f t="array" ref="C16">INDEX(Data_DBD!$C:$C,$A16)</f>
        <v/>
      </c>
      <c r="D16" s="17">
        <f t="array" ref="D16">INDEX(Data_DBD!$E:$E,$A16)</f>
        <v/>
      </c>
      <c r="E16" s="17">
        <f t="array" ref="E16">INDEX(Data_DBD!$F:$F,$A16)</f>
        <v/>
      </c>
      <c r="H16" s="17" t="n">
        <v>47</v>
      </c>
      <c r="I16" s="17" t="n">
        <v>19</v>
      </c>
      <c r="J16" s="17" t="n">
        <v>2</v>
      </c>
      <c r="K16" s="17" t="n">
        <v>0</v>
      </c>
      <c r="L16" s="17" t="inlineStr">
        <is>
          <t>Sedang</t>
        </is>
      </c>
    </row>
    <row r="17" s="1">
      <c r="A17" s="17">
        <f>RANDBETWEEN(2,164)</f>
        <v/>
      </c>
      <c r="B17" s="17">
        <f t="array" ref="B17">INDEX(Data_DBD!$B:$B,$A17)</f>
        <v/>
      </c>
      <c r="C17" s="17">
        <f t="array" ref="C17">INDEX(Data_DBD!$C:$C,$A17)</f>
        <v/>
      </c>
      <c r="D17" s="17">
        <f t="array" ref="D17">INDEX(Data_DBD!$E:$E,$A17)</f>
        <v/>
      </c>
      <c r="E17" s="17">
        <f t="array" ref="E17">INDEX(Data_DBD!$F:$F,$A17)</f>
        <v/>
      </c>
      <c r="H17" s="17" t="n">
        <v>161</v>
      </c>
      <c r="I17" s="17" t="n">
        <v>12</v>
      </c>
      <c r="J17" s="17" t="n">
        <v>3</v>
      </c>
      <c r="K17" s="17" t="n">
        <v>1</v>
      </c>
      <c r="L17" s="17" t="inlineStr">
        <is>
          <t>Tinggi</t>
        </is>
      </c>
    </row>
    <row r="18" s="1">
      <c r="A18" s="17">
        <f>RANDBETWEEN(2,164)</f>
        <v/>
      </c>
      <c r="B18" s="17">
        <f t="array" ref="B18">INDEX(Data_DBD!$B:$B,$A18)</f>
        <v/>
      </c>
      <c r="C18" s="17">
        <f t="array" ref="C18">INDEX(Data_DBD!$C:$C,$A18)</f>
        <v/>
      </c>
      <c r="D18" s="17">
        <f t="array" ref="D18">INDEX(Data_DBD!$E:$E,$A18)</f>
        <v/>
      </c>
      <c r="E18" s="17">
        <f t="array" ref="E18">INDEX(Data_DBD!$F:$F,$A18)</f>
        <v/>
      </c>
      <c r="H18" s="17" t="n">
        <v>47</v>
      </c>
      <c r="I18" s="17" t="n">
        <v>19</v>
      </c>
      <c r="J18" s="17" t="n">
        <v>2</v>
      </c>
      <c r="K18" s="17" t="n">
        <v>0</v>
      </c>
      <c r="L18" s="17" t="inlineStr">
        <is>
          <t>Sedang</t>
        </is>
      </c>
    </row>
    <row r="19" s="1">
      <c r="A19" s="17">
        <f>RANDBETWEEN(2,164)</f>
        <v/>
      </c>
      <c r="B19" s="17">
        <f t="array" ref="B19">INDEX(Data_DBD!$B:$B,$A19)</f>
        <v/>
      </c>
      <c r="C19" s="17">
        <f t="array" ref="C19">INDEX(Data_DBD!$C:$C,$A19)</f>
        <v/>
      </c>
      <c r="D19" s="17">
        <f t="array" ref="D19">INDEX(Data_DBD!$E:$E,$A19)</f>
        <v/>
      </c>
      <c r="E19" s="17">
        <f t="array" ref="E19">INDEX(Data_DBD!$F:$F,$A19)</f>
        <v/>
      </c>
      <c r="H19" s="17" t="n">
        <v>43</v>
      </c>
      <c r="I19" s="17" t="n">
        <v>15</v>
      </c>
      <c r="J19" s="17" t="n">
        <v>4</v>
      </c>
      <c r="K19" s="17" t="n">
        <v>0</v>
      </c>
      <c r="L19" s="17" t="inlineStr">
        <is>
          <t>Sedang</t>
        </is>
      </c>
    </row>
    <row r="20" s="1">
      <c r="A20" s="17">
        <f>RANDBETWEEN(2,164)</f>
        <v/>
      </c>
      <c r="B20" s="17">
        <f t="array" ref="B20">INDEX(Data_DBD!$B:$B,$A20)</f>
        <v/>
      </c>
      <c r="C20" s="17">
        <f t="array" ref="C20">INDEX(Data_DBD!$C:$C,$A20)</f>
        <v/>
      </c>
      <c r="D20" s="17">
        <f t="array" ref="D20">INDEX(Data_DBD!$E:$E,$A20)</f>
        <v/>
      </c>
      <c r="E20" s="17">
        <f t="array" ref="E20">INDEX(Data_DBD!$F:$F,$A20)</f>
        <v/>
      </c>
      <c r="H20" s="17" t="n">
        <v>5</v>
      </c>
      <c r="I20" s="17" t="n">
        <v>18</v>
      </c>
      <c r="J20" s="17" t="n">
        <v>2</v>
      </c>
      <c r="K20" s="17" t="n">
        <v>1</v>
      </c>
      <c r="L20" s="17" t="inlineStr">
        <is>
          <t>Sedang</t>
        </is>
      </c>
    </row>
    <row r="21" s="1">
      <c r="A21" s="17">
        <f>RANDBETWEEN(2,164)</f>
        <v/>
      </c>
      <c r="B21" s="17">
        <f t="array" ref="B21">INDEX(Data_DBD!$B:$B,$A21)</f>
        <v/>
      </c>
      <c r="C21" s="17">
        <f t="array" ref="C21">INDEX(Data_DBD!$C:$C,$A21)</f>
        <v/>
      </c>
      <c r="D21" s="17">
        <f t="array" ref="D21">INDEX(Data_DBD!$E:$E,$A21)</f>
        <v/>
      </c>
      <c r="E21" s="17">
        <f t="array" ref="E21">INDEX(Data_DBD!$F:$F,$A21)</f>
        <v/>
      </c>
      <c r="H21" s="17" t="n">
        <v>29</v>
      </c>
      <c r="I21" s="17" t="n">
        <v>19</v>
      </c>
      <c r="J21" s="17" t="n">
        <v>2</v>
      </c>
      <c r="K21" s="17" t="n">
        <v>1</v>
      </c>
      <c r="L21" s="17" t="inlineStr">
        <is>
          <t>Sedang</t>
        </is>
      </c>
    </row>
    <row r="22" s="1">
      <c r="A22" s="17">
        <f>RANDBETWEEN(2,164)</f>
        <v/>
      </c>
      <c r="B22" s="17">
        <f t="array" ref="B22">INDEX(Data_DBD!$B:$B,$A22)</f>
        <v/>
      </c>
      <c r="C22" s="17">
        <f t="array" ref="C22">INDEX(Data_DBD!$C:$C,$A22)</f>
        <v/>
      </c>
      <c r="D22" s="17">
        <f t="array" ref="D22">INDEX(Data_DBD!$E:$E,$A22)</f>
        <v/>
      </c>
      <c r="E22" s="17">
        <f t="array" ref="E22">INDEX(Data_DBD!$F:$F,$A22)</f>
        <v/>
      </c>
      <c r="H22" s="17" t="n">
        <v>158</v>
      </c>
      <c r="I22" s="17" t="n">
        <v>5</v>
      </c>
      <c r="J22" s="17" t="n">
        <v>2</v>
      </c>
      <c r="K22" s="17" t="n">
        <v>0</v>
      </c>
      <c r="L22" s="17" t="inlineStr">
        <is>
          <t>Tinggi</t>
        </is>
      </c>
    </row>
    <row r="23" s="1">
      <c r="A23" s="17">
        <f>RANDBETWEEN(2,164)</f>
        <v/>
      </c>
      <c r="B23" s="17">
        <f t="array" ref="B23">INDEX(Data_DBD!$B:$B,$A23)</f>
        <v/>
      </c>
      <c r="C23" s="17">
        <f t="array" ref="C23">INDEX(Data_DBD!$C:$C,$A23)</f>
        <v/>
      </c>
      <c r="D23" s="17">
        <f t="array" ref="D23">INDEX(Data_DBD!$E:$E,$A23)</f>
        <v/>
      </c>
      <c r="E23" s="17">
        <f t="array" ref="E23">INDEX(Data_DBD!$F:$F,$A23)</f>
        <v/>
      </c>
      <c r="H23" s="17" t="n">
        <v>34</v>
      </c>
      <c r="I23" s="17" t="n">
        <v>55</v>
      </c>
      <c r="J23" s="17" t="n">
        <v>3</v>
      </c>
      <c r="K23" s="17" t="n">
        <v>0</v>
      </c>
      <c r="L23" s="17" t="inlineStr">
        <is>
          <t>Sedang</t>
        </is>
      </c>
    </row>
    <row r="24" s="1">
      <c r="A24" s="17">
        <f>RANDBETWEEN(2,164)</f>
        <v/>
      </c>
      <c r="B24" s="17">
        <f t="array" ref="B24">INDEX(Data_DBD!$B:$B,$A24)</f>
        <v/>
      </c>
      <c r="C24" s="17">
        <f t="array" ref="C24">INDEX(Data_DBD!$C:$C,$A24)</f>
        <v/>
      </c>
      <c r="D24" s="17">
        <f t="array" ref="D24">INDEX(Data_DBD!$E:$E,$A24)</f>
        <v/>
      </c>
      <c r="E24" s="17">
        <f t="array" ref="E24">INDEX(Data_DBD!$F:$F,$A24)</f>
        <v/>
      </c>
      <c r="H24" s="17" t="n">
        <v>150</v>
      </c>
      <c r="I24" s="17" t="n">
        <v>61</v>
      </c>
      <c r="J24" s="17" t="n">
        <v>5</v>
      </c>
      <c r="K24" s="17" t="n">
        <v>1</v>
      </c>
      <c r="L24" s="17" t="inlineStr">
        <is>
          <t>Tinggi</t>
        </is>
      </c>
    </row>
    <row r="25" s="1">
      <c r="A25" s="17">
        <f>RANDBETWEEN(2,164)</f>
        <v/>
      </c>
      <c r="B25" s="17">
        <f t="array" ref="B25">INDEX(Data_DBD!$B:$B,$A25)</f>
        <v/>
      </c>
      <c r="C25" s="17">
        <f t="array" ref="C25">INDEX(Data_DBD!$C:$C,$A25)</f>
        <v/>
      </c>
      <c r="D25" s="17">
        <f t="array" ref="D25">INDEX(Data_DBD!$E:$E,$A25)</f>
        <v/>
      </c>
      <c r="E25" s="17">
        <f t="array" ref="E25">INDEX(Data_DBD!$F:$F,$A25)</f>
        <v/>
      </c>
      <c r="H25" s="17" t="n">
        <v>27</v>
      </c>
      <c r="I25" s="17" t="n">
        <v>37</v>
      </c>
      <c r="J25" s="17" t="n">
        <v>4</v>
      </c>
      <c r="K25" s="17" t="n">
        <v>1</v>
      </c>
      <c r="L25" s="17" t="inlineStr">
        <is>
          <t>Sedang</t>
        </is>
      </c>
    </row>
    <row r="26" s="1">
      <c r="A26" s="17">
        <f>RANDBETWEEN(2,164)</f>
        <v/>
      </c>
      <c r="B26" s="17">
        <f t="array" ref="B26">INDEX(Data_DBD!$B:$B,$A26)</f>
        <v/>
      </c>
      <c r="C26" s="17">
        <f t="array" ref="C26">INDEX(Data_DBD!$C:$C,$A26)</f>
        <v/>
      </c>
      <c r="D26" s="17">
        <f t="array" ref="D26">INDEX(Data_DBD!$E:$E,$A26)</f>
        <v/>
      </c>
      <c r="E26" s="17">
        <f t="array" ref="E26">INDEX(Data_DBD!$F:$F,$A26)</f>
        <v/>
      </c>
      <c r="H26" s="17" t="n">
        <v>100</v>
      </c>
      <c r="I26" s="17" t="n">
        <v>19</v>
      </c>
      <c r="J26" s="17" t="n">
        <v>6</v>
      </c>
      <c r="K26" s="17" t="n">
        <v>0</v>
      </c>
      <c r="L26" s="17" t="inlineStr">
        <is>
          <t>Tinggi</t>
        </is>
      </c>
    </row>
    <row r="27" s="1">
      <c r="A27" s="17">
        <f>RANDBETWEEN(2,164)</f>
        <v/>
      </c>
      <c r="B27" s="17">
        <f t="array" ref="B27">INDEX(Data_DBD!$B:$B,$A27)</f>
        <v/>
      </c>
      <c r="C27" s="17">
        <f t="array" ref="C27">INDEX(Data_DBD!$C:$C,$A27)</f>
        <v/>
      </c>
      <c r="D27" s="17">
        <f t="array" ref="D27">INDEX(Data_DBD!$E:$E,$A27)</f>
        <v/>
      </c>
      <c r="E27" s="17">
        <f t="array" ref="E27">INDEX(Data_DBD!$F:$F,$A27)</f>
        <v/>
      </c>
      <c r="H27" s="17" t="n">
        <v>5</v>
      </c>
      <c r="I27" s="17" t="n">
        <v>18</v>
      </c>
      <c r="J27" s="17" t="n">
        <v>2</v>
      </c>
      <c r="K27" s="17" t="n">
        <v>1</v>
      </c>
      <c r="L27" s="17" t="inlineStr">
        <is>
          <t>Sedang</t>
        </is>
      </c>
    </row>
    <row r="28" s="1">
      <c r="A28" s="17">
        <f>RANDBETWEEN(2,164)</f>
        <v/>
      </c>
      <c r="B28" s="17">
        <f t="array" ref="B28">INDEX(Data_DBD!$B:$B,$A28)</f>
        <v/>
      </c>
      <c r="C28" s="17">
        <f t="array" ref="C28">INDEX(Data_DBD!$C:$C,$A28)</f>
        <v/>
      </c>
      <c r="D28" s="17">
        <f t="array" ref="D28">INDEX(Data_DBD!$E:$E,$A28)</f>
        <v/>
      </c>
      <c r="E28" s="17">
        <f t="array" ref="E28">INDEX(Data_DBD!$F:$F,$A28)</f>
        <v/>
      </c>
      <c r="H28" s="17" t="n">
        <v>151</v>
      </c>
      <c r="I28" s="17" t="n">
        <v>24</v>
      </c>
      <c r="J28" s="17" t="n">
        <v>3</v>
      </c>
      <c r="K28" s="17" t="n">
        <v>0</v>
      </c>
      <c r="L28" s="17" t="inlineStr">
        <is>
          <t>Tinggi</t>
        </is>
      </c>
    </row>
    <row r="29" s="1">
      <c r="A29" s="17">
        <f>RANDBETWEEN(2,164)</f>
        <v/>
      </c>
      <c r="B29" s="17">
        <f t="array" ref="B29">INDEX(Data_DBD!$B:$B,$A29)</f>
        <v/>
      </c>
      <c r="C29" s="17">
        <f t="array" ref="C29">INDEX(Data_DBD!$C:$C,$A29)</f>
        <v/>
      </c>
      <c r="D29" s="17">
        <f t="array" ref="D29">INDEX(Data_DBD!$E:$E,$A29)</f>
        <v/>
      </c>
      <c r="E29" s="17">
        <f t="array" ref="E29">INDEX(Data_DBD!$F:$F,$A29)</f>
        <v/>
      </c>
      <c r="H29" s="17" t="n">
        <v>25</v>
      </c>
      <c r="I29" s="17" t="n">
        <v>81</v>
      </c>
      <c r="J29" s="17" t="n">
        <v>5</v>
      </c>
      <c r="K29" s="17" t="n">
        <v>0</v>
      </c>
      <c r="L29" s="17" t="inlineStr">
        <is>
          <t>Sedang</t>
        </is>
      </c>
    </row>
    <row r="30" s="1">
      <c r="A30" s="17">
        <f>RANDBETWEEN(2,164)</f>
        <v/>
      </c>
      <c r="B30" s="17">
        <f t="array" ref="B30">INDEX(Data_DBD!$B:$B,$A30)</f>
        <v/>
      </c>
      <c r="C30" s="17">
        <f t="array" ref="C30">INDEX(Data_DBD!$C:$C,$A30)</f>
        <v/>
      </c>
      <c r="D30" s="17">
        <f t="array" ref="D30">INDEX(Data_DBD!$E:$E,$A30)</f>
        <v/>
      </c>
      <c r="E30" s="17">
        <f t="array" ref="E30">INDEX(Data_DBD!$F:$F,$A30)</f>
        <v/>
      </c>
      <c r="H30" s="17" t="n">
        <v>143</v>
      </c>
      <c r="I30" s="17" t="n">
        <v>20</v>
      </c>
      <c r="J30" s="17" t="n">
        <v>4</v>
      </c>
      <c r="K30" s="17" t="n">
        <v>1</v>
      </c>
      <c r="L30" s="17" t="inlineStr">
        <is>
          <t>Tinggi</t>
        </is>
      </c>
    </row>
    <row r="31" s="1">
      <c r="A31" s="17">
        <f>RANDBETWEEN(2,164)</f>
        <v/>
      </c>
      <c r="B31" s="17">
        <f t="array" ref="B31">INDEX(Data_DBD!$B:$B,$A31)</f>
        <v/>
      </c>
      <c r="C31" s="17">
        <f t="array" ref="C31">INDEX(Data_DBD!$C:$C,$A31)</f>
        <v/>
      </c>
      <c r="D31" s="17">
        <f t="array" ref="D31">INDEX(Data_DBD!$E:$E,$A31)</f>
        <v/>
      </c>
      <c r="E31" s="17">
        <f t="array" ref="E31">INDEX(Data_DBD!$F:$F,$A31)</f>
        <v/>
      </c>
      <c r="H31" s="17" t="n">
        <v>85</v>
      </c>
      <c r="I31" s="17" t="n">
        <v>27</v>
      </c>
      <c r="J31" s="17" t="n">
        <v>9</v>
      </c>
      <c r="K31" s="17" t="n">
        <v>0</v>
      </c>
      <c r="L31" s="17" t="inlineStr">
        <is>
          <t>Sedang</t>
        </is>
      </c>
    </row>
    <row r="32" s="1">
      <c r="A32" s="17">
        <f>RANDBETWEEN(2,164)</f>
        <v/>
      </c>
      <c r="B32" s="17">
        <f t="array" ref="B32">INDEX(Data_DBD!$B:$B,$A32)</f>
        <v/>
      </c>
      <c r="C32" s="17">
        <f t="array" ref="C32">INDEX(Data_DBD!$C:$C,$A32)</f>
        <v/>
      </c>
      <c r="D32" s="17">
        <f t="array" ref="D32">INDEX(Data_DBD!$E:$E,$A32)</f>
        <v/>
      </c>
      <c r="E32" s="17">
        <f t="array" ref="E32">INDEX(Data_DBD!$F:$F,$A32)</f>
        <v/>
      </c>
      <c r="H32" s="17" t="n">
        <v>100</v>
      </c>
      <c r="I32" s="17" t="n">
        <v>19</v>
      </c>
      <c r="J32" s="17" t="n">
        <v>6</v>
      </c>
      <c r="K32" s="17" t="n">
        <v>0</v>
      </c>
      <c r="L32" s="17" t="inlineStr">
        <is>
          <t>Tinggi</t>
        </is>
      </c>
    </row>
    <row r="33" s="1">
      <c r="A33" s="17">
        <f>RANDBETWEEN(2,164)</f>
        <v/>
      </c>
      <c r="B33" s="17">
        <f t="array" ref="B33">INDEX(Data_DBD!$B:$B,$A33)</f>
        <v/>
      </c>
      <c r="C33" s="17">
        <f t="array" ref="C33">INDEX(Data_DBD!$C:$C,$A33)</f>
        <v/>
      </c>
      <c r="D33" s="17">
        <f t="array" ref="D33">INDEX(Data_DBD!$E:$E,$A33)</f>
        <v/>
      </c>
      <c r="E33" s="17">
        <f t="array" ref="E33">INDEX(Data_DBD!$F:$F,$A33)</f>
        <v/>
      </c>
      <c r="H33" s="17" t="n">
        <v>128</v>
      </c>
      <c r="I33" s="17" t="n">
        <v>38</v>
      </c>
      <c r="J33" s="17" t="n">
        <v>2</v>
      </c>
      <c r="K33" s="17" t="n">
        <v>0</v>
      </c>
      <c r="L33" s="17" t="inlineStr">
        <is>
          <t>Tinggi</t>
        </is>
      </c>
    </row>
    <row r="34" s="1">
      <c r="A34" s="17">
        <f>RANDBETWEEN(2,164)</f>
        <v/>
      </c>
      <c r="B34" s="17">
        <f t="array" ref="B34">INDEX(Data_DBD!$B:$B,$A34)</f>
        <v/>
      </c>
      <c r="C34" s="17">
        <f t="array" ref="C34">INDEX(Data_DBD!$C:$C,$A34)</f>
        <v/>
      </c>
      <c r="D34" s="17">
        <f t="array" ref="D34">INDEX(Data_DBD!$E:$E,$A34)</f>
        <v/>
      </c>
      <c r="E34" s="17">
        <f t="array" ref="E34">INDEX(Data_DBD!$F:$F,$A34)</f>
        <v/>
      </c>
      <c r="H34" s="17" t="n">
        <v>26</v>
      </c>
      <c r="I34" s="17" t="n">
        <v>75</v>
      </c>
      <c r="J34" s="17" t="n">
        <v>4</v>
      </c>
      <c r="K34" s="17" t="n">
        <v>1</v>
      </c>
      <c r="L34" s="17" t="inlineStr">
        <is>
          <t>Sedang</t>
        </is>
      </c>
    </row>
    <row r="35" s="1">
      <c r="A35" s="17">
        <f>RANDBETWEEN(2,164)</f>
        <v/>
      </c>
      <c r="B35" s="17">
        <f t="array" ref="B35">INDEX(Data_DBD!$B:$B,$A35)</f>
        <v/>
      </c>
      <c r="C35" s="17">
        <f t="array" ref="C35">INDEX(Data_DBD!$C:$C,$A35)</f>
        <v/>
      </c>
      <c r="D35" s="17">
        <f t="array" ref="D35">INDEX(Data_DBD!$E:$E,$A35)</f>
        <v/>
      </c>
      <c r="E35" s="17">
        <f t="array" ref="E35">INDEX(Data_DBD!$F:$F,$A35)</f>
        <v/>
      </c>
      <c r="H35" s="17" t="n">
        <v>88</v>
      </c>
      <c r="I35" s="17" t="n">
        <v>20</v>
      </c>
      <c r="J35" s="17" t="n">
        <v>4</v>
      </c>
      <c r="K35" s="17" t="n">
        <v>1</v>
      </c>
      <c r="L35" s="17" t="inlineStr">
        <is>
          <t>Sedang</t>
        </is>
      </c>
    </row>
    <row r="36" s="1">
      <c r="A36" s="17">
        <f>RANDBETWEEN(2,164)</f>
        <v/>
      </c>
      <c r="B36" s="17">
        <f t="array" ref="B36">INDEX(Data_DBD!$B:$B,$A36)</f>
        <v/>
      </c>
      <c r="C36" s="17">
        <f t="array" ref="C36">INDEX(Data_DBD!$C:$C,$A36)</f>
        <v/>
      </c>
      <c r="D36" s="17">
        <f t="array" ref="D36">INDEX(Data_DBD!$E:$E,$A36)</f>
        <v/>
      </c>
      <c r="E36" s="17">
        <f t="array" ref="E36">INDEX(Data_DBD!$F:$F,$A36)</f>
        <v/>
      </c>
      <c r="H36" s="17" t="n">
        <v>75</v>
      </c>
      <c r="I36" s="17" t="n">
        <v>2</v>
      </c>
      <c r="J36" s="17" t="n">
        <v>2</v>
      </c>
      <c r="K36" s="17" t="n">
        <v>1</v>
      </c>
      <c r="L36" s="17" t="inlineStr">
        <is>
          <t>Sedang</t>
        </is>
      </c>
    </row>
    <row r="37" s="1">
      <c r="A37" s="17">
        <f>RANDBETWEEN(2,164)</f>
        <v/>
      </c>
      <c r="B37" s="17">
        <f t="array" ref="B37">INDEX(Data_DBD!$B:$B,$A37)</f>
        <v/>
      </c>
      <c r="C37" s="17">
        <f t="array" ref="C37">INDEX(Data_DBD!$C:$C,$A37)</f>
        <v/>
      </c>
      <c r="D37" s="17">
        <f t="array" ref="D37">INDEX(Data_DBD!$E:$E,$A37)</f>
        <v/>
      </c>
      <c r="E37" s="17">
        <f t="array" ref="E37">INDEX(Data_DBD!$F:$F,$A37)</f>
        <v/>
      </c>
      <c r="H37" s="17" t="n">
        <v>121</v>
      </c>
      <c r="I37" s="17" t="n">
        <v>82</v>
      </c>
      <c r="J37" s="17" t="n">
        <v>5</v>
      </c>
      <c r="K37" s="17" t="n">
        <v>1</v>
      </c>
      <c r="L37" s="17" t="inlineStr">
        <is>
          <t>Tinggi</t>
        </is>
      </c>
    </row>
    <row r="38" s="1">
      <c r="A38" s="17">
        <f>RANDBETWEEN(2,164)</f>
        <v/>
      </c>
      <c r="B38" s="17">
        <f t="array" ref="B38">INDEX(Data_DBD!$B:$B,$A38)</f>
        <v/>
      </c>
      <c r="C38" s="17">
        <f t="array" ref="C38">INDEX(Data_DBD!$C:$C,$A38)</f>
        <v/>
      </c>
      <c r="D38" s="17">
        <f t="array" ref="D38">INDEX(Data_DBD!$E:$E,$A38)</f>
        <v/>
      </c>
      <c r="E38" s="17">
        <f t="array" ref="E38">INDEX(Data_DBD!$F:$F,$A38)</f>
        <v/>
      </c>
      <c r="H38" s="17" t="n">
        <v>115</v>
      </c>
      <c r="I38" s="17" t="n">
        <v>52</v>
      </c>
      <c r="J38" s="17" t="n">
        <v>3</v>
      </c>
      <c r="K38" s="17" t="n">
        <v>1</v>
      </c>
      <c r="L38" s="17" t="inlineStr">
        <is>
          <t>Tinggi</t>
        </is>
      </c>
    </row>
    <row r="39" s="1">
      <c r="A39" s="17">
        <f>RANDBETWEEN(2,164)</f>
        <v/>
      </c>
      <c r="B39" s="17">
        <f t="array" ref="B39">INDEX(Data_DBD!$B:$B,$A39)</f>
        <v/>
      </c>
      <c r="C39" s="17">
        <f t="array" ref="C39">INDEX(Data_DBD!$C:$C,$A39)</f>
        <v/>
      </c>
      <c r="D39" s="17">
        <f t="array" ref="D39">INDEX(Data_DBD!$E:$E,$A39)</f>
        <v/>
      </c>
      <c r="E39" s="17">
        <f t="array" ref="E39">INDEX(Data_DBD!$F:$F,$A39)</f>
        <v/>
      </c>
      <c r="H39" s="17" t="n">
        <v>158</v>
      </c>
      <c r="I39" s="17" t="n">
        <v>5</v>
      </c>
      <c r="J39" s="17" t="n">
        <v>2</v>
      </c>
      <c r="K39" s="17" t="n">
        <v>0</v>
      </c>
      <c r="L39" s="17" t="inlineStr">
        <is>
          <t>Tinggi</t>
        </is>
      </c>
    </row>
    <row r="40" s="1">
      <c r="A40" s="17">
        <f>RANDBETWEEN(2,164)</f>
        <v/>
      </c>
      <c r="B40" s="17">
        <f t="array" ref="B40">INDEX(Data_DBD!$B:$B,$A40)</f>
        <v/>
      </c>
      <c r="C40" s="17">
        <f t="array" ref="C40">INDEX(Data_DBD!$C:$C,$A40)</f>
        <v/>
      </c>
      <c r="D40" s="17">
        <f t="array" ref="D40">INDEX(Data_DBD!$E:$E,$A40)</f>
        <v/>
      </c>
      <c r="E40" s="17">
        <f t="array" ref="E40">INDEX(Data_DBD!$F:$F,$A40)</f>
        <v/>
      </c>
      <c r="H40" s="17" t="n">
        <v>8</v>
      </c>
      <c r="I40" s="17" t="n">
        <v>4</v>
      </c>
      <c r="J40" s="17" t="n">
        <v>2</v>
      </c>
      <c r="K40" s="17" t="n">
        <v>0</v>
      </c>
      <c r="L40" s="17" t="inlineStr">
        <is>
          <t>Sedang</t>
        </is>
      </c>
    </row>
    <row r="41" s="1">
      <c r="A41" s="17">
        <f>RANDBETWEEN(2,164)</f>
        <v/>
      </c>
      <c r="B41" s="17">
        <f t="array" ref="B41">INDEX(Data_DBD!$B:$B,$A41)</f>
        <v/>
      </c>
      <c r="C41" s="17">
        <f t="array" ref="C41">INDEX(Data_DBD!$C:$C,$A41)</f>
        <v/>
      </c>
      <c r="D41" s="17">
        <f t="array" ref="D41">INDEX(Data_DBD!$E:$E,$A41)</f>
        <v/>
      </c>
      <c r="E41" s="17">
        <f t="array" ref="E41">INDEX(Data_DBD!$F:$F,$A41)</f>
        <v/>
      </c>
      <c r="H41" s="17" t="n">
        <v>92</v>
      </c>
      <c r="I41" s="17" t="n">
        <v>55</v>
      </c>
      <c r="J41" s="17" t="n">
        <v>7</v>
      </c>
      <c r="K41" s="17" t="n">
        <v>0</v>
      </c>
      <c r="L41" s="17" t="inlineStr">
        <is>
          <t>Tinggi</t>
        </is>
      </c>
    </row>
    <row r="42" s="1">
      <c r="A42" s="17">
        <f>RANDBETWEEN(2,164)</f>
        <v/>
      </c>
      <c r="B42" s="17">
        <f t="array" ref="B42">INDEX(Data_DBD!$B:$B,$A42)</f>
        <v/>
      </c>
      <c r="C42" s="17">
        <f t="array" ref="C42">INDEX(Data_DBD!$C:$C,$A42)</f>
        <v/>
      </c>
      <c r="D42" s="17">
        <f t="array" ref="D42">INDEX(Data_DBD!$E:$E,$A42)</f>
        <v/>
      </c>
      <c r="E42" s="17">
        <f t="array" ref="E42">INDEX(Data_DBD!$F:$F,$A42)</f>
        <v/>
      </c>
      <c r="H42" s="17" t="n">
        <v>16</v>
      </c>
      <c r="I42" s="17" t="n">
        <v>66</v>
      </c>
      <c r="J42" s="17" t="n">
        <v>5</v>
      </c>
      <c r="K42" s="17" t="n">
        <v>1</v>
      </c>
      <c r="L42" s="17" t="inlineStr">
        <is>
          <t>Rendah</t>
        </is>
      </c>
    </row>
    <row r="43" s="1">
      <c r="A43" s="17">
        <f>RANDBETWEEN(2,164)</f>
        <v/>
      </c>
      <c r="B43" s="17">
        <f t="array" ref="B43">INDEX(Data_DBD!$B:$B,$A43)</f>
        <v/>
      </c>
      <c r="C43" s="17">
        <f t="array" ref="C43">INDEX(Data_DBD!$C:$C,$A43)</f>
        <v/>
      </c>
      <c r="D43" s="17">
        <f t="array" ref="D43">INDEX(Data_DBD!$E:$E,$A43)</f>
        <v/>
      </c>
      <c r="E43" s="17">
        <f t="array" ref="E43">INDEX(Data_DBD!$F:$F,$A43)</f>
        <v/>
      </c>
      <c r="H43" s="17" t="n">
        <v>160</v>
      </c>
      <c r="I43" s="17" t="n">
        <v>16</v>
      </c>
      <c r="J43" s="17" t="n">
        <v>3</v>
      </c>
      <c r="K43" s="17" t="n">
        <v>0</v>
      </c>
      <c r="L43" s="17" t="inlineStr">
        <is>
          <t>Tinggi</t>
        </is>
      </c>
    </row>
    <row r="44" s="1">
      <c r="A44" s="17">
        <f>RANDBETWEEN(2,164)</f>
        <v/>
      </c>
      <c r="B44" s="17">
        <f t="array" ref="B44">INDEX(Data_DBD!$B:$B,$A44)</f>
        <v/>
      </c>
      <c r="C44" s="17">
        <f t="array" ref="C44">INDEX(Data_DBD!$C:$C,$A44)</f>
        <v/>
      </c>
      <c r="D44" s="17">
        <f t="array" ref="D44">INDEX(Data_DBD!$E:$E,$A44)</f>
        <v/>
      </c>
      <c r="E44" s="17">
        <f t="array" ref="E44">INDEX(Data_DBD!$F:$F,$A44)</f>
        <v/>
      </c>
      <c r="H44" s="17" t="n">
        <v>11</v>
      </c>
      <c r="I44" s="17" t="n">
        <v>24</v>
      </c>
      <c r="J44" s="17" t="n">
        <v>5</v>
      </c>
      <c r="K44" s="17" t="n">
        <v>1</v>
      </c>
      <c r="L44" s="17" t="inlineStr">
        <is>
          <t>Sedang</t>
        </is>
      </c>
    </row>
    <row r="45" s="1">
      <c r="A45" s="17">
        <f>RANDBETWEEN(2,164)</f>
        <v/>
      </c>
      <c r="B45" s="17">
        <f t="array" ref="B45">INDEX(Data_DBD!$B:$B,$A45)</f>
        <v/>
      </c>
      <c r="C45" s="17">
        <f t="array" ref="C45">INDEX(Data_DBD!$C:$C,$A45)</f>
        <v/>
      </c>
      <c r="D45" s="17">
        <f t="array" ref="D45">INDEX(Data_DBD!$E:$E,$A45)</f>
        <v/>
      </c>
      <c r="E45" s="17">
        <f t="array" ref="E45">INDEX(Data_DBD!$F:$F,$A45)</f>
        <v/>
      </c>
      <c r="H45" s="17" t="n">
        <v>75</v>
      </c>
      <c r="I45" s="17" t="n">
        <v>2</v>
      </c>
      <c r="J45" s="17" t="n">
        <v>2</v>
      </c>
      <c r="K45" s="17" t="n">
        <v>1</v>
      </c>
      <c r="L45" s="17" t="inlineStr">
        <is>
          <t>Sedang</t>
        </is>
      </c>
    </row>
    <row r="46" s="1">
      <c r="A46" s="17">
        <f>RANDBETWEEN(2,164)</f>
        <v/>
      </c>
      <c r="B46" s="17">
        <f t="array" ref="B46">INDEX(Data_DBD!$B:$B,$A46)</f>
        <v/>
      </c>
      <c r="C46" s="17">
        <f t="array" ref="C46">INDEX(Data_DBD!$C:$C,$A46)</f>
        <v/>
      </c>
      <c r="D46" s="17">
        <f t="array" ref="D46">INDEX(Data_DBD!$E:$E,$A46)</f>
        <v/>
      </c>
      <c r="E46" s="17">
        <f t="array" ref="E46">INDEX(Data_DBD!$F:$F,$A46)</f>
        <v/>
      </c>
      <c r="H46" s="17" t="n">
        <v>63</v>
      </c>
      <c r="I46" s="17" t="n">
        <v>25</v>
      </c>
      <c r="J46" s="17" t="n">
        <v>3</v>
      </c>
      <c r="K46" s="17" t="n">
        <v>0</v>
      </c>
      <c r="L46" s="17" t="inlineStr">
        <is>
          <t>Sedang</t>
        </is>
      </c>
    </row>
    <row r="47" s="1">
      <c r="A47" s="17">
        <f>RANDBETWEEN(2,164)</f>
        <v/>
      </c>
      <c r="B47" s="17">
        <f t="array" ref="B47">INDEX(Data_DBD!$B:$B,$A47)</f>
        <v/>
      </c>
      <c r="C47" s="17">
        <f t="array" ref="C47">INDEX(Data_DBD!$C:$C,$A47)</f>
        <v/>
      </c>
      <c r="D47" s="17">
        <f t="array" ref="D47">INDEX(Data_DBD!$E:$E,$A47)</f>
        <v/>
      </c>
      <c r="E47" s="17">
        <f t="array" ref="E47">INDEX(Data_DBD!$F:$F,$A47)</f>
        <v/>
      </c>
      <c r="H47" s="17" t="n">
        <v>123</v>
      </c>
      <c r="I47" s="17" t="n">
        <v>22</v>
      </c>
      <c r="J47" s="17" t="n">
        <v>4</v>
      </c>
      <c r="K47" s="17" t="n">
        <v>0</v>
      </c>
      <c r="L47" s="17" t="inlineStr">
        <is>
          <t>Tinggi</t>
        </is>
      </c>
    </row>
    <row r="48" s="1">
      <c r="A48" s="17">
        <f>RANDBETWEEN(2,164)</f>
        <v/>
      </c>
      <c r="B48" s="17">
        <f t="array" ref="B48">INDEX(Data_DBD!$B:$B,$A48)</f>
        <v/>
      </c>
      <c r="C48" s="17">
        <f t="array" ref="C48">INDEX(Data_DBD!$C:$C,$A48)</f>
        <v/>
      </c>
      <c r="D48" s="17">
        <f t="array" ref="D48">INDEX(Data_DBD!$E:$E,$A48)</f>
        <v/>
      </c>
      <c r="E48" s="17">
        <f t="array" ref="E48">INDEX(Data_DBD!$F:$F,$A48)</f>
        <v/>
      </c>
      <c r="H48" s="17" t="n">
        <v>52</v>
      </c>
      <c r="I48" s="17" t="n">
        <v>59</v>
      </c>
      <c r="J48" s="17" t="n">
        <v>4</v>
      </c>
      <c r="K48" s="17" t="n">
        <v>1</v>
      </c>
      <c r="L48" s="17" t="inlineStr">
        <is>
          <t>Sedang</t>
        </is>
      </c>
    </row>
    <row r="49" s="1">
      <c r="A49" s="17">
        <f>RANDBETWEEN(2,164)</f>
        <v/>
      </c>
      <c r="B49" s="17">
        <f t="array" ref="B49">INDEX(Data_DBD!$B:$B,$A49)</f>
        <v/>
      </c>
      <c r="C49" s="17">
        <f t="array" ref="C49">INDEX(Data_DBD!$C:$C,$A49)</f>
        <v/>
      </c>
      <c r="D49" s="17">
        <f t="array" ref="D49">INDEX(Data_DBD!$E:$E,$A49)</f>
        <v/>
      </c>
      <c r="E49" s="17">
        <f t="array" ref="E49">INDEX(Data_DBD!$F:$F,$A49)</f>
        <v/>
      </c>
      <c r="H49" s="17" t="n">
        <v>126</v>
      </c>
      <c r="I49" s="17" t="n">
        <v>51</v>
      </c>
      <c r="J49" s="17" t="n">
        <v>3</v>
      </c>
      <c r="K49" s="17" t="n">
        <v>1</v>
      </c>
      <c r="L49" s="17" t="inlineStr">
        <is>
          <t>Tinggi</t>
        </is>
      </c>
    </row>
    <row r="50" s="1">
      <c r="A50" s="17">
        <f>RANDBETWEEN(2,164)</f>
        <v/>
      </c>
      <c r="B50" s="17">
        <f t="array" ref="B50">INDEX(Data_DBD!$B:$B,$A50)</f>
        <v/>
      </c>
      <c r="C50" s="17">
        <f t="array" ref="C50">INDEX(Data_DBD!$C:$C,$A50)</f>
        <v/>
      </c>
      <c r="D50" s="17">
        <f t="array" ref="D50">INDEX(Data_DBD!$E:$E,$A50)</f>
        <v/>
      </c>
      <c r="E50" s="17">
        <f t="array" ref="E50">INDEX(Data_DBD!$F:$F,$A50)</f>
        <v/>
      </c>
      <c r="H50" s="17" t="n">
        <v>116</v>
      </c>
      <c r="I50" s="17" t="n">
        <v>32</v>
      </c>
      <c r="J50" s="17" t="n">
        <v>4</v>
      </c>
      <c r="K50" s="17" t="n">
        <v>1</v>
      </c>
      <c r="L50" s="17" t="inlineStr">
        <is>
          <t>Tinggi</t>
        </is>
      </c>
    </row>
    <row r="51" s="1">
      <c r="A51" s="17">
        <f>RANDBETWEEN(2,164)</f>
        <v/>
      </c>
      <c r="B51" s="17">
        <f t="array" ref="B51">INDEX(Data_DBD!$B:$B,$A51)</f>
        <v/>
      </c>
      <c r="C51" s="17">
        <f t="array" ref="C51">INDEX(Data_DBD!$C:$C,$A51)</f>
        <v/>
      </c>
      <c r="D51" s="17">
        <f t="array" ref="D51">INDEX(Data_DBD!$E:$E,$A51)</f>
        <v/>
      </c>
      <c r="E51" s="17">
        <f t="array" ref="E51">INDEX(Data_DBD!$F:$F,$A51)</f>
        <v/>
      </c>
      <c r="H51" s="17" t="n">
        <v>116</v>
      </c>
      <c r="I51" s="17" t="n">
        <v>32</v>
      </c>
      <c r="J51" s="17" t="n">
        <v>4</v>
      </c>
      <c r="K51" s="17" t="n">
        <v>1</v>
      </c>
      <c r="L51" s="17" t="inlineStr">
        <is>
          <t>Tinggi</t>
        </is>
      </c>
    </row>
    <row r="52" s="1">
      <c r="A52" s="17">
        <f>RANDBETWEEN(2,164)</f>
        <v/>
      </c>
      <c r="B52" s="17">
        <f t="array" ref="B52">INDEX(Data_DBD!$B:$B,$A52)</f>
        <v/>
      </c>
      <c r="C52" s="17">
        <f t="array" ref="C52">INDEX(Data_DBD!$C:$C,$A52)</f>
        <v/>
      </c>
      <c r="D52" s="17">
        <f t="array" ref="D52">INDEX(Data_DBD!$E:$E,$A52)</f>
        <v/>
      </c>
      <c r="E52" s="17">
        <f t="array" ref="E52">INDEX(Data_DBD!$F:$F,$A52)</f>
        <v/>
      </c>
      <c r="H52" s="17" t="n">
        <v>31</v>
      </c>
      <c r="I52" s="17" t="n">
        <v>64</v>
      </c>
      <c r="J52" s="17" t="n">
        <v>4</v>
      </c>
      <c r="K52" s="17" t="n">
        <v>1</v>
      </c>
      <c r="L52" s="17" t="inlineStr">
        <is>
          <t>Sedang</t>
        </is>
      </c>
    </row>
    <row r="53" s="1">
      <c r="A53" s="17">
        <f>RANDBETWEEN(2,164)</f>
        <v/>
      </c>
      <c r="B53" s="17">
        <f t="array" ref="B53">INDEX(Data_DBD!$B:$B,$A53)</f>
        <v/>
      </c>
      <c r="C53" s="17">
        <f t="array" ref="C53">INDEX(Data_DBD!$C:$C,$A53)</f>
        <v/>
      </c>
      <c r="D53" s="17">
        <f t="array" ref="D53">INDEX(Data_DBD!$E:$E,$A53)</f>
        <v/>
      </c>
      <c r="E53" s="17">
        <f t="array" ref="E53">INDEX(Data_DBD!$F:$F,$A53)</f>
        <v/>
      </c>
      <c r="H53" s="17" t="n">
        <v>49</v>
      </c>
      <c r="I53" s="17" t="n">
        <v>64</v>
      </c>
      <c r="J53" s="17" t="n">
        <v>5</v>
      </c>
      <c r="K53" s="17" t="n">
        <v>0</v>
      </c>
      <c r="L53" s="17" t="inlineStr">
        <is>
          <t>Sedang</t>
        </is>
      </c>
    </row>
    <row r="54" s="1">
      <c r="A54" s="17">
        <f>RANDBETWEEN(2,164)</f>
        <v/>
      </c>
      <c r="B54" s="17">
        <f t="array" ref="B54">INDEX(Data_DBD!$B:$B,$A54)</f>
        <v/>
      </c>
      <c r="C54" s="17">
        <f t="array" ref="C54">INDEX(Data_DBD!$C:$C,$A54)</f>
        <v/>
      </c>
      <c r="D54" s="17">
        <f t="array" ref="D54">INDEX(Data_DBD!$E:$E,$A54)</f>
        <v/>
      </c>
      <c r="E54" s="17">
        <f t="array" ref="E54">INDEX(Data_DBD!$F:$F,$A54)</f>
        <v/>
      </c>
      <c r="H54" s="17" t="n">
        <v>11</v>
      </c>
      <c r="I54" s="17" t="n">
        <v>24</v>
      </c>
      <c r="J54" s="17" t="n">
        <v>5</v>
      </c>
      <c r="K54" s="17" t="n">
        <v>1</v>
      </c>
      <c r="L54" s="17" t="inlineStr">
        <is>
          <t>Sedang</t>
        </is>
      </c>
    </row>
    <row r="55" s="1">
      <c r="A55" s="17">
        <f>RANDBETWEEN(2,164)</f>
        <v/>
      </c>
      <c r="B55" s="17">
        <f t="array" ref="B55">INDEX(Data_DBD!$B:$B,$A55)</f>
        <v/>
      </c>
      <c r="C55" s="17">
        <f t="array" ref="C55">INDEX(Data_DBD!$C:$C,$A55)</f>
        <v/>
      </c>
      <c r="D55" s="17">
        <f t="array" ref="D55">INDEX(Data_DBD!$E:$E,$A55)</f>
        <v/>
      </c>
      <c r="E55" s="17">
        <f t="array" ref="E55">INDEX(Data_DBD!$F:$F,$A55)</f>
        <v/>
      </c>
      <c r="H55" s="17" t="n">
        <v>53</v>
      </c>
      <c r="I55" s="17" t="n">
        <v>35</v>
      </c>
      <c r="J55" s="17" t="n">
        <v>4</v>
      </c>
      <c r="K55" s="17" t="n">
        <v>1</v>
      </c>
      <c r="L55" s="17" t="inlineStr">
        <is>
          <t>Sedang</t>
        </is>
      </c>
    </row>
    <row r="56" s="1">
      <c r="A56" s="17">
        <f>RANDBETWEEN(2,164)</f>
        <v/>
      </c>
      <c r="B56" s="17">
        <f t="array" ref="B56">INDEX(Data_DBD!$B:$B,$A56)</f>
        <v/>
      </c>
      <c r="C56" s="17">
        <f t="array" ref="C56">INDEX(Data_DBD!$C:$C,$A56)</f>
        <v/>
      </c>
      <c r="D56" s="17">
        <f t="array" ref="D56">INDEX(Data_DBD!$E:$E,$A56)</f>
        <v/>
      </c>
      <c r="E56" s="17">
        <f t="array" ref="E56">INDEX(Data_DBD!$F:$F,$A56)</f>
        <v/>
      </c>
      <c r="H56" s="17" t="n">
        <v>111</v>
      </c>
      <c r="I56" s="17" t="n">
        <v>25</v>
      </c>
      <c r="J56" s="17" t="n">
        <v>4</v>
      </c>
      <c r="K56" s="17" t="n">
        <v>0</v>
      </c>
      <c r="L56" s="17" t="inlineStr">
        <is>
          <t>Tinggi</t>
        </is>
      </c>
    </row>
    <row r="57" s="1">
      <c r="A57" s="17">
        <f>RANDBETWEEN(2,164)</f>
        <v/>
      </c>
      <c r="B57" s="17">
        <f t="array" ref="B57">INDEX(Data_DBD!$B:$B,$A57)</f>
        <v/>
      </c>
      <c r="C57" s="17">
        <f t="array" ref="C57">INDEX(Data_DBD!$C:$C,$A57)</f>
        <v/>
      </c>
      <c r="D57" s="17">
        <f t="array" ref="D57">INDEX(Data_DBD!$E:$E,$A57)</f>
        <v/>
      </c>
      <c r="E57" s="17">
        <f t="array" ref="E57">INDEX(Data_DBD!$F:$F,$A57)</f>
        <v/>
      </c>
      <c r="H57" s="17" t="n">
        <v>18</v>
      </c>
      <c r="I57" s="17" t="n">
        <v>49</v>
      </c>
      <c r="J57" s="17" t="n">
        <v>4</v>
      </c>
      <c r="K57" s="17" t="n">
        <v>1</v>
      </c>
      <c r="L57" s="17" t="inlineStr">
        <is>
          <t>Rendah</t>
        </is>
      </c>
    </row>
    <row r="58" s="1">
      <c r="A58" s="17">
        <f>RANDBETWEEN(2,164)</f>
        <v/>
      </c>
      <c r="B58" s="17">
        <f t="array" ref="B58">INDEX(Data_DBD!$B:$B,$A58)</f>
        <v/>
      </c>
      <c r="C58" s="17">
        <f t="array" ref="C58">INDEX(Data_DBD!$C:$C,$A58)</f>
        <v/>
      </c>
      <c r="D58" s="17">
        <f t="array" ref="D58">INDEX(Data_DBD!$E:$E,$A58)</f>
        <v/>
      </c>
      <c r="E58" s="17">
        <f t="array" ref="E58">INDEX(Data_DBD!$F:$F,$A58)</f>
        <v/>
      </c>
      <c r="H58" s="17" t="n">
        <v>24</v>
      </c>
      <c r="I58" s="17" t="n">
        <v>60</v>
      </c>
      <c r="J58" s="17" t="n">
        <v>4</v>
      </c>
      <c r="K58" s="17" t="n">
        <v>0</v>
      </c>
      <c r="L58" s="17" t="inlineStr">
        <is>
          <t>Sedang</t>
        </is>
      </c>
    </row>
    <row r="59" s="1">
      <c r="A59" s="17">
        <f>RANDBETWEEN(2,164)</f>
        <v/>
      </c>
      <c r="B59" s="17">
        <f t="array" ref="B59">INDEX(Data_DBD!$B:$B,$A59)</f>
        <v/>
      </c>
      <c r="C59" s="17">
        <f t="array" ref="C59">INDEX(Data_DBD!$C:$C,$A59)</f>
        <v/>
      </c>
      <c r="D59" s="17">
        <f t="array" ref="D59">INDEX(Data_DBD!$E:$E,$A59)</f>
        <v/>
      </c>
      <c r="E59" s="17">
        <f t="array" ref="E59">INDEX(Data_DBD!$F:$F,$A59)</f>
        <v/>
      </c>
      <c r="H59" s="17" t="n">
        <v>40</v>
      </c>
      <c r="I59" s="17" t="n">
        <v>65</v>
      </c>
      <c r="J59" s="17" t="n">
        <v>3</v>
      </c>
      <c r="K59" s="17" t="n">
        <v>1</v>
      </c>
      <c r="L59" s="17" t="inlineStr">
        <is>
          <t>Sedang</t>
        </is>
      </c>
    </row>
    <row r="60" s="1">
      <c r="A60" s="17">
        <f>RANDBETWEEN(2,164)</f>
        <v/>
      </c>
      <c r="B60" s="17">
        <f t="array" ref="B60">INDEX(Data_DBD!$B:$B,$A60)</f>
        <v/>
      </c>
      <c r="C60" s="17">
        <f t="array" ref="C60">INDEX(Data_DBD!$C:$C,$A60)</f>
        <v/>
      </c>
      <c r="D60" s="17">
        <f t="array" ref="D60">INDEX(Data_DBD!$E:$E,$A60)</f>
        <v/>
      </c>
      <c r="E60" s="17">
        <f t="array" ref="E60">INDEX(Data_DBD!$F:$F,$A60)</f>
        <v/>
      </c>
      <c r="H60" s="17" t="n">
        <v>137</v>
      </c>
      <c r="I60" s="17" t="n">
        <v>3</v>
      </c>
      <c r="J60" s="17" t="n">
        <v>1</v>
      </c>
      <c r="K60" s="17" t="n">
        <v>1</v>
      </c>
      <c r="L60" s="17" t="inlineStr">
        <is>
          <t>Tinggi</t>
        </is>
      </c>
    </row>
    <row r="61" s="1">
      <c r="A61" s="17">
        <f>RANDBETWEEN(2,164)</f>
        <v/>
      </c>
      <c r="B61" s="17">
        <f t="array" ref="B61">INDEX(Data_DBD!$B:$B,$A61)</f>
        <v/>
      </c>
      <c r="C61" s="17">
        <f t="array" ref="C61">INDEX(Data_DBD!$C:$C,$A61)</f>
        <v/>
      </c>
      <c r="D61" s="17">
        <f t="array" ref="D61">INDEX(Data_DBD!$E:$E,$A61)</f>
        <v/>
      </c>
      <c r="E61" s="17">
        <f t="array" ref="E61">INDEX(Data_DBD!$F:$F,$A61)</f>
        <v/>
      </c>
      <c r="H61" s="17" t="n">
        <v>33</v>
      </c>
      <c r="I61" s="17" t="n">
        <v>19</v>
      </c>
      <c r="J61" s="17" t="n">
        <v>4</v>
      </c>
      <c r="K61" s="17" t="n">
        <v>1</v>
      </c>
      <c r="L61" s="17" t="inlineStr">
        <is>
          <t>Sedang</t>
        </is>
      </c>
    </row>
    <row r="62" s="1">
      <c r="A62" s="17">
        <f>RANDBETWEEN(2,164)</f>
        <v/>
      </c>
      <c r="B62" s="17">
        <f t="array" ref="B62">INDEX(Data_DBD!$B:$B,$A62)</f>
        <v/>
      </c>
      <c r="C62" s="17">
        <f t="array" ref="C62">INDEX(Data_DBD!$C:$C,$A62)</f>
        <v/>
      </c>
      <c r="D62" s="17">
        <f t="array" ref="D62">INDEX(Data_DBD!$E:$E,$A62)</f>
        <v/>
      </c>
      <c r="E62" s="17">
        <f t="array" ref="E62">INDEX(Data_DBD!$F:$F,$A62)</f>
        <v/>
      </c>
      <c r="H62" s="17" t="n">
        <v>55</v>
      </c>
      <c r="I62" s="17" t="n">
        <v>7</v>
      </c>
      <c r="J62" s="17" t="n">
        <v>4</v>
      </c>
      <c r="K62" s="17" t="n">
        <v>1</v>
      </c>
      <c r="L62" s="17" t="inlineStr">
        <is>
          <t>Sedang</t>
        </is>
      </c>
    </row>
    <row r="63" s="1">
      <c r="A63" s="17">
        <f>RANDBETWEEN(2,164)</f>
        <v/>
      </c>
      <c r="B63" s="17">
        <f t="array" ref="B63">INDEX(Data_DBD!$B:$B,$A63)</f>
        <v/>
      </c>
      <c r="C63" s="17">
        <f t="array" ref="C63">INDEX(Data_DBD!$C:$C,$A63)</f>
        <v/>
      </c>
      <c r="D63" s="17">
        <f t="array" ref="D63">INDEX(Data_DBD!$E:$E,$A63)</f>
        <v/>
      </c>
      <c r="E63" s="17">
        <f t="array" ref="E63">INDEX(Data_DBD!$F:$F,$A63)</f>
        <v/>
      </c>
      <c r="H63" s="17" t="n">
        <v>77</v>
      </c>
      <c r="I63" s="17" t="n">
        <v>16</v>
      </c>
      <c r="J63" s="17" t="n">
        <v>4</v>
      </c>
      <c r="K63" s="17" t="n">
        <v>1</v>
      </c>
      <c r="L63" s="17" t="inlineStr">
        <is>
          <t>Sedang</t>
        </is>
      </c>
    </row>
    <row r="64" s="1">
      <c r="A64" s="17">
        <f>RANDBETWEEN(2,164)</f>
        <v/>
      </c>
      <c r="B64" s="17">
        <f t="array" ref="B64">INDEX(Data_DBD!$B:$B,$A64)</f>
        <v/>
      </c>
      <c r="C64" s="17">
        <f t="array" ref="C64">INDEX(Data_DBD!$C:$C,$A64)</f>
        <v/>
      </c>
      <c r="D64" s="17">
        <f t="array" ref="D64">INDEX(Data_DBD!$E:$E,$A64)</f>
        <v/>
      </c>
      <c r="E64" s="17">
        <f t="array" ref="E64">INDEX(Data_DBD!$F:$F,$A64)</f>
        <v/>
      </c>
      <c r="H64" s="17" t="n">
        <v>93</v>
      </c>
      <c r="I64" s="17" t="n">
        <v>65</v>
      </c>
      <c r="J64" s="17" t="n">
        <v>4</v>
      </c>
      <c r="K64" s="17" t="n">
        <v>0</v>
      </c>
      <c r="L64" s="17" t="inlineStr">
        <is>
          <t>Tinggi</t>
        </is>
      </c>
    </row>
    <row r="65" s="1">
      <c r="A65" s="17">
        <f>RANDBETWEEN(2,164)</f>
        <v/>
      </c>
      <c r="B65" s="17">
        <f t="array" ref="B65">INDEX(Data_DBD!$B:$B,$A65)</f>
        <v/>
      </c>
      <c r="C65" s="17">
        <f t="array" ref="C65">INDEX(Data_DBD!$C:$C,$A65)</f>
        <v/>
      </c>
      <c r="D65" s="17">
        <f t="array" ref="D65">INDEX(Data_DBD!$E:$E,$A65)</f>
        <v/>
      </c>
      <c r="E65" s="17">
        <f t="array" ref="E65">INDEX(Data_DBD!$F:$F,$A65)</f>
        <v/>
      </c>
      <c r="H65" s="17" t="n">
        <v>39</v>
      </c>
      <c r="I65" s="17" t="n">
        <v>12</v>
      </c>
      <c r="J65" s="17" t="n">
        <v>5</v>
      </c>
      <c r="K65" s="17" t="n">
        <v>1</v>
      </c>
      <c r="L65" s="17" t="inlineStr">
        <is>
          <t>Sedang</t>
        </is>
      </c>
    </row>
    <row r="66" s="1">
      <c r="A66" s="17">
        <f>RANDBETWEEN(2,164)</f>
        <v/>
      </c>
      <c r="B66" s="17">
        <f t="array" ref="B66">INDEX(Data_DBD!$B:$B,$A66)</f>
        <v/>
      </c>
      <c r="C66" s="17">
        <f t="array" ref="C66">INDEX(Data_DBD!$C:$C,$A66)</f>
        <v/>
      </c>
      <c r="D66" s="17">
        <f t="array" ref="D66">INDEX(Data_DBD!$E:$E,$A66)</f>
        <v/>
      </c>
      <c r="E66" s="17">
        <f t="array" ref="E66">INDEX(Data_DBD!$F:$F,$A66)</f>
        <v/>
      </c>
      <c r="H66" s="17" t="n">
        <v>34</v>
      </c>
      <c r="I66" s="17" t="n">
        <v>55</v>
      </c>
      <c r="J66" s="17" t="n">
        <v>3</v>
      </c>
      <c r="K66" s="17" t="n">
        <v>0</v>
      </c>
      <c r="L66" s="17" t="inlineStr">
        <is>
          <t>Sedang</t>
        </is>
      </c>
    </row>
    <row r="67" s="1">
      <c r="A67" s="17">
        <f>RANDBETWEEN(2,164)</f>
        <v/>
      </c>
      <c r="B67" s="17">
        <f t="array" ref="B67">INDEX(Data_DBD!$B:$B,$A67)</f>
        <v/>
      </c>
      <c r="C67" s="17">
        <f t="array" ref="C67">INDEX(Data_DBD!$C:$C,$A67)</f>
        <v/>
      </c>
      <c r="D67" s="17">
        <f t="array" ref="D67">INDEX(Data_DBD!$E:$E,$A67)</f>
        <v/>
      </c>
      <c r="E67" s="17">
        <f t="array" ref="E67">INDEX(Data_DBD!$F:$F,$A67)</f>
        <v/>
      </c>
      <c r="H67" s="17" t="n">
        <v>49</v>
      </c>
      <c r="I67" s="17" t="n">
        <v>64</v>
      </c>
      <c r="J67" s="17" t="n">
        <v>5</v>
      </c>
      <c r="K67" s="17" t="n">
        <v>0</v>
      </c>
      <c r="L67" s="17" t="inlineStr">
        <is>
          <t>Sedang</t>
        </is>
      </c>
    </row>
    <row r="68" s="1">
      <c r="A68" s="17">
        <f>RANDBETWEEN(2,164)</f>
        <v/>
      </c>
      <c r="B68" s="17">
        <f t="array" ref="B68">INDEX(Data_DBD!$B:$B,$A68)</f>
        <v/>
      </c>
      <c r="C68" s="17">
        <f t="array" ref="C68">INDEX(Data_DBD!$C:$C,$A68)</f>
        <v/>
      </c>
      <c r="D68" s="17">
        <f t="array" ref="D68">INDEX(Data_DBD!$E:$E,$A68)</f>
        <v/>
      </c>
      <c r="E68" s="17">
        <f t="array" ref="E68">INDEX(Data_DBD!$F:$F,$A68)</f>
        <v/>
      </c>
      <c r="H68" s="17" t="n">
        <v>123</v>
      </c>
      <c r="I68" s="17" t="n">
        <v>22</v>
      </c>
      <c r="J68" s="17" t="n">
        <v>4</v>
      </c>
      <c r="K68" s="17" t="n">
        <v>0</v>
      </c>
      <c r="L68" s="17" t="inlineStr">
        <is>
          <t>Tinggi</t>
        </is>
      </c>
    </row>
    <row r="69" s="1">
      <c r="A69" s="17">
        <f>RANDBETWEEN(2,164)</f>
        <v/>
      </c>
      <c r="B69" s="17">
        <f t="array" ref="B69">INDEX(Data_DBD!$B:$B,$A69)</f>
        <v/>
      </c>
      <c r="C69" s="17">
        <f t="array" ref="C69">INDEX(Data_DBD!$C:$C,$A69)</f>
        <v/>
      </c>
      <c r="D69" s="17">
        <f t="array" ref="D69">INDEX(Data_DBD!$E:$E,$A69)</f>
        <v/>
      </c>
      <c r="E69" s="17">
        <f t="array" ref="E69">INDEX(Data_DBD!$F:$F,$A69)</f>
        <v/>
      </c>
      <c r="H69" s="17" t="n">
        <v>81</v>
      </c>
      <c r="I69" s="17" t="n">
        <v>23</v>
      </c>
      <c r="J69" s="17" t="n">
        <v>5</v>
      </c>
      <c r="K69" s="17" t="n">
        <v>1</v>
      </c>
      <c r="L69" s="17" t="inlineStr">
        <is>
          <t>Sedang</t>
        </is>
      </c>
    </row>
    <row r="70" s="1">
      <c r="A70" s="17">
        <f>RANDBETWEEN(2,164)</f>
        <v/>
      </c>
      <c r="B70" s="17">
        <f t="array" ref="B70">INDEX(Data_DBD!$B:$B,$A70)</f>
        <v/>
      </c>
      <c r="C70" s="17">
        <f t="array" ref="C70">INDEX(Data_DBD!$C:$C,$A70)</f>
        <v/>
      </c>
      <c r="D70" s="17">
        <f t="array" ref="D70">INDEX(Data_DBD!$E:$E,$A70)</f>
        <v/>
      </c>
      <c r="E70" s="17">
        <f t="array" ref="E70">INDEX(Data_DBD!$F:$F,$A70)</f>
        <v/>
      </c>
      <c r="H70" s="17" t="n">
        <v>137</v>
      </c>
      <c r="I70" s="17" t="n">
        <v>3</v>
      </c>
      <c r="J70" s="17" t="n">
        <v>1</v>
      </c>
      <c r="K70" s="17" t="n">
        <v>1</v>
      </c>
      <c r="L70" s="17" t="inlineStr">
        <is>
          <t>Tinggi</t>
        </is>
      </c>
    </row>
    <row r="71" s="1">
      <c r="A71" s="17">
        <f>RANDBETWEEN(2,164)</f>
        <v/>
      </c>
      <c r="B71" s="17">
        <f t="array" ref="B71">INDEX(Data_DBD!$B:$B,$A71)</f>
        <v/>
      </c>
      <c r="C71" s="17">
        <f t="array" ref="C71">INDEX(Data_DBD!$C:$C,$A71)</f>
        <v/>
      </c>
      <c r="D71" s="17">
        <f t="array" ref="D71">INDEX(Data_DBD!$E:$E,$A71)</f>
        <v/>
      </c>
      <c r="E71" s="17">
        <f t="array" ref="E71">INDEX(Data_DBD!$F:$F,$A71)</f>
        <v/>
      </c>
      <c r="H71" s="17" t="n">
        <v>114</v>
      </c>
      <c r="I71" s="17" t="n">
        <v>14</v>
      </c>
      <c r="J71" s="17" t="n">
        <v>2</v>
      </c>
      <c r="K71" s="17" t="n">
        <v>1</v>
      </c>
      <c r="L71" s="17" t="inlineStr">
        <is>
          <t>Tinggi</t>
        </is>
      </c>
    </row>
    <row r="72" s="1">
      <c r="A72" s="17">
        <f>RANDBETWEEN(2,164)</f>
        <v/>
      </c>
      <c r="B72" s="17">
        <f t="array" ref="B72">INDEX(Data_DBD!$B:$B,$A72)</f>
        <v/>
      </c>
      <c r="C72" s="17">
        <f t="array" ref="C72">INDEX(Data_DBD!$C:$C,$A72)</f>
        <v/>
      </c>
      <c r="D72" s="17">
        <f t="array" ref="D72">INDEX(Data_DBD!$E:$E,$A72)</f>
        <v/>
      </c>
      <c r="E72" s="17">
        <f t="array" ref="E72">INDEX(Data_DBD!$F:$F,$A72)</f>
        <v/>
      </c>
      <c r="H72" s="17" t="n">
        <v>108</v>
      </c>
      <c r="I72" s="17" t="n">
        <v>69</v>
      </c>
      <c r="J72" s="17" t="n">
        <v>7</v>
      </c>
      <c r="K72" s="17" t="n">
        <v>1</v>
      </c>
      <c r="L72" s="17" t="inlineStr">
        <is>
          <t>Tinggi</t>
        </is>
      </c>
    </row>
    <row r="73" s="1">
      <c r="A73" s="17">
        <f>RANDBETWEEN(2,164)</f>
        <v/>
      </c>
      <c r="B73" s="17">
        <f t="array" ref="B73">INDEX(Data_DBD!$B:$B,$A73)</f>
        <v/>
      </c>
      <c r="C73" s="17">
        <f t="array" ref="C73">INDEX(Data_DBD!$C:$C,$A73)</f>
        <v/>
      </c>
      <c r="D73" s="17">
        <f t="array" ref="D73">INDEX(Data_DBD!$E:$E,$A73)</f>
        <v/>
      </c>
      <c r="E73" s="17">
        <f t="array" ref="E73">INDEX(Data_DBD!$F:$F,$A73)</f>
        <v/>
      </c>
      <c r="H73" s="17" t="n">
        <v>108</v>
      </c>
      <c r="I73" s="17" t="n">
        <v>69</v>
      </c>
      <c r="J73" s="17" t="n">
        <v>7</v>
      </c>
      <c r="K73" s="17" t="n">
        <v>1</v>
      </c>
      <c r="L73" s="17" t="inlineStr">
        <is>
          <t>Tinggi</t>
        </is>
      </c>
    </row>
    <row r="74" s="1">
      <c r="A74" s="17">
        <f>RANDBETWEEN(2,164)</f>
        <v/>
      </c>
      <c r="B74" s="17">
        <f t="array" ref="B74">INDEX(Data_DBD!$B:$B,$A74)</f>
        <v/>
      </c>
      <c r="C74" s="17">
        <f t="array" ref="C74">INDEX(Data_DBD!$C:$C,$A74)</f>
        <v/>
      </c>
      <c r="D74" s="17">
        <f t="array" ref="D74">INDEX(Data_DBD!$E:$E,$A74)</f>
        <v/>
      </c>
      <c r="E74" s="17">
        <f t="array" ref="E74">INDEX(Data_DBD!$F:$F,$A74)</f>
        <v/>
      </c>
      <c r="H74" s="17" t="n">
        <v>45</v>
      </c>
      <c r="I74" s="17" t="n">
        <v>75</v>
      </c>
      <c r="J74" s="17" t="n">
        <v>3</v>
      </c>
      <c r="K74" s="17" t="n">
        <v>1</v>
      </c>
      <c r="L74" s="17" t="inlineStr">
        <is>
          <t>Sedang</t>
        </is>
      </c>
    </row>
    <row r="75" s="1">
      <c r="A75" s="17">
        <f>RANDBETWEEN(2,164)</f>
        <v/>
      </c>
      <c r="B75" s="17">
        <f t="array" ref="B75">INDEX(Data_DBD!$B:$B,$A75)</f>
        <v/>
      </c>
      <c r="C75" s="17">
        <f t="array" ref="C75">INDEX(Data_DBD!$C:$C,$A75)</f>
        <v/>
      </c>
      <c r="D75" s="17">
        <f t="array" ref="D75">INDEX(Data_DBD!$E:$E,$A75)</f>
        <v/>
      </c>
      <c r="E75" s="17">
        <f t="array" ref="E75">INDEX(Data_DBD!$F:$F,$A75)</f>
        <v/>
      </c>
      <c r="H75" s="17" t="n">
        <v>139</v>
      </c>
      <c r="I75" s="17" t="n">
        <v>52</v>
      </c>
      <c r="J75" s="17" t="n">
        <v>7</v>
      </c>
      <c r="K75" s="17" t="n">
        <v>0</v>
      </c>
      <c r="L75" s="17" t="inlineStr">
        <is>
          <t>Tinggi</t>
        </is>
      </c>
    </row>
    <row r="76" s="1">
      <c r="A76" s="17">
        <f>RANDBETWEEN(2,164)</f>
        <v/>
      </c>
      <c r="B76" s="17">
        <f t="array" ref="B76">INDEX(Data_DBD!$B:$B,$A76)</f>
        <v/>
      </c>
      <c r="C76" s="17">
        <f t="array" ref="C76">INDEX(Data_DBD!$C:$C,$A76)</f>
        <v/>
      </c>
      <c r="D76" s="17">
        <f t="array" ref="D76">INDEX(Data_DBD!$E:$E,$A76)</f>
        <v/>
      </c>
      <c r="E76" s="17">
        <f t="array" ref="E76">INDEX(Data_DBD!$F:$F,$A76)</f>
        <v/>
      </c>
      <c r="H76" s="17" t="n">
        <v>21</v>
      </c>
      <c r="I76" s="17" t="n">
        <v>10</v>
      </c>
      <c r="J76" s="17" t="n">
        <v>5</v>
      </c>
      <c r="K76" s="17" t="n">
        <v>1</v>
      </c>
      <c r="L76" s="17" t="inlineStr">
        <is>
          <t>Sedang</t>
        </is>
      </c>
    </row>
    <row r="77" s="1">
      <c r="A77" s="17">
        <f>RANDBETWEEN(2,164)</f>
        <v/>
      </c>
      <c r="B77" s="17">
        <f t="array" ref="B77">INDEX(Data_DBD!$B:$B,$A77)</f>
        <v/>
      </c>
      <c r="C77" s="17">
        <f t="array" ref="C77">INDEX(Data_DBD!$C:$C,$A77)</f>
        <v/>
      </c>
      <c r="D77" s="17">
        <f t="array" ref="D77">INDEX(Data_DBD!$E:$E,$A77)</f>
        <v/>
      </c>
      <c r="E77" s="17">
        <f t="array" ref="E77">INDEX(Data_DBD!$F:$F,$A77)</f>
        <v/>
      </c>
      <c r="H77" s="17" t="n">
        <v>75</v>
      </c>
      <c r="I77" s="17" t="n">
        <v>2</v>
      </c>
      <c r="J77" s="17" t="n">
        <v>2</v>
      </c>
      <c r="K77" s="17" t="n">
        <v>1</v>
      </c>
      <c r="L77" s="17" t="inlineStr">
        <is>
          <t>Sedang</t>
        </is>
      </c>
    </row>
    <row r="78" s="1">
      <c r="A78" s="17">
        <f>RANDBETWEEN(2,164)</f>
        <v/>
      </c>
      <c r="B78" s="17">
        <f t="array" ref="B78">INDEX(Data_DBD!$B:$B,$A78)</f>
        <v/>
      </c>
      <c r="C78" s="17">
        <f t="array" ref="C78">INDEX(Data_DBD!$C:$C,$A78)</f>
        <v/>
      </c>
      <c r="D78" s="17">
        <f t="array" ref="D78">INDEX(Data_DBD!$E:$E,$A78)</f>
        <v/>
      </c>
      <c r="E78" s="17">
        <f t="array" ref="E78">INDEX(Data_DBD!$F:$F,$A78)</f>
        <v/>
      </c>
      <c r="H78" s="17" t="n">
        <v>135</v>
      </c>
      <c r="I78" s="17" t="n">
        <v>10</v>
      </c>
      <c r="J78" s="17" t="n">
        <v>2</v>
      </c>
      <c r="K78" s="17" t="n">
        <v>0</v>
      </c>
      <c r="L78" s="17" t="inlineStr">
        <is>
          <t>Tinggi</t>
        </is>
      </c>
    </row>
    <row r="79" s="1">
      <c r="A79" s="17">
        <f>RANDBETWEEN(2,164)</f>
        <v/>
      </c>
      <c r="B79" s="17">
        <f t="array" ref="B79">INDEX(Data_DBD!$B:$B,$A79)</f>
        <v/>
      </c>
      <c r="C79" s="17">
        <f t="array" ref="C79">INDEX(Data_DBD!$C:$C,$A79)</f>
        <v/>
      </c>
      <c r="D79" s="17">
        <f t="array" ref="D79">INDEX(Data_DBD!$E:$E,$A79)</f>
        <v/>
      </c>
      <c r="E79" s="17">
        <f t="array" ref="E79">INDEX(Data_DBD!$F:$F,$A79)</f>
        <v/>
      </c>
      <c r="H79" s="17" t="n">
        <v>79</v>
      </c>
      <c r="I79" s="17" t="n">
        <v>29</v>
      </c>
      <c r="J79" s="17" t="n">
        <v>3</v>
      </c>
      <c r="K79" s="17" t="n">
        <v>0</v>
      </c>
      <c r="L79" s="17" t="inlineStr">
        <is>
          <t>Sedang</t>
        </is>
      </c>
    </row>
    <row r="80" s="1">
      <c r="A80" s="17">
        <f>RANDBETWEEN(2,164)</f>
        <v/>
      </c>
      <c r="B80" s="17">
        <f t="array" ref="B80">INDEX(Data_DBD!$B:$B,$A80)</f>
        <v/>
      </c>
      <c r="C80" s="17">
        <f t="array" ref="C80">INDEX(Data_DBD!$C:$C,$A80)</f>
        <v/>
      </c>
      <c r="D80" s="17">
        <f t="array" ref="D80">INDEX(Data_DBD!$E:$E,$A80)</f>
        <v/>
      </c>
      <c r="E80" s="17">
        <f t="array" ref="E80">INDEX(Data_DBD!$F:$F,$A80)</f>
        <v/>
      </c>
      <c r="H80" s="17" t="n">
        <v>37</v>
      </c>
      <c r="I80" s="17" t="n">
        <v>28</v>
      </c>
      <c r="J80" s="17" t="n">
        <v>4</v>
      </c>
      <c r="K80" s="17" t="n">
        <v>1</v>
      </c>
      <c r="L80" s="17" t="inlineStr">
        <is>
          <t>Rendah</t>
        </is>
      </c>
    </row>
    <row r="81" s="1">
      <c r="A81" s="17">
        <f>RANDBETWEEN(2,164)</f>
        <v/>
      </c>
      <c r="B81" s="17">
        <f t="array" ref="B81">INDEX(Data_DBD!$B:$B,$A81)</f>
        <v/>
      </c>
      <c r="C81" s="17">
        <f t="array" ref="C81">INDEX(Data_DBD!$C:$C,$A81)</f>
        <v/>
      </c>
      <c r="D81" s="17">
        <f t="array" ref="D81">INDEX(Data_DBD!$E:$E,$A81)</f>
        <v/>
      </c>
      <c r="E81" s="17">
        <f t="array" ref="E81">INDEX(Data_DBD!$F:$F,$A81)</f>
        <v/>
      </c>
      <c r="H81" s="17" t="n">
        <v>112</v>
      </c>
      <c r="I81" s="17" t="n">
        <v>61</v>
      </c>
      <c r="J81" s="17" t="n">
        <v>3</v>
      </c>
      <c r="K81" s="17" t="n">
        <v>1</v>
      </c>
      <c r="L81" s="17" t="inlineStr">
        <is>
          <t>Tinggi</t>
        </is>
      </c>
    </row>
    <row r="82" s="1">
      <c r="A82" s="17">
        <f>RANDBETWEEN(2,164)</f>
        <v/>
      </c>
      <c r="B82" s="17">
        <f t="array" ref="B82">INDEX(Data_DBD!$B:$B,$A82)</f>
        <v/>
      </c>
      <c r="C82" s="17">
        <f t="array" ref="C82">INDEX(Data_DBD!$C:$C,$A82)</f>
        <v/>
      </c>
      <c r="D82" s="17">
        <f t="array" ref="D82">INDEX(Data_DBD!$E:$E,$A82)</f>
        <v/>
      </c>
      <c r="E82" s="17">
        <f t="array" ref="E82">INDEX(Data_DBD!$F:$F,$A82)</f>
        <v/>
      </c>
      <c r="H82" s="17" t="n">
        <v>74</v>
      </c>
      <c r="I82" s="17" t="n">
        <v>9</v>
      </c>
      <c r="J82" s="17" t="n">
        <v>4</v>
      </c>
      <c r="K82" s="17" t="n">
        <v>0</v>
      </c>
      <c r="L82" s="17" t="inlineStr">
        <is>
          <t>Sedang</t>
        </is>
      </c>
    </row>
    <row r="83" s="1">
      <c r="A83" s="17">
        <f>RANDBETWEEN(2,164)</f>
        <v/>
      </c>
      <c r="B83" s="17">
        <f t="array" ref="B83">INDEX(Data_DBD!$B:$B,$A83)</f>
        <v/>
      </c>
      <c r="C83" s="17">
        <f t="array" ref="C83">INDEX(Data_DBD!$C:$C,$A83)</f>
        <v/>
      </c>
      <c r="D83" s="17">
        <f t="array" ref="D83">INDEX(Data_DBD!$E:$E,$A83)</f>
        <v/>
      </c>
      <c r="E83" s="17">
        <f t="array" ref="E83">INDEX(Data_DBD!$F:$F,$A83)</f>
        <v/>
      </c>
      <c r="H83" s="17" t="n">
        <v>106</v>
      </c>
      <c r="I83" s="17" t="n">
        <v>23</v>
      </c>
      <c r="J83" s="17" t="n">
        <v>3</v>
      </c>
      <c r="K83" s="17" t="n">
        <v>1</v>
      </c>
      <c r="L83" s="17" t="inlineStr">
        <is>
          <t>Tinggi</t>
        </is>
      </c>
    </row>
    <row r="84" s="1">
      <c r="A84" s="17">
        <f>RANDBETWEEN(2,164)</f>
        <v/>
      </c>
      <c r="B84" s="17">
        <f t="array" ref="B84">INDEX(Data_DBD!$B:$B,$A84)</f>
        <v/>
      </c>
      <c r="C84" s="17">
        <f t="array" ref="C84">INDEX(Data_DBD!$C:$C,$A84)</f>
        <v/>
      </c>
      <c r="D84" s="17">
        <f t="array" ref="D84">INDEX(Data_DBD!$E:$E,$A84)</f>
        <v/>
      </c>
      <c r="E84" s="17">
        <f t="array" ref="E84">INDEX(Data_DBD!$F:$F,$A84)</f>
        <v/>
      </c>
      <c r="H84" s="17" t="n">
        <v>127</v>
      </c>
      <c r="I84" s="17" t="n">
        <v>21</v>
      </c>
      <c r="J84" s="17" t="n">
        <v>2</v>
      </c>
      <c r="K84" s="17" t="n">
        <v>0</v>
      </c>
      <c r="L84" s="17" t="inlineStr">
        <is>
          <t>Tinggi</t>
        </is>
      </c>
    </row>
    <row r="85" s="1">
      <c r="A85" s="17">
        <f>RANDBETWEEN(2,164)</f>
        <v/>
      </c>
      <c r="B85" s="17">
        <f t="array" ref="B85">INDEX(Data_DBD!$B:$B,$A85)</f>
        <v/>
      </c>
      <c r="C85" s="17">
        <f t="array" ref="C85">INDEX(Data_DBD!$C:$C,$A85)</f>
        <v/>
      </c>
      <c r="D85" s="17">
        <f t="array" ref="D85">INDEX(Data_DBD!$E:$E,$A85)</f>
        <v/>
      </c>
      <c r="E85" s="17">
        <f t="array" ref="E85">INDEX(Data_DBD!$F:$F,$A85)</f>
        <v/>
      </c>
      <c r="H85" s="17" t="n">
        <v>81</v>
      </c>
      <c r="I85" s="17" t="n">
        <v>23</v>
      </c>
      <c r="J85" s="17" t="n">
        <v>5</v>
      </c>
      <c r="K85" s="17" t="n">
        <v>1</v>
      </c>
      <c r="L85" s="17" t="inlineStr">
        <is>
          <t>Sedang</t>
        </is>
      </c>
    </row>
    <row r="86" s="1">
      <c r="A86" s="17">
        <f>RANDBETWEEN(2,164)</f>
        <v/>
      </c>
      <c r="B86" s="17">
        <f t="array" ref="B86">INDEX(Data_DBD!$B:$B,$A86)</f>
        <v/>
      </c>
      <c r="C86" s="17">
        <f t="array" ref="C86">INDEX(Data_DBD!$C:$C,$A86)</f>
        <v/>
      </c>
      <c r="D86" s="17">
        <f t="array" ref="D86">INDEX(Data_DBD!$E:$E,$A86)</f>
        <v/>
      </c>
      <c r="E86" s="17">
        <f t="array" ref="E86">INDEX(Data_DBD!$F:$F,$A86)</f>
        <v/>
      </c>
      <c r="H86" s="17" t="n">
        <v>124</v>
      </c>
      <c r="I86" s="17" t="n">
        <v>24</v>
      </c>
      <c r="J86" s="17" t="n">
        <v>3</v>
      </c>
      <c r="K86" s="17" t="n">
        <v>1</v>
      </c>
      <c r="L86" s="17" t="inlineStr">
        <is>
          <t>Tinggi</t>
        </is>
      </c>
    </row>
    <row r="87" s="1">
      <c r="A87" s="17">
        <f>RANDBETWEEN(2,164)</f>
        <v/>
      </c>
      <c r="B87" s="17">
        <f t="array" ref="B87">INDEX(Data_DBD!$B:$B,$A87)</f>
        <v/>
      </c>
      <c r="C87" s="17">
        <f t="array" ref="C87">INDEX(Data_DBD!$C:$C,$A87)</f>
        <v/>
      </c>
      <c r="D87" s="17">
        <f t="array" ref="D87">INDEX(Data_DBD!$E:$E,$A87)</f>
        <v/>
      </c>
      <c r="E87" s="17">
        <f t="array" ref="E87">INDEX(Data_DBD!$F:$F,$A87)</f>
        <v/>
      </c>
      <c r="H87" s="17" t="n">
        <v>93</v>
      </c>
      <c r="I87" s="17" t="n">
        <v>65</v>
      </c>
      <c r="J87" s="17" t="n">
        <v>4</v>
      </c>
      <c r="K87" s="17" t="n">
        <v>0</v>
      </c>
      <c r="L87" s="17" t="inlineStr">
        <is>
          <t>Tinggi</t>
        </is>
      </c>
    </row>
    <row r="88" s="1">
      <c r="A88" s="17">
        <f>RANDBETWEEN(2,164)</f>
        <v/>
      </c>
      <c r="B88" s="17">
        <f t="array" ref="B88">INDEX(Data_DBD!$B:$B,$A88)</f>
        <v/>
      </c>
      <c r="C88" s="17">
        <f t="array" ref="C88">INDEX(Data_DBD!$C:$C,$A88)</f>
        <v/>
      </c>
      <c r="D88" s="17">
        <f t="array" ref="D88">INDEX(Data_DBD!$E:$E,$A88)</f>
        <v/>
      </c>
      <c r="E88" s="17">
        <f t="array" ref="E88">INDEX(Data_DBD!$F:$F,$A88)</f>
        <v/>
      </c>
      <c r="H88" s="17" t="n">
        <v>133</v>
      </c>
      <c r="I88" s="17" t="n">
        <v>6</v>
      </c>
      <c r="J88" s="17" t="n">
        <v>4</v>
      </c>
      <c r="K88" s="17" t="n">
        <v>0</v>
      </c>
      <c r="L88" s="17" t="inlineStr">
        <is>
          <t>Tinggi</t>
        </is>
      </c>
    </row>
    <row r="89" s="1">
      <c r="A89" s="17">
        <f>RANDBETWEEN(2,164)</f>
        <v/>
      </c>
      <c r="B89" s="17">
        <f t="array" ref="B89">INDEX(Data_DBD!$B:$B,$A89)</f>
        <v/>
      </c>
      <c r="C89" s="17">
        <f t="array" ref="C89">INDEX(Data_DBD!$C:$C,$A89)</f>
        <v/>
      </c>
      <c r="D89" s="17">
        <f t="array" ref="D89">INDEX(Data_DBD!$E:$E,$A89)</f>
        <v/>
      </c>
      <c r="E89" s="17">
        <f t="array" ref="E89">INDEX(Data_DBD!$F:$F,$A89)</f>
        <v/>
      </c>
      <c r="H89" s="17" t="n">
        <v>32</v>
      </c>
      <c r="I89" s="17" t="n">
        <v>54</v>
      </c>
      <c r="J89" s="17" t="n">
        <v>4</v>
      </c>
      <c r="K89" s="17" t="n">
        <v>0</v>
      </c>
      <c r="L89" s="17" t="inlineStr">
        <is>
          <t>Sedang</t>
        </is>
      </c>
    </row>
    <row r="90" s="1">
      <c r="A90" s="17">
        <f>RANDBETWEEN(2,164)</f>
        <v/>
      </c>
      <c r="B90" s="17">
        <f t="array" ref="B90">INDEX(Data_DBD!$B:$B,$A90)</f>
        <v/>
      </c>
      <c r="C90" s="17">
        <f t="array" ref="C90">INDEX(Data_DBD!$C:$C,$A90)</f>
        <v/>
      </c>
      <c r="D90" s="17">
        <f t="array" ref="D90">INDEX(Data_DBD!$E:$E,$A90)</f>
        <v/>
      </c>
      <c r="E90" s="17">
        <f t="array" ref="E90">INDEX(Data_DBD!$F:$F,$A90)</f>
        <v/>
      </c>
      <c r="H90" s="17" t="n">
        <v>8</v>
      </c>
      <c r="I90" s="17" t="n">
        <v>4</v>
      </c>
      <c r="J90" s="17" t="n">
        <v>2</v>
      </c>
      <c r="K90" s="17" t="n">
        <v>0</v>
      </c>
      <c r="L90" s="17" t="inlineStr">
        <is>
          <t>Sedang</t>
        </is>
      </c>
    </row>
    <row r="91" s="1">
      <c r="A91" s="17">
        <f>RANDBETWEEN(2,164)</f>
        <v/>
      </c>
      <c r="B91" s="17">
        <f t="array" ref="B91">INDEX(Data_DBD!$B:$B,$A91)</f>
        <v/>
      </c>
      <c r="C91" s="17">
        <f t="array" ref="C91">INDEX(Data_DBD!$C:$C,$A91)</f>
        <v/>
      </c>
      <c r="D91" s="17">
        <f t="array" ref="D91">INDEX(Data_DBD!$E:$E,$A91)</f>
        <v/>
      </c>
      <c r="E91" s="17">
        <f t="array" ref="E91">INDEX(Data_DBD!$F:$F,$A91)</f>
        <v/>
      </c>
      <c r="H91" s="17" t="n">
        <v>101</v>
      </c>
      <c r="I91" s="17" t="n">
        <v>42</v>
      </c>
      <c r="J91" s="17" t="n">
        <v>5</v>
      </c>
      <c r="K91" s="17" t="n">
        <v>0</v>
      </c>
      <c r="L91" s="17" t="inlineStr">
        <is>
          <t>Tinggi</t>
        </is>
      </c>
    </row>
    <row r="92" s="1">
      <c r="A92" s="17">
        <f>RANDBETWEEN(2,164)</f>
        <v/>
      </c>
      <c r="B92" s="17">
        <f t="array" ref="B92">INDEX(Data_DBD!$B:$B,$A92)</f>
        <v/>
      </c>
      <c r="C92" s="17">
        <f t="array" ref="C92">INDEX(Data_DBD!$C:$C,$A92)</f>
        <v/>
      </c>
      <c r="D92" s="17">
        <f t="array" ref="D92">INDEX(Data_DBD!$E:$E,$A92)</f>
        <v/>
      </c>
      <c r="E92" s="17">
        <f t="array" ref="E92">INDEX(Data_DBD!$F:$F,$A92)</f>
        <v/>
      </c>
      <c r="H92" s="17" t="n">
        <v>32</v>
      </c>
      <c r="I92" s="17" t="n">
        <v>54</v>
      </c>
      <c r="J92" s="17" t="n">
        <v>4</v>
      </c>
      <c r="K92" s="17" t="n">
        <v>0</v>
      </c>
      <c r="L92" s="17" t="inlineStr">
        <is>
          <t>Sedang</t>
        </is>
      </c>
    </row>
    <row r="93" s="1">
      <c r="A93" s="17">
        <f>RANDBETWEEN(2,164)</f>
        <v/>
      </c>
      <c r="B93" s="17">
        <f t="array" ref="B93">INDEX(Data_DBD!$B:$B,$A93)</f>
        <v/>
      </c>
      <c r="C93" s="17">
        <f t="array" ref="C93">INDEX(Data_DBD!$C:$C,$A93)</f>
        <v/>
      </c>
      <c r="D93" s="17">
        <f t="array" ref="D93">INDEX(Data_DBD!$E:$E,$A93)</f>
        <v/>
      </c>
      <c r="E93" s="17">
        <f t="array" ref="E93">INDEX(Data_DBD!$F:$F,$A93)</f>
        <v/>
      </c>
      <c r="H93" s="17" t="n">
        <v>140</v>
      </c>
      <c r="I93" s="17" t="n">
        <v>74</v>
      </c>
      <c r="J93" s="17" t="n">
        <v>5</v>
      </c>
      <c r="K93" s="17" t="n">
        <v>1</v>
      </c>
      <c r="L93" s="17" t="inlineStr">
        <is>
          <t>Tinggi</t>
        </is>
      </c>
    </row>
    <row r="94" s="1">
      <c r="A94" s="17">
        <f>RANDBETWEEN(2,164)</f>
        <v/>
      </c>
      <c r="B94" s="17">
        <f t="array" ref="B94">INDEX(Data_DBD!$B:$B,$A94)</f>
        <v/>
      </c>
      <c r="C94" s="17">
        <f t="array" ref="C94">INDEX(Data_DBD!$C:$C,$A94)</f>
        <v/>
      </c>
      <c r="D94" s="17">
        <f t="array" ref="D94">INDEX(Data_DBD!$E:$E,$A94)</f>
        <v/>
      </c>
      <c r="E94" s="17">
        <f t="array" ref="E94">INDEX(Data_DBD!$F:$F,$A94)</f>
        <v/>
      </c>
      <c r="H94" s="17" t="n">
        <v>69</v>
      </c>
      <c r="I94" s="17" t="n">
        <v>24</v>
      </c>
      <c r="J94" s="17" t="n">
        <v>4</v>
      </c>
      <c r="K94" s="17" t="n">
        <v>1</v>
      </c>
      <c r="L94" s="17" t="inlineStr">
        <is>
          <t>Sedang</t>
        </is>
      </c>
    </row>
    <row r="95" s="1">
      <c r="A95" s="17">
        <f>RANDBETWEEN(2,164)</f>
        <v/>
      </c>
      <c r="B95" s="17">
        <f t="array" ref="B95">INDEX(Data_DBD!$B:$B,$A95)</f>
        <v/>
      </c>
      <c r="C95" s="17">
        <f t="array" ref="C95">INDEX(Data_DBD!$C:$C,$A95)</f>
        <v/>
      </c>
      <c r="D95" s="17">
        <f t="array" ref="D95">INDEX(Data_DBD!$E:$E,$A95)</f>
        <v/>
      </c>
      <c r="E95" s="17">
        <f t="array" ref="E95">INDEX(Data_DBD!$F:$F,$A95)</f>
        <v/>
      </c>
      <c r="H95" s="17" t="n">
        <v>78</v>
      </c>
      <c r="I95" s="17" t="n">
        <v>6</v>
      </c>
      <c r="J95" s="17" t="n">
        <v>3</v>
      </c>
      <c r="K95" s="17" t="n">
        <v>0</v>
      </c>
      <c r="L95" s="17" t="inlineStr">
        <is>
          <t>Sedang</t>
        </is>
      </c>
    </row>
    <row r="96" s="1">
      <c r="A96" s="17">
        <f>RANDBETWEEN(2,164)</f>
        <v/>
      </c>
      <c r="B96" s="17">
        <f t="array" ref="B96">INDEX(Data_DBD!$B:$B,$A96)</f>
        <v/>
      </c>
      <c r="C96" s="17">
        <f t="array" ref="C96">INDEX(Data_DBD!$C:$C,$A96)</f>
        <v/>
      </c>
      <c r="D96" s="17">
        <f t="array" ref="D96">INDEX(Data_DBD!$E:$E,$A96)</f>
        <v/>
      </c>
      <c r="E96" s="17">
        <f t="array" ref="E96">INDEX(Data_DBD!$F:$F,$A96)</f>
        <v/>
      </c>
      <c r="H96" s="17" t="n">
        <v>131</v>
      </c>
      <c r="I96" s="17" t="n">
        <v>10</v>
      </c>
      <c r="J96" s="17" t="n">
        <v>2</v>
      </c>
      <c r="K96" s="17" t="n">
        <v>0</v>
      </c>
      <c r="L96" s="17" t="inlineStr">
        <is>
          <t>Tinggi</t>
        </is>
      </c>
    </row>
    <row r="97" s="1">
      <c r="A97" s="17">
        <f>RANDBETWEEN(2,164)</f>
        <v/>
      </c>
      <c r="B97" s="17">
        <f t="array" ref="B97">INDEX(Data_DBD!$B:$B,$A97)</f>
        <v/>
      </c>
      <c r="C97" s="17">
        <f t="array" ref="C97">INDEX(Data_DBD!$C:$C,$A97)</f>
        <v/>
      </c>
      <c r="D97" s="17">
        <f t="array" ref="D97">INDEX(Data_DBD!$E:$E,$A97)</f>
        <v/>
      </c>
      <c r="E97" s="17">
        <f t="array" ref="E97">INDEX(Data_DBD!$F:$F,$A97)</f>
        <v/>
      </c>
      <c r="H97" s="17" t="n">
        <v>147</v>
      </c>
      <c r="I97" s="17" t="n">
        <v>66</v>
      </c>
      <c r="J97" s="17" t="n">
        <v>10</v>
      </c>
      <c r="K97" s="17" t="n">
        <v>1</v>
      </c>
      <c r="L97" s="17" t="inlineStr">
        <is>
          <t>Tinggi</t>
        </is>
      </c>
    </row>
    <row r="98" s="1">
      <c r="A98" s="17">
        <f>RANDBETWEEN(2,164)</f>
        <v/>
      </c>
      <c r="B98" s="17">
        <f t="array" ref="B98">INDEX(Data_DBD!$B:$B,$A98)</f>
        <v/>
      </c>
      <c r="C98" s="17">
        <f t="array" ref="C98">INDEX(Data_DBD!$C:$C,$A98)</f>
        <v/>
      </c>
      <c r="D98" s="17">
        <f t="array" ref="D98">INDEX(Data_DBD!$E:$E,$A98)</f>
        <v/>
      </c>
      <c r="E98" s="17">
        <f t="array" ref="E98">INDEX(Data_DBD!$F:$F,$A98)</f>
        <v/>
      </c>
      <c r="H98" s="17" t="n">
        <v>54</v>
      </c>
      <c r="I98" s="17" t="n">
        <v>7</v>
      </c>
      <c r="J98" s="17" t="n">
        <v>3</v>
      </c>
      <c r="K98" s="17" t="n">
        <v>0</v>
      </c>
      <c r="L98" s="17" t="inlineStr">
        <is>
          <t>Sedang</t>
        </is>
      </c>
    </row>
    <row r="99" s="1">
      <c r="A99" s="17">
        <f>RANDBETWEEN(2,164)</f>
        <v/>
      </c>
      <c r="B99" s="17">
        <f t="array" ref="B99">INDEX(Data_DBD!$B:$B,$A99)</f>
        <v/>
      </c>
      <c r="C99" s="17">
        <f t="array" ref="C99">INDEX(Data_DBD!$C:$C,$A99)</f>
        <v/>
      </c>
      <c r="D99" s="17">
        <f t="array" ref="D99">INDEX(Data_DBD!$E:$E,$A99)</f>
        <v/>
      </c>
      <c r="E99" s="17">
        <f t="array" ref="E99">INDEX(Data_DBD!$F:$F,$A99)</f>
        <v/>
      </c>
      <c r="H99" s="17" t="n">
        <v>64</v>
      </c>
      <c r="I99" s="17" t="n">
        <v>35</v>
      </c>
      <c r="J99" s="17" t="n">
        <v>1</v>
      </c>
      <c r="K99" s="17" t="n">
        <v>0</v>
      </c>
      <c r="L99" s="17" t="inlineStr">
        <is>
          <t>Sedang</t>
        </is>
      </c>
    </row>
    <row r="100" s="1">
      <c r="A100" s="17">
        <f>RANDBETWEEN(2,164)</f>
        <v/>
      </c>
      <c r="B100" s="17">
        <f t="array" ref="B100">INDEX(Data_DBD!$B:$B,$A100)</f>
        <v/>
      </c>
      <c r="C100" s="17">
        <f t="array" ref="C100">INDEX(Data_DBD!$C:$C,$A100)</f>
        <v/>
      </c>
      <c r="D100" s="17">
        <f t="array" ref="D100">INDEX(Data_DBD!$E:$E,$A100)</f>
        <v/>
      </c>
      <c r="E100" s="17">
        <f t="array" ref="E100">INDEX(Data_DBD!$F:$F,$A100)</f>
        <v/>
      </c>
      <c r="H100" s="17" t="n">
        <v>74</v>
      </c>
      <c r="I100" s="17" t="n">
        <v>9</v>
      </c>
      <c r="J100" s="17" t="n">
        <v>4</v>
      </c>
      <c r="K100" s="17" t="n">
        <v>0</v>
      </c>
      <c r="L100" s="17" t="inlineStr">
        <is>
          <t>Sedang</t>
        </is>
      </c>
    </row>
    <row r="101" s="1">
      <c r="A101" s="17">
        <f>RANDBETWEEN(2,164)</f>
        <v/>
      </c>
      <c r="B101" s="17">
        <f t="array" ref="B101">INDEX(Data_DBD!$B:$B,$A101)</f>
        <v/>
      </c>
      <c r="C101" s="17">
        <f t="array" ref="C101">INDEX(Data_DBD!$C:$C,$A101)</f>
        <v/>
      </c>
      <c r="D101" s="17">
        <f t="array" ref="D101">INDEX(Data_DBD!$E:$E,$A101)</f>
        <v/>
      </c>
      <c r="E101" s="17">
        <f t="array" ref="E101">INDEX(Data_DBD!$F:$F,$A101)</f>
        <v/>
      </c>
      <c r="H101" s="17" t="n">
        <v>67</v>
      </c>
      <c r="I101" s="17" t="n">
        <v>21</v>
      </c>
      <c r="J101" s="17" t="n">
        <v>3</v>
      </c>
      <c r="K101" s="17" t="n">
        <v>1</v>
      </c>
      <c r="L101" s="17" t="inlineStr">
        <is>
          <t>Sedang</t>
        </is>
      </c>
    </row>
    <row r="102" s="1">
      <c r="A102" s="17">
        <f>RANDBETWEEN(2,164)</f>
        <v/>
      </c>
      <c r="B102" s="17">
        <f t="array" ref="B102">INDEX(Data_DBD!$B:$B,$A102)</f>
        <v/>
      </c>
      <c r="C102" s="17">
        <f t="array" ref="C102">INDEX(Data_DBD!$C:$C,$A102)</f>
        <v/>
      </c>
      <c r="D102" s="17">
        <f t="array" ref="D102">INDEX(Data_DBD!$E:$E,$A102)</f>
        <v/>
      </c>
      <c r="E102" s="17">
        <f t="array" ref="E102">INDEX(Data_DBD!$F:$F,$A102)</f>
        <v/>
      </c>
      <c r="H102" s="17" t="n">
        <v>44</v>
      </c>
      <c r="I102" s="17" t="n">
        <v>28</v>
      </c>
      <c r="J102" s="17" t="n">
        <v>5</v>
      </c>
      <c r="K102" s="17" t="n">
        <v>1</v>
      </c>
      <c r="L102" s="17" t="inlineStr">
        <is>
          <t>Sedang</t>
        </is>
      </c>
    </row>
    <row r="103" s="1">
      <c r="A103" s="17">
        <f>RANDBETWEEN(2,164)</f>
        <v/>
      </c>
      <c r="B103" s="17">
        <f t="array" ref="B103">INDEX(Data_DBD!$B:$B,$A103)</f>
        <v/>
      </c>
      <c r="C103" s="17">
        <f t="array" ref="C103">INDEX(Data_DBD!$C:$C,$A103)</f>
        <v/>
      </c>
      <c r="D103" s="17">
        <f t="array" ref="D103">INDEX(Data_DBD!$E:$E,$A103)</f>
        <v/>
      </c>
      <c r="E103" s="17">
        <f t="array" ref="E103">INDEX(Data_DBD!$F:$F,$A103)</f>
        <v/>
      </c>
      <c r="H103" s="17" t="n">
        <v>76</v>
      </c>
      <c r="I103" s="17" t="n">
        <v>70</v>
      </c>
      <c r="J103" s="17" t="n">
        <v>2</v>
      </c>
      <c r="K103" s="17" t="n">
        <v>0</v>
      </c>
      <c r="L103" s="17" t="inlineStr">
        <is>
          <t>Sedang</t>
        </is>
      </c>
    </row>
    <row r="104" s="1">
      <c r="A104" s="17">
        <f>RANDBETWEEN(2,164)</f>
        <v/>
      </c>
      <c r="B104" s="17">
        <f t="array" ref="B104">INDEX(Data_DBD!$B:$B,$A104)</f>
        <v/>
      </c>
      <c r="C104" s="17">
        <f t="array" ref="C104">INDEX(Data_DBD!$C:$C,$A104)</f>
        <v/>
      </c>
      <c r="D104" s="17">
        <f t="array" ref="D104">INDEX(Data_DBD!$E:$E,$A104)</f>
        <v/>
      </c>
      <c r="E104" s="17">
        <f t="array" ref="E104">INDEX(Data_DBD!$F:$F,$A104)</f>
        <v/>
      </c>
      <c r="H104" s="17" t="n">
        <v>40</v>
      </c>
      <c r="I104" s="17" t="n">
        <v>65</v>
      </c>
      <c r="J104" s="17" t="n">
        <v>3</v>
      </c>
      <c r="K104" s="17" t="n">
        <v>1</v>
      </c>
      <c r="L104" s="17" t="inlineStr">
        <is>
          <t>Sedang</t>
        </is>
      </c>
    </row>
    <row r="105" s="1">
      <c r="A105" s="17">
        <f>RANDBETWEEN(2,164)</f>
        <v/>
      </c>
      <c r="B105" s="17">
        <f t="array" ref="B105">INDEX(Data_DBD!$B:$B,$A105)</f>
        <v/>
      </c>
      <c r="C105" s="17">
        <f t="array" ref="C105">INDEX(Data_DBD!$C:$C,$A105)</f>
        <v/>
      </c>
      <c r="D105" s="17">
        <f t="array" ref="D105">INDEX(Data_DBD!$E:$E,$A105)</f>
        <v/>
      </c>
      <c r="E105" s="17">
        <f t="array" ref="E105">INDEX(Data_DBD!$F:$F,$A105)</f>
        <v/>
      </c>
      <c r="H105" s="17" t="n">
        <v>48</v>
      </c>
      <c r="I105" s="17" t="n">
        <v>50</v>
      </c>
      <c r="J105" s="17" t="n">
        <v>5</v>
      </c>
      <c r="K105" s="17" t="n">
        <v>1</v>
      </c>
      <c r="L105" s="17" t="inlineStr">
        <is>
          <t>Sedang</t>
        </is>
      </c>
    </row>
    <row r="106" s="1">
      <c r="A106" s="17">
        <f>RANDBETWEEN(2,164)</f>
        <v/>
      </c>
      <c r="B106" s="17">
        <f t="array" ref="B106">INDEX(Data_DBD!$B:$B,$A106)</f>
        <v/>
      </c>
      <c r="C106" s="17">
        <f t="array" ref="C106">INDEX(Data_DBD!$C:$C,$A106)</f>
        <v/>
      </c>
      <c r="D106" s="17">
        <f t="array" ref="D106">INDEX(Data_DBD!$E:$E,$A106)</f>
        <v/>
      </c>
      <c r="E106" s="17">
        <f t="array" ref="E106">INDEX(Data_DBD!$F:$F,$A106)</f>
        <v/>
      </c>
      <c r="H106" s="17" t="n">
        <v>117</v>
      </c>
      <c r="I106" s="17" t="n">
        <v>49</v>
      </c>
      <c r="J106" s="17" t="n">
        <v>4</v>
      </c>
      <c r="K106" s="17" t="n">
        <v>1</v>
      </c>
      <c r="L106" s="17" t="inlineStr">
        <is>
          <t>Tinggi</t>
        </is>
      </c>
    </row>
    <row r="107" s="1">
      <c r="A107" s="17">
        <f>RANDBETWEEN(2,164)</f>
        <v/>
      </c>
      <c r="B107" s="17">
        <f t="array" ref="B107">INDEX(Data_DBD!$B:$B,$A107)</f>
        <v/>
      </c>
      <c r="C107" s="17">
        <f t="array" ref="C107">INDEX(Data_DBD!$C:$C,$A107)</f>
        <v/>
      </c>
      <c r="D107" s="17">
        <f t="array" ref="D107">INDEX(Data_DBD!$E:$E,$A107)</f>
        <v/>
      </c>
      <c r="E107" s="17">
        <f t="array" ref="E107">INDEX(Data_DBD!$F:$F,$A107)</f>
        <v/>
      </c>
      <c r="H107" s="17" t="n">
        <v>126</v>
      </c>
      <c r="I107" s="17" t="n">
        <v>51</v>
      </c>
      <c r="J107" s="17" t="n">
        <v>3</v>
      </c>
      <c r="K107" s="17" t="n">
        <v>1</v>
      </c>
      <c r="L107" s="17" t="inlineStr">
        <is>
          <t>Tinggi</t>
        </is>
      </c>
    </row>
    <row r="108" s="1">
      <c r="A108" s="17">
        <f>RANDBETWEEN(2,164)</f>
        <v/>
      </c>
      <c r="B108" s="17">
        <f t="array" ref="B108">INDEX(Data_DBD!$B:$B,$A108)</f>
        <v/>
      </c>
      <c r="C108" s="17">
        <f t="array" ref="C108">INDEX(Data_DBD!$C:$C,$A108)</f>
        <v/>
      </c>
      <c r="D108" s="17">
        <f t="array" ref="D108">INDEX(Data_DBD!$E:$E,$A108)</f>
        <v/>
      </c>
      <c r="E108" s="17">
        <f t="array" ref="E108">INDEX(Data_DBD!$F:$F,$A108)</f>
        <v/>
      </c>
      <c r="H108" s="17" t="n">
        <v>49</v>
      </c>
      <c r="I108" s="17" t="n">
        <v>64</v>
      </c>
      <c r="J108" s="17" t="n">
        <v>5</v>
      </c>
      <c r="K108" s="17" t="n">
        <v>0</v>
      </c>
      <c r="L108" s="17" t="inlineStr">
        <is>
          <t>Sedang</t>
        </is>
      </c>
    </row>
    <row r="109" s="1">
      <c r="A109" s="17">
        <f>RANDBETWEEN(2,164)</f>
        <v/>
      </c>
      <c r="B109" s="17">
        <f t="array" ref="B109">INDEX(Data_DBD!$B:$B,$A109)</f>
        <v/>
      </c>
      <c r="C109" s="17">
        <f t="array" ref="C109">INDEX(Data_DBD!$C:$C,$A109)</f>
        <v/>
      </c>
      <c r="D109" s="17">
        <f t="array" ref="D109">INDEX(Data_DBD!$E:$E,$A109)</f>
        <v/>
      </c>
      <c r="E109" s="17">
        <f t="array" ref="E109">INDEX(Data_DBD!$F:$F,$A109)</f>
        <v/>
      </c>
      <c r="H109" s="17" t="n">
        <v>17</v>
      </c>
      <c r="I109" s="17" t="n">
        <v>2</v>
      </c>
      <c r="J109" s="17" t="n">
        <v>3</v>
      </c>
      <c r="K109" s="17" t="n">
        <v>0</v>
      </c>
      <c r="L109" s="17" t="inlineStr">
        <is>
          <t>Rendah</t>
        </is>
      </c>
    </row>
    <row r="110" s="1">
      <c r="A110" s="17">
        <f>RANDBETWEEN(2,164)</f>
        <v/>
      </c>
      <c r="B110" s="17">
        <f t="array" ref="B110">INDEX(Data_DBD!$B:$B,$A110)</f>
        <v/>
      </c>
      <c r="C110" s="17">
        <f t="array" ref="C110">INDEX(Data_DBD!$C:$C,$A110)</f>
        <v/>
      </c>
      <c r="D110" s="17">
        <f t="array" ref="D110">INDEX(Data_DBD!$E:$E,$A110)</f>
        <v/>
      </c>
      <c r="E110" s="17">
        <f t="array" ref="E110">INDEX(Data_DBD!$F:$F,$A110)</f>
        <v/>
      </c>
      <c r="H110" s="17" t="n">
        <v>70</v>
      </c>
      <c r="I110" s="17" t="n">
        <v>26</v>
      </c>
      <c r="J110" s="17" t="n">
        <v>3</v>
      </c>
      <c r="K110" s="17" t="n">
        <v>1</v>
      </c>
      <c r="L110" s="17" t="inlineStr">
        <is>
          <t>Sedang</t>
        </is>
      </c>
    </row>
    <row r="111" s="1">
      <c r="A111" s="17">
        <f>RANDBETWEEN(2,164)</f>
        <v/>
      </c>
      <c r="B111" s="17">
        <f t="array" ref="B111">INDEX(Data_DBD!$B:$B,$A111)</f>
        <v/>
      </c>
      <c r="C111" s="17">
        <f t="array" ref="C111">INDEX(Data_DBD!$C:$C,$A111)</f>
        <v/>
      </c>
      <c r="D111" s="17">
        <f t="array" ref="D111">INDEX(Data_DBD!$E:$E,$A111)</f>
        <v/>
      </c>
      <c r="E111" s="17">
        <f t="array" ref="E111">INDEX(Data_DBD!$F:$F,$A111)</f>
        <v/>
      </c>
      <c r="H111" s="17" t="n">
        <v>30</v>
      </c>
      <c r="I111" s="17" t="n">
        <v>3</v>
      </c>
      <c r="J111" s="17" t="n">
        <v>2</v>
      </c>
      <c r="K111" s="17" t="n">
        <v>1</v>
      </c>
      <c r="L111" s="17" t="inlineStr">
        <is>
          <t>Sedang</t>
        </is>
      </c>
    </row>
    <row r="112" s="1">
      <c r="A112" s="17">
        <f>RANDBETWEEN(2,164)</f>
        <v/>
      </c>
      <c r="B112" s="17">
        <f t="array" ref="B112">INDEX(Data_DBD!$B:$B,$A112)</f>
        <v/>
      </c>
      <c r="C112" s="17">
        <f t="array" ref="C112">INDEX(Data_DBD!$C:$C,$A112)</f>
        <v/>
      </c>
      <c r="D112" s="17">
        <f t="array" ref="D112">INDEX(Data_DBD!$E:$E,$A112)</f>
        <v/>
      </c>
      <c r="E112" s="17">
        <f t="array" ref="E112">INDEX(Data_DBD!$F:$F,$A112)</f>
        <v/>
      </c>
      <c r="H112" s="17" t="n">
        <v>72</v>
      </c>
      <c r="I112" s="17" t="n">
        <v>3</v>
      </c>
      <c r="J112" s="17" t="n">
        <v>5</v>
      </c>
      <c r="K112" s="17" t="n">
        <v>1</v>
      </c>
      <c r="L112" s="17" t="inlineStr">
        <is>
          <t>Sedang</t>
        </is>
      </c>
    </row>
    <row r="113" s="1">
      <c r="A113" s="17">
        <f>RANDBETWEEN(2,164)</f>
        <v/>
      </c>
      <c r="B113" s="17">
        <f t="array" ref="B113">INDEX(Data_DBD!$B:$B,$A113)</f>
        <v/>
      </c>
      <c r="C113" s="17">
        <f t="array" ref="C113">INDEX(Data_DBD!$C:$C,$A113)</f>
        <v/>
      </c>
      <c r="D113" s="17">
        <f t="array" ref="D113">INDEX(Data_DBD!$E:$E,$A113)</f>
        <v/>
      </c>
      <c r="E113" s="17">
        <f t="array" ref="E113">INDEX(Data_DBD!$F:$F,$A113)</f>
        <v/>
      </c>
      <c r="H113" s="17" t="n">
        <v>38</v>
      </c>
      <c r="I113" s="17" t="n">
        <v>52</v>
      </c>
      <c r="J113" s="17" t="n">
        <v>3</v>
      </c>
      <c r="K113" s="17" t="n">
        <v>1</v>
      </c>
      <c r="L113" s="17" t="inlineStr">
        <is>
          <t>Rendah</t>
        </is>
      </c>
    </row>
    <row r="114" s="1">
      <c r="A114" s="17">
        <f>RANDBETWEEN(2,164)</f>
        <v/>
      </c>
      <c r="B114" s="17">
        <f t="array" ref="B114">INDEX(Data_DBD!$B:$B,$A114)</f>
        <v/>
      </c>
      <c r="C114" s="17">
        <f t="array" ref="C114">INDEX(Data_DBD!$C:$C,$A114)</f>
        <v/>
      </c>
      <c r="D114" s="17">
        <f t="array" ref="D114">INDEX(Data_DBD!$E:$E,$A114)</f>
        <v/>
      </c>
      <c r="E114" s="17">
        <f t="array" ref="E114">INDEX(Data_DBD!$F:$F,$A114)</f>
        <v/>
      </c>
      <c r="H114" s="17" t="n">
        <v>70</v>
      </c>
      <c r="I114" s="17" t="n">
        <v>26</v>
      </c>
      <c r="J114" s="17" t="n">
        <v>3</v>
      </c>
      <c r="K114" s="17" t="n">
        <v>1</v>
      </c>
      <c r="L114" s="17" t="inlineStr">
        <is>
          <t>Sedang</t>
        </is>
      </c>
    </row>
    <row r="115" s="1">
      <c r="A115" s="17">
        <f>RANDBETWEEN(2,164)</f>
        <v/>
      </c>
      <c r="B115" s="17">
        <f t="array" ref="B115">INDEX(Data_DBD!$B:$B,$A115)</f>
        <v/>
      </c>
      <c r="C115" s="17">
        <f t="array" ref="C115">INDEX(Data_DBD!$C:$C,$A115)</f>
        <v/>
      </c>
      <c r="D115" s="17">
        <f t="array" ref="D115">INDEX(Data_DBD!$E:$E,$A115)</f>
        <v/>
      </c>
      <c r="E115" s="17">
        <f t="array" ref="E115">INDEX(Data_DBD!$F:$F,$A115)</f>
        <v/>
      </c>
      <c r="H115" s="17" t="n">
        <v>48</v>
      </c>
      <c r="I115" s="17" t="n">
        <v>50</v>
      </c>
      <c r="J115" s="17" t="n">
        <v>5</v>
      </c>
      <c r="K115" s="17" t="n">
        <v>1</v>
      </c>
      <c r="L115" s="17" t="inlineStr">
        <is>
          <t>Sedang</t>
        </is>
      </c>
    </row>
    <row r="116" s="1">
      <c r="A116" s="17">
        <f>RANDBETWEEN(2,164)</f>
        <v/>
      </c>
      <c r="B116" s="17">
        <f t="array" ref="B116">INDEX(Data_DBD!$B:$B,$A116)</f>
        <v/>
      </c>
      <c r="C116" s="17">
        <f t="array" ref="C116">INDEX(Data_DBD!$C:$C,$A116)</f>
        <v/>
      </c>
      <c r="D116" s="17">
        <f t="array" ref="D116">INDEX(Data_DBD!$E:$E,$A116)</f>
        <v/>
      </c>
      <c r="E116" s="17">
        <f t="array" ref="E116">INDEX(Data_DBD!$F:$F,$A116)</f>
        <v/>
      </c>
      <c r="H116" s="17" t="n">
        <v>89</v>
      </c>
      <c r="I116" s="17" t="n">
        <v>32</v>
      </c>
      <c r="J116" s="17" t="n">
        <v>4</v>
      </c>
      <c r="K116" s="17" t="n">
        <v>0</v>
      </c>
      <c r="L116" s="17" t="inlineStr">
        <is>
          <t>Sedang</t>
        </is>
      </c>
    </row>
    <row r="117" s="1">
      <c r="A117" s="17">
        <f>RANDBETWEEN(2,164)</f>
        <v/>
      </c>
      <c r="B117" s="17">
        <f t="array" ref="B117">INDEX(Data_DBD!$B:$B,$A117)</f>
        <v/>
      </c>
      <c r="C117" s="17">
        <f t="array" ref="C117">INDEX(Data_DBD!$C:$C,$A117)</f>
        <v/>
      </c>
      <c r="D117" s="17">
        <f t="array" ref="D117">INDEX(Data_DBD!$E:$E,$A117)</f>
        <v/>
      </c>
      <c r="E117" s="17">
        <f t="array" ref="E117">INDEX(Data_DBD!$F:$F,$A117)</f>
        <v/>
      </c>
      <c r="H117" s="17" t="n">
        <v>15</v>
      </c>
      <c r="I117" s="17" t="n">
        <v>21</v>
      </c>
      <c r="J117" s="17" t="n">
        <v>2</v>
      </c>
      <c r="K117" s="17" t="n">
        <v>0</v>
      </c>
      <c r="L117" s="17" t="inlineStr">
        <is>
          <t>Rendah</t>
        </is>
      </c>
    </row>
    <row r="118" s="1">
      <c r="A118" s="17">
        <f>RANDBETWEEN(2,164)</f>
        <v/>
      </c>
      <c r="B118" s="17">
        <f t="array" ref="B118">INDEX(Data_DBD!$B:$B,$A118)</f>
        <v/>
      </c>
      <c r="C118" s="17">
        <f t="array" ref="C118">INDEX(Data_DBD!$C:$C,$A118)</f>
        <v/>
      </c>
      <c r="D118" s="17">
        <f t="array" ref="D118">INDEX(Data_DBD!$E:$E,$A118)</f>
        <v/>
      </c>
      <c r="E118" s="17">
        <f t="array" ref="E118">INDEX(Data_DBD!$F:$F,$A118)</f>
        <v/>
      </c>
      <c r="H118" s="17" t="n">
        <v>7</v>
      </c>
      <c r="I118" s="17" t="n">
        <v>12</v>
      </c>
      <c r="J118" s="17" t="n">
        <v>1</v>
      </c>
      <c r="K118" s="17" t="n">
        <v>1</v>
      </c>
      <c r="L118" s="17" t="inlineStr">
        <is>
          <t>Sedang</t>
        </is>
      </c>
    </row>
    <row r="119" s="1">
      <c r="A119" s="17">
        <f>RANDBETWEEN(2,164)</f>
        <v/>
      </c>
      <c r="B119" s="17">
        <f t="array" ref="B119">INDEX(Data_DBD!$B:$B,$A119)</f>
        <v/>
      </c>
      <c r="C119" s="17">
        <f t="array" ref="C119">INDEX(Data_DBD!$C:$C,$A119)</f>
        <v/>
      </c>
      <c r="D119" s="17">
        <f t="array" ref="D119">INDEX(Data_DBD!$E:$E,$A119)</f>
        <v/>
      </c>
      <c r="E119" s="17">
        <f t="array" ref="E119">INDEX(Data_DBD!$F:$F,$A119)</f>
        <v/>
      </c>
      <c r="H119" s="17" t="n">
        <v>108</v>
      </c>
      <c r="I119" s="17" t="n">
        <v>69</v>
      </c>
      <c r="J119" s="17" t="n">
        <v>7</v>
      </c>
      <c r="K119" s="17" t="n">
        <v>1</v>
      </c>
      <c r="L119" s="17" t="inlineStr">
        <is>
          <t>Tinggi</t>
        </is>
      </c>
    </row>
    <row r="120" s="1">
      <c r="A120" s="17">
        <f>RANDBETWEEN(2,164)</f>
        <v/>
      </c>
      <c r="B120" s="17">
        <f t="array" ref="B120">INDEX(Data_DBD!$B:$B,$A120)</f>
        <v/>
      </c>
      <c r="C120" s="17">
        <f t="array" ref="C120">INDEX(Data_DBD!$C:$C,$A120)</f>
        <v/>
      </c>
      <c r="D120" s="17">
        <f t="array" ref="D120">INDEX(Data_DBD!$E:$E,$A120)</f>
        <v/>
      </c>
      <c r="E120" s="17">
        <f t="array" ref="E120">INDEX(Data_DBD!$F:$F,$A120)</f>
        <v/>
      </c>
      <c r="H120" s="17" t="n">
        <v>13</v>
      </c>
      <c r="I120" s="17" t="n">
        <v>47</v>
      </c>
      <c r="J120" s="17" t="n">
        <v>2</v>
      </c>
      <c r="K120" s="17" t="n">
        <v>0</v>
      </c>
      <c r="L120" s="17" t="inlineStr">
        <is>
          <t>Sedang</t>
        </is>
      </c>
    </row>
    <row r="121" s="1">
      <c r="A121" s="17">
        <f>RANDBETWEEN(2,164)</f>
        <v/>
      </c>
      <c r="B121" s="17">
        <f t="array" ref="B121">INDEX(Data_DBD!$B:$B,$A121)</f>
        <v/>
      </c>
      <c r="C121" s="17">
        <f t="array" ref="C121">INDEX(Data_DBD!$C:$C,$A121)</f>
        <v/>
      </c>
      <c r="D121" s="17">
        <f t="array" ref="D121">INDEX(Data_DBD!$E:$E,$A121)</f>
        <v/>
      </c>
      <c r="E121" s="17">
        <f t="array" ref="E121">INDEX(Data_DBD!$F:$F,$A121)</f>
        <v/>
      </c>
      <c r="H121" s="17" t="n">
        <v>150</v>
      </c>
      <c r="I121" s="17" t="n">
        <v>61</v>
      </c>
      <c r="J121" s="17" t="n">
        <v>5</v>
      </c>
      <c r="K121" s="17" t="n">
        <v>1</v>
      </c>
      <c r="L121" s="17" t="inlineStr">
        <is>
          <t>Tinggi</t>
        </is>
      </c>
    </row>
    <row r="122" s="1">
      <c r="A122" s="17">
        <f>RANDBETWEEN(2,164)</f>
        <v/>
      </c>
      <c r="B122" s="17">
        <f t="array" ref="B122">INDEX(Data_DBD!$B:$B,$A122)</f>
        <v/>
      </c>
      <c r="C122" s="17">
        <f t="array" ref="C122">INDEX(Data_DBD!$C:$C,$A122)</f>
        <v/>
      </c>
      <c r="D122" s="17">
        <f t="array" ref="D122">INDEX(Data_DBD!$E:$E,$A122)</f>
        <v/>
      </c>
      <c r="E122" s="17">
        <f t="array" ref="E122">INDEX(Data_DBD!$F:$F,$A122)</f>
        <v/>
      </c>
      <c r="H122" s="17" t="n">
        <v>55</v>
      </c>
      <c r="I122" s="17" t="n">
        <v>7</v>
      </c>
      <c r="J122" s="17" t="n">
        <v>4</v>
      </c>
      <c r="K122" s="17" t="n">
        <v>1</v>
      </c>
      <c r="L122" s="17" t="inlineStr">
        <is>
          <t>Sedang</t>
        </is>
      </c>
    </row>
    <row r="123" s="1">
      <c r="A123" s="17">
        <f>RANDBETWEEN(2,164)</f>
        <v/>
      </c>
      <c r="B123" s="17">
        <f t="array" ref="B123">INDEX(Data_DBD!$B:$B,$A123)</f>
        <v/>
      </c>
      <c r="C123" s="17">
        <f t="array" ref="C123">INDEX(Data_DBD!$C:$C,$A123)</f>
        <v/>
      </c>
      <c r="D123" s="17">
        <f t="array" ref="D123">INDEX(Data_DBD!$E:$E,$A123)</f>
        <v/>
      </c>
      <c r="E123" s="17">
        <f t="array" ref="E123">INDEX(Data_DBD!$F:$F,$A123)</f>
        <v/>
      </c>
      <c r="H123" s="17" t="n">
        <v>23</v>
      </c>
      <c r="I123" s="17" t="n">
        <v>28</v>
      </c>
      <c r="J123" s="17" t="n">
        <v>4</v>
      </c>
      <c r="K123" s="17" t="n">
        <v>1</v>
      </c>
      <c r="L123" s="17" t="inlineStr">
        <is>
          <t>Sedang</t>
        </is>
      </c>
    </row>
    <row r="124" s="1">
      <c r="A124" s="17">
        <f>RANDBETWEEN(2,164)</f>
        <v/>
      </c>
      <c r="B124" s="17">
        <f t="array" ref="B124">INDEX(Data_DBD!$B:$B,$A124)</f>
        <v/>
      </c>
      <c r="C124" s="17">
        <f t="array" ref="C124">INDEX(Data_DBD!$C:$C,$A124)</f>
        <v/>
      </c>
      <c r="D124" s="17">
        <f t="array" ref="D124">INDEX(Data_DBD!$E:$E,$A124)</f>
        <v/>
      </c>
      <c r="E124" s="17">
        <f t="array" ref="E124">INDEX(Data_DBD!$F:$F,$A124)</f>
        <v/>
      </c>
      <c r="H124" s="17" t="n">
        <v>70</v>
      </c>
      <c r="I124" s="17" t="n">
        <v>26</v>
      </c>
      <c r="J124" s="17" t="n">
        <v>3</v>
      </c>
      <c r="K124" s="17" t="n">
        <v>1</v>
      </c>
      <c r="L124" s="17" t="inlineStr">
        <is>
          <t>Sedang</t>
        </is>
      </c>
    </row>
    <row r="125" s="1">
      <c r="A125" s="17">
        <f>RANDBETWEEN(2,164)</f>
        <v/>
      </c>
      <c r="B125" s="17">
        <f t="array" ref="B125">INDEX(Data_DBD!$B:$B,$A125)</f>
        <v/>
      </c>
      <c r="C125" s="17">
        <f t="array" ref="C125">INDEX(Data_DBD!$C:$C,$A125)</f>
        <v/>
      </c>
      <c r="D125" s="17">
        <f t="array" ref="D125">INDEX(Data_DBD!$E:$E,$A125)</f>
        <v/>
      </c>
      <c r="E125" s="17">
        <f t="array" ref="E125">INDEX(Data_DBD!$F:$F,$A125)</f>
        <v/>
      </c>
      <c r="H125" s="17" t="n">
        <v>135</v>
      </c>
      <c r="I125" s="17" t="n">
        <v>10</v>
      </c>
      <c r="J125" s="17" t="n">
        <v>2</v>
      </c>
      <c r="K125" s="17" t="n">
        <v>0</v>
      </c>
      <c r="L125" s="17" t="inlineStr">
        <is>
          <t>Tinggi</t>
        </is>
      </c>
    </row>
    <row r="126" s="1">
      <c r="A126" s="17">
        <f>RANDBETWEEN(2,164)</f>
        <v/>
      </c>
      <c r="B126" s="17">
        <f t="array" ref="B126">INDEX(Data_DBD!$B:$B,$A126)</f>
        <v/>
      </c>
      <c r="C126" s="17">
        <f t="array" ref="C126">INDEX(Data_DBD!$C:$C,$A126)</f>
        <v/>
      </c>
      <c r="D126" s="17">
        <f t="array" ref="D126">INDEX(Data_DBD!$E:$E,$A126)</f>
        <v/>
      </c>
      <c r="E126" s="17">
        <f t="array" ref="E126">INDEX(Data_DBD!$F:$F,$A126)</f>
        <v/>
      </c>
      <c r="H126" s="17" t="n">
        <v>133</v>
      </c>
      <c r="I126" s="17" t="n">
        <v>6</v>
      </c>
      <c r="J126" s="17" t="n">
        <v>4</v>
      </c>
      <c r="K126" s="17" t="n">
        <v>0</v>
      </c>
      <c r="L126" s="17" t="inlineStr">
        <is>
          <t>Tinggi</t>
        </is>
      </c>
    </row>
    <row r="127" s="1">
      <c r="A127" s="17">
        <f>RANDBETWEEN(2,164)</f>
        <v/>
      </c>
      <c r="B127" s="17">
        <f t="array" ref="B127">INDEX(Data_DBD!$B:$B,$A127)</f>
        <v/>
      </c>
      <c r="C127" s="17">
        <f t="array" ref="C127">INDEX(Data_DBD!$C:$C,$A127)</f>
        <v/>
      </c>
      <c r="D127" s="17">
        <f t="array" ref="D127">INDEX(Data_DBD!$E:$E,$A127)</f>
        <v/>
      </c>
      <c r="E127" s="17">
        <f t="array" ref="E127">INDEX(Data_DBD!$F:$F,$A127)</f>
        <v/>
      </c>
      <c r="H127" s="17" t="n">
        <v>88</v>
      </c>
      <c r="I127" s="17" t="n">
        <v>20</v>
      </c>
      <c r="J127" s="17" t="n">
        <v>4</v>
      </c>
      <c r="K127" s="17" t="n">
        <v>1</v>
      </c>
      <c r="L127" s="17" t="inlineStr">
        <is>
          <t>Sedang</t>
        </is>
      </c>
    </row>
    <row r="128" s="1">
      <c r="A128" s="17">
        <f>RANDBETWEEN(2,164)</f>
        <v/>
      </c>
      <c r="B128" s="17">
        <f t="array" ref="B128">INDEX(Data_DBD!$B:$B,$A128)</f>
        <v/>
      </c>
      <c r="C128" s="17">
        <f t="array" ref="C128">INDEX(Data_DBD!$C:$C,$A128)</f>
        <v/>
      </c>
      <c r="D128" s="17">
        <f t="array" ref="D128">INDEX(Data_DBD!$E:$E,$A128)</f>
        <v/>
      </c>
      <c r="E128" s="17">
        <f t="array" ref="E128">INDEX(Data_DBD!$F:$F,$A128)</f>
        <v/>
      </c>
      <c r="H128" s="17" t="n">
        <v>93</v>
      </c>
      <c r="I128" s="17" t="n">
        <v>65</v>
      </c>
      <c r="J128" s="17" t="n">
        <v>4</v>
      </c>
      <c r="K128" s="17" t="n">
        <v>0</v>
      </c>
      <c r="L128" s="17" t="inlineStr">
        <is>
          <t>Tinggi</t>
        </is>
      </c>
    </row>
    <row r="129" s="1">
      <c r="A129" s="17">
        <f>RANDBETWEEN(2,164)</f>
        <v/>
      </c>
      <c r="B129" s="17">
        <f t="array" ref="B129">INDEX(Data_DBD!$B:$B,$A129)</f>
        <v/>
      </c>
      <c r="C129" s="17">
        <f t="array" ref="C129">INDEX(Data_DBD!$C:$C,$A129)</f>
        <v/>
      </c>
      <c r="D129" s="17">
        <f t="array" ref="D129">INDEX(Data_DBD!$E:$E,$A129)</f>
        <v/>
      </c>
      <c r="E129" s="17">
        <f t="array" ref="E129">INDEX(Data_DBD!$F:$F,$A129)</f>
        <v/>
      </c>
      <c r="H129" s="17" t="n">
        <v>101</v>
      </c>
      <c r="I129" s="17" t="n">
        <v>42</v>
      </c>
      <c r="J129" s="17" t="n">
        <v>5</v>
      </c>
      <c r="K129" s="17" t="n">
        <v>0</v>
      </c>
      <c r="L129" s="17" t="inlineStr">
        <is>
          <t>Tinggi</t>
        </is>
      </c>
    </row>
    <row r="130" s="1">
      <c r="A130" s="17">
        <f>RANDBETWEEN(2,164)</f>
        <v/>
      </c>
      <c r="B130" s="17">
        <f t="array" ref="B130">INDEX(Data_DBD!$B:$B,$A130)</f>
        <v/>
      </c>
      <c r="C130" s="17">
        <f t="array" ref="C130">INDEX(Data_DBD!$C:$C,$A130)</f>
        <v/>
      </c>
      <c r="D130" s="17">
        <f t="array" ref="D130">INDEX(Data_DBD!$E:$E,$A130)</f>
        <v/>
      </c>
      <c r="E130" s="17">
        <f t="array" ref="E130">INDEX(Data_DBD!$F:$F,$A130)</f>
        <v/>
      </c>
      <c r="H130" s="17" t="n">
        <v>30</v>
      </c>
      <c r="I130" s="17" t="n">
        <v>3</v>
      </c>
      <c r="J130" s="17" t="n">
        <v>2</v>
      </c>
      <c r="K130" s="17" t="n">
        <v>1</v>
      </c>
      <c r="L130" s="17" t="inlineStr">
        <is>
          <t>Sedang</t>
        </is>
      </c>
    </row>
    <row r="131" s="1">
      <c r="A131" s="17">
        <f>RANDBETWEEN(2,164)</f>
        <v/>
      </c>
      <c r="B131" s="17">
        <f t="array" ref="B131">INDEX(Data_DBD!$B:$B,$A131)</f>
        <v/>
      </c>
      <c r="C131" s="17">
        <f t="array" ref="C131">INDEX(Data_DBD!$C:$C,$A131)</f>
        <v/>
      </c>
      <c r="D131" s="17">
        <f t="array" ref="D131">INDEX(Data_DBD!$E:$E,$A131)</f>
        <v/>
      </c>
      <c r="E131" s="17">
        <f t="array" ref="E131">INDEX(Data_DBD!$F:$F,$A131)</f>
        <v/>
      </c>
      <c r="H131" s="17" t="n">
        <v>158</v>
      </c>
      <c r="I131" s="17" t="n">
        <v>5</v>
      </c>
      <c r="J131" s="17" t="n">
        <v>2</v>
      </c>
      <c r="K131" s="17" t="n">
        <v>0</v>
      </c>
      <c r="L131" s="17" t="inlineStr">
        <is>
          <t>Tinggi</t>
        </is>
      </c>
    </row>
    <row r="132" s="1">
      <c r="A132" s="17">
        <f>RANDBETWEEN(2,164)</f>
        <v/>
      </c>
      <c r="B132" s="17">
        <f t="array" ref="B132">INDEX(Data_DBD!$B:$B,$A132)</f>
        <v/>
      </c>
      <c r="C132" s="17">
        <f t="array" ref="C132">INDEX(Data_DBD!$C:$C,$A132)</f>
        <v/>
      </c>
      <c r="D132" s="17">
        <f t="array" ref="D132">INDEX(Data_DBD!$E:$E,$A132)</f>
        <v/>
      </c>
      <c r="E132" s="17">
        <f t="array" ref="E132">INDEX(Data_DBD!$F:$F,$A132)</f>
        <v/>
      </c>
      <c r="H132" s="17" t="n">
        <v>27</v>
      </c>
      <c r="I132" s="17" t="n">
        <v>37</v>
      </c>
      <c r="J132" s="17" t="n">
        <v>4</v>
      </c>
      <c r="K132" s="17" t="n">
        <v>1</v>
      </c>
      <c r="L132" s="17" t="inlineStr">
        <is>
          <t>Sedang</t>
        </is>
      </c>
    </row>
    <row r="133" s="1">
      <c r="A133" s="17">
        <f>RANDBETWEEN(2,164)</f>
        <v/>
      </c>
      <c r="B133" s="17">
        <f t="array" ref="B133">INDEX(Data_DBD!$B:$B,$A133)</f>
        <v/>
      </c>
      <c r="C133" s="17">
        <f t="array" ref="C133">INDEX(Data_DBD!$C:$C,$A133)</f>
        <v/>
      </c>
      <c r="D133" s="17">
        <f t="array" ref="D133">INDEX(Data_DBD!$E:$E,$A133)</f>
        <v/>
      </c>
      <c r="E133" s="17">
        <f t="array" ref="E133">INDEX(Data_DBD!$F:$F,$A133)</f>
        <v/>
      </c>
      <c r="H133" s="17" t="n">
        <v>119</v>
      </c>
      <c r="I133" s="17" t="n">
        <v>30</v>
      </c>
      <c r="J133" s="17" t="n">
        <v>7</v>
      </c>
      <c r="K133" s="17" t="n">
        <v>0</v>
      </c>
      <c r="L133" s="17" t="inlineStr">
        <is>
          <t>Tinggi</t>
        </is>
      </c>
    </row>
    <row r="134" s="1">
      <c r="A134" s="17">
        <f>RANDBETWEEN(2,164)</f>
        <v/>
      </c>
      <c r="B134" s="17">
        <f t="array" ref="B134">INDEX(Data_DBD!$B:$B,$A134)</f>
        <v/>
      </c>
      <c r="C134" s="17">
        <f t="array" ref="C134">INDEX(Data_DBD!$C:$C,$A134)</f>
        <v/>
      </c>
      <c r="D134" s="17">
        <f t="array" ref="D134">INDEX(Data_DBD!$E:$E,$A134)</f>
        <v/>
      </c>
      <c r="E134" s="17">
        <f t="array" ref="E134">INDEX(Data_DBD!$F:$F,$A134)</f>
        <v/>
      </c>
      <c r="H134" s="17" t="n">
        <v>146</v>
      </c>
      <c r="I134" s="17" t="n">
        <v>34</v>
      </c>
      <c r="J134" s="17" t="n">
        <v>2</v>
      </c>
      <c r="K134" s="17" t="n">
        <v>1</v>
      </c>
      <c r="L134" s="17" t="inlineStr">
        <is>
          <t>Tinggi</t>
        </is>
      </c>
    </row>
    <row r="135" s="1">
      <c r="A135" s="17">
        <f>RANDBETWEEN(2,164)</f>
        <v/>
      </c>
      <c r="B135" s="17">
        <f t="array" ref="B135">INDEX(Data_DBD!$B:$B,$A135)</f>
        <v/>
      </c>
      <c r="C135" s="17">
        <f t="array" ref="C135">INDEX(Data_DBD!$C:$C,$A135)</f>
        <v/>
      </c>
      <c r="D135" s="17">
        <f t="array" ref="D135">INDEX(Data_DBD!$E:$E,$A135)</f>
        <v/>
      </c>
      <c r="E135" s="17">
        <f t="array" ref="E135">INDEX(Data_DBD!$F:$F,$A135)</f>
        <v/>
      </c>
      <c r="H135" s="17" t="n">
        <v>42</v>
      </c>
      <c r="I135" s="17" t="n">
        <v>21</v>
      </c>
      <c r="J135" s="17" t="n">
        <v>5</v>
      </c>
      <c r="K135" s="17" t="n">
        <v>1</v>
      </c>
      <c r="L135" s="17" t="inlineStr">
        <is>
          <t>Sedang</t>
        </is>
      </c>
    </row>
    <row r="136" s="1">
      <c r="A136" s="17">
        <f>RANDBETWEEN(2,164)</f>
        <v/>
      </c>
      <c r="B136" s="17">
        <f t="array" ref="B136">INDEX(Data_DBD!$B:$B,$A136)</f>
        <v/>
      </c>
      <c r="C136" s="17">
        <f t="array" ref="C136">INDEX(Data_DBD!$C:$C,$A136)</f>
        <v/>
      </c>
      <c r="D136" s="17">
        <f t="array" ref="D136">INDEX(Data_DBD!$E:$E,$A136)</f>
        <v/>
      </c>
      <c r="E136" s="17">
        <f t="array" ref="E136">INDEX(Data_DBD!$F:$F,$A136)</f>
        <v/>
      </c>
      <c r="H136" s="17" t="n">
        <v>153</v>
      </c>
      <c r="I136" s="17" t="n">
        <v>73</v>
      </c>
      <c r="J136" s="17" t="n">
        <v>7</v>
      </c>
      <c r="K136" s="17" t="n">
        <v>1</v>
      </c>
      <c r="L136" s="17" t="inlineStr">
        <is>
          <t>Tinggi</t>
        </is>
      </c>
    </row>
    <row r="137" s="1">
      <c r="A137" s="17">
        <f>RANDBETWEEN(2,164)</f>
        <v/>
      </c>
      <c r="B137" s="17">
        <f t="array" ref="B137">INDEX(Data_DBD!$B:$B,$A137)</f>
        <v/>
      </c>
      <c r="C137" s="17">
        <f t="array" ref="C137">INDEX(Data_DBD!$C:$C,$A137)</f>
        <v/>
      </c>
      <c r="D137" s="17">
        <f t="array" ref="D137">INDEX(Data_DBD!$E:$E,$A137)</f>
        <v/>
      </c>
      <c r="E137" s="17">
        <f t="array" ref="E137">INDEX(Data_DBD!$F:$F,$A137)</f>
        <v/>
      </c>
      <c r="H137" s="17" t="n">
        <v>58</v>
      </c>
      <c r="I137" s="17" t="n">
        <v>17</v>
      </c>
      <c r="J137" s="17" t="n">
        <v>3</v>
      </c>
      <c r="K137" s="17" t="n">
        <v>0</v>
      </c>
      <c r="L137" s="17" t="inlineStr">
        <is>
          <t>Sedang</t>
        </is>
      </c>
    </row>
    <row r="138" s="1">
      <c r="A138" s="17">
        <f>RANDBETWEEN(2,164)</f>
        <v/>
      </c>
      <c r="B138" s="17">
        <f t="array" ref="B138">INDEX(Data_DBD!$B:$B,$A138)</f>
        <v/>
      </c>
      <c r="C138" s="17">
        <f t="array" ref="C138">INDEX(Data_DBD!$C:$C,$A138)</f>
        <v/>
      </c>
      <c r="D138" s="17">
        <f t="array" ref="D138">INDEX(Data_DBD!$E:$E,$A138)</f>
        <v/>
      </c>
      <c r="E138" s="17">
        <f t="array" ref="E138">INDEX(Data_DBD!$F:$F,$A138)</f>
        <v/>
      </c>
      <c r="H138" s="17" t="n">
        <v>143</v>
      </c>
      <c r="I138" s="17" t="n">
        <v>20</v>
      </c>
      <c r="J138" s="17" t="n">
        <v>4</v>
      </c>
      <c r="K138" s="17" t="n">
        <v>1</v>
      </c>
      <c r="L138" s="17" t="inlineStr">
        <is>
          <t>Tinggi</t>
        </is>
      </c>
    </row>
    <row r="139" s="1">
      <c r="A139" s="17">
        <f>RANDBETWEEN(2,164)</f>
        <v/>
      </c>
      <c r="B139" s="17">
        <f t="array" ref="B139">INDEX(Data_DBD!$B:$B,$A139)</f>
        <v/>
      </c>
      <c r="C139" s="17">
        <f t="array" ref="C139">INDEX(Data_DBD!$C:$C,$A139)</f>
        <v/>
      </c>
      <c r="D139" s="17">
        <f t="array" ref="D139">INDEX(Data_DBD!$E:$E,$A139)</f>
        <v/>
      </c>
      <c r="E139" s="17">
        <f t="array" ref="E139">INDEX(Data_DBD!$F:$F,$A139)</f>
        <v/>
      </c>
      <c r="H139" s="17" t="n">
        <v>129</v>
      </c>
      <c r="I139" s="17" t="n">
        <v>4</v>
      </c>
      <c r="J139" s="17" t="n">
        <v>3</v>
      </c>
      <c r="K139" s="17" t="n">
        <v>0</v>
      </c>
      <c r="L139" s="17" t="inlineStr">
        <is>
          <t>Tinggi</t>
        </is>
      </c>
    </row>
    <row r="140" s="1">
      <c r="A140" s="17">
        <f>RANDBETWEEN(2,164)</f>
        <v/>
      </c>
      <c r="B140" s="17">
        <f t="array" ref="B140">INDEX(Data_DBD!$B:$B,$A140)</f>
        <v/>
      </c>
      <c r="C140" s="17">
        <f t="array" ref="C140">INDEX(Data_DBD!$C:$C,$A140)</f>
        <v/>
      </c>
      <c r="D140" s="17">
        <f t="array" ref="D140">INDEX(Data_DBD!$E:$E,$A140)</f>
        <v/>
      </c>
      <c r="E140" s="17">
        <f t="array" ref="E140">INDEX(Data_DBD!$F:$F,$A140)</f>
        <v/>
      </c>
      <c r="H140" s="17" t="n">
        <v>2</v>
      </c>
      <c r="I140" s="17" t="n">
        <v>34</v>
      </c>
      <c r="J140" s="17" t="n">
        <v>3</v>
      </c>
      <c r="K140" s="17" t="n">
        <v>0</v>
      </c>
      <c r="L140" s="17" t="inlineStr">
        <is>
          <t>Sedang</t>
        </is>
      </c>
    </row>
    <row r="141" s="1">
      <c r="A141" s="17">
        <f>RANDBETWEEN(2,164)</f>
        <v/>
      </c>
      <c r="B141" s="17">
        <f t="array" ref="B141">INDEX(Data_DBD!$B:$B,$A141)</f>
        <v/>
      </c>
      <c r="C141" s="17">
        <f t="array" ref="C141">INDEX(Data_DBD!$C:$C,$A141)</f>
        <v/>
      </c>
      <c r="D141" s="17">
        <f t="array" ref="D141">INDEX(Data_DBD!$E:$E,$A141)</f>
        <v/>
      </c>
      <c r="E141" s="17">
        <f t="array" ref="E141">INDEX(Data_DBD!$F:$F,$A141)</f>
        <v/>
      </c>
      <c r="H141" s="17" t="n">
        <v>128</v>
      </c>
      <c r="I141" s="17" t="n">
        <v>38</v>
      </c>
      <c r="J141" s="17" t="n">
        <v>2</v>
      </c>
      <c r="K141" s="17" t="n">
        <v>0</v>
      </c>
      <c r="L141" s="17" t="inlineStr">
        <is>
          <t>Tinggi</t>
        </is>
      </c>
    </row>
    <row r="142" s="1">
      <c r="A142" s="17">
        <f>RANDBETWEEN(2,164)</f>
        <v/>
      </c>
      <c r="B142" s="17">
        <f t="array" ref="B142">INDEX(Data_DBD!$B:$B,$A142)</f>
        <v/>
      </c>
      <c r="C142" s="17">
        <f t="array" ref="C142">INDEX(Data_DBD!$C:$C,$A142)</f>
        <v/>
      </c>
      <c r="D142" s="17">
        <f t="array" ref="D142">INDEX(Data_DBD!$E:$E,$A142)</f>
        <v/>
      </c>
      <c r="E142" s="17">
        <f t="array" ref="E142">INDEX(Data_DBD!$F:$F,$A142)</f>
        <v/>
      </c>
      <c r="H142" s="17" t="n">
        <v>46</v>
      </c>
      <c r="I142" s="17" t="n">
        <v>62</v>
      </c>
      <c r="J142" s="17" t="n">
        <v>2</v>
      </c>
      <c r="K142" s="17" t="n">
        <v>0</v>
      </c>
      <c r="L142" s="17" t="inlineStr">
        <is>
          <t>Sedang</t>
        </is>
      </c>
    </row>
    <row r="143" s="1">
      <c r="A143" s="17">
        <f>RANDBETWEEN(2,164)</f>
        <v/>
      </c>
      <c r="B143" s="17">
        <f t="array" ref="B143">INDEX(Data_DBD!$B:$B,$A143)</f>
        <v/>
      </c>
      <c r="C143" s="17">
        <f t="array" ref="C143">INDEX(Data_DBD!$C:$C,$A143)</f>
        <v/>
      </c>
      <c r="D143" s="17">
        <f t="array" ref="D143">INDEX(Data_DBD!$E:$E,$A143)</f>
        <v/>
      </c>
      <c r="E143" s="17">
        <f t="array" ref="E143">INDEX(Data_DBD!$F:$F,$A143)</f>
        <v/>
      </c>
      <c r="H143" s="17" t="n">
        <v>102</v>
      </c>
      <c r="I143" s="17" t="n">
        <v>41</v>
      </c>
      <c r="J143" s="17" t="n">
        <v>4</v>
      </c>
      <c r="K143" s="17" t="n">
        <v>0</v>
      </c>
      <c r="L143" s="17" t="inlineStr">
        <is>
          <t>Tinggi</t>
        </is>
      </c>
    </row>
    <row r="144" s="1">
      <c r="A144" s="17">
        <f>RANDBETWEEN(2,164)</f>
        <v/>
      </c>
      <c r="B144" s="17">
        <f t="array" ref="B144">INDEX(Data_DBD!$B:$B,$A144)</f>
        <v/>
      </c>
      <c r="C144" s="17">
        <f t="array" ref="C144">INDEX(Data_DBD!$C:$C,$A144)</f>
        <v/>
      </c>
      <c r="D144" s="17">
        <f t="array" ref="D144">INDEX(Data_DBD!$E:$E,$A144)</f>
        <v/>
      </c>
      <c r="E144" s="17">
        <f t="array" ref="E144">INDEX(Data_DBD!$F:$F,$A144)</f>
        <v/>
      </c>
      <c r="H144" s="17" t="n">
        <v>45</v>
      </c>
      <c r="I144" s="17" t="n">
        <v>75</v>
      </c>
      <c r="J144" s="17" t="n">
        <v>3</v>
      </c>
      <c r="K144" s="17" t="n">
        <v>1</v>
      </c>
      <c r="L144" s="17" t="inlineStr">
        <is>
          <t>Sedang</t>
        </is>
      </c>
    </row>
    <row r="145" s="1">
      <c r="A145" s="17">
        <f>RANDBETWEEN(2,164)</f>
        <v/>
      </c>
      <c r="B145" s="17">
        <f t="array" ref="B145">INDEX(Data_DBD!$B:$B,$A145)</f>
        <v/>
      </c>
      <c r="C145" s="17">
        <f t="array" ref="C145">INDEX(Data_DBD!$C:$C,$A145)</f>
        <v/>
      </c>
      <c r="D145" s="17">
        <f t="array" ref="D145">INDEX(Data_DBD!$E:$E,$A145)</f>
        <v/>
      </c>
      <c r="E145" s="17">
        <f t="array" ref="E145">INDEX(Data_DBD!$F:$F,$A145)</f>
        <v/>
      </c>
      <c r="H145" s="17" t="n">
        <v>12</v>
      </c>
      <c r="I145" s="17" t="n">
        <v>23</v>
      </c>
      <c r="J145" s="17" t="n">
        <v>3</v>
      </c>
      <c r="K145" s="17" t="n">
        <v>0</v>
      </c>
      <c r="L145" s="17" t="inlineStr">
        <is>
          <t>Sedang</t>
        </is>
      </c>
    </row>
    <row r="146" s="1">
      <c r="A146" s="17">
        <f>RANDBETWEEN(2,164)</f>
        <v/>
      </c>
      <c r="B146" s="17">
        <f t="array" ref="B146">INDEX(Data_DBD!$B:$B,$A146)</f>
        <v/>
      </c>
      <c r="C146" s="17">
        <f t="array" ref="C146">INDEX(Data_DBD!$C:$C,$A146)</f>
        <v/>
      </c>
      <c r="D146" s="17">
        <f t="array" ref="D146">INDEX(Data_DBD!$E:$E,$A146)</f>
        <v/>
      </c>
      <c r="E146" s="17">
        <f t="array" ref="E146">INDEX(Data_DBD!$F:$F,$A146)</f>
        <v/>
      </c>
      <c r="H146" s="17" t="n">
        <v>81</v>
      </c>
      <c r="I146" s="17" t="n">
        <v>23</v>
      </c>
      <c r="J146" s="17" t="n">
        <v>5</v>
      </c>
      <c r="K146" s="17" t="n">
        <v>1</v>
      </c>
      <c r="L146" s="17" t="inlineStr">
        <is>
          <t>Sedang</t>
        </is>
      </c>
    </row>
    <row r="147" s="1">
      <c r="A147" s="17">
        <f>RANDBETWEEN(2,164)</f>
        <v/>
      </c>
      <c r="B147" s="17">
        <f t="array" ref="B147">INDEX(Data_DBD!$B:$B,$A147)</f>
        <v/>
      </c>
      <c r="C147" s="17">
        <f t="array" ref="C147">INDEX(Data_DBD!$C:$C,$A147)</f>
        <v/>
      </c>
      <c r="D147" s="17">
        <f t="array" ref="D147">INDEX(Data_DBD!$E:$E,$A147)</f>
        <v/>
      </c>
      <c r="E147" s="17">
        <f t="array" ref="E147">INDEX(Data_DBD!$F:$F,$A147)</f>
        <v/>
      </c>
      <c r="H147" s="17" t="n">
        <v>36</v>
      </c>
      <c r="I147" s="17" t="n">
        <v>27</v>
      </c>
      <c r="J147" s="17" t="n">
        <v>1</v>
      </c>
      <c r="K147" s="17" t="n">
        <v>1</v>
      </c>
      <c r="L147" s="17" t="inlineStr">
        <is>
          <t>Rendah</t>
        </is>
      </c>
    </row>
    <row r="148" s="1">
      <c r="A148" s="17">
        <f>RANDBETWEEN(2,164)</f>
        <v/>
      </c>
      <c r="B148" s="17">
        <f t="array" ref="B148">INDEX(Data_DBD!$B:$B,$A148)</f>
        <v/>
      </c>
      <c r="C148" s="17">
        <f t="array" ref="C148">INDEX(Data_DBD!$C:$C,$A148)</f>
        <v/>
      </c>
      <c r="D148" s="17">
        <f t="array" ref="D148">INDEX(Data_DBD!$E:$E,$A148)</f>
        <v/>
      </c>
      <c r="E148" s="17">
        <f t="array" ref="E148">INDEX(Data_DBD!$F:$F,$A148)</f>
        <v/>
      </c>
      <c r="H148" s="17" t="n">
        <v>140</v>
      </c>
      <c r="I148" s="17" t="n">
        <v>74</v>
      </c>
      <c r="J148" s="17" t="n">
        <v>5</v>
      </c>
      <c r="K148" s="17" t="n">
        <v>1</v>
      </c>
      <c r="L148" s="17" t="inlineStr">
        <is>
          <t>Tinggi</t>
        </is>
      </c>
    </row>
    <row r="149" s="1">
      <c r="A149" s="17">
        <f>RANDBETWEEN(2,164)</f>
        <v/>
      </c>
      <c r="B149" s="17">
        <f t="array" ref="B149">INDEX(Data_DBD!$B:$B,$A149)</f>
        <v/>
      </c>
      <c r="C149" s="17">
        <f t="array" ref="C149">INDEX(Data_DBD!$C:$C,$A149)</f>
        <v/>
      </c>
      <c r="D149" s="17">
        <f t="array" ref="D149">INDEX(Data_DBD!$E:$E,$A149)</f>
        <v/>
      </c>
      <c r="E149" s="17">
        <f t="array" ref="E149">INDEX(Data_DBD!$F:$F,$A149)</f>
        <v/>
      </c>
      <c r="H149" s="17" t="n">
        <v>91</v>
      </c>
      <c r="I149" s="17" t="n">
        <v>35</v>
      </c>
      <c r="J149" s="17" t="n">
        <v>1</v>
      </c>
      <c r="K149" s="17" t="n">
        <v>1</v>
      </c>
      <c r="L149" s="17" t="inlineStr">
        <is>
          <t>Tinggi</t>
        </is>
      </c>
    </row>
    <row r="150" s="1">
      <c r="A150" s="17">
        <f>RANDBETWEEN(2,164)</f>
        <v/>
      </c>
      <c r="B150" s="17">
        <f t="array" ref="B150">INDEX(Data_DBD!$B:$B,$A150)</f>
        <v/>
      </c>
      <c r="C150" s="17">
        <f t="array" ref="C150">INDEX(Data_DBD!$C:$C,$A150)</f>
        <v/>
      </c>
      <c r="D150" s="17">
        <f t="array" ref="D150">INDEX(Data_DBD!$E:$E,$A150)</f>
        <v/>
      </c>
      <c r="E150" s="17">
        <f t="array" ref="E150">INDEX(Data_DBD!$F:$F,$A150)</f>
        <v/>
      </c>
      <c r="H150" s="17" t="n">
        <v>57</v>
      </c>
      <c r="I150" s="17" t="n">
        <v>2</v>
      </c>
      <c r="J150" s="17" t="n">
        <v>2</v>
      </c>
      <c r="K150" s="17" t="n">
        <v>1</v>
      </c>
      <c r="L150" s="17" t="inlineStr">
        <is>
          <t>Sedang</t>
        </is>
      </c>
    </row>
    <row r="151" s="1">
      <c r="A151" s="17">
        <f>RANDBETWEEN(2,164)</f>
        <v/>
      </c>
      <c r="B151" s="17">
        <f t="array" ref="B151">INDEX(Data_DBD!$B:$B,$A151)</f>
        <v/>
      </c>
      <c r="C151" s="17">
        <f t="array" ref="C151">INDEX(Data_DBD!$C:$C,$A151)</f>
        <v/>
      </c>
      <c r="D151" s="17">
        <f t="array" ref="D151">INDEX(Data_DBD!$E:$E,$A151)</f>
        <v/>
      </c>
      <c r="E151" s="17">
        <f t="array" ref="E151">INDEX(Data_DBD!$F:$F,$A151)</f>
        <v/>
      </c>
      <c r="H151" s="17" t="n">
        <v>29</v>
      </c>
      <c r="I151" s="17" t="n">
        <v>19</v>
      </c>
      <c r="J151" s="17" t="n">
        <v>2</v>
      </c>
      <c r="K151" s="17" t="n">
        <v>1</v>
      </c>
      <c r="L151" s="17" t="inlineStr">
        <is>
          <t>Sedang</t>
        </is>
      </c>
    </row>
    <row r="152" s="1">
      <c r="A152" s="17">
        <f>RANDBETWEEN(2,164)</f>
        <v/>
      </c>
      <c r="B152" s="17">
        <f t="array" ref="B152">INDEX(Data_DBD!$B:$B,$A152)</f>
        <v/>
      </c>
      <c r="C152" s="17">
        <f t="array" ref="C152">INDEX(Data_DBD!$C:$C,$A152)</f>
        <v/>
      </c>
      <c r="D152" s="17">
        <f t="array" ref="D152">INDEX(Data_DBD!$E:$E,$A152)</f>
        <v/>
      </c>
      <c r="E152" s="17">
        <f t="array" ref="E152">INDEX(Data_DBD!$F:$F,$A152)</f>
        <v/>
      </c>
      <c r="H152" s="17" t="n">
        <v>163</v>
      </c>
      <c r="I152" s="17" t="n">
        <v>34</v>
      </c>
      <c r="J152" s="17" t="n">
        <v>4</v>
      </c>
      <c r="K152" s="17" t="n">
        <v>1</v>
      </c>
      <c r="L152" s="17" t="inlineStr">
        <is>
          <t>Rendah</t>
        </is>
      </c>
    </row>
    <row r="153" s="1">
      <c r="A153" s="17">
        <f>RANDBETWEEN(2,164)</f>
        <v/>
      </c>
      <c r="B153" s="17">
        <f t="array" ref="B153">INDEX(Data_DBD!$B:$B,$A153)</f>
        <v/>
      </c>
      <c r="C153" s="17">
        <f t="array" ref="C153">INDEX(Data_DBD!$C:$C,$A153)</f>
        <v/>
      </c>
      <c r="D153" s="17">
        <f t="array" ref="D153">INDEX(Data_DBD!$E:$E,$A153)</f>
        <v/>
      </c>
      <c r="E153" s="17">
        <f t="array" ref="E153">INDEX(Data_DBD!$F:$F,$A153)</f>
        <v/>
      </c>
      <c r="H153" s="17" t="n">
        <v>57</v>
      </c>
      <c r="I153" s="17" t="n">
        <v>2</v>
      </c>
      <c r="J153" s="17" t="n">
        <v>2</v>
      </c>
      <c r="K153" s="17" t="n">
        <v>1</v>
      </c>
      <c r="L153" s="17" t="inlineStr">
        <is>
          <t>Sedang</t>
        </is>
      </c>
    </row>
    <row r="154" s="1">
      <c r="A154" s="17">
        <f>RANDBETWEEN(2,164)</f>
        <v/>
      </c>
      <c r="B154" s="17">
        <f t="array" ref="B154">INDEX(Data_DBD!$B:$B,$A154)</f>
        <v/>
      </c>
      <c r="C154" s="17">
        <f t="array" ref="C154">INDEX(Data_DBD!$C:$C,$A154)</f>
        <v/>
      </c>
      <c r="D154" s="17">
        <f t="array" ref="D154">INDEX(Data_DBD!$E:$E,$A154)</f>
        <v/>
      </c>
      <c r="E154" s="17">
        <f t="array" ref="E154">INDEX(Data_DBD!$F:$F,$A154)</f>
        <v/>
      </c>
      <c r="H154" s="17" t="n">
        <v>57</v>
      </c>
      <c r="I154" s="17" t="n">
        <v>2</v>
      </c>
      <c r="J154" s="17" t="n">
        <v>2</v>
      </c>
      <c r="K154" s="17" t="n">
        <v>1</v>
      </c>
      <c r="L154" s="17" t="inlineStr">
        <is>
          <t>Sedang</t>
        </is>
      </c>
    </row>
    <row r="155" s="1">
      <c r="A155" s="17">
        <f>RANDBETWEEN(2,164)</f>
        <v/>
      </c>
      <c r="B155" s="17">
        <f t="array" ref="B155">INDEX(Data_DBD!$B:$B,$A155)</f>
        <v/>
      </c>
      <c r="C155" s="17">
        <f t="array" ref="C155">INDEX(Data_DBD!$C:$C,$A155)</f>
        <v/>
      </c>
      <c r="D155" s="17">
        <f t="array" ref="D155">INDEX(Data_DBD!$E:$E,$A155)</f>
        <v/>
      </c>
      <c r="E155" s="17">
        <f t="array" ref="E155">INDEX(Data_DBD!$F:$F,$A155)</f>
        <v/>
      </c>
      <c r="H155" s="17" t="n">
        <v>51</v>
      </c>
      <c r="I155" s="17" t="n">
        <v>48</v>
      </c>
      <c r="J155" s="17" t="n">
        <v>4</v>
      </c>
      <c r="K155" s="17" t="n">
        <v>0</v>
      </c>
      <c r="L155" s="17" t="inlineStr">
        <is>
          <t>Sedang</t>
        </is>
      </c>
    </row>
    <row r="156" s="1">
      <c r="A156" s="17">
        <f>RANDBETWEEN(2,164)</f>
        <v/>
      </c>
      <c r="B156" s="17">
        <f t="array" ref="B156">INDEX(Data_DBD!$B:$B,$A156)</f>
        <v/>
      </c>
      <c r="C156" s="17">
        <f t="array" ref="C156">INDEX(Data_DBD!$C:$C,$A156)</f>
        <v/>
      </c>
      <c r="D156" s="17">
        <f t="array" ref="D156">INDEX(Data_DBD!$E:$E,$A156)</f>
        <v/>
      </c>
      <c r="E156" s="17">
        <f t="array" ref="E156">INDEX(Data_DBD!$F:$F,$A156)</f>
        <v/>
      </c>
      <c r="H156" s="17" t="n">
        <v>13</v>
      </c>
      <c r="I156" s="17" t="n">
        <v>47</v>
      </c>
      <c r="J156" s="17" t="n">
        <v>2</v>
      </c>
      <c r="K156" s="17" t="n">
        <v>0</v>
      </c>
      <c r="L156" s="17" t="inlineStr">
        <is>
          <t>Sedang</t>
        </is>
      </c>
    </row>
    <row r="157" s="1">
      <c r="A157" s="17">
        <f>RANDBETWEEN(2,164)</f>
        <v/>
      </c>
      <c r="B157" s="17">
        <f t="array" ref="B157">INDEX(Data_DBD!$B:$B,$A157)</f>
        <v/>
      </c>
      <c r="C157" s="17">
        <f t="array" ref="C157">INDEX(Data_DBD!$C:$C,$A157)</f>
        <v/>
      </c>
      <c r="D157" s="17">
        <f t="array" ref="D157">INDEX(Data_DBD!$E:$E,$A157)</f>
        <v/>
      </c>
      <c r="E157" s="17">
        <f t="array" ref="E157">INDEX(Data_DBD!$F:$F,$A157)</f>
        <v/>
      </c>
      <c r="H157" s="17" t="n">
        <v>95</v>
      </c>
      <c r="I157" s="17" t="n">
        <v>11</v>
      </c>
      <c r="J157" s="17" t="n">
        <v>3</v>
      </c>
      <c r="K157" s="17" t="n">
        <v>1</v>
      </c>
      <c r="L157" s="17" t="inlineStr">
        <is>
          <t>Tinggi</t>
        </is>
      </c>
    </row>
    <row r="158" s="1">
      <c r="A158" s="17">
        <f>RANDBETWEEN(2,164)</f>
        <v/>
      </c>
      <c r="B158" s="17">
        <f t="array" ref="B158">INDEX(Data_DBD!$B:$B,$A158)</f>
        <v/>
      </c>
      <c r="C158" s="17">
        <f t="array" ref="C158">INDEX(Data_DBD!$C:$C,$A158)</f>
        <v/>
      </c>
      <c r="D158" s="17">
        <f t="array" ref="D158">INDEX(Data_DBD!$E:$E,$A158)</f>
        <v/>
      </c>
      <c r="E158" s="17">
        <f t="array" ref="E158">INDEX(Data_DBD!$F:$F,$A158)</f>
        <v/>
      </c>
      <c r="H158" s="17" t="n">
        <v>92</v>
      </c>
      <c r="I158" s="17" t="n">
        <v>55</v>
      </c>
      <c r="J158" s="17" t="n">
        <v>7</v>
      </c>
      <c r="K158" s="17" t="n">
        <v>0</v>
      </c>
      <c r="L158" s="17" t="inlineStr">
        <is>
          <t>Tinggi</t>
        </is>
      </c>
    </row>
    <row r="159" s="1">
      <c r="A159" s="17">
        <f>RANDBETWEEN(2,164)</f>
        <v/>
      </c>
      <c r="B159" s="17">
        <f t="array" ref="B159">INDEX(Data_DBD!$B:$B,$A159)</f>
        <v/>
      </c>
      <c r="C159" s="17">
        <f t="array" ref="C159">INDEX(Data_DBD!$C:$C,$A159)</f>
        <v/>
      </c>
      <c r="D159" s="17">
        <f t="array" ref="D159">INDEX(Data_DBD!$E:$E,$A159)</f>
        <v/>
      </c>
      <c r="E159" s="17">
        <f t="array" ref="E159">INDEX(Data_DBD!$F:$F,$A159)</f>
        <v/>
      </c>
      <c r="H159" s="17" t="n">
        <v>123</v>
      </c>
      <c r="I159" s="17" t="n">
        <v>22</v>
      </c>
      <c r="J159" s="17" t="n">
        <v>4</v>
      </c>
      <c r="K159" s="17" t="n">
        <v>0</v>
      </c>
      <c r="L159" s="17" t="inlineStr">
        <is>
          <t>Tinggi</t>
        </is>
      </c>
    </row>
    <row r="160" s="1">
      <c r="A160" s="17">
        <f>RANDBETWEEN(2,164)</f>
        <v/>
      </c>
      <c r="B160" s="17">
        <f t="array" ref="B160">INDEX(Data_DBD!$B:$B,$A160)</f>
        <v/>
      </c>
      <c r="C160" s="17">
        <f t="array" ref="C160">INDEX(Data_DBD!$C:$C,$A160)</f>
        <v/>
      </c>
      <c r="D160" s="17">
        <f t="array" ref="D160">INDEX(Data_DBD!$E:$E,$A160)</f>
        <v/>
      </c>
      <c r="E160" s="17">
        <f t="array" ref="E160">INDEX(Data_DBD!$F:$F,$A160)</f>
        <v/>
      </c>
      <c r="H160" s="17" t="n">
        <v>135</v>
      </c>
      <c r="I160" s="17" t="n">
        <v>10</v>
      </c>
      <c r="J160" s="17" t="n">
        <v>2</v>
      </c>
      <c r="K160" s="17" t="n">
        <v>0</v>
      </c>
      <c r="L160" s="17" t="inlineStr">
        <is>
          <t>Tinggi</t>
        </is>
      </c>
    </row>
    <row r="161" s="1">
      <c r="A161" s="17">
        <f>RANDBETWEEN(2,164)</f>
        <v/>
      </c>
      <c r="B161" s="17">
        <f t="array" ref="B161">INDEX(Data_DBD!$B:$B,$A161)</f>
        <v/>
      </c>
      <c r="C161" s="17">
        <f t="array" ref="C161">INDEX(Data_DBD!$C:$C,$A161)</f>
        <v/>
      </c>
      <c r="D161" s="17">
        <f t="array" ref="D161">INDEX(Data_DBD!$E:$E,$A161)</f>
        <v/>
      </c>
      <c r="E161" s="17">
        <f t="array" ref="E161">INDEX(Data_DBD!$F:$F,$A161)</f>
        <v/>
      </c>
      <c r="H161" s="17" t="n">
        <v>71</v>
      </c>
      <c r="I161" s="17" t="n">
        <v>84</v>
      </c>
      <c r="J161" s="17" t="n">
        <v>3</v>
      </c>
      <c r="K161" s="17" t="n">
        <v>0</v>
      </c>
      <c r="L161" s="17" t="inlineStr">
        <is>
          <t>Sedang</t>
        </is>
      </c>
    </row>
    <row r="162" s="1">
      <c r="A162" s="17">
        <f>RANDBETWEEN(2,164)</f>
        <v/>
      </c>
      <c r="B162" s="17">
        <f t="array" ref="B162">INDEX(Data_DBD!$B:$B,$A162)</f>
        <v/>
      </c>
      <c r="C162" s="17">
        <f t="array" ref="C162">INDEX(Data_DBD!$C:$C,$A162)</f>
        <v/>
      </c>
      <c r="D162" s="17">
        <f t="array" ref="D162">INDEX(Data_DBD!$E:$E,$A162)</f>
        <v/>
      </c>
      <c r="E162" s="17">
        <f t="array" ref="E162">INDEX(Data_DBD!$F:$F,$A162)</f>
        <v/>
      </c>
      <c r="H162" s="17" t="n">
        <v>80</v>
      </c>
      <c r="I162" s="17" t="n">
        <v>27</v>
      </c>
      <c r="J162" s="17" t="n">
        <v>3</v>
      </c>
      <c r="K162" s="17" t="n">
        <v>1</v>
      </c>
      <c r="L162" s="17" t="inlineStr">
        <is>
          <t>Sedang</t>
        </is>
      </c>
    </row>
    <row r="163" s="1">
      <c r="A163" s="17">
        <f>RANDBETWEEN(2,164)</f>
        <v/>
      </c>
      <c r="B163" s="17">
        <f t="array" ref="B163">INDEX(Data_DBD!$B:$B,$A163)</f>
        <v/>
      </c>
      <c r="C163" s="17">
        <f t="array" ref="C163">INDEX(Data_DBD!$C:$C,$A163)</f>
        <v/>
      </c>
      <c r="D163" s="17">
        <f t="array" ref="D163">INDEX(Data_DBD!$E:$E,$A163)</f>
        <v/>
      </c>
      <c r="E163" s="17">
        <f t="array" ref="E163">INDEX(Data_DBD!$F:$F,$A163)</f>
        <v/>
      </c>
      <c r="H163" s="17" t="n">
        <v>109</v>
      </c>
      <c r="I163" s="17" t="n">
        <v>40</v>
      </c>
      <c r="J163" s="17" t="n">
        <v>3</v>
      </c>
      <c r="K163" s="17" t="n">
        <v>1</v>
      </c>
      <c r="L163" s="17" t="inlineStr">
        <is>
          <t>Tinggi</t>
        </is>
      </c>
    </row>
    <row r="164" s="1">
      <c r="A164" s="17">
        <f>RANDBETWEEN(2,164)</f>
        <v/>
      </c>
      <c r="B164" s="17">
        <f t="array" ref="B164">INDEX(Data_DBD!$B:$B,$A164)</f>
        <v/>
      </c>
      <c r="C164" s="17">
        <f t="array" ref="C164">INDEX(Data_DBD!$C:$C,$A164)</f>
        <v/>
      </c>
      <c r="D164" s="17">
        <f t="array" ref="D164">INDEX(Data_DBD!$E:$E,$A164)</f>
        <v/>
      </c>
      <c r="E164" s="17">
        <f t="array" ref="E164">INDEX(Data_DBD!$F:$F,$A164)</f>
        <v/>
      </c>
      <c r="H164" s="17" t="n">
        <v>63</v>
      </c>
      <c r="I164" s="17" t="n">
        <v>25</v>
      </c>
      <c r="J164" s="17" t="n">
        <v>3</v>
      </c>
      <c r="K164" s="17" t="n">
        <v>0</v>
      </c>
      <c r="L164" s="17" t="inlineStr">
        <is>
          <t>Sedang</t>
        </is>
      </c>
    </row>
    <row r="165" s="1">
      <c r="I165">
        <f>AVERAGE(I2:I164)</f>
        <v/>
      </c>
      <c r="J165">
        <f>AVERAGE(J2:J164)</f>
        <v/>
      </c>
      <c r="K165">
        <f>AVERAGE(K2:K164)</f>
        <v/>
      </c>
    </row>
    <row r="166" s="1">
      <c r="B166" t="n">
        <v>45</v>
      </c>
    </row>
    <row r="168" s="1">
      <c r="E168" s="21" t="inlineStr">
        <is>
          <t>USIA</t>
        </is>
      </c>
      <c r="I168" s="21" t="inlineStr">
        <is>
          <t>LAMA RAWAT INAP</t>
        </is>
      </c>
      <c r="M168" s="21" t="inlineStr">
        <is>
          <t>JENIS KELAMIN</t>
        </is>
      </c>
    </row>
    <row r="169" s="1">
      <c r="E169" s="17" t="inlineStr">
        <is>
          <t>Usia</t>
        </is>
      </c>
      <c r="F169" s="17">
        <f>AVERAGEIF($I$2:$I$164,"&lt;="&amp;$I$165)</f>
        <v/>
      </c>
      <c r="G169" s="17">
        <f>AVERAGEIF($I$2:$I$164,"&gt;"&amp;$I$165)</f>
        <v/>
      </c>
      <c r="I169" s="17" t="inlineStr">
        <is>
          <t>Lama rawat inap</t>
        </is>
      </c>
      <c r="J169" s="17">
        <f>AVERAGEIF($J$2:$J$164,"&lt;="&amp;$J$165)</f>
        <v/>
      </c>
      <c r="K169" s="17">
        <f>AVERAGEIF($J$2:$J$164,"&gt;"&amp;$J$165)</f>
        <v/>
      </c>
      <c r="M169" s="17" t="inlineStr">
        <is>
          <t>Jenis kelamin</t>
        </is>
      </c>
      <c r="N169" s="17">
        <f>AVERAGEIF($K$2:$K$164,"&lt;="&amp;$K$165)</f>
        <v/>
      </c>
      <c r="O169" s="17">
        <f>AVERAGEIF($K$2:$K$164,"&gt;"&amp;$K$165)</f>
        <v/>
      </c>
    </row>
    <row r="170" s="1">
      <c r="E170" s="17">
        <f t="array" ref="E170:E332">IF($I$2:$I$164&lt;$F$169,"kiri",IF($I$2:$I$164&lt;$G$169,"tengah","kanan"))</f>
        <v/>
      </c>
      <c r="F170" s="22" t="inlineStr">
        <is>
          <t>Kanan &gt; 54.61</t>
        </is>
      </c>
      <c r="G170" s="17" t="n"/>
      <c r="I170" s="17">
        <f t="array" ref="I170:I332">IF($J$2:$J$164&lt;$J$169,"kiri",IF($J$2:$J$164&lt;$K$169,"tengah","kanan"))</f>
        <v/>
      </c>
      <c r="J170" s="22" t="inlineStr">
        <is>
          <t>Kanan &gt; 4.80</t>
        </is>
      </c>
      <c r="K170" s="17" t="n"/>
      <c r="M170" s="17">
        <f t="array" ref="M170:M332">IF($K$2:$K$164&lt;$N$169,"kiri",IF($K$2:$K$164&lt;$O$169,"tengah","kanan"))</f>
        <v/>
      </c>
      <c r="N170" s="17" t="inlineStr">
        <is>
          <t>Kanan &gt; 1</t>
        </is>
      </c>
      <c r="O170" s="17" t="n"/>
    </row>
    <row r="171" s="1">
      <c r="E171" s="17" t="inlineStr">
        <is>
          <t>tengah</t>
        </is>
      </c>
      <c r="F171" s="17">
        <f>COUNTIFS($E$170:$E$332,"Kanan",$L$2:$L$164,"Tinggi")</f>
        <v/>
      </c>
      <c r="G171" s="17">
        <f>F171/34</f>
        <v/>
      </c>
      <c r="I171" s="17" t="inlineStr">
        <is>
          <t>kiri</t>
        </is>
      </c>
      <c r="J171" s="17">
        <f>COUNTIFS($I$170:$I$332,"Kanan",$L$2:$L$164,"Tinggi")</f>
        <v/>
      </c>
      <c r="K171" s="17">
        <f>J171/36</f>
        <v/>
      </c>
      <c r="M171" s="17" t="inlineStr">
        <is>
          <t>kanan</t>
        </is>
      </c>
      <c r="N171" s="17">
        <f>COUNTIFS($M$170:$M$332,"Kanan",$L$2:$L$164,"Tinggi")</f>
        <v/>
      </c>
      <c r="O171" s="17">
        <f>N171/93</f>
        <v/>
      </c>
    </row>
    <row r="172" s="1">
      <c r="E172" s="17" t="inlineStr">
        <is>
          <t>tengah</t>
        </is>
      </c>
      <c r="F172" s="17">
        <f>COUNTIFS($E$170:$E$332,"Kanan",$L$2:$L$164,"Sedang")</f>
        <v/>
      </c>
      <c r="G172" s="17">
        <f>F172/34</f>
        <v/>
      </c>
      <c r="I172" s="17" t="inlineStr">
        <is>
          <t>tengah</t>
        </is>
      </c>
      <c r="J172" s="17">
        <f>COUNTIFS($I$170:$I$332,"Kanan",$L$2:$L$164,"Sedang")</f>
        <v/>
      </c>
      <c r="K172" s="17">
        <f>J172/36</f>
        <v/>
      </c>
      <c r="M172" s="17" t="inlineStr">
        <is>
          <t>tengah</t>
        </is>
      </c>
      <c r="N172" s="17">
        <f>COUNTIFS($M$170:$M$332,"Kanan",$L$2:$L$164,"Sedang")</f>
        <v/>
      </c>
      <c r="O172" s="17">
        <f>N172/93</f>
        <v/>
      </c>
    </row>
    <row r="173" s="1">
      <c r="E173" s="17" t="inlineStr">
        <is>
          <t>tengah</t>
        </is>
      </c>
      <c r="F173" s="17">
        <f>COUNTIFS($E$170:$E$332,"Kanan",$L$2:$L$164,"Rendah")</f>
        <v/>
      </c>
      <c r="G173" s="17">
        <f>F173/34</f>
        <v/>
      </c>
      <c r="I173" s="17" t="inlineStr">
        <is>
          <t>tengah</t>
        </is>
      </c>
      <c r="J173" s="17">
        <f>COUNTIFS($I$170:$I$332,"Kanan",$L$2:$L$164,"Rendah")</f>
        <v/>
      </c>
      <c r="K173" s="17">
        <f>J173/36</f>
        <v/>
      </c>
      <c r="M173" s="17" t="inlineStr">
        <is>
          <t>kanan</t>
        </is>
      </c>
      <c r="N173" s="17">
        <f>COUNTIFS($M$170:$M$332,"Kanan",$L$2:$L$164,"Rendah")</f>
        <v/>
      </c>
      <c r="O173" s="17">
        <f>N173/93</f>
        <v/>
      </c>
    </row>
    <row r="174" s="1">
      <c r="E174" s="17" t="inlineStr">
        <is>
          <t>tengah</t>
        </is>
      </c>
      <c r="F174" s="17" t="inlineStr">
        <is>
          <t>Entropy</t>
        </is>
      </c>
      <c r="G174" s="17">
        <f>-(IFERROR(G171*LOG(G171,2),0)+IFERROR(G172*LOG(G172,2),0)+IFERROR(G173*LOG(G173,2),0))</f>
        <v/>
      </c>
      <c r="I174" s="17" t="inlineStr">
        <is>
          <t>kiri</t>
        </is>
      </c>
      <c r="J174" s="17" t="inlineStr">
        <is>
          <t>Entropy</t>
        </is>
      </c>
      <c r="K174" s="17">
        <f>-(IFERROR(K171*LOG(K171,2),0)+IFERROR(K172*LOG(K172,2),0)+IFERROR(K173*LOG(K173,2),0))</f>
        <v/>
      </c>
      <c r="M174" s="17" t="inlineStr">
        <is>
          <t>kanan</t>
        </is>
      </c>
      <c r="N174" s="17" t="inlineStr">
        <is>
          <t>Entropy</t>
        </is>
      </c>
      <c r="O174" s="17">
        <f>-(IFERROR(O171*LOG(O171,2),0)+IFERROR(O172*LOG(O172,2),0)+IFERROR(O173*LOG(O173,2),0))</f>
        <v/>
      </c>
    </row>
    <row r="175" s="1">
      <c r="E175" s="17" t="inlineStr">
        <is>
          <t>tengah</t>
        </is>
      </c>
      <c r="F175" s="17" t="n"/>
      <c r="G175" s="17">
        <f>SUM(F171:F173)/163</f>
        <v/>
      </c>
      <c r="I175" s="17" t="inlineStr">
        <is>
          <t>kiri</t>
        </is>
      </c>
      <c r="J175" s="17" t="n"/>
      <c r="K175" s="17">
        <f>SUM(J171:J173)/163</f>
        <v/>
      </c>
      <c r="M175" s="17" t="inlineStr">
        <is>
          <t>kanan</t>
        </is>
      </c>
      <c r="N175" s="17" t="n"/>
      <c r="O175" s="17">
        <f>SUM(N171:N173)/163</f>
        <v/>
      </c>
    </row>
    <row r="176" s="1">
      <c r="E176" s="17" t="inlineStr">
        <is>
          <t>tengah</t>
        </is>
      </c>
      <c r="F176" s="17" t="n"/>
      <c r="G176" s="23">
        <f>G174*G175</f>
        <v/>
      </c>
      <c r="I176" s="17" t="inlineStr">
        <is>
          <t>tengah</t>
        </is>
      </c>
      <c r="J176" s="17" t="n"/>
      <c r="K176" s="23">
        <f>K174*K175</f>
        <v/>
      </c>
      <c r="M176" s="17" t="inlineStr">
        <is>
          <t>kanan</t>
        </is>
      </c>
      <c r="N176" s="17" t="n"/>
      <c r="O176" s="23">
        <f>O174*O175</f>
        <v/>
      </c>
    </row>
    <row r="177" s="1">
      <c r="E177" s="17" t="inlineStr">
        <is>
          <t>tengah</t>
        </is>
      </c>
      <c r="F177" s="17" t="n"/>
      <c r="G177" s="17" t="n"/>
      <c r="I177" s="17" t="inlineStr">
        <is>
          <t>tengah</t>
        </is>
      </c>
      <c r="J177" s="17" t="n"/>
      <c r="K177" s="17" t="n"/>
      <c r="M177" s="17" t="inlineStr">
        <is>
          <t>kanan</t>
        </is>
      </c>
      <c r="N177" s="17" t="n"/>
      <c r="O177" s="17" t="n"/>
    </row>
    <row r="178" s="1">
      <c r="E178" s="17" t="inlineStr">
        <is>
          <t>tengah</t>
        </is>
      </c>
      <c r="F178" s="17" t="n"/>
      <c r="G178" s="17" t="n"/>
      <c r="I178" s="17" t="inlineStr">
        <is>
          <t>tengah</t>
        </is>
      </c>
      <c r="J178" s="17" t="n"/>
      <c r="K178" s="17" t="n"/>
      <c r="M178" s="17" t="inlineStr">
        <is>
          <t>kanan</t>
        </is>
      </c>
      <c r="N178" s="17" t="n"/>
      <c r="O178" s="17" t="n"/>
    </row>
    <row r="179" s="1">
      <c r="E179" s="17" t="inlineStr">
        <is>
          <t>tengah</t>
        </is>
      </c>
      <c r="F179" s="17" t="inlineStr">
        <is>
          <t>Kiri&lt;17.31</t>
        </is>
      </c>
      <c r="G179" s="17" t="n"/>
      <c r="I179" s="17" t="inlineStr">
        <is>
          <t>tengah</t>
        </is>
      </c>
      <c r="J179" s="22" t="inlineStr">
        <is>
          <t>Kiri&lt;2.4</t>
        </is>
      </c>
      <c r="K179" s="17" t="n"/>
      <c r="M179" s="17" t="inlineStr">
        <is>
          <t>kanan</t>
        </is>
      </c>
      <c r="N179" s="17" t="inlineStr">
        <is>
          <t>Kiri&lt;0</t>
        </is>
      </c>
      <c r="O179" s="17" t="n"/>
    </row>
    <row r="180" s="1">
      <c r="E180" s="17" t="inlineStr">
        <is>
          <t>tengah</t>
        </is>
      </c>
      <c r="F180" s="17">
        <f>COUNTIFS($E$170:$E$332,"Kiri",$L$2:$L$164,"Tinggi")</f>
        <v/>
      </c>
      <c r="G180" s="17">
        <f>F180/40</f>
        <v/>
      </c>
      <c r="I180" s="17" t="inlineStr">
        <is>
          <t>tengah</t>
        </is>
      </c>
      <c r="J180" s="17">
        <f>COUNTIFS($I$170:$I$332,"Kiri",$L$2:$L$164,"Tinggi")</f>
        <v/>
      </c>
      <c r="K180" s="17">
        <f>J180/44</f>
        <v/>
      </c>
      <c r="M180" s="17" t="inlineStr">
        <is>
          <t>kanan</t>
        </is>
      </c>
      <c r="N180" s="17">
        <f>COUNTIFS($M$170:$M$332,"Kiri",$L$2:$L$164,"Tinggi")</f>
        <v/>
      </c>
      <c r="O180" s="17">
        <f>N180/78</f>
        <v/>
      </c>
    </row>
    <row r="181" s="1">
      <c r="E181" s="17" t="inlineStr">
        <is>
          <t>kiri</t>
        </is>
      </c>
      <c r="F181" s="17">
        <f>COUNTIFS($E$170:$E$332,"Kiri",$L$2:$L$164,"Sedang")</f>
        <v/>
      </c>
      <c r="G181" s="17">
        <f>F181/40</f>
        <v/>
      </c>
      <c r="I181" s="17" t="inlineStr">
        <is>
          <t>tengah</t>
        </is>
      </c>
      <c r="J181" s="17">
        <f>COUNTIFS($I$170:$I$332,"Kiri",$L$2:$L$164,"Sedang")</f>
        <v/>
      </c>
      <c r="K181" s="17">
        <f>J181/44</f>
        <v/>
      </c>
      <c r="M181" s="17" t="inlineStr">
        <is>
          <t>tengah</t>
        </is>
      </c>
      <c r="N181" s="17">
        <f>COUNTIFS($T$170:$T$332,"Kiri",$M$2:$M$164,"Sedang")</f>
        <v/>
      </c>
      <c r="O181" s="17">
        <f>N181/78</f>
        <v/>
      </c>
    </row>
    <row r="182" s="1">
      <c r="E182" s="17" t="inlineStr">
        <is>
          <t>tengah</t>
        </is>
      </c>
      <c r="F182" s="17">
        <f>COUNTIFS($E$170:$E$332,"Kiri",$L$2:$L$164,"Rendah")</f>
        <v/>
      </c>
      <c r="G182" s="17">
        <f>F182/40</f>
        <v/>
      </c>
      <c r="I182" s="17" t="inlineStr">
        <is>
          <t>kiri</t>
        </is>
      </c>
      <c r="J182" s="17">
        <f>COUNTIFS($I$170:$I$332,"Kiri",$L$2:$L$164,"Rendah")</f>
        <v/>
      </c>
      <c r="K182" s="17">
        <f>J182/44</f>
        <v/>
      </c>
      <c r="M182" s="17" t="inlineStr">
        <is>
          <t>tengah</t>
        </is>
      </c>
      <c r="N182" s="17">
        <f>COUNTIFS($T$170:$T$332,"Kiri",$M$2:$M$164,"Rendah")</f>
        <v/>
      </c>
      <c r="O182" s="17">
        <f>N182/78</f>
        <v/>
      </c>
    </row>
    <row r="183" s="1">
      <c r="E183" s="17" t="inlineStr">
        <is>
          <t>kiri</t>
        </is>
      </c>
      <c r="F183" s="17" t="inlineStr">
        <is>
          <t>Entropy</t>
        </is>
      </c>
      <c r="G183" s="17">
        <f>-(IFERROR(G180*LOG(G180,2),0)+IFERROR(G181*LOG(G181,2),0)+IFERROR(G182*LOG(G182,2),0))</f>
        <v/>
      </c>
      <c r="I183" s="17" t="inlineStr">
        <is>
          <t>kiri</t>
        </is>
      </c>
      <c r="J183" s="17" t="inlineStr">
        <is>
          <t>Entropy</t>
        </is>
      </c>
      <c r="K183" s="17">
        <f>-(IFERROR(K180*LOG(K180,2),0)+IFERROR(K181*LOG(K181,2),0)+IFERROR(K182*LOG(K182,2),0))</f>
        <v/>
      </c>
      <c r="M183" s="17" t="inlineStr">
        <is>
          <t>kanan</t>
        </is>
      </c>
      <c r="N183" s="17" t="inlineStr">
        <is>
          <t>Entropy</t>
        </is>
      </c>
      <c r="O183" s="17">
        <f>-(IFERROR(O180*LOG(O180,2),0)+IFERROR(O181*LOG(O181,2),0)+IFERROR(O182*LOG(O182,2),0))</f>
        <v/>
      </c>
    </row>
    <row r="184" s="1">
      <c r="E184" s="17" t="inlineStr">
        <is>
          <t>tengah</t>
        </is>
      </c>
      <c r="F184" s="17" t="n"/>
      <c r="G184" s="17">
        <f>SUM(F180:F182)/163</f>
        <v/>
      </c>
      <c r="I184" s="17" t="inlineStr">
        <is>
          <t>kiri</t>
        </is>
      </c>
      <c r="J184" s="17" t="n"/>
      <c r="K184" s="17">
        <f>SUM(J180:J182)/163</f>
        <v/>
      </c>
      <c r="M184" s="17" t="inlineStr">
        <is>
          <t>tengah</t>
        </is>
      </c>
      <c r="N184" s="17" t="n"/>
      <c r="O184" s="17">
        <f>SUM(N180:N182)/163</f>
        <v/>
      </c>
    </row>
    <row r="185" s="1">
      <c r="E185" s="17" t="inlineStr">
        <is>
          <t>kiri</t>
        </is>
      </c>
      <c r="F185" s="17" t="n"/>
      <c r="G185" s="23">
        <f>G183*G184</f>
        <v/>
      </c>
      <c r="I185" s="17" t="inlineStr">
        <is>
          <t>tengah</t>
        </is>
      </c>
      <c r="J185" s="17" t="n"/>
      <c r="K185" s="23">
        <f>K183*K184</f>
        <v/>
      </c>
      <c r="M185" s="17" t="inlineStr">
        <is>
          <t>kanan</t>
        </is>
      </c>
      <c r="N185" s="17" t="n"/>
      <c r="O185" s="23">
        <f>O183*O184</f>
        <v/>
      </c>
    </row>
    <row r="186" s="1">
      <c r="E186" s="17" t="inlineStr">
        <is>
          <t>tengah</t>
        </is>
      </c>
      <c r="F186" s="17" t="n"/>
      <c r="G186" s="17" t="n"/>
      <c r="I186" s="17" t="inlineStr">
        <is>
          <t>kiri</t>
        </is>
      </c>
      <c r="J186" s="17" t="n"/>
      <c r="K186" s="17" t="n"/>
      <c r="M186" s="17" t="inlineStr">
        <is>
          <t>tengah</t>
        </is>
      </c>
      <c r="N186" s="17" t="n"/>
      <c r="O186" s="17" t="n"/>
    </row>
    <row r="187" s="1">
      <c r="E187" s="17" t="inlineStr">
        <is>
          <t>kiri</t>
        </is>
      </c>
      <c r="F187" s="17" t="n"/>
      <c r="G187" s="17" t="n"/>
      <c r="I187" s="17" t="inlineStr">
        <is>
          <t>tengah</t>
        </is>
      </c>
      <c r="J187" s="17" t="n"/>
      <c r="K187" s="17" t="n"/>
      <c r="M187" s="17" t="inlineStr">
        <is>
          <t>tengah</t>
        </is>
      </c>
      <c r="N187" s="17" t="n"/>
      <c r="O187" s="17" t="n"/>
    </row>
    <row r="188" s="1">
      <c r="E188" s="17" t="inlineStr">
        <is>
          <t>tengah</t>
        </is>
      </c>
      <c r="F188" s="17" t="inlineStr">
        <is>
          <t>Tengah</t>
        </is>
      </c>
      <c r="G188" s="17" t="n"/>
      <c r="I188" s="17" t="inlineStr">
        <is>
          <t>kiri</t>
        </is>
      </c>
      <c r="J188" s="17" t="inlineStr">
        <is>
          <t>Tengah</t>
        </is>
      </c>
      <c r="K188" s="17" t="n"/>
      <c r="M188" s="17" t="inlineStr">
        <is>
          <t>kanan</t>
        </is>
      </c>
      <c r="N188" s="17" t="inlineStr">
        <is>
          <t>Tengah</t>
        </is>
      </c>
      <c r="O188" s="17" t="n"/>
    </row>
    <row r="189" s="1">
      <c r="E189" s="17" t="inlineStr">
        <is>
          <t>tengah</t>
        </is>
      </c>
      <c r="F189" s="17">
        <f>COUNTIFS($E$170:$E$332,"Tengah",$L$2:$L$164,"Tinggi")</f>
        <v/>
      </c>
      <c r="G189" s="17">
        <f>F189/89</f>
        <v/>
      </c>
      <c r="I189" s="17" t="inlineStr">
        <is>
          <t>kiri</t>
        </is>
      </c>
      <c r="J189" s="17">
        <f>COUNTIFS($I$170:$I$332,"Tengah",$L$2:$L$164,"Tinggi")</f>
        <v/>
      </c>
      <c r="K189" s="17">
        <f>J189/83</f>
        <v/>
      </c>
      <c r="M189" s="17" t="inlineStr">
        <is>
          <t>kanan</t>
        </is>
      </c>
      <c r="N189" s="17">
        <f>COUNTIFS($M$170:$M$332,"Tengah",$L$2:$L$164,"Tinggi")</f>
        <v/>
      </c>
      <c r="O189" s="17">
        <f>N189/70</f>
        <v/>
      </c>
    </row>
    <row r="190" s="1">
      <c r="E190" s="17" t="inlineStr">
        <is>
          <t>kiri</t>
        </is>
      </c>
      <c r="F190" s="17">
        <f>COUNTIFS($E$170:$E$332,"Tengah",$L$2:$L$164,"Sedang")</f>
        <v/>
      </c>
      <c r="G190" s="17">
        <f>F190/89</f>
        <v/>
      </c>
      <c r="I190" s="17" t="inlineStr">
        <is>
          <t>kiri</t>
        </is>
      </c>
      <c r="J190" s="17">
        <f>COUNTIFS($I$170:$I$332,"Tengah",$L$2:$L$164,"Sedang")</f>
        <v/>
      </c>
      <c r="K190" s="17">
        <f>J190/83</f>
        <v/>
      </c>
      <c r="M190" s="17" t="inlineStr">
        <is>
          <t>tengah</t>
        </is>
      </c>
      <c r="N190" s="17">
        <f>COUNTIFS($M$170:$M$332,"Tengah",$L$2:$L$164,"Sedang")</f>
        <v/>
      </c>
      <c r="O190" s="17">
        <f>N190/70</f>
        <v/>
      </c>
    </row>
    <row r="191" s="1">
      <c r="E191" s="17" t="inlineStr">
        <is>
          <t>kanan</t>
        </is>
      </c>
      <c r="F191" s="17">
        <f>COUNTIFS($E$170:$E$332,"Tengah",$L$2:$L$164,"Rendah")</f>
        <v/>
      </c>
      <c r="G191" s="17">
        <f>F191/89</f>
        <v/>
      </c>
      <c r="I191" s="17" t="inlineStr">
        <is>
          <t>tengah</t>
        </is>
      </c>
      <c r="J191" s="17">
        <f>COUNTIFS($I$170:$I$332,"Tengah",$L$2:$L$164,"Rendah")</f>
        <v/>
      </c>
      <c r="K191" s="17">
        <f>J191/83</f>
        <v/>
      </c>
      <c r="M191" s="17" t="inlineStr">
        <is>
          <t>tengah</t>
        </is>
      </c>
      <c r="N191" s="17">
        <f>COUNTIFS($M$170:$M$332,"Tengah",$L$2:$L$164,"Rendah")</f>
        <v/>
      </c>
      <c r="O191" s="17">
        <f>N191/70</f>
        <v/>
      </c>
    </row>
    <row r="192" s="1">
      <c r="E192" s="17" t="inlineStr">
        <is>
          <t>kanan</t>
        </is>
      </c>
      <c r="F192" s="17" t="inlineStr">
        <is>
          <t>Entropy</t>
        </is>
      </c>
      <c r="G192" s="17">
        <f>-(IFERROR(G189*LOG(G189,2),0)+IFERROR(G190*LOG(G190,2),0)+IFERROR(G191*LOG(G191,2),0))</f>
        <v/>
      </c>
      <c r="I192" s="17" t="inlineStr">
        <is>
          <t>kanan</t>
        </is>
      </c>
      <c r="J192" s="17" t="inlineStr">
        <is>
          <t>Entropy</t>
        </is>
      </c>
      <c r="K192" s="17">
        <f>-(IFERROR(K189*LOG(K189,2),0)+IFERROR(K190*LOG(K190,2),0)+IFERROR(K191*LOG(K191,2),0))</f>
        <v/>
      </c>
      <c r="M192" s="17" t="inlineStr">
        <is>
          <t>kanan</t>
        </is>
      </c>
      <c r="N192" s="17" t="inlineStr">
        <is>
          <t>Entropy</t>
        </is>
      </c>
      <c r="O192" s="17">
        <f>-(IFERROR(O189*LOG(O189,2),0)+IFERROR(O190*LOG(O190,2),0)+IFERROR(O191*LOG(O191,2),0))</f>
        <v/>
      </c>
    </row>
    <row r="193" s="1">
      <c r="E193" s="17" t="inlineStr">
        <is>
          <t>tengah</t>
        </is>
      </c>
      <c r="F193" s="17" t="n"/>
      <c r="G193" s="17">
        <f>SUM(F189:F191)/163</f>
        <v/>
      </c>
      <c r="I193" s="17" t="inlineStr">
        <is>
          <t>tengah</t>
        </is>
      </c>
      <c r="J193" s="17" t="n"/>
      <c r="K193" s="17">
        <f>SUM(J189:J191)/163</f>
        <v/>
      </c>
      <c r="M193" s="17" t="inlineStr">
        <is>
          <t>kanan</t>
        </is>
      </c>
      <c r="N193" s="17" t="n"/>
      <c r="O193" s="17">
        <f>SUM(N189:N191)/163</f>
        <v/>
      </c>
    </row>
    <row r="194" s="1">
      <c r="E194" s="17" t="inlineStr">
        <is>
          <t>tengah</t>
        </is>
      </c>
      <c r="F194" s="17" t="n"/>
      <c r="G194" s="23">
        <f>G192*G193</f>
        <v/>
      </c>
      <c r="I194" s="17" t="inlineStr">
        <is>
          <t>kanan</t>
        </is>
      </c>
      <c r="J194" s="17" t="n"/>
      <c r="K194" s="23">
        <f>K192*K193</f>
        <v/>
      </c>
      <c r="M194" s="17" t="inlineStr">
        <is>
          <t>tengah</t>
        </is>
      </c>
      <c r="N194" s="17" t="n"/>
      <c r="O194" s="23">
        <f>O192*O193</f>
        <v/>
      </c>
    </row>
    <row r="195" s="1">
      <c r="E195" s="17" t="inlineStr">
        <is>
          <t>tengah</t>
        </is>
      </c>
      <c r="F195" s="17" t="n"/>
      <c r="G195" s="17" t="n"/>
      <c r="I195" s="17" t="inlineStr">
        <is>
          <t>kiri</t>
        </is>
      </c>
      <c r="J195" s="17" t="n"/>
      <c r="K195" s="17" t="n"/>
      <c r="M195" s="17" t="inlineStr">
        <is>
          <t>kanan</t>
        </is>
      </c>
      <c r="N195" s="17" t="n"/>
      <c r="O195" s="17" t="n"/>
    </row>
    <row r="196" s="1">
      <c r="E196" s="17" t="inlineStr">
        <is>
          <t>tengah</t>
        </is>
      </c>
      <c r="F196" s="17" t="inlineStr">
        <is>
          <t>IG</t>
        </is>
      </c>
      <c r="G196" s="17" t="n"/>
      <c r="I196" s="17" t="inlineStr">
        <is>
          <t>tengah</t>
        </is>
      </c>
      <c r="J196" s="17" t="inlineStr">
        <is>
          <t>IG</t>
        </is>
      </c>
      <c r="K196" s="17" t="n"/>
      <c r="M196" s="17" t="inlineStr">
        <is>
          <t>tengah</t>
        </is>
      </c>
      <c r="N196" s="17" t="inlineStr">
        <is>
          <t>IG</t>
        </is>
      </c>
      <c r="O196" s="17" t="n"/>
    </row>
    <row r="197" s="1">
      <c r="E197" s="17" t="inlineStr">
        <is>
          <t>kanan</t>
        </is>
      </c>
      <c r="F197" s="24">
        <f>P5-(G176+G185+G194)</f>
        <v/>
      </c>
      <c r="G197" s="17" t="n"/>
      <c r="I197" s="17" t="inlineStr">
        <is>
          <t>kanan</t>
        </is>
      </c>
      <c r="J197" s="24">
        <f>P5-(K176+K185+K194)</f>
        <v/>
      </c>
      <c r="K197" s="17" t="n"/>
      <c r="M197" s="17" t="inlineStr">
        <is>
          <t>tengah</t>
        </is>
      </c>
      <c r="N197" s="24">
        <f>P5-(O176+O185+O194)</f>
        <v/>
      </c>
      <c r="O197" s="17" t="n"/>
    </row>
    <row r="198" s="1">
      <c r="E198" s="17" t="inlineStr">
        <is>
          <t>tengah</t>
        </is>
      </c>
      <c r="F198" s="17" t="n"/>
      <c r="G198" s="17" t="n"/>
      <c r="I198" s="17" t="inlineStr">
        <is>
          <t>tengah</t>
        </is>
      </c>
      <c r="J198" s="17" t="n"/>
      <c r="K198" s="17" t="n"/>
      <c r="M198" s="17" t="inlineStr">
        <is>
          <t>kanan</t>
        </is>
      </c>
      <c r="N198" s="17" t="n"/>
      <c r="O198" s="17" t="n"/>
    </row>
    <row r="199" s="1">
      <c r="E199" s="17" t="inlineStr">
        <is>
          <t>tengah</t>
        </is>
      </c>
      <c r="F199" s="17" t="n"/>
      <c r="G199" s="17" t="n"/>
      <c r="I199" s="17" t="inlineStr">
        <is>
          <t>kanan</t>
        </is>
      </c>
      <c r="J199" s="17" t="n"/>
      <c r="K199" s="17" t="n"/>
      <c r="M199" s="17" t="inlineStr">
        <is>
          <t>tengah</t>
        </is>
      </c>
      <c r="N199" s="17" t="n"/>
      <c r="O199" s="17" t="n"/>
    </row>
    <row r="200" s="1">
      <c r="E200" s="17" t="inlineStr">
        <is>
          <t>tengah</t>
        </is>
      </c>
      <c r="F200" s="17" t="n"/>
      <c r="G200" s="17" t="n"/>
      <c r="I200" s="17" t="inlineStr">
        <is>
          <t>kanan</t>
        </is>
      </c>
      <c r="J200" s="17" t="n"/>
      <c r="K200" s="17" t="n"/>
      <c r="M200" s="17" t="inlineStr">
        <is>
          <t>tengah</t>
        </is>
      </c>
      <c r="N200" s="17" t="n"/>
      <c r="O200" s="17" t="n"/>
    </row>
    <row r="201" s="1">
      <c r="E201" s="17" t="inlineStr">
        <is>
          <t>tengah</t>
        </is>
      </c>
      <c r="F201" s="17" t="n"/>
      <c r="G201" s="17" t="n"/>
      <c r="I201" s="17" t="inlineStr">
        <is>
          <t>kiri</t>
        </is>
      </c>
      <c r="J201" s="17" t="n"/>
      <c r="K201" s="17" t="n"/>
      <c r="M201" s="17" t="inlineStr">
        <is>
          <t>tengah</t>
        </is>
      </c>
      <c r="N201" s="17" t="n"/>
      <c r="O201" s="17" t="n"/>
    </row>
    <row r="202" s="1">
      <c r="E202" s="17" t="inlineStr">
        <is>
          <t>kanan</t>
        </is>
      </c>
      <c r="F202" s="17" t="n"/>
      <c r="G202" s="17" t="n"/>
      <c r="I202" s="17" t="inlineStr">
        <is>
          <t>tengah</t>
        </is>
      </c>
      <c r="J202" s="17" t="n"/>
      <c r="K202" s="17" t="n"/>
      <c r="M202" s="17" t="inlineStr">
        <is>
          <t>kanan</t>
        </is>
      </c>
      <c r="N202" s="17" t="n"/>
      <c r="O202" s="17" t="n"/>
    </row>
    <row r="203" s="1">
      <c r="E203" s="17" t="inlineStr">
        <is>
          <t>tengah</t>
        </is>
      </c>
      <c r="F203" s="17" t="n"/>
      <c r="G203" s="17" t="n"/>
      <c r="I203" s="17" t="inlineStr">
        <is>
          <t>tengah</t>
        </is>
      </c>
      <c r="J203" s="17" t="n"/>
      <c r="K203" s="17" t="n"/>
      <c r="M203" s="17" t="inlineStr">
        <is>
          <t>kanan</t>
        </is>
      </c>
      <c r="N203" s="17" t="n"/>
      <c r="O203" s="17" t="n"/>
    </row>
    <row r="204" s="1">
      <c r="E204" s="17" t="inlineStr">
        <is>
          <t>kiri</t>
        </is>
      </c>
      <c r="F204" s="17" t="n"/>
      <c r="G204" s="17" t="n"/>
      <c r="I204" s="17" t="inlineStr">
        <is>
          <t>kiri</t>
        </is>
      </c>
      <c r="J204" s="17" t="n"/>
      <c r="K204" s="17" t="n"/>
      <c r="M204" s="17" t="inlineStr">
        <is>
          <t>kanan</t>
        </is>
      </c>
      <c r="N204" s="17" t="n"/>
      <c r="O204" s="17" t="n"/>
    </row>
    <row r="205" s="1">
      <c r="E205" s="17" t="inlineStr">
        <is>
          <t>kanan</t>
        </is>
      </c>
      <c r="F205" s="17" t="n"/>
      <c r="G205" s="17" t="n"/>
      <c r="I205" s="17" t="inlineStr">
        <is>
          <t>kanan</t>
        </is>
      </c>
      <c r="J205" s="17" t="n"/>
      <c r="K205" s="17" t="n"/>
      <c r="M205" s="17" t="inlineStr">
        <is>
          <t>kanan</t>
        </is>
      </c>
      <c r="N205" s="17" t="n"/>
      <c r="O205" s="17" t="n"/>
    </row>
    <row r="206" s="1">
      <c r="E206" s="17" t="inlineStr">
        <is>
          <t>tengah</t>
        </is>
      </c>
      <c r="F206" s="17" t="n"/>
      <c r="G206" s="17" t="n"/>
      <c r="I206" s="17" t="inlineStr">
        <is>
          <t>tengah</t>
        </is>
      </c>
      <c r="J206" s="17" t="n"/>
      <c r="K206" s="17" t="n"/>
      <c r="M206" s="17" t="inlineStr">
        <is>
          <t>kanan</t>
        </is>
      </c>
      <c r="N206" s="17" t="n"/>
      <c r="O206" s="17" t="n"/>
    </row>
    <row r="207" s="1">
      <c r="E207" s="17" t="inlineStr">
        <is>
          <t>kiri</t>
        </is>
      </c>
      <c r="F207" s="17" t="n"/>
      <c r="G207" s="17" t="n"/>
      <c r="I207" s="17" t="inlineStr">
        <is>
          <t>kiri</t>
        </is>
      </c>
      <c r="J207" s="17" t="n"/>
      <c r="K207" s="17" t="n"/>
      <c r="M207" s="17" t="inlineStr">
        <is>
          <t>tengah</t>
        </is>
      </c>
      <c r="N207" s="17" t="n"/>
      <c r="O207" s="17" t="n"/>
    </row>
    <row r="208" s="1">
      <c r="E208" s="17" t="inlineStr">
        <is>
          <t>kiri</t>
        </is>
      </c>
      <c r="F208" s="17" t="n"/>
      <c r="G208" s="17" t="n"/>
      <c r="I208" s="17" t="inlineStr">
        <is>
          <t>kiri</t>
        </is>
      </c>
      <c r="J208" s="17" t="n"/>
      <c r="K208" s="17" t="n"/>
      <c r="M208" s="17" t="inlineStr">
        <is>
          <t>tengah</t>
        </is>
      </c>
      <c r="N208" s="17" t="n"/>
      <c r="O208" s="17" t="n"/>
    </row>
    <row r="209" s="1">
      <c r="E209" s="17" t="inlineStr">
        <is>
          <t>kanan</t>
        </is>
      </c>
      <c r="F209" s="17" t="n"/>
      <c r="G209" s="17" t="n"/>
      <c r="I209" s="17" t="inlineStr">
        <is>
          <t>kanan</t>
        </is>
      </c>
      <c r="J209" s="17" t="n"/>
      <c r="K209" s="17" t="n"/>
      <c r="M209" s="17" t="inlineStr">
        <is>
          <t>tengah</t>
        </is>
      </c>
      <c r="N209" s="17" t="n"/>
      <c r="O209" s="17" t="n"/>
    </row>
    <row r="210" s="1">
      <c r="E210" s="17" t="inlineStr">
        <is>
          <t>kanan</t>
        </is>
      </c>
      <c r="F210" s="17" t="n"/>
      <c r="G210" s="17" t="n"/>
      <c r="I210" s="17" t="inlineStr">
        <is>
          <t>kanan</t>
        </is>
      </c>
      <c r="J210" s="17" t="n"/>
      <c r="K210" s="17" t="n"/>
      <c r="M210" s="17" t="inlineStr">
        <is>
          <t>kanan</t>
        </is>
      </c>
      <c r="N210" s="17" t="n"/>
      <c r="O210" s="17" t="n"/>
    </row>
    <row r="211" s="1">
      <c r="E211" s="17" t="inlineStr">
        <is>
          <t>tengah</t>
        </is>
      </c>
      <c r="F211" s="17" t="n"/>
      <c r="G211" s="17" t="n"/>
      <c r="I211" s="17" t="inlineStr">
        <is>
          <t>tengah</t>
        </is>
      </c>
      <c r="J211" s="17" t="n"/>
      <c r="K211" s="17" t="n"/>
      <c r="M211" s="17" t="inlineStr">
        <is>
          <t>tengah</t>
        </is>
      </c>
      <c r="N211" s="17" t="n"/>
      <c r="O211" s="17" t="n"/>
    </row>
    <row r="212" s="1">
      <c r="E212" s="17" t="inlineStr">
        <is>
          <t>tengah</t>
        </is>
      </c>
      <c r="F212" s="17" t="n"/>
      <c r="G212" s="17" t="n"/>
      <c r="I212" s="17" t="inlineStr">
        <is>
          <t>kanan</t>
        </is>
      </c>
      <c r="J212" s="17" t="n"/>
      <c r="K212" s="17" t="n"/>
      <c r="M212" s="17" t="inlineStr">
        <is>
          <t>kanan</t>
        </is>
      </c>
      <c r="N212" s="17" t="n"/>
      <c r="O212" s="17" t="n"/>
    </row>
    <row r="213" s="1">
      <c r="E213" s="17" t="inlineStr">
        <is>
          <t>kiri</t>
        </is>
      </c>
      <c r="F213" s="17" t="n"/>
      <c r="G213" s="17" t="n"/>
      <c r="I213" s="17" t="inlineStr">
        <is>
          <t>kiri</t>
        </is>
      </c>
      <c r="J213" s="17" t="n"/>
      <c r="K213" s="17" t="n"/>
      <c r="M213" s="17" t="inlineStr">
        <is>
          <t>kanan</t>
        </is>
      </c>
      <c r="N213" s="17" t="n"/>
      <c r="O213" s="17" t="n"/>
    </row>
    <row r="214" s="1">
      <c r="E214" s="17" t="inlineStr">
        <is>
          <t>tengah</t>
        </is>
      </c>
      <c r="F214" s="17" t="n"/>
      <c r="G214" s="17" t="n"/>
      <c r="I214" s="17" t="inlineStr">
        <is>
          <t>tengah</t>
        </is>
      </c>
      <c r="J214" s="17" t="n"/>
      <c r="K214" s="17" t="n"/>
      <c r="M214" s="17" t="inlineStr">
        <is>
          <t>tengah</t>
        </is>
      </c>
      <c r="N214" s="17" t="n"/>
      <c r="O214" s="17" t="n"/>
    </row>
    <row r="215" s="1">
      <c r="E215" s="17" t="inlineStr">
        <is>
          <t>tengah</t>
        </is>
      </c>
      <c r="F215" s="17" t="n"/>
      <c r="G215" s="17" t="n"/>
      <c r="I215" s="17" t="inlineStr">
        <is>
          <t>tengah</t>
        </is>
      </c>
      <c r="J215" s="17" t="n"/>
      <c r="K215" s="17" t="n"/>
      <c r="M215" s="17" t="inlineStr">
        <is>
          <t>tengah</t>
        </is>
      </c>
      <c r="N215" s="17" t="n"/>
      <c r="O215" s="17" t="n"/>
    </row>
    <row r="216" s="1">
      <c r="E216" s="17" t="inlineStr">
        <is>
          <t>kanan</t>
        </is>
      </c>
      <c r="F216" s="17" t="n"/>
      <c r="G216" s="17" t="n"/>
      <c r="I216" s="17" t="inlineStr">
        <is>
          <t>tengah</t>
        </is>
      </c>
      <c r="J216" s="17" t="n"/>
      <c r="K216" s="17" t="n"/>
      <c r="M216" s="17" t="inlineStr">
        <is>
          <t>kanan</t>
        </is>
      </c>
      <c r="N216" s="17" t="n"/>
      <c r="O216" s="17" t="n"/>
    </row>
    <row r="217" s="1">
      <c r="E217" s="17" t="inlineStr">
        <is>
          <t>tengah</t>
        </is>
      </c>
      <c r="F217" s="17" t="n"/>
      <c r="G217" s="17" t="n"/>
      <c r="I217" s="17" t="inlineStr">
        <is>
          <t>tengah</t>
        </is>
      </c>
      <c r="J217" s="17" t="n"/>
      <c r="K217" s="17" t="n"/>
      <c r="M217" s="17" t="inlineStr">
        <is>
          <t>kanan</t>
        </is>
      </c>
      <c r="N217" s="17" t="n"/>
      <c r="O217" s="17" t="n"/>
    </row>
    <row r="218" s="1">
      <c r="E218" s="17" t="inlineStr">
        <is>
          <t>tengah</t>
        </is>
      </c>
      <c r="F218" s="17" t="n"/>
      <c r="G218" s="17" t="n"/>
      <c r="I218" s="17" t="inlineStr">
        <is>
          <t>tengah</t>
        </is>
      </c>
      <c r="J218" s="17" t="n"/>
      <c r="K218" s="17" t="n"/>
      <c r="M218" s="17" t="inlineStr">
        <is>
          <t>kanan</t>
        </is>
      </c>
      <c r="N218" s="17" t="n"/>
      <c r="O218" s="17" t="n"/>
    </row>
    <row r="219" s="1">
      <c r="E219" s="17" t="inlineStr">
        <is>
          <t>tengah</t>
        </is>
      </c>
      <c r="F219" s="17" t="n"/>
      <c r="G219" s="17" t="n"/>
      <c r="I219" s="17" t="inlineStr">
        <is>
          <t>tengah</t>
        </is>
      </c>
      <c r="J219" s="17" t="n"/>
      <c r="K219" s="17" t="n"/>
      <c r="M219" s="17" t="inlineStr">
        <is>
          <t>kanan</t>
        </is>
      </c>
      <c r="N219" s="17" t="n"/>
      <c r="O219" s="17" t="n"/>
    </row>
    <row r="220" s="1">
      <c r="E220" s="17" t="inlineStr">
        <is>
          <t>kanan</t>
        </is>
      </c>
      <c r="F220" s="17" t="n"/>
      <c r="G220" s="17" t="n"/>
      <c r="I220" s="17" t="inlineStr">
        <is>
          <t>tengah</t>
        </is>
      </c>
      <c r="J220" s="17" t="n"/>
      <c r="K220" s="17" t="n"/>
      <c r="M220" s="17" t="inlineStr">
        <is>
          <t>kanan</t>
        </is>
      </c>
      <c r="N220" s="17" t="n"/>
      <c r="O220" s="17" t="n"/>
    </row>
    <row r="221" s="1">
      <c r="E221" s="17" t="inlineStr">
        <is>
          <t>kanan</t>
        </is>
      </c>
      <c r="F221" s="17" t="n"/>
      <c r="G221" s="17" t="n"/>
      <c r="I221" s="17" t="inlineStr">
        <is>
          <t>kanan</t>
        </is>
      </c>
      <c r="J221" s="17" t="n"/>
      <c r="K221" s="17" t="n"/>
      <c r="M221" s="17" t="inlineStr">
        <is>
          <t>tengah</t>
        </is>
      </c>
      <c r="N221" s="17" t="n"/>
      <c r="O221" s="17" t="n"/>
    </row>
    <row r="222" s="1">
      <c r="E222" s="17" t="inlineStr">
        <is>
          <t>tengah</t>
        </is>
      </c>
      <c r="F222" s="17" t="n"/>
      <c r="G222" s="17" t="n"/>
      <c r="I222" s="17" t="inlineStr">
        <is>
          <t>kanan</t>
        </is>
      </c>
      <c r="J222" s="17" t="n"/>
      <c r="K222" s="17" t="n"/>
      <c r="M222" s="17" t="inlineStr">
        <is>
          <t>kanan</t>
        </is>
      </c>
      <c r="N222" s="17" t="n"/>
      <c r="O222" s="17" t="n"/>
    </row>
    <row r="223" s="1">
      <c r="E223" s="17" t="inlineStr">
        <is>
          <t>tengah</t>
        </is>
      </c>
      <c r="F223" s="17" t="n"/>
      <c r="G223" s="17" t="n"/>
      <c r="I223" s="17" t="inlineStr">
        <is>
          <t>tengah</t>
        </is>
      </c>
      <c r="J223" s="17" t="n"/>
      <c r="K223" s="17" t="n"/>
      <c r="M223" s="17" t="inlineStr">
        <is>
          <t>kanan</t>
        </is>
      </c>
      <c r="N223" s="17" t="n"/>
      <c r="O223" s="17" t="n"/>
    </row>
    <row r="224" s="1">
      <c r="E224" s="17" t="inlineStr">
        <is>
          <t>tengah</t>
        </is>
      </c>
      <c r="F224" s="17" t="n"/>
      <c r="G224" s="17" t="n"/>
      <c r="I224" s="17" t="inlineStr">
        <is>
          <t>tengah</t>
        </is>
      </c>
      <c r="J224" s="17" t="n"/>
      <c r="K224" s="17" t="n"/>
      <c r="M224" s="17" t="inlineStr">
        <is>
          <t>tengah</t>
        </is>
      </c>
      <c r="N224" s="17" t="n"/>
      <c r="O224" s="17" t="n"/>
    </row>
    <row r="225" s="1">
      <c r="E225" s="17" t="inlineStr">
        <is>
          <t>tengah</t>
        </is>
      </c>
      <c r="F225" s="17" t="n"/>
      <c r="G225" s="17" t="n"/>
      <c r="I225" s="17" t="inlineStr">
        <is>
          <t>tengah</t>
        </is>
      </c>
      <c r="J225" s="17" t="n"/>
      <c r="K225" s="17" t="n"/>
      <c r="M225" s="17" t="inlineStr">
        <is>
          <t>kanan</t>
        </is>
      </c>
      <c r="N225" s="17" t="n"/>
      <c r="O225" s="17" t="n"/>
    </row>
    <row r="226" s="1">
      <c r="E226" s="17" t="inlineStr">
        <is>
          <t>kanan</t>
        </is>
      </c>
      <c r="F226" s="17" t="n"/>
      <c r="G226" s="17" t="n"/>
      <c r="I226" s="17" t="inlineStr">
        <is>
          <t>tengah</t>
        </is>
      </c>
      <c r="J226" s="17" t="n"/>
      <c r="K226" s="17" t="n"/>
      <c r="M226" s="17" t="inlineStr">
        <is>
          <t>tengah</t>
        </is>
      </c>
      <c r="N226" s="17" t="n"/>
      <c r="O226" s="17" t="n"/>
    </row>
    <row r="227" s="1">
      <c r="E227" s="17" t="inlineStr">
        <is>
          <t>kanan</t>
        </is>
      </c>
      <c r="F227" s="17" t="n"/>
      <c r="G227" s="17" t="n"/>
      <c r="I227" s="17" t="inlineStr">
        <is>
          <t>tengah</t>
        </is>
      </c>
      <c r="J227" s="17" t="n"/>
      <c r="K227" s="17" t="n"/>
      <c r="M227" s="17" t="inlineStr">
        <is>
          <t>kanan</t>
        </is>
      </c>
      <c r="N227" s="17" t="n"/>
      <c r="O227" s="17" t="n"/>
    </row>
    <row r="228" s="1">
      <c r="E228" s="17" t="inlineStr">
        <is>
          <t>kiri</t>
        </is>
      </c>
      <c r="F228" s="17" t="n"/>
      <c r="G228" s="17" t="n"/>
      <c r="I228" s="17" t="inlineStr">
        <is>
          <t>kiri</t>
        </is>
      </c>
      <c r="J228" s="17" t="n"/>
      <c r="K228" s="17" t="n"/>
      <c r="M228" s="17" t="inlineStr">
        <is>
          <t>kanan</t>
        </is>
      </c>
      <c r="N228" s="17" t="n"/>
      <c r="O228" s="17" t="n"/>
    </row>
    <row r="229" s="1">
      <c r="E229" s="17" t="inlineStr">
        <is>
          <t>tengah</t>
        </is>
      </c>
      <c r="F229" s="17" t="n"/>
      <c r="G229" s="17" t="n"/>
      <c r="I229" s="17" t="inlineStr">
        <is>
          <t>tengah</t>
        </is>
      </c>
      <c r="J229" s="17" t="n"/>
      <c r="K229" s="17" t="n"/>
      <c r="M229" s="17" t="inlineStr">
        <is>
          <t>kanan</t>
        </is>
      </c>
      <c r="N229" s="17" t="n"/>
      <c r="O229" s="17" t="n"/>
    </row>
    <row r="230" s="1">
      <c r="E230" s="17" t="inlineStr">
        <is>
          <t>kiri</t>
        </is>
      </c>
      <c r="F230" s="17" t="n"/>
      <c r="G230" s="17" t="n"/>
      <c r="I230" s="17" t="inlineStr">
        <is>
          <t>tengah</t>
        </is>
      </c>
      <c r="J230" s="17" t="n"/>
      <c r="K230" s="17" t="n"/>
      <c r="M230" s="17" t="inlineStr">
        <is>
          <t>kanan</t>
        </is>
      </c>
      <c r="N230" s="17" t="n"/>
      <c r="O230" s="17" t="n"/>
    </row>
    <row r="231" s="1">
      <c r="E231" s="17" t="inlineStr">
        <is>
          <t>tengah</t>
        </is>
      </c>
      <c r="F231" s="17" t="n"/>
      <c r="G231" s="17" t="n"/>
      <c r="I231" s="17" t="inlineStr">
        <is>
          <t>tengah</t>
        </is>
      </c>
      <c r="J231" s="17" t="n"/>
      <c r="K231" s="17" t="n"/>
      <c r="M231" s="17" t="inlineStr">
        <is>
          <t>kanan</t>
        </is>
      </c>
      <c r="N231" s="17" t="n"/>
      <c r="O231" s="17" t="n"/>
    </row>
    <row r="232" s="1">
      <c r="E232" s="17" t="inlineStr">
        <is>
          <t>kanan</t>
        </is>
      </c>
      <c r="F232" s="17" t="n"/>
      <c r="G232" s="17" t="n"/>
      <c r="I232" s="17" t="inlineStr">
        <is>
          <t>tengah</t>
        </is>
      </c>
      <c r="J232" s="17" t="n"/>
      <c r="K232" s="17" t="n"/>
      <c r="M232" s="17" t="inlineStr">
        <is>
          <t>tengah</t>
        </is>
      </c>
      <c r="N232" s="17" t="n"/>
      <c r="O232" s="17" t="n"/>
    </row>
    <row r="233" s="1">
      <c r="E233" s="17" t="inlineStr">
        <is>
          <t>kiri</t>
        </is>
      </c>
      <c r="F233" s="17" t="n"/>
      <c r="G233" s="17" t="n"/>
      <c r="I233" s="17" t="inlineStr">
        <is>
          <t>kanan</t>
        </is>
      </c>
      <c r="J233" s="17" t="n"/>
      <c r="K233" s="17" t="n"/>
      <c r="M233" s="17" t="inlineStr">
        <is>
          <t>kanan</t>
        </is>
      </c>
      <c r="N233" s="17" t="n"/>
      <c r="O233" s="17" t="n"/>
    </row>
    <row r="234" s="1">
      <c r="E234" s="17" t="inlineStr">
        <is>
          <t>kanan</t>
        </is>
      </c>
      <c r="F234" s="17" t="n"/>
      <c r="G234" s="17" t="n"/>
      <c r="I234" s="17" t="inlineStr">
        <is>
          <t>tengah</t>
        </is>
      </c>
      <c r="J234" s="17" t="n"/>
      <c r="K234" s="17" t="n"/>
      <c r="M234" s="17" t="inlineStr">
        <is>
          <t>tengah</t>
        </is>
      </c>
      <c r="N234" s="17" t="n"/>
      <c r="O234" s="17" t="n"/>
    </row>
    <row r="235" s="1">
      <c r="E235" s="17" t="inlineStr">
        <is>
          <t>kanan</t>
        </is>
      </c>
      <c r="F235" s="17" t="n"/>
      <c r="G235" s="17" t="n"/>
      <c r="I235" s="17" t="inlineStr">
        <is>
          <t>kanan</t>
        </is>
      </c>
      <c r="J235" s="17" t="n"/>
      <c r="K235" s="17" t="n"/>
      <c r="M235" s="17" t="inlineStr">
        <is>
          <t>tengah</t>
        </is>
      </c>
      <c r="N235" s="17" t="n"/>
      <c r="O235" s="17" t="n"/>
    </row>
    <row r="236" s="1">
      <c r="E236" s="17" t="inlineStr">
        <is>
          <t>tengah</t>
        </is>
      </c>
      <c r="F236" s="17" t="n"/>
      <c r="G236" s="17" t="n"/>
      <c r="I236" s="17" t="inlineStr">
        <is>
          <t>tengah</t>
        </is>
      </c>
      <c r="J236" s="17" t="n"/>
      <c r="K236" s="17" t="n"/>
      <c r="M236" s="17" t="inlineStr">
        <is>
          <t>tengah</t>
        </is>
      </c>
      <c r="N236" s="17" t="n"/>
      <c r="O236" s="17" t="n"/>
    </row>
    <row r="237" s="1">
      <c r="E237" s="17" t="inlineStr">
        <is>
          <t>tengah</t>
        </is>
      </c>
      <c r="F237" s="17" t="n"/>
      <c r="G237" s="17" t="n"/>
      <c r="I237" s="17" t="inlineStr">
        <is>
          <t>kanan</t>
        </is>
      </c>
      <c r="J237" s="17" t="n"/>
      <c r="K237" s="17" t="n"/>
      <c r="M237" s="17" t="inlineStr">
        <is>
          <t>kanan</t>
        </is>
      </c>
      <c r="N237" s="17" t="n"/>
      <c r="O237" s="17" t="n"/>
    </row>
    <row r="238" s="1">
      <c r="E238" s="17" t="inlineStr">
        <is>
          <t>kiri</t>
        </is>
      </c>
      <c r="F238" s="17" t="n"/>
      <c r="G238" s="17" t="n"/>
      <c r="I238" s="17" t="inlineStr">
        <is>
          <t>kiri</t>
        </is>
      </c>
      <c r="J238" s="17" t="n"/>
      <c r="K238" s="17" t="n"/>
      <c r="M238" s="17" t="inlineStr">
        <is>
          <t>kanan</t>
        </is>
      </c>
      <c r="N238" s="17" t="n"/>
      <c r="O238" s="17" t="n"/>
    </row>
    <row r="239" s="1">
      <c r="E239" s="17" t="inlineStr">
        <is>
          <t>kiri</t>
        </is>
      </c>
      <c r="F239" s="17" t="n"/>
      <c r="G239" s="17" t="n"/>
      <c r="I239" s="17" t="inlineStr">
        <is>
          <t>kiri</t>
        </is>
      </c>
      <c r="J239" s="17" t="n"/>
      <c r="K239" s="17" t="n"/>
      <c r="M239" s="17" t="inlineStr">
        <is>
          <t>kanan</t>
        </is>
      </c>
      <c r="N239" s="17" t="n"/>
      <c r="O239" s="17" t="n"/>
    </row>
    <row r="240" s="1">
      <c r="E240" s="17" t="inlineStr">
        <is>
          <t>kanan</t>
        </is>
      </c>
      <c r="F240" s="17" t="n"/>
      <c r="G240" s="17" t="n"/>
      <c r="I240" s="17" t="inlineStr">
        <is>
          <t>kanan</t>
        </is>
      </c>
      <c r="J240" s="17" t="n"/>
      <c r="K240" s="17" t="n"/>
      <c r="M240" s="17" t="inlineStr">
        <is>
          <t>kanan</t>
        </is>
      </c>
      <c r="N240" s="17" t="n"/>
      <c r="O240" s="17" t="n"/>
    </row>
    <row r="241" s="1">
      <c r="E241" s="17" t="inlineStr">
        <is>
          <t>kanan</t>
        </is>
      </c>
      <c r="F241" s="17" t="n"/>
      <c r="G241" s="17" t="n"/>
      <c r="I241" s="17" t="inlineStr">
        <is>
          <t>kanan</t>
        </is>
      </c>
      <c r="J241" s="17" t="n"/>
      <c r="K241" s="17" t="n"/>
      <c r="M241" s="17" t="inlineStr">
        <is>
          <t>kanan</t>
        </is>
      </c>
      <c r="N241" s="17" t="n"/>
      <c r="O241" s="17" t="n"/>
    </row>
    <row r="242" s="1">
      <c r="E242" s="17" t="inlineStr">
        <is>
          <t>kanan</t>
        </is>
      </c>
      <c r="F242" s="17" t="n"/>
      <c r="G242" s="17" t="n"/>
      <c r="I242" s="17" t="inlineStr">
        <is>
          <t>tengah</t>
        </is>
      </c>
      <c r="J242" s="17" t="n"/>
      <c r="K242" s="17" t="n"/>
      <c r="M242" s="17" t="inlineStr">
        <is>
          <t>kanan</t>
        </is>
      </c>
      <c r="N242" s="17" t="n"/>
      <c r="O242" s="17" t="n"/>
    </row>
    <row r="243" s="1">
      <c r="E243" s="17" t="inlineStr">
        <is>
          <t>tengah</t>
        </is>
      </c>
      <c r="F243" s="17" t="n"/>
      <c r="G243" s="17" t="n"/>
      <c r="I243" s="17" t="inlineStr">
        <is>
          <t>kanan</t>
        </is>
      </c>
      <c r="J243" s="17" t="n"/>
      <c r="K243" s="17" t="n"/>
      <c r="M243" s="17" t="inlineStr">
        <is>
          <t>tengah</t>
        </is>
      </c>
      <c r="N243" s="17" t="n"/>
      <c r="O243" s="17" t="n"/>
    </row>
    <row r="244" s="1">
      <c r="E244" s="17" t="inlineStr">
        <is>
          <t>kiri</t>
        </is>
      </c>
      <c r="F244" s="17" t="n"/>
      <c r="G244" s="17" t="n"/>
      <c r="I244" s="17" t="inlineStr">
        <is>
          <t>kanan</t>
        </is>
      </c>
      <c r="J244" s="17" t="n"/>
      <c r="K244" s="17" t="n"/>
      <c r="M244" s="17" t="inlineStr">
        <is>
          <t>kanan</t>
        </is>
      </c>
      <c r="N244" s="17" t="n"/>
      <c r="O244" s="17" t="n"/>
    </row>
    <row r="245" s="1">
      <c r="E245" s="17" t="inlineStr">
        <is>
          <t>kiri</t>
        </is>
      </c>
      <c r="F245" s="17" t="n"/>
      <c r="G245" s="17" t="n"/>
      <c r="I245" s="17" t="inlineStr">
        <is>
          <t>kiri</t>
        </is>
      </c>
      <c r="J245" s="17" t="n"/>
      <c r="K245" s="17" t="n"/>
      <c r="M245" s="17" t="inlineStr">
        <is>
          <t>kanan</t>
        </is>
      </c>
      <c r="N245" s="17" t="n"/>
      <c r="O245" s="17" t="n"/>
    </row>
    <row r="246" s="1">
      <c r="E246" s="17" t="inlineStr">
        <is>
          <t>kiri</t>
        </is>
      </c>
      <c r="F246" s="17" t="n"/>
      <c r="G246" s="17" t="n"/>
      <c r="I246" s="17" t="inlineStr">
        <is>
          <t>kiri</t>
        </is>
      </c>
      <c r="J246" s="17" t="n"/>
      <c r="K246" s="17" t="n"/>
      <c r="M246" s="17" t="inlineStr">
        <is>
          <t>tengah</t>
        </is>
      </c>
      <c r="N246" s="17" t="n"/>
      <c r="O246" s="17" t="n"/>
    </row>
    <row r="247" s="1">
      <c r="E247" s="17" t="inlineStr">
        <is>
          <t>tengah</t>
        </is>
      </c>
      <c r="F247" s="17" t="n"/>
      <c r="G247" s="17" t="n"/>
      <c r="I247" s="17" t="inlineStr">
        <is>
          <t>tengah</t>
        </is>
      </c>
      <c r="J247" s="17" t="n"/>
      <c r="K247" s="17" t="n"/>
      <c r="M247" s="17" t="inlineStr">
        <is>
          <t>tengah</t>
        </is>
      </c>
      <c r="N247" s="17" t="n"/>
      <c r="O247" s="17" t="n"/>
    </row>
    <row r="248" s="1">
      <c r="E248" s="17" t="inlineStr">
        <is>
          <t>tengah</t>
        </is>
      </c>
      <c r="F248" s="17" t="n"/>
      <c r="G248" s="17" t="n"/>
      <c r="I248" s="17" t="inlineStr">
        <is>
          <t>tengah</t>
        </is>
      </c>
      <c r="J248" s="17" t="n"/>
      <c r="K248" s="17" t="n"/>
      <c r="M248" s="17" t="inlineStr">
        <is>
          <t>kanan</t>
        </is>
      </c>
      <c r="N248" s="17" t="n"/>
      <c r="O248" s="17" t="n"/>
    </row>
    <row r="249" s="1">
      <c r="E249" s="17" t="inlineStr">
        <is>
          <t>kanan</t>
        </is>
      </c>
      <c r="F249" s="17" t="n"/>
      <c r="G249" s="17" t="n"/>
      <c r="I249" s="17" t="inlineStr">
        <is>
          <t>tengah</t>
        </is>
      </c>
      <c r="J249" s="17" t="n"/>
      <c r="K249" s="17" t="n"/>
      <c r="M249" s="17" t="inlineStr">
        <is>
          <t>kanan</t>
        </is>
      </c>
      <c r="N249" s="17" t="n"/>
      <c r="O249" s="17" t="n"/>
    </row>
    <row r="250" s="1">
      <c r="E250" s="17" t="inlineStr">
        <is>
          <t>kiri</t>
        </is>
      </c>
      <c r="F250" s="17" t="n"/>
      <c r="G250" s="17" t="n"/>
      <c r="I250" s="17" t="inlineStr">
        <is>
          <t>tengah</t>
        </is>
      </c>
      <c r="J250" s="17" t="n"/>
      <c r="K250" s="17" t="n"/>
      <c r="M250" s="17" t="inlineStr">
        <is>
          <t>tengah</t>
        </is>
      </c>
      <c r="N250" s="17" t="n"/>
      <c r="O250" s="17" t="n"/>
    </row>
    <row r="251" s="1">
      <c r="E251" s="17" t="inlineStr">
        <is>
          <t>tengah</t>
        </is>
      </c>
      <c r="F251" s="17" t="n"/>
      <c r="G251" s="17" t="n"/>
      <c r="I251" s="17" t="inlineStr">
        <is>
          <t>tengah</t>
        </is>
      </c>
      <c r="J251" s="17" t="n"/>
      <c r="K251" s="17" t="n"/>
      <c r="M251" s="17" t="inlineStr">
        <is>
          <t>kanan</t>
        </is>
      </c>
      <c r="N251" s="17" t="n"/>
      <c r="O251" s="17" t="n"/>
    </row>
    <row r="252" s="1">
      <c r="E252" s="17" t="inlineStr">
        <is>
          <t>tengah</t>
        </is>
      </c>
      <c r="F252" s="17" t="n"/>
      <c r="G252" s="17" t="n"/>
      <c r="I252" s="17" t="inlineStr">
        <is>
          <t>kiri</t>
        </is>
      </c>
      <c r="J252" s="17" t="n"/>
      <c r="K252" s="17" t="n"/>
      <c r="M252" s="17" t="inlineStr">
        <is>
          <t>tengah</t>
        </is>
      </c>
      <c r="N252" s="17" t="n"/>
      <c r="O252" s="17" t="n"/>
    </row>
    <row r="253" s="1">
      <c r="E253" s="17" t="inlineStr">
        <is>
          <t>tengah</t>
        </is>
      </c>
      <c r="F253" s="17" t="n"/>
      <c r="G253" s="17" t="n"/>
      <c r="I253" s="17" t="inlineStr">
        <is>
          <t>kanan</t>
        </is>
      </c>
      <c r="J253" s="17" t="n"/>
      <c r="K253" s="17" t="n"/>
      <c r="M253" s="17" t="inlineStr">
        <is>
          <t>kanan</t>
        </is>
      </c>
      <c r="N253" s="17" t="n"/>
      <c r="O253" s="17" t="n"/>
    </row>
    <row r="254" s="1">
      <c r="E254" s="17" t="inlineStr">
        <is>
          <t>tengah</t>
        </is>
      </c>
      <c r="F254" s="17" t="n"/>
      <c r="G254" s="17" t="n"/>
      <c r="I254" s="17" t="inlineStr">
        <is>
          <t>tengah</t>
        </is>
      </c>
      <c r="J254" s="17" t="n"/>
      <c r="K254" s="17" t="n"/>
      <c r="M254" s="17" t="inlineStr">
        <is>
          <t>kanan</t>
        </is>
      </c>
      <c r="N254" s="17" t="n"/>
      <c r="O254" s="17" t="n"/>
    </row>
    <row r="255" s="1">
      <c r="E255" s="17" t="inlineStr">
        <is>
          <t>kanan</t>
        </is>
      </c>
      <c r="F255" s="17" t="n"/>
      <c r="G255" s="17" t="n"/>
      <c r="I255" s="17" t="inlineStr">
        <is>
          <t>tengah</t>
        </is>
      </c>
      <c r="J255" s="17" t="n"/>
      <c r="K255" s="17" t="n"/>
      <c r="M255" s="17" t="inlineStr">
        <is>
          <t>tengah</t>
        </is>
      </c>
      <c r="N255" s="17" t="n"/>
      <c r="O255" s="17" t="n"/>
    </row>
    <row r="256" s="1">
      <c r="E256" s="17" t="inlineStr">
        <is>
          <t>kiri</t>
        </is>
      </c>
      <c r="F256" s="17" t="n"/>
      <c r="G256" s="17" t="n"/>
      <c r="I256" s="17" t="inlineStr">
        <is>
          <t>tengah</t>
        </is>
      </c>
      <c r="J256" s="17" t="n"/>
      <c r="K256" s="17" t="n"/>
      <c r="M256" s="17" t="inlineStr">
        <is>
          <t>tengah</t>
        </is>
      </c>
      <c r="N256" s="17" t="n"/>
      <c r="O256" s="17" t="n"/>
    </row>
    <row r="257" s="1">
      <c r="E257" s="17" t="inlineStr">
        <is>
          <t>tengah</t>
        </is>
      </c>
      <c r="F257" s="17" t="n"/>
      <c r="G257" s="17" t="n"/>
      <c r="I257" s="17" t="inlineStr">
        <is>
          <t>tengah</t>
        </is>
      </c>
      <c r="J257" s="17" t="n"/>
      <c r="K257" s="17" t="n"/>
      <c r="M257" s="17" t="inlineStr">
        <is>
          <t>tengah</t>
        </is>
      </c>
      <c r="N257" s="17" t="n"/>
      <c r="O257" s="17" t="n"/>
    </row>
    <row r="258" s="1">
      <c r="E258" s="17" t="inlineStr">
        <is>
          <t>kiri</t>
        </is>
      </c>
      <c r="F258" s="17" t="n"/>
      <c r="G258" s="17" t="n"/>
      <c r="I258" s="17" t="inlineStr">
        <is>
          <t>kiri</t>
        </is>
      </c>
      <c r="J258" s="17" t="n"/>
      <c r="K258" s="17" t="n"/>
      <c r="M258" s="17" t="inlineStr">
        <is>
          <t>tengah</t>
        </is>
      </c>
      <c r="N258" s="17" t="n"/>
      <c r="O258" s="17" t="n"/>
    </row>
    <row r="259" s="1">
      <c r="E259" s="17" t="inlineStr">
        <is>
          <t>tengah</t>
        </is>
      </c>
      <c r="F259" s="17" t="n"/>
      <c r="G259" s="17" t="n"/>
      <c r="I259" s="17" t="inlineStr">
        <is>
          <t>kanan</t>
        </is>
      </c>
      <c r="J259" s="17" t="n"/>
      <c r="K259" s="17" t="n"/>
      <c r="M259" s="17" t="inlineStr">
        <is>
          <t>tengah</t>
        </is>
      </c>
      <c r="N259" s="17" t="n"/>
      <c r="O259" s="17" t="n"/>
    </row>
    <row r="260" s="1">
      <c r="E260" s="17" t="inlineStr">
        <is>
          <t>tengah</t>
        </is>
      </c>
      <c r="F260" s="17" t="n"/>
      <c r="G260" s="17" t="n"/>
      <c r="I260" s="17" t="inlineStr">
        <is>
          <t>tengah</t>
        </is>
      </c>
      <c r="J260" s="17" t="n"/>
      <c r="K260" s="17" t="n"/>
      <c r="M260" s="17" t="inlineStr">
        <is>
          <t>tengah</t>
        </is>
      </c>
      <c r="N260" s="17" t="n"/>
      <c r="O260" s="17" t="n"/>
    </row>
    <row r="261" s="1">
      <c r="E261" s="17" t="inlineStr">
        <is>
          <t>kanan</t>
        </is>
      </c>
      <c r="F261" s="17" t="n"/>
      <c r="G261" s="17" t="n"/>
      <c r="I261" s="17" t="inlineStr">
        <is>
          <t>kanan</t>
        </is>
      </c>
      <c r="J261" s="17" t="n"/>
      <c r="K261" s="17" t="n"/>
      <c r="M261" s="17" t="inlineStr">
        <is>
          <t>kanan</t>
        </is>
      </c>
      <c r="N261" s="17" t="n"/>
      <c r="O261" s="17" t="n"/>
    </row>
    <row r="262" s="1">
      <c r="E262" s="17" t="inlineStr">
        <is>
          <t>tengah</t>
        </is>
      </c>
      <c r="F262" s="17" t="n"/>
      <c r="G262" s="17" t="n"/>
      <c r="I262" s="17" t="inlineStr">
        <is>
          <t>tengah</t>
        </is>
      </c>
      <c r="J262" s="17" t="n"/>
      <c r="K262" s="17" t="n"/>
      <c r="M262" s="17" t="inlineStr">
        <is>
          <t>kanan</t>
        </is>
      </c>
      <c r="N262" s="17" t="n"/>
      <c r="O262" s="17" t="n"/>
    </row>
    <row r="263" s="1">
      <c r="E263" s="17" t="inlineStr">
        <is>
          <t>kiri</t>
        </is>
      </c>
      <c r="F263" s="17" t="n"/>
      <c r="G263" s="17" t="n"/>
      <c r="I263" s="17" t="inlineStr">
        <is>
          <t>tengah</t>
        </is>
      </c>
      <c r="J263" s="17" t="n"/>
      <c r="K263" s="17" t="n"/>
      <c r="M263" s="17" t="inlineStr">
        <is>
          <t>tengah</t>
        </is>
      </c>
      <c r="N263" s="17" t="n"/>
      <c r="O263" s="17" t="n"/>
    </row>
    <row r="264" s="1">
      <c r="E264" s="17" t="inlineStr">
        <is>
          <t>kiri</t>
        </is>
      </c>
      <c r="F264" s="17" t="n"/>
      <c r="G264" s="17" t="n"/>
      <c r="I264" s="17" t="inlineStr">
        <is>
          <t>kiri</t>
        </is>
      </c>
      <c r="J264" s="17" t="n"/>
      <c r="K264" s="17" t="n"/>
      <c r="M264" s="17" t="inlineStr">
        <is>
          <t>tengah</t>
        </is>
      </c>
      <c r="N264" s="17" t="n"/>
      <c r="O264" s="17" t="n"/>
    </row>
    <row r="265" s="1">
      <c r="E265" s="17" t="inlineStr">
        <is>
          <t>kanan</t>
        </is>
      </c>
      <c r="F265" s="17" t="n"/>
      <c r="G265" s="17" t="n"/>
      <c r="I265" s="17" t="inlineStr">
        <is>
          <t>kanan</t>
        </is>
      </c>
      <c r="J265" s="17" t="n"/>
      <c r="K265" s="17" t="n"/>
      <c r="M265" s="17" t="inlineStr">
        <is>
          <t>kanan</t>
        </is>
      </c>
      <c r="N265" s="17" t="n"/>
      <c r="O265" s="17" t="n"/>
    </row>
    <row r="266" s="1">
      <c r="E266" s="17" t="inlineStr">
        <is>
          <t>kiri</t>
        </is>
      </c>
      <c r="F266" s="17" t="n"/>
      <c r="G266" s="17" t="n"/>
      <c r="I266" s="17" t="inlineStr">
        <is>
          <t>tengah</t>
        </is>
      </c>
      <c r="J266" s="17" t="n"/>
      <c r="K266" s="17" t="n"/>
      <c r="M266" s="17" t="inlineStr">
        <is>
          <t>tengah</t>
        </is>
      </c>
      <c r="N266" s="17" t="n"/>
      <c r="O266" s="17" t="n"/>
    </row>
    <row r="267" s="1">
      <c r="E267" s="17" t="inlineStr">
        <is>
          <t>tengah</t>
        </is>
      </c>
      <c r="F267" s="17" t="n"/>
      <c r="G267" s="17" t="n"/>
      <c r="I267" s="17" t="inlineStr">
        <is>
          <t>kiri</t>
        </is>
      </c>
      <c r="J267" s="17" t="n"/>
      <c r="K267" s="17" t="n"/>
      <c r="M267" s="17" t="inlineStr">
        <is>
          <t>tengah</t>
        </is>
      </c>
      <c r="N267" s="17" t="n"/>
      <c r="O267" s="17" t="n"/>
    </row>
    <row r="268" s="1">
      <c r="E268" s="17" t="inlineStr">
        <is>
          <t>kiri</t>
        </is>
      </c>
      <c r="F268" s="17" t="n"/>
      <c r="G268" s="17" t="n"/>
      <c r="I268" s="17" t="inlineStr">
        <is>
          <t>tengah</t>
        </is>
      </c>
      <c r="J268" s="17" t="n"/>
      <c r="K268" s="17" t="n"/>
      <c r="M268" s="17" t="inlineStr">
        <is>
          <t>tengah</t>
        </is>
      </c>
      <c r="N268" s="17" t="n"/>
      <c r="O268" s="17" t="n"/>
    </row>
    <row r="269" s="1">
      <c r="E269" s="17" t="inlineStr">
        <is>
          <t>tengah</t>
        </is>
      </c>
      <c r="F269" s="17" t="n"/>
      <c r="G269" s="17" t="n"/>
      <c r="I269" s="17" t="inlineStr">
        <is>
          <t>tengah</t>
        </is>
      </c>
      <c r="J269" s="17" t="n"/>
      <c r="K269" s="17" t="n"/>
      <c r="M269" s="17" t="inlineStr">
        <is>
          <t>kanan</t>
        </is>
      </c>
      <c r="N269" s="17" t="n"/>
      <c r="O269" s="17" t="n"/>
    </row>
    <row r="270" s="1">
      <c r="E270" s="17" t="inlineStr">
        <is>
          <t>tengah</t>
        </is>
      </c>
      <c r="F270" s="17" t="n"/>
      <c r="G270" s="17" t="n"/>
      <c r="I270" s="17" t="inlineStr">
        <is>
          <t>kanan</t>
        </is>
      </c>
      <c r="J270" s="17" t="n"/>
      <c r="K270" s="17" t="n"/>
      <c r="M270" s="17" t="inlineStr">
        <is>
          <t>kanan</t>
        </is>
      </c>
      <c r="N270" s="17" t="n"/>
      <c r="O270" s="17" t="n"/>
    </row>
    <row r="271" s="1">
      <c r="E271" s="17" t="inlineStr">
        <is>
          <t>kanan</t>
        </is>
      </c>
      <c r="F271" s="17" t="n"/>
      <c r="G271" s="17" t="n"/>
      <c r="I271" s="17" t="inlineStr">
        <is>
          <t>kiri</t>
        </is>
      </c>
      <c r="J271" s="17" t="n"/>
      <c r="K271" s="17" t="n"/>
      <c r="M271" s="17" t="inlineStr">
        <is>
          <t>tengah</t>
        </is>
      </c>
      <c r="N271" s="17" t="n"/>
      <c r="O271" s="17" t="n"/>
    </row>
    <row r="272" s="1">
      <c r="E272" s="17" t="inlineStr">
        <is>
          <t>kanan</t>
        </is>
      </c>
      <c r="F272" s="17" t="n"/>
      <c r="G272" s="17" t="n"/>
      <c r="I272" s="17" t="inlineStr">
        <is>
          <t>tengah</t>
        </is>
      </c>
      <c r="J272" s="17" t="n"/>
      <c r="K272" s="17" t="n"/>
      <c r="M272" s="17" t="inlineStr">
        <is>
          <t>kanan</t>
        </is>
      </c>
      <c r="N272" s="17" t="n"/>
      <c r="O272" s="17" t="n"/>
    </row>
    <row r="273" s="1">
      <c r="E273" s="17" t="inlineStr">
        <is>
          <t>tengah</t>
        </is>
      </c>
      <c r="F273" s="17" t="n"/>
      <c r="G273" s="17" t="n"/>
      <c r="I273" s="17" t="inlineStr">
        <is>
          <t>kanan</t>
        </is>
      </c>
      <c r="J273" s="17" t="n"/>
      <c r="K273" s="17" t="n"/>
      <c r="M273" s="17" t="inlineStr">
        <is>
          <t>kanan</t>
        </is>
      </c>
      <c r="N273" s="17" t="n"/>
      <c r="O273" s="17" t="n"/>
    </row>
    <row r="274" s="1">
      <c r="E274" s="17" t="inlineStr">
        <is>
          <t>tengah</t>
        </is>
      </c>
      <c r="F274" s="17" t="n"/>
      <c r="G274" s="17" t="n"/>
      <c r="I274" s="17" t="inlineStr">
        <is>
          <t>tengah</t>
        </is>
      </c>
      <c r="J274" s="17" t="n"/>
      <c r="K274" s="17" t="n"/>
      <c r="M274" s="17" t="inlineStr">
        <is>
          <t>kanan</t>
        </is>
      </c>
      <c r="N274" s="17" t="n"/>
      <c r="O274" s="17" t="n"/>
    </row>
    <row r="275" s="1">
      <c r="E275" s="17" t="inlineStr">
        <is>
          <t>tengah</t>
        </is>
      </c>
      <c r="F275" s="17" t="n"/>
      <c r="G275" s="17" t="n"/>
      <c r="I275" s="17" t="inlineStr">
        <is>
          <t>tengah</t>
        </is>
      </c>
      <c r="J275" s="17" t="n"/>
      <c r="K275" s="17" t="n"/>
      <c r="M275" s="17" t="inlineStr">
        <is>
          <t>kanan</t>
        </is>
      </c>
      <c r="N275" s="17" t="n"/>
      <c r="O275" s="17" t="n"/>
    </row>
    <row r="276" s="1">
      <c r="E276" s="17" t="inlineStr">
        <is>
          <t>kanan</t>
        </is>
      </c>
      <c r="F276" s="17" t="n"/>
      <c r="G276" s="17" t="n"/>
      <c r="I276" s="17" t="inlineStr">
        <is>
          <t>kanan</t>
        </is>
      </c>
      <c r="J276" s="17" t="n"/>
      <c r="K276" s="17" t="n"/>
      <c r="M276" s="17" t="inlineStr">
        <is>
          <t>tengah</t>
        </is>
      </c>
      <c r="N276" s="17" t="n"/>
      <c r="O276" s="17" t="n"/>
    </row>
    <row r="277" s="1">
      <c r="E277" s="17" t="inlineStr">
        <is>
          <t>kiri</t>
        </is>
      </c>
      <c r="F277" s="17" t="n"/>
      <c r="G277" s="17" t="n"/>
      <c r="I277" s="17" t="inlineStr">
        <is>
          <t>tengah</t>
        </is>
      </c>
      <c r="J277" s="17" t="n"/>
      <c r="K277" s="17" t="n"/>
      <c r="M277" s="17" t="inlineStr">
        <is>
          <t>tengah</t>
        </is>
      </c>
      <c r="N277" s="17" t="n"/>
      <c r="O277" s="17" t="n"/>
    </row>
    <row r="278" s="1">
      <c r="E278" s="17" t="inlineStr">
        <is>
          <t>tengah</t>
        </is>
      </c>
      <c r="F278" s="17" t="n"/>
      <c r="G278" s="17" t="n"/>
      <c r="I278" s="17" t="inlineStr">
        <is>
          <t>tengah</t>
        </is>
      </c>
      <c r="J278" s="17" t="n"/>
      <c r="K278" s="17" t="n"/>
      <c r="M278" s="17" t="inlineStr">
        <is>
          <t>kanan</t>
        </is>
      </c>
      <c r="N278" s="17" t="n"/>
      <c r="O278" s="17" t="n"/>
    </row>
    <row r="279" s="1">
      <c r="E279" s="17" t="inlineStr">
        <is>
          <t>kiri</t>
        </is>
      </c>
      <c r="F279" s="17" t="n"/>
      <c r="G279" s="17" t="n"/>
      <c r="I279" s="17" t="inlineStr">
        <is>
          <t>kiri</t>
        </is>
      </c>
      <c r="J279" s="17" t="n"/>
      <c r="K279" s="17" t="n"/>
      <c r="M279" s="17" t="inlineStr">
        <is>
          <t>kanan</t>
        </is>
      </c>
      <c r="N279" s="17" t="n"/>
      <c r="O279" s="17" t="n"/>
    </row>
    <row r="280" s="1">
      <c r="E280" s="17" t="inlineStr">
        <is>
          <t>kiri</t>
        </is>
      </c>
      <c r="F280" s="17" t="n"/>
      <c r="G280" s="17" t="n"/>
      <c r="I280" s="17" t="inlineStr">
        <is>
          <t>kanan</t>
        </is>
      </c>
      <c r="J280" s="17" t="n"/>
      <c r="K280" s="17" t="n"/>
      <c r="M280" s="17" t="inlineStr">
        <is>
          <t>kanan</t>
        </is>
      </c>
      <c r="N280" s="17" t="n"/>
      <c r="O280" s="17" t="n"/>
    </row>
    <row r="281" s="1">
      <c r="E281" s="17" t="inlineStr">
        <is>
          <t>tengah</t>
        </is>
      </c>
      <c r="F281" s="17" t="n"/>
      <c r="G281" s="17" t="n"/>
      <c r="I281" s="17" t="inlineStr">
        <is>
          <t>tengah</t>
        </is>
      </c>
      <c r="J281" s="17" t="n"/>
      <c r="K281" s="17" t="n"/>
      <c r="M281" s="17" t="inlineStr">
        <is>
          <t>kanan</t>
        </is>
      </c>
      <c r="N281" s="17" t="n"/>
      <c r="O281" s="17" t="n"/>
    </row>
    <row r="282" s="1">
      <c r="E282" s="17" t="inlineStr">
        <is>
          <t>tengah</t>
        </is>
      </c>
      <c r="F282" s="17" t="n"/>
      <c r="G282" s="17" t="n"/>
      <c r="I282" s="17" t="inlineStr">
        <is>
          <t>tengah</t>
        </is>
      </c>
      <c r="J282" s="17" t="n"/>
      <c r="K282" s="17" t="n"/>
      <c r="M282" s="17" t="inlineStr">
        <is>
          <t>kanan</t>
        </is>
      </c>
      <c r="N282" s="17" t="n"/>
      <c r="O282" s="17" t="n"/>
    </row>
    <row r="283" s="1">
      <c r="E283" s="17" t="inlineStr">
        <is>
          <t>tengah</t>
        </is>
      </c>
      <c r="F283" s="17" t="n"/>
      <c r="G283" s="17" t="n"/>
      <c r="I283" s="17" t="inlineStr">
        <is>
          <t>kanan</t>
        </is>
      </c>
      <c r="J283" s="17" t="n"/>
      <c r="K283" s="17" t="n"/>
      <c r="M283" s="17" t="inlineStr">
        <is>
          <t>kanan</t>
        </is>
      </c>
      <c r="N283" s="17" t="n"/>
      <c r="O283" s="17" t="n"/>
    </row>
    <row r="284" s="1">
      <c r="E284" s="17" t="inlineStr">
        <is>
          <t>tengah</t>
        </is>
      </c>
      <c r="F284" s="17" t="n"/>
      <c r="G284" s="17" t="n"/>
      <c r="I284" s="17" t="inlineStr">
        <is>
          <t>tengah</t>
        </is>
      </c>
      <c r="J284" s="17" t="n"/>
      <c r="K284" s="17" t="n"/>
      <c r="M284" s="17" t="inlineStr">
        <is>
          <t>tengah</t>
        </is>
      </c>
      <c r="N284" s="17" t="n"/>
      <c r="O284" s="17" t="n"/>
    </row>
    <row r="285" s="1">
      <c r="E285" s="17" t="inlineStr">
        <is>
          <t>tengah</t>
        </is>
      </c>
      <c r="F285" s="17" t="n"/>
      <c r="G285" s="17" t="n"/>
      <c r="I285" s="17" t="inlineStr">
        <is>
          <t>kiri</t>
        </is>
      </c>
      <c r="J285" s="17" t="n"/>
      <c r="K285" s="17" t="n"/>
      <c r="M285" s="17" t="inlineStr">
        <is>
          <t>tengah</t>
        </is>
      </c>
      <c r="N285" s="17" t="n"/>
      <c r="O285" s="17" t="n"/>
    </row>
    <row r="286" s="1">
      <c r="E286" s="17" t="inlineStr">
        <is>
          <t>kiri</t>
        </is>
      </c>
      <c r="F286" s="17" t="n"/>
      <c r="G286" s="17" t="n"/>
      <c r="I286" s="17" t="inlineStr">
        <is>
          <t>kiri</t>
        </is>
      </c>
      <c r="J286" s="17" t="n"/>
      <c r="K286" s="17" t="n"/>
      <c r="M286" s="17" t="inlineStr">
        <is>
          <t>kanan</t>
        </is>
      </c>
      <c r="N286" s="17" t="n"/>
      <c r="O286" s="17" t="n"/>
    </row>
    <row r="287" s="1">
      <c r="E287" s="17" t="inlineStr">
        <is>
          <t>kanan</t>
        </is>
      </c>
      <c r="F287" s="17" t="n"/>
      <c r="G287" s="17" t="n"/>
      <c r="I287" s="17" t="inlineStr">
        <is>
          <t>kanan</t>
        </is>
      </c>
      <c r="J287" s="17" t="n"/>
      <c r="K287" s="17" t="n"/>
      <c r="M287" s="17" t="inlineStr">
        <is>
          <t>kanan</t>
        </is>
      </c>
      <c r="N287" s="17" t="n"/>
      <c r="O287" s="17" t="n"/>
    </row>
    <row r="288" s="1">
      <c r="E288" s="17" t="inlineStr">
        <is>
          <t>tengah</t>
        </is>
      </c>
      <c r="F288" s="17" t="n"/>
      <c r="G288" s="17" t="n"/>
      <c r="I288" s="17" t="inlineStr">
        <is>
          <t>kiri</t>
        </is>
      </c>
      <c r="J288" s="17" t="n"/>
      <c r="K288" s="17" t="n"/>
      <c r="M288" s="17" t="inlineStr">
        <is>
          <t>tengah</t>
        </is>
      </c>
      <c r="N288" s="17" t="n"/>
      <c r="O288" s="17" t="n"/>
    </row>
    <row r="289" s="1">
      <c r="E289" s="17" t="inlineStr">
        <is>
          <t>kanan</t>
        </is>
      </c>
      <c r="F289" s="17" t="n"/>
      <c r="G289" s="17" t="n"/>
      <c r="I289" s="17" t="inlineStr">
        <is>
          <t>kanan</t>
        </is>
      </c>
      <c r="J289" s="17" t="n"/>
      <c r="K289" s="17" t="n"/>
      <c r="M289" s="17" t="inlineStr">
        <is>
          <t>kanan</t>
        </is>
      </c>
      <c r="N289" s="17" t="n"/>
      <c r="O289" s="17" t="n"/>
    </row>
    <row r="290" s="1">
      <c r="E290" s="17" t="inlineStr">
        <is>
          <t>kiri</t>
        </is>
      </c>
      <c r="F290" s="17" t="n"/>
      <c r="G290" s="17" t="n"/>
      <c r="I290" s="17" t="inlineStr">
        <is>
          <t>tengah</t>
        </is>
      </c>
      <c r="J290" s="17" t="n"/>
      <c r="K290" s="17" t="n"/>
      <c r="M290" s="17" t="inlineStr">
        <is>
          <t>kanan</t>
        </is>
      </c>
      <c r="N290" s="17" t="n"/>
      <c r="O290" s="17" t="n"/>
    </row>
    <row r="291" s="1">
      <c r="E291" s="17" t="inlineStr">
        <is>
          <t>tengah</t>
        </is>
      </c>
      <c r="F291" s="17" t="n"/>
      <c r="G291" s="17" t="n"/>
      <c r="I291" s="17" t="inlineStr">
        <is>
          <t>tengah</t>
        </is>
      </c>
      <c r="J291" s="17" t="n"/>
      <c r="K291" s="17" t="n"/>
      <c r="M291" s="17" t="inlineStr">
        <is>
          <t>kanan</t>
        </is>
      </c>
      <c r="N291" s="17" t="n"/>
      <c r="O291" s="17" t="n"/>
    </row>
    <row r="292" s="1">
      <c r="E292" s="17" t="inlineStr">
        <is>
          <t>tengah</t>
        </is>
      </c>
      <c r="F292" s="17" t="n"/>
      <c r="G292" s="17" t="n"/>
      <c r="I292" s="17" t="inlineStr">
        <is>
          <t>tengah</t>
        </is>
      </c>
      <c r="J292" s="17" t="n"/>
      <c r="K292" s="17" t="n"/>
      <c r="M292" s="17" t="inlineStr">
        <is>
          <t>kanan</t>
        </is>
      </c>
      <c r="N292" s="17" t="n"/>
      <c r="O292" s="17" t="n"/>
    </row>
    <row r="293" s="1">
      <c r="E293" s="17" t="inlineStr">
        <is>
          <t>kiri</t>
        </is>
      </c>
      <c r="F293" s="17" t="n"/>
      <c r="G293" s="17" t="n"/>
      <c r="I293" s="17" t="inlineStr">
        <is>
          <t>kiri</t>
        </is>
      </c>
      <c r="J293" s="17" t="n"/>
      <c r="K293" s="17" t="n"/>
      <c r="M293" s="17" t="inlineStr">
        <is>
          <t>tengah</t>
        </is>
      </c>
      <c r="N293" s="17" t="n"/>
      <c r="O293" s="17" t="n"/>
    </row>
    <row r="294" s="1">
      <c r="E294" s="17" t="inlineStr">
        <is>
          <t>kiri</t>
        </is>
      </c>
      <c r="F294" s="17" t="n"/>
      <c r="G294" s="17" t="n"/>
      <c r="I294" s="17" t="inlineStr">
        <is>
          <t>tengah</t>
        </is>
      </c>
      <c r="J294" s="17" t="n"/>
      <c r="K294" s="17" t="n"/>
      <c r="M294" s="17" t="inlineStr">
        <is>
          <t>tengah</t>
        </is>
      </c>
      <c r="N294" s="17" t="n"/>
      <c r="O294" s="17" t="n"/>
    </row>
    <row r="295" s="1">
      <c r="E295" s="17" t="inlineStr">
        <is>
          <t>tengah</t>
        </is>
      </c>
      <c r="F295" s="17" t="n"/>
      <c r="G295" s="17" t="n"/>
      <c r="I295" s="17" t="inlineStr">
        <is>
          <t>tengah</t>
        </is>
      </c>
      <c r="J295" s="17" t="n"/>
      <c r="K295" s="17" t="n"/>
      <c r="M295" s="17" t="inlineStr">
        <is>
          <t>kanan</t>
        </is>
      </c>
      <c r="N295" s="17" t="n"/>
      <c r="O295" s="17" t="n"/>
    </row>
    <row r="296" s="1">
      <c r="E296" s="17" t="inlineStr">
        <is>
          <t>kanan</t>
        </is>
      </c>
      <c r="F296" s="17" t="n"/>
      <c r="G296" s="17" t="n"/>
      <c r="I296" s="17" t="inlineStr">
        <is>
          <t>tengah</t>
        </is>
      </c>
      <c r="J296" s="17" t="n"/>
      <c r="K296" s="17" t="n"/>
      <c r="M296" s="17" t="inlineStr">
        <is>
          <t>tengah</t>
        </is>
      </c>
      <c r="N296" s="17" t="n"/>
      <c r="O296" s="17" t="n"/>
    </row>
    <row r="297" s="1">
      <c r="E297" s="17" t="inlineStr">
        <is>
          <t>tengah</t>
        </is>
      </c>
      <c r="F297" s="17" t="n"/>
      <c r="G297" s="17" t="n"/>
      <c r="I297" s="17" t="inlineStr">
        <is>
          <t>kanan</t>
        </is>
      </c>
      <c r="J297" s="17" t="n"/>
      <c r="K297" s="17" t="n"/>
      <c r="M297" s="17" t="inlineStr">
        <is>
          <t>tengah</t>
        </is>
      </c>
      <c r="N297" s="17" t="n"/>
      <c r="O297" s="17" t="n"/>
    </row>
    <row r="298" s="1">
      <c r="E298" s="17" t="inlineStr">
        <is>
          <t>kiri</t>
        </is>
      </c>
      <c r="F298" s="17" t="n"/>
      <c r="G298" s="17" t="n"/>
      <c r="I298" s="17" t="inlineStr">
        <is>
          <t>kiri</t>
        </is>
      </c>
      <c r="J298" s="17" t="n"/>
      <c r="K298" s="17" t="n"/>
      <c r="M298" s="17" t="inlineStr">
        <is>
          <t>kanan</t>
        </is>
      </c>
      <c r="N298" s="17" t="n"/>
      <c r="O298" s="17" t="n"/>
    </row>
    <row r="299" s="1">
      <c r="E299" s="17" t="inlineStr">
        <is>
          <t>kiri</t>
        </is>
      </c>
      <c r="F299" s="17" t="n"/>
      <c r="G299" s="17" t="n"/>
      <c r="I299" s="17" t="inlineStr">
        <is>
          <t>kiri</t>
        </is>
      </c>
      <c r="J299" s="17" t="n"/>
      <c r="K299" s="17" t="n"/>
      <c r="M299" s="17" t="inlineStr">
        <is>
          <t>tengah</t>
        </is>
      </c>
      <c r="N299" s="17" t="n"/>
      <c r="O299" s="17" t="n"/>
    </row>
    <row r="300" s="1">
      <c r="E300" s="17" t="inlineStr">
        <is>
          <t>tengah</t>
        </is>
      </c>
      <c r="F300" s="17" t="n"/>
      <c r="G300" s="17" t="n"/>
      <c r="I300" s="17" t="inlineStr">
        <is>
          <t>tengah</t>
        </is>
      </c>
      <c r="J300" s="17" t="n"/>
      <c r="K300" s="17" t="n"/>
      <c r="M300" s="17" t="inlineStr">
        <is>
          <t>kanan</t>
        </is>
      </c>
      <c r="N300" s="17" t="n"/>
      <c r="O300" s="17" t="n"/>
    </row>
    <row r="301" s="1">
      <c r="E301" s="17" t="inlineStr">
        <is>
          <t>tengah</t>
        </is>
      </c>
      <c r="F301" s="17" t="n"/>
      <c r="G301" s="17" t="n"/>
      <c r="I301" s="17" t="inlineStr">
        <is>
          <t>kanan</t>
        </is>
      </c>
      <c r="J301" s="17" t="n"/>
      <c r="K301" s="17" t="n"/>
      <c r="M301" s="17" t="inlineStr">
        <is>
          <t>tengah</t>
        </is>
      </c>
      <c r="N301" s="17" t="n"/>
      <c r="O301" s="17" t="n"/>
    </row>
    <row r="302" s="1">
      <c r="E302" s="17" t="inlineStr">
        <is>
          <t>tengah</t>
        </is>
      </c>
      <c r="F302" s="17" t="n"/>
      <c r="G302" s="17" t="n"/>
      <c r="I302" s="17" t="inlineStr">
        <is>
          <t>kiri</t>
        </is>
      </c>
      <c r="J302" s="17" t="n"/>
      <c r="K302" s="17" t="n"/>
      <c r="M302" s="17" t="inlineStr">
        <is>
          <t>kanan</t>
        </is>
      </c>
      <c r="N302" s="17" t="n"/>
      <c r="O302" s="17" t="n"/>
    </row>
    <row r="303" s="1">
      <c r="E303" s="17" t="inlineStr">
        <is>
          <t>tengah</t>
        </is>
      </c>
      <c r="F303" s="17" t="n"/>
      <c r="G303" s="17" t="n"/>
      <c r="I303" s="17" t="inlineStr">
        <is>
          <t>kanan</t>
        </is>
      </c>
      <c r="J303" s="17" t="n"/>
      <c r="K303" s="17" t="n"/>
      <c r="M303" s="17" t="inlineStr">
        <is>
          <t>kanan</t>
        </is>
      </c>
      <c r="N303" s="17" t="n"/>
      <c r="O303" s="17" t="n"/>
    </row>
    <row r="304" s="1">
      <c r="E304" s="17" t="inlineStr">
        <is>
          <t>kanan</t>
        </is>
      </c>
      <c r="F304" s="17" t="n"/>
      <c r="G304" s="17" t="n"/>
      <c r="I304" s="17" t="inlineStr">
        <is>
          <t>kanan</t>
        </is>
      </c>
      <c r="J304" s="17" t="n"/>
      <c r="K304" s="17" t="n"/>
      <c r="M304" s="17" t="inlineStr">
        <is>
          <t>kanan</t>
        </is>
      </c>
      <c r="N304" s="17" t="n"/>
      <c r="O304" s="17" t="n"/>
    </row>
    <row r="305" s="1">
      <c r="E305" s="17" t="inlineStr">
        <is>
          <t>tengah</t>
        </is>
      </c>
      <c r="F305" s="17" t="n"/>
      <c r="G305" s="17" t="n"/>
      <c r="I305" s="17" t="inlineStr">
        <is>
          <t>tengah</t>
        </is>
      </c>
      <c r="J305" s="17" t="n"/>
      <c r="K305" s="17" t="n"/>
      <c r="M305" s="17" t="inlineStr">
        <is>
          <t>tengah</t>
        </is>
      </c>
      <c r="N305" s="17" t="n"/>
      <c r="O305" s="17" t="n"/>
    </row>
    <row r="306" s="1">
      <c r="E306" s="17" t="inlineStr">
        <is>
          <t>tengah</t>
        </is>
      </c>
      <c r="F306" s="17" t="n"/>
      <c r="G306" s="17" t="n"/>
      <c r="I306" s="17" t="inlineStr">
        <is>
          <t>tengah</t>
        </is>
      </c>
      <c r="J306" s="17" t="n"/>
      <c r="K306" s="17" t="n"/>
      <c r="M306" s="17" t="inlineStr">
        <is>
          <t>kanan</t>
        </is>
      </c>
      <c r="N306" s="17" t="n"/>
      <c r="O306" s="17" t="n"/>
    </row>
    <row r="307" s="1">
      <c r="E307" s="17" t="inlineStr">
        <is>
          <t>kiri</t>
        </is>
      </c>
      <c r="F307" s="17" t="n"/>
      <c r="G307" s="17" t="n"/>
      <c r="I307" s="17" t="inlineStr">
        <is>
          <t>tengah</t>
        </is>
      </c>
      <c r="J307" s="17" t="n"/>
      <c r="K307" s="17" t="n"/>
      <c r="M307" s="17" t="inlineStr">
        <is>
          <t>tengah</t>
        </is>
      </c>
      <c r="N307" s="17" t="n"/>
      <c r="O307" s="17" t="n"/>
    </row>
    <row r="308" s="1">
      <c r="E308" s="17" t="inlineStr">
        <is>
          <t>tengah</t>
        </is>
      </c>
      <c r="F308" s="17" t="n"/>
      <c r="G308" s="17" t="n"/>
      <c r="I308" s="17" t="inlineStr">
        <is>
          <t>tengah</t>
        </is>
      </c>
      <c r="J308" s="17" t="n"/>
      <c r="K308" s="17" t="n"/>
      <c r="M308" s="17" t="inlineStr">
        <is>
          <t>tengah</t>
        </is>
      </c>
      <c r="N308" s="17" t="n"/>
      <c r="O308" s="17" t="n"/>
    </row>
    <row r="309" s="1">
      <c r="E309" s="17" t="inlineStr">
        <is>
          <t>tengah</t>
        </is>
      </c>
      <c r="F309" s="17" t="n"/>
      <c r="G309" s="17" t="n"/>
      <c r="I309" s="17" t="inlineStr">
        <is>
          <t>kiri</t>
        </is>
      </c>
      <c r="J309" s="17" t="n"/>
      <c r="K309" s="17" t="n"/>
      <c r="M309" s="17" t="inlineStr">
        <is>
          <t>tengah</t>
        </is>
      </c>
      <c r="N309" s="17" t="n"/>
      <c r="O309" s="17" t="n"/>
    </row>
    <row r="310" s="1">
      <c r="E310" s="17" t="inlineStr">
        <is>
          <t>kanan</t>
        </is>
      </c>
      <c r="F310" s="17" t="n"/>
      <c r="G310" s="17" t="n"/>
      <c r="I310" s="17" t="inlineStr">
        <is>
          <t>kiri</t>
        </is>
      </c>
      <c r="J310" s="17" t="n"/>
      <c r="K310" s="17" t="n"/>
      <c r="M310" s="17" t="inlineStr">
        <is>
          <t>tengah</t>
        </is>
      </c>
      <c r="N310" s="17" t="n"/>
      <c r="O310" s="17" t="n"/>
    </row>
    <row r="311" s="1">
      <c r="E311" s="17" t="inlineStr">
        <is>
          <t>tengah</t>
        </is>
      </c>
      <c r="F311" s="17" t="n"/>
      <c r="G311" s="17" t="n"/>
      <c r="I311" s="17" t="inlineStr">
        <is>
          <t>tengah</t>
        </is>
      </c>
      <c r="J311" s="17" t="n"/>
      <c r="K311" s="17" t="n"/>
      <c r="M311" s="17" t="inlineStr">
        <is>
          <t>tengah</t>
        </is>
      </c>
      <c r="N311" s="17" t="n"/>
      <c r="O311" s="17" t="n"/>
    </row>
    <row r="312" s="1">
      <c r="E312" s="17" t="inlineStr">
        <is>
          <t>kanan</t>
        </is>
      </c>
      <c r="F312" s="17" t="n"/>
      <c r="G312" s="17" t="n"/>
      <c r="I312" s="17" t="inlineStr">
        <is>
          <t>tengah</t>
        </is>
      </c>
      <c r="J312" s="17" t="n"/>
      <c r="K312" s="17" t="n"/>
      <c r="M312" s="17" t="inlineStr">
        <is>
          <t>kanan</t>
        </is>
      </c>
      <c r="N312" s="17" t="n"/>
      <c r="O312" s="17" t="n"/>
    </row>
    <row r="313" s="1">
      <c r="E313" s="17" t="inlineStr">
        <is>
          <t>tengah</t>
        </is>
      </c>
      <c r="F313" s="17" t="n"/>
      <c r="G313" s="17" t="n"/>
      <c r="I313" s="17" t="inlineStr">
        <is>
          <t>tengah</t>
        </is>
      </c>
      <c r="J313" s="17" t="n"/>
      <c r="K313" s="17" t="n"/>
      <c r="M313" s="17" t="inlineStr">
        <is>
          <t>tengah</t>
        </is>
      </c>
      <c r="N313" s="17" t="n"/>
      <c r="O313" s="17" t="n"/>
    </row>
    <row r="314" s="1">
      <c r="E314" s="17" t="inlineStr">
        <is>
          <t>tengah</t>
        </is>
      </c>
      <c r="F314" s="17" t="n"/>
      <c r="G314" s="17" t="n"/>
      <c r="I314" s="17" t="inlineStr">
        <is>
          <t>kanan</t>
        </is>
      </c>
      <c r="J314" s="17" t="n"/>
      <c r="K314" s="17" t="n"/>
      <c r="M314" s="17" t="inlineStr">
        <is>
          <t>kanan</t>
        </is>
      </c>
      <c r="N314" s="17" t="n"/>
      <c r="O314" s="17" t="n"/>
    </row>
    <row r="315" s="1">
      <c r="E315" s="17" t="inlineStr">
        <is>
          <t>tengah</t>
        </is>
      </c>
      <c r="F315" s="17" t="n"/>
      <c r="G315" s="17" t="n"/>
      <c r="I315" s="17" t="inlineStr">
        <is>
          <t>kiri</t>
        </is>
      </c>
      <c r="J315" s="17" t="n"/>
      <c r="K315" s="17" t="n"/>
      <c r="M315" s="17" t="inlineStr">
        <is>
          <t>kanan</t>
        </is>
      </c>
      <c r="N315" s="17" t="n"/>
      <c r="O315" s="17" t="n"/>
    </row>
    <row r="316" s="1">
      <c r="E316" s="17" t="inlineStr">
        <is>
          <t>kanan</t>
        </is>
      </c>
      <c r="F316" s="17" t="n"/>
      <c r="G316" s="17" t="n"/>
      <c r="I316" s="17" t="inlineStr">
        <is>
          <t>kanan</t>
        </is>
      </c>
      <c r="J316" s="17" t="n"/>
      <c r="K316" s="17" t="n"/>
      <c r="M316" s="17" t="inlineStr">
        <is>
          <t>kanan</t>
        </is>
      </c>
      <c r="N316" s="17" t="n"/>
      <c r="O316" s="17" t="n"/>
    </row>
    <row r="317" s="1">
      <c r="E317" s="17" t="inlineStr">
        <is>
          <t>tengah</t>
        </is>
      </c>
      <c r="F317" s="17" t="n"/>
      <c r="G317" s="17" t="n"/>
      <c r="I317" s="17" t="inlineStr">
        <is>
          <t>kiri</t>
        </is>
      </c>
      <c r="J317" s="17" t="n"/>
      <c r="K317" s="17" t="n"/>
      <c r="M317" s="17" t="inlineStr">
        <is>
          <t>kanan</t>
        </is>
      </c>
      <c r="N317" s="17" t="n"/>
      <c r="O317" s="17" t="n"/>
    </row>
    <row r="318" s="1">
      <c r="E318" s="17" t="inlineStr">
        <is>
          <t>kiri</t>
        </is>
      </c>
      <c r="F318" s="17" t="n"/>
      <c r="G318" s="17" t="n"/>
      <c r="I318" s="17" t="inlineStr">
        <is>
          <t>kiri</t>
        </is>
      </c>
      <c r="J318" s="17" t="n"/>
      <c r="K318" s="17" t="n"/>
      <c r="M318" s="17" t="inlineStr">
        <is>
          <t>kanan</t>
        </is>
      </c>
      <c r="N318" s="17" t="n"/>
      <c r="O318" s="17" t="n"/>
    </row>
    <row r="319" s="1">
      <c r="E319" s="17" t="inlineStr">
        <is>
          <t>tengah</t>
        </is>
      </c>
      <c r="F319" s="17" t="n"/>
      <c r="G319" s="17" t="n"/>
      <c r="I319" s="17" t="inlineStr">
        <is>
          <t>kiri</t>
        </is>
      </c>
      <c r="J319" s="17" t="n"/>
      <c r="K319" s="17" t="n"/>
      <c r="M319" s="17" t="inlineStr">
        <is>
          <t>kanan</t>
        </is>
      </c>
      <c r="N319" s="17" t="n"/>
      <c r="O319" s="17" t="n"/>
    </row>
    <row r="320" s="1">
      <c r="E320" s="17" t="inlineStr">
        <is>
          <t>tengah</t>
        </is>
      </c>
      <c r="F320" s="17" t="n"/>
      <c r="G320" s="17" t="n"/>
      <c r="I320" s="17" t="inlineStr">
        <is>
          <t>tengah</t>
        </is>
      </c>
      <c r="J320" s="17" t="n"/>
      <c r="K320" s="17" t="n"/>
      <c r="M320" s="17" t="inlineStr">
        <is>
          <t>kanan</t>
        </is>
      </c>
      <c r="N320" s="17" t="n"/>
      <c r="O320" s="17" t="n"/>
    </row>
    <row r="321" s="1">
      <c r="E321" s="17" t="inlineStr">
        <is>
          <t>kiri</t>
        </is>
      </c>
      <c r="F321" s="17" t="n"/>
      <c r="G321" s="17" t="n"/>
      <c r="I321" s="17" t="inlineStr">
        <is>
          <t>kiri</t>
        </is>
      </c>
      <c r="J321" s="17" t="n"/>
      <c r="K321" s="17" t="n"/>
      <c r="M321" s="17" t="inlineStr">
        <is>
          <t>kanan</t>
        </is>
      </c>
      <c r="N321" s="17" t="n"/>
      <c r="O321" s="17" t="n"/>
    </row>
    <row r="322" s="1">
      <c r="E322" s="17" t="inlineStr">
        <is>
          <t>kiri</t>
        </is>
      </c>
      <c r="F322" s="17" t="n"/>
      <c r="G322" s="17" t="n"/>
      <c r="I322" s="17" t="inlineStr">
        <is>
          <t>kiri</t>
        </is>
      </c>
      <c r="J322" s="17" t="n"/>
      <c r="K322" s="17" t="n"/>
      <c r="M322" s="17" t="inlineStr">
        <is>
          <t>kanan</t>
        </is>
      </c>
      <c r="N322" s="17" t="n"/>
      <c r="O322" s="17" t="n"/>
    </row>
    <row r="323" s="1">
      <c r="E323" s="17" t="inlineStr">
        <is>
          <t>tengah</t>
        </is>
      </c>
      <c r="F323" s="17" t="n"/>
      <c r="G323" s="17" t="n"/>
      <c r="I323" s="17" t="inlineStr">
        <is>
          <t>tengah</t>
        </is>
      </c>
      <c r="J323" s="17" t="n"/>
      <c r="K323" s="17" t="n"/>
      <c r="M323" s="17" t="inlineStr">
        <is>
          <t>tengah</t>
        </is>
      </c>
      <c r="N323" s="17" t="n"/>
      <c r="O323" s="17" t="n"/>
    </row>
    <row r="324" s="1">
      <c r="E324" s="17" t="inlineStr">
        <is>
          <t>tengah</t>
        </is>
      </c>
      <c r="F324" s="17" t="n"/>
      <c r="G324" s="17" t="n"/>
      <c r="I324" s="17" t="inlineStr">
        <is>
          <t>kiri</t>
        </is>
      </c>
      <c r="J324" s="17" t="n"/>
      <c r="K324" s="17" t="n"/>
      <c r="M324" s="17" t="inlineStr">
        <is>
          <t>tengah</t>
        </is>
      </c>
      <c r="N324" s="17" t="n"/>
      <c r="O324" s="17" t="n"/>
    </row>
    <row r="325" s="1">
      <c r="E325" s="17" t="inlineStr">
        <is>
          <t>kiri</t>
        </is>
      </c>
      <c r="F325" s="17" t="n"/>
      <c r="G325" s="17" t="n"/>
      <c r="I325" s="17" t="inlineStr">
        <is>
          <t>tengah</t>
        </is>
      </c>
      <c r="J325" s="17" t="n"/>
      <c r="K325" s="17" t="n"/>
      <c r="M325" s="17" t="inlineStr">
        <is>
          <t>kanan</t>
        </is>
      </c>
      <c r="N325" s="17" t="n"/>
      <c r="O325" s="17" t="n"/>
    </row>
    <row r="326" s="1">
      <c r="E326" s="17" t="inlineStr">
        <is>
          <t>kanan</t>
        </is>
      </c>
      <c r="F326" s="17" t="n"/>
      <c r="G326" s="17" t="n"/>
      <c r="I326" s="17" t="inlineStr">
        <is>
          <t>kanan</t>
        </is>
      </c>
      <c r="J326" s="17" t="n"/>
      <c r="K326" s="17" t="n"/>
      <c r="M326" s="17" t="inlineStr">
        <is>
          <t>tengah</t>
        </is>
      </c>
      <c r="N326" s="17" t="n"/>
      <c r="O326" s="17" t="n"/>
    </row>
    <row r="327" s="1">
      <c r="E327" s="17" t="inlineStr">
        <is>
          <t>tengah</t>
        </is>
      </c>
      <c r="F327" s="17" t="n"/>
      <c r="G327" s="17" t="n"/>
      <c r="I327" s="17" t="inlineStr">
        <is>
          <t>tengah</t>
        </is>
      </c>
      <c r="J327" s="17" t="n"/>
      <c r="K327" s="17" t="n"/>
      <c r="M327" s="17" t="inlineStr">
        <is>
          <t>tengah</t>
        </is>
      </c>
      <c r="N327" s="17" t="n"/>
      <c r="O327" s="17" t="n"/>
    </row>
    <row r="328" s="1">
      <c r="E328" s="17" t="inlineStr">
        <is>
          <t>kiri</t>
        </is>
      </c>
      <c r="F328" s="17" t="n"/>
      <c r="G328" s="17" t="n"/>
      <c r="I328" s="17" t="inlineStr">
        <is>
          <t>kiri</t>
        </is>
      </c>
      <c r="J328" s="17" t="n"/>
      <c r="K328" s="17" t="n"/>
      <c r="M328" s="17" t="inlineStr">
        <is>
          <t>tengah</t>
        </is>
      </c>
      <c r="N328" s="17" t="n"/>
      <c r="O328" s="17" t="n"/>
    </row>
    <row r="329" s="1">
      <c r="E329" s="17" t="inlineStr">
        <is>
          <t>kanan</t>
        </is>
      </c>
      <c r="F329" s="17" t="n"/>
      <c r="G329" s="17" t="n"/>
      <c r="I329" s="17" t="inlineStr">
        <is>
          <t>tengah</t>
        </is>
      </c>
      <c r="J329" s="17" t="n"/>
      <c r="K329" s="17" t="n"/>
      <c r="M329" s="17" t="inlineStr">
        <is>
          <t>tengah</t>
        </is>
      </c>
      <c r="N329" s="17" t="n"/>
      <c r="O329" s="17" t="n"/>
    </row>
    <row r="330" s="1">
      <c r="E330" s="17" t="inlineStr">
        <is>
          <t>tengah</t>
        </is>
      </c>
      <c r="F330" s="17" t="n"/>
      <c r="G330" s="17" t="n"/>
      <c r="I330" s="17" t="inlineStr">
        <is>
          <t>tengah</t>
        </is>
      </c>
      <c r="J330" s="17" t="n"/>
      <c r="K330" s="17" t="n"/>
      <c r="M330" s="17" t="inlineStr">
        <is>
          <t>kanan</t>
        </is>
      </c>
      <c r="N330" s="17" t="n"/>
      <c r="O330" s="17" t="n"/>
    </row>
    <row r="331" s="1">
      <c r="E331" s="17" t="inlineStr">
        <is>
          <t>tengah</t>
        </is>
      </c>
      <c r="F331" s="17" t="n"/>
      <c r="G331" s="17" t="n"/>
      <c r="I331" s="17" t="inlineStr">
        <is>
          <t>tengah</t>
        </is>
      </c>
      <c r="J331" s="17" t="n"/>
      <c r="K331" s="17" t="n"/>
      <c r="M331" s="17" t="inlineStr">
        <is>
          <t>kanan</t>
        </is>
      </c>
      <c r="N331" s="17" t="n"/>
      <c r="O331" s="17" t="n"/>
    </row>
    <row r="332" s="1">
      <c r="E332" s="17" t="inlineStr">
        <is>
          <t>tengah</t>
        </is>
      </c>
      <c r="F332" s="17" t="n"/>
      <c r="G332" s="17" t="n"/>
      <c r="I332" s="17" t="inlineStr">
        <is>
          <t>tengah</t>
        </is>
      </c>
      <c r="J332" s="17" t="n"/>
      <c r="K332" s="17" t="n"/>
      <c r="M332" s="17" t="inlineStr">
        <is>
          <t>tengah</t>
        </is>
      </c>
      <c r="N332" s="17" t="n"/>
      <c r="O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32"/>
  <sheetViews>
    <sheetView topLeftCell="G67" workbookViewId="0">
      <selection activeCell="R172" sqref="R172"/>
    </sheetView>
  </sheetViews>
  <sheetFormatPr baseColWidth="8" defaultColWidth="8.6" defaultRowHeight="15"/>
  <cols>
    <col width="15.8592592592593" customWidth="1" style="1" min="2" max="2"/>
    <col width="13.2888888888889" customWidth="1" style="1" min="3" max="3"/>
    <col width="13.8592592592593" customWidth="1" style="1" min="4" max="4"/>
    <col width="15.8592592592593" customWidth="1" style="1" min="9" max="9"/>
    <col width="13.2888888888889" customWidth="1" style="1" min="10" max="10"/>
    <col width="13.8592592592593" customWidth="1" style="1" min="11" max="11"/>
    <col width="10.4296296296296" customWidth="1" style="1" min="14" max="14"/>
    <col width="16.1407407407407" customWidth="1" style="1" min="15" max="15"/>
  </cols>
  <sheetData>
    <row r="1" s="1">
      <c r="A1" s="15" t="inlineStr">
        <is>
          <t>No</t>
        </is>
      </c>
      <c r="B1" s="16" t="inlineStr">
        <is>
          <t>Lama Rawat Inap</t>
        </is>
      </c>
      <c r="C1" s="16" t="inlineStr">
        <is>
          <t>Jenis Kelamin</t>
        </is>
      </c>
      <c r="D1" s="16" t="inlineStr">
        <is>
          <t>Tingkat Resiko</t>
        </is>
      </c>
      <c r="H1" s="15" t="inlineStr">
        <is>
          <t>No</t>
        </is>
      </c>
      <c r="I1" s="15" t="inlineStr">
        <is>
          <t>Lama Rawat Inap</t>
        </is>
      </c>
      <c r="J1" s="15" t="inlineStr">
        <is>
          <t>Jenis Kelamin</t>
        </is>
      </c>
      <c r="K1" s="15" t="inlineStr">
        <is>
          <t>Tingkat Resiko</t>
        </is>
      </c>
      <c r="O1" s="16" t="inlineStr">
        <is>
          <t>Perhitungan root</t>
        </is>
      </c>
      <c r="P1" s="19" t="n"/>
      <c r="Q1" s="19" t="n"/>
    </row>
    <row r="2" s="1">
      <c r="A2" s="17">
        <f>RANDBETWEEN(2,164)</f>
        <v/>
      </c>
      <c r="B2" s="17">
        <f t="array" ref="B2">INDEX(Data_DBD!$C:$C,$A2)</f>
        <v/>
      </c>
      <c r="C2" s="17">
        <f t="array" ref="C2">INDEX(Data_DBD!$E:$E,$A2)</f>
        <v/>
      </c>
      <c r="D2" s="17">
        <f t="array" ref="D2">INDEX(Data_DBD!$F:$F,$A2)</f>
        <v/>
      </c>
      <c r="H2" s="18" t="n">
        <v>39</v>
      </c>
      <c r="I2" s="18" t="n">
        <v>5</v>
      </c>
      <c r="J2" s="18" t="n">
        <v>1</v>
      </c>
      <c r="K2" s="18" t="inlineStr">
        <is>
          <t>Sedang</t>
        </is>
      </c>
      <c r="O2" s="19" t="inlineStr">
        <is>
          <t>Tinggi</t>
        </is>
      </c>
      <c r="P2" s="19">
        <f>COUNTIF(K2:K164,"Tinggi")</f>
        <v/>
      </c>
      <c r="Q2" s="19">
        <f>P2/163</f>
        <v/>
      </c>
    </row>
    <row r="3" s="1">
      <c r="A3" s="17">
        <f>RANDBETWEEN(2,164)</f>
        <v/>
      </c>
      <c r="B3" s="17">
        <f t="array" ref="B3">INDEX(Data_DBD!$C:$C,$A3)</f>
        <v/>
      </c>
      <c r="C3" s="17">
        <f t="array" ref="C3">INDEX(Data_DBD!$E:$E,$A3)</f>
        <v/>
      </c>
      <c r="D3" s="17">
        <f t="array" ref="D3">INDEX(Data_DBD!$F:$F,$A3)</f>
        <v/>
      </c>
      <c r="H3" s="18" t="n">
        <v>30</v>
      </c>
      <c r="I3" s="18" t="n">
        <v>2</v>
      </c>
      <c r="J3" s="18" t="n">
        <v>1</v>
      </c>
      <c r="K3" s="18" t="inlineStr">
        <is>
          <t>Sedang</t>
        </is>
      </c>
      <c r="O3" s="19" t="inlineStr">
        <is>
          <t>Sedang</t>
        </is>
      </c>
      <c r="P3" s="19">
        <f>COUNTIF(K2:K164,"Sedang")</f>
        <v/>
      </c>
      <c r="Q3" s="19">
        <f>P3/163</f>
        <v/>
      </c>
    </row>
    <row r="4" s="1">
      <c r="A4" s="17">
        <f>RANDBETWEEN(2,164)</f>
        <v/>
      </c>
      <c r="B4" s="17">
        <f t="array" ref="B4">INDEX(Data_DBD!$C:$C,$A4)</f>
        <v/>
      </c>
      <c r="C4" s="17">
        <f t="array" ref="C4">INDEX(Data_DBD!$E:$E,$A4)</f>
        <v/>
      </c>
      <c r="D4" s="17">
        <f t="array" ref="D4">INDEX(Data_DBD!$F:$F,$A4)</f>
        <v/>
      </c>
      <c r="H4" s="18" t="n">
        <v>52</v>
      </c>
      <c r="I4" s="18" t="n">
        <v>4</v>
      </c>
      <c r="J4" s="18" t="n">
        <v>1</v>
      </c>
      <c r="K4" s="18" t="inlineStr">
        <is>
          <t>Sedang</t>
        </is>
      </c>
      <c r="O4" s="19" t="inlineStr">
        <is>
          <t>Rendah</t>
        </is>
      </c>
      <c r="P4" s="19">
        <f>COUNTIF(K2:K164,"Rendah")</f>
        <v/>
      </c>
      <c r="Q4" s="19">
        <f>P4/163</f>
        <v/>
      </c>
    </row>
    <row r="5" s="1">
      <c r="A5" s="17">
        <f>RANDBETWEEN(2,164)</f>
        <v/>
      </c>
      <c r="B5" s="17">
        <f t="array" ref="B5">INDEX(Data_DBD!$C:$C,$A5)</f>
        <v/>
      </c>
      <c r="C5" s="17">
        <f t="array" ref="C5">INDEX(Data_DBD!$E:$E,$A5)</f>
        <v/>
      </c>
      <c r="D5" s="17">
        <f t="array" ref="D5">INDEX(Data_DBD!$F:$F,$A5)</f>
        <v/>
      </c>
      <c r="H5" s="18" t="n">
        <v>2</v>
      </c>
      <c r="I5" s="18" t="n">
        <v>3</v>
      </c>
      <c r="J5" s="18" t="n">
        <v>0</v>
      </c>
      <c r="K5" s="18" t="inlineStr">
        <is>
          <t>Sedang</t>
        </is>
      </c>
      <c r="O5" s="20" t="inlineStr">
        <is>
          <t>Entropy Root</t>
        </is>
      </c>
      <c r="P5">
        <f>-(IFERROR(Q2*LOG(Q2,2),0)+IFERROR(Q3*LOG(Q3,2),0)+IFERROR(Q4*LOG(Q4,2),0))</f>
        <v/>
      </c>
    </row>
    <row r="6" s="1">
      <c r="A6" s="17">
        <f>RANDBETWEEN(2,164)</f>
        <v/>
      </c>
      <c r="B6" s="17">
        <f t="array" ref="B6">INDEX(Data_DBD!$C:$C,$A6)</f>
        <v/>
      </c>
      <c r="C6" s="17">
        <f t="array" ref="C6">INDEX(Data_DBD!$E:$E,$A6)</f>
        <v/>
      </c>
      <c r="D6" s="17">
        <f t="array" ref="D6">INDEX(Data_DBD!$F:$F,$A6)</f>
        <v/>
      </c>
      <c r="H6" s="18" t="n">
        <v>48</v>
      </c>
      <c r="I6" s="18" t="n">
        <v>5</v>
      </c>
      <c r="J6" s="18" t="n">
        <v>1</v>
      </c>
      <c r="K6" s="18" t="inlineStr">
        <is>
          <t>Sedang</t>
        </is>
      </c>
    </row>
    <row r="7" s="1">
      <c r="A7" s="17">
        <f>RANDBETWEEN(2,164)</f>
        <v/>
      </c>
      <c r="B7" s="17">
        <f t="array" ref="B7">INDEX(Data_DBD!$C:$C,$A7)</f>
        <v/>
      </c>
      <c r="C7" s="17">
        <f t="array" ref="C7">INDEX(Data_DBD!$E:$E,$A7)</f>
        <v/>
      </c>
      <c r="D7" s="17">
        <f t="array" ref="D7">INDEX(Data_DBD!$F:$F,$A7)</f>
        <v/>
      </c>
      <c r="H7" s="18" t="n">
        <v>164</v>
      </c>
      <c r="I7" s="18" t="n">
        <v>6</v>
      </c>
      <c r="J7" s="18" t="n">
        <v>0</v>
      </c>
      <c r="K7" s="18" t="inlineStr">
        <is>
          <t>Rendah</t>
        </is>
      </c>
    </row>
    <row r="8" s="1">
      <c r="A8" s="17">
        <f>RANDBETWEEN(2,164)</f>
        <v/>
      </c>
      <c r="B8" s="17">
        <f t="array" ref="B8">INDEX(Data_DBD!$C:$C,$A8)</f>
        <v/>
      </c>
      <c r="C8" s="17">
        <f t="array" ref="C8">INDEX(Data_DBD!$E:$E,$A8)</f>
        <v/>
      </c>
      <c r="D8" s="17">
        <f t="array" ref="D8">INDEX(Data_DBD!$F:$F,$A8)</f>
        <v/>
      </c>
      <c r="H8" s="18" t="n">
        <v>164</v>
      </c>
      <c r="I8" s="18" t="n">
        <v>6</v>
      </c>
      <c r="J8" s="18" t="n">
        <v>0</v>
      </c>
      <c r="K8" s="18" t="inlineStr">
        <is>
          <t>Rendah</t>
        </is>
      </c>
    </row>
    <row r="9" s="1">
      <c r="A9" s="17">
        <f>RANDBETWEEN(2,164)</f>
        <v/>
      </c>
      <c r="B9" s="17">
        <f t="array" ref="B9">INDEX(Data_DBD!$C:$C,$A9)</f>
        <v/>
      </c>
      <c r="C9" s="17">
        <f t="array" ref="C9">INDEX(Data_DBD!$E:$E,$A9)</f>
        <v/>
      </c>
      <c r="D9" s="17">
        <f t="array" ref="D9">INDEX(Data_DBD!$F:$F,$A9)</f>
        <v/>
      </c>
      <c r="H9" s="18" t="n">
        <v>72</v>
      </c>
      <c r="I9" s="18" t="n">
        <v>5</v>
      </c>
      <c r="J9" s="18" t="n">
        <v>1</v>
      </c>
      <c r="K9" s="18" t="inlineStr">
        <is>
          <t>Sedang</t>
        </is>
      </c>
    </row>
    <row r="10" s="1">
      <c r="A10" s="17">
        <f>RANDBETWEEN(2,164)</f>
        <v/>
      </c>
      <c r="B10" s="17">
        <f t="array" ref="B10">INDEX(Data_DBD!$C:$C,$A10)</f>
        <v/>
      </c>
      <c r="C10" s="17">
        <f t="array" ref="C10">INDEX(Data_DBD!$E:$E,$A10)</f>
        <v/>
      </c>
      <c r="D10" s="17">
        <f t="array" ref="D10">INDEX(Data_DBD!$F:$F,$A10)</f>
        <v/>
      </c>
      <c r="H10" s="18" t="n">
        <v>34</v>
      </c>
      <c r="I10" s="18" t="n">
        <v>3</v>
      </c>
      <c r="J10" s="18" t="n">
        <v>0</v>
      </c>
      <c r="K10" s="18" t="inlineStr">
        <is>
          <t>Sedang</t>
        </is>
      </c>
    </row>
    <row r="11" s="1">
      <c r="A11" s="17">
        <f>RANDBETWEEN(2,164)</f>
        <v/>
      </c>
      <c r="B11" s="17">
        <f t="array" ref="B11">INDEX(Data_DBD!$C:$C,$A11)</f>
        <v/>
      </c>
      <c r="C11" s="17">
        <f t="array" ref="C11">INDEX(Data_DBD!$E:$E,$A11)</f>
        <v/>
      </c>
      <c r="D11" s="17">
        <f t="array" ref="D11">INDEX(Data_DBD!$F:$F,$A11)</f>
        <v/>
      </c>
      <c r="H11" s="18" t="n">
        <v>29</v>
      </c>
      <c r="I11" s="18" t="n">
        <v>2</v>
      </c>
      <c r="J11" s="18" t="n">
        <v>1</v>
      </c>
      <c r="K11" s="18" t="inlineStr">
        <is>
          <t>Sedang</t>
        </is>
      </c>
    </row>
    <row r="12" s="1">
      <c r="A12" s="17">
        <f>RANDBETWEEN(2,164)</f>
        <v/>
      </c>
      <c r="B12" s="17">
        <f t="array" ref="B12">INDEX(Data_DBD!$C:$C,$A12)</f>
        <v/>
      </c>
      <c r="C12" s="17">
        <f t="array" ref="C12">INDEX(Data_DBD!$E:$E,$A12)</f>
        <v/>
      </c>
      <c r="D12" s="17">
        <f t="array" ref="D12">INDEX(Data_DBD!$F:$F,$A12)</f>
        <v/>
      </c>
      <c r="H12" s="18" t="n">
        <v>128</v>
      </c>
      <c r="I12" s="18" t="n">
        <v>2</v>
      </c>
      <c r="J12" s="18" t="n">
        <v>0</v>
      </c>
      <c r="K12" s="18" t="inlineStr">
        <is>
          <t>Tinggi</t>
        </is>
      </c>
    </row>
    <row r="13" s="1">
      <c r="A13" s="17">
        <f>RANDBETWEEN(2,164)</f>
        <v/>
      </c>
      <c r="B13" s="17">
        <f t="array" ref="B13">INDEX(Data_DBD!$C:$C,$A13)</f>
        <v/>
      </c>
      <c r="C13" s="17">
        <f t="array" ref="C13">INDEX(Data_DBD!$E:$E,$A13)</f>
        <v/>
      </c>
      <c r="D13" s="17">
        <f t="array" ref="D13">INDEX(Data_DBD!$F:$F,$A13)</f>
        <v/>
      </c>
      <c r="H13" s="18" t="n">
        <v>2</v>
      </c>
      <c r="I13" s="18" t="n">
        <v>3</v>
      </c>
      <c r="J13" s="18" t="n">
        <v>0</v>
      </c>
      <c r="K13" s="18" t="inlineStr">
        <is>
          <t>Sedang</t>
        </is>
      </c>
    </row>
    <row r="14" s="1">
      <c r="A14" s="17">
        <f>RANDBETWEEN(2,164)</f>
        <v/>
      </c>
      <c r="B14" s="17">
        <f t="array" ref="B14">INDEX(Data_DBD!$C:$C,$A14)</f>
        <v/>
      </c>
      <c r="C14" s="17">
        <f t="array" ref="C14">INDEX(Data_DBD!$E:$E,$A14)</f>
        <v/>
      </c>
      <c r="D14" s="17">
        <f t="array" ref="D14">INDEX(Data_DBD!$F:$F,$A14)</f>
        <v/>
      </c>
      <c r="H14" s="18" t="n">
        <v>18</v>
      </c>
      <c r="I14" s="18" t="n">
        <v>4</v>
      </c>
      <c r="J14" s="18" t="n">
        <v>1</v>
      </c>
      <c r="K14" s="18" t="inlineStr">
        <is>
          <t>Rendah</t>
        </is>
      </c>
    </row>
    <row r="15" s="1">
      <c r="A15" s="17">
        <f>RANDBETWEEN(2,164)</f>
        <v/>
      </c>
      <c r="B15" s="17">
        <f t="array" ref="B15">INDEX(Data_DBD!$C:$C,$A15)</f>
        <v/>
      </c>
      <c r="C15" s="17">
        <f t="array" ref="C15">INDEX(Data_DBD!$E:$E,$A15)</f>
        <v/>
      </c>
      <c r="D15" s="17">
        <f t="array" ref="D15">INDEX(Data_DBD!$F:$F,$A15)</f>
        <v/>
      </c>
      <c r="H15" s="18" t="n">
        <v>23</v>
      </c>
      <c r="I15" s="18" t="n">
        <v>4</v>
      </c>
      <c r="J15" s="18" t="n">
        <v>1</v>
      </c>
      <c r="K15" s="18" t="inlineStr">
        <is>
          <t>Sedang</t>
        </is>
      </c>
    </row>
    <row r="16" s="1">
      <c r="A16" s="17">
        <f>RANDBETWEEN(2,164)</f>
        <v/>
      </c>
      <c r="B16" s="17">
        <f t="array" ref="B16">INDEX(Data_DBD!$C:$C,$A16)</f>
        <v/>
      </c>
      <c r="C16" s="17">
        <f t="array" ref="C16">INDEX(Data_DBD!$E:$E,$A16)</f>
        <v/>
      </c>
      <c r="D16" s="17">
        <f t="array" ref="D16">INDEX(Data_DBD!$F:$F,$A16)</f>
        <v/>
      </c>
      <c r="H16" s="18" t="n">
        <v>162</v>
      </c>
      <c r="I16" s="18" t="n">
        <v>3</v>
      </c>
      <c r="J16" s="18" t="n">
        <v>1</v>
      </c>
      <c r="K16" s="18" t="inlineStr">
        <is>
          <t>Rendah</t>
        </is>
      </c>
    </row>
    <row r="17" s="1">
      <c r="A17" s="17">
        <f>RANDBETWEEN(2,164)</f>
        <v/>
      </c>
      <c r="B17" s="17">
        <f t="array" ref="B17">INDEX(Data_DBD!$C:$C,$A17)</f>
        <v/>
      </c>
      <c r="C17" s="17">
        <f t="array" ref="C17">INDEX(Data_DBD!$E:$E,$A17)</f>
        <v/>
      </c>
      <c r="D17" s="17">
        <f t="array" ref="D17">INDEX(Data_DBD!$F:$F,$A17)</f>
        <v/>
      </c>
      <c r="H17" s="18" t="n">
        <v>27</v>
      </c>
      <c r="I17" s="18" t="n">
        <v>4</v>
      </c>
      <c r="J17" s="18" t="n">
        <v>1</v>
      </c>
      <c r="K17" s="18" t="inlineStr">
        <is>
          <t>Sedang</t>
        </is>
      </c>
    </row>
    <row r="18" s="1">
      <c r="A18" s="17">
        <f>RANDBETWEEN(2,164)</f>
        <v/>
      </c>
      <c r="B18" s="17">
        <f t="array" ref="B18">INDEX(Data_DBD!$C:$C,$A18)</f>
        <v/>
      </c>
      <c r="C18" s="17">
        <f t="array" ref="C18">INDEX(Data_DBD!$E:$E,$A18)</f>
        <v/>
      </c>
      <c r="D18" s="17">
        <f t="array" ref="D18">INDEX(Data_DBD!$F:$F,$A18)</f>
        <v/>
      </c>
      <c r="H18" s="18" t="n">
        <v>115</v>
      </c>
      <c r="I18" s="18" t="n">
        <v>3</v>
      </c>
      <c r="J18" s="18" t="n">
        <v>1</v>
      </c>
      <c r="K18" s="18" t="inlineStr">
        <is>
          <t>Tinggi</t>
        </is>
      </c>
    </row>
    <row r="19" s="1">
      <c r="A19" s="17">
        <f>RANDBETWEEN(2,164)</f>
        <v/>
      </c>
      <c r="B19" s="17">
        <f t="array" ref="B19">INDEX(Data_DBD!$C:$C,$A19)</f>
        <v/>
      </c>
      <c r="C19" s="17">
        <f t="array" ref="C19">INDEX(Data_DBD!$E:$E,$A19)</f>
        <v/>
      </c>
      <c r="D19" s="17">
        <f t="array" ref="D19">INDEX(Data_DBD!$F:$F,$A19)</f>
        <v/>
      </c>
      <c r="H19" s="18" t="n">
        <v>155</v>
      </c>
      <c r="I19" s="18" t="n">
        <v>5</v>
      </c>
      <c r="J19" s="18" t="n">
        <v>1</v>
      </c>
      <c r="K19" s="18" t="inlineStr">
        <is>
          <t>Tinggi</t>
        </is>
      </c>
    </row>
    <row r="20" s="1">
      <c r="A20" s="17">
        <f>RANDBETWEEN(2,164)</f>
        <v/>
      </c>
      <c r="B20" s="17">
        <f t="array" ref="B20">INDEX(Data_DBD!$C:$C,$A20)</f>
        <v/>
      </c>
      <c r="C20" s="17">
        <f t="array" ref="C20">INDEX(Data_DBD!$E:$E,$A20)</f>
        <v/>
      </c>
      <c r="D20" s="17">
        <f t="array" ref="D20">INDEX(Data_DBD!$F:$F,$A20)</f>
        <v/>
      </c>
      <c r="H20" s="18" t="n">
        <v>38</v>
      </c>
      <c r="I20" s="18" t="n">
        <v>3</v>
      </c>
      <c r="J20" s="18" t="n">
        <v>1</v>
      </c>
      <c r="K20" s="18" t="inlineStr">
        <is>
          <t>Rendah</t>
        </is>
      </c>
    </row>
    <row r="21" s="1">
      <c r="A21" s="17">
        <f>RANDBETWEEN(2,164)</f>
        <v/>
      </c>
      <c r="B21" s="17">
        <f t="array" ref="B21">INDEX(Data_DBD!$C:$C,$A21)</f>
        <v/>
      </c>
      <c r="C21" s="17">
        <f t="array" ref="C21">INDEX(Data_DBD!$E:$E,$A21)</f>
        <v/>
      </c>
      <c r="D21" s="17">
        <f t="array" ref="D21">INDEX(Data_DBD!$F:$F,$A21)</f>
        <v/>
      </c>
      <c r="H21" s="18" t="n">
        <v>74</v>
      </c>
      <c r="I21" s="18" t="n">
        <v>4</v>
      </c>
      <c r="J21" s="18" t="n">
        <v>0</v>
      </c>
      <c r="K21" s="18" t="inlineStr">
        <is>
          <t>Sedang</t>
        </is>
      </c>
    </row>
    <row r="22" s="1">
      <c r="A22" s="17">
        <f>RANDBETWEEN(2,164)</f>
        <v/>
      </c>
      <c r="B22" s="17">
        <f t="array" ref="B22">INDEX(Data_DBD!$C:$C,$A22)</f>
        <v/>
      </c>
      <c r="C22" s="17">
        <f t="array" ref="C22">INDEX(Data_DBD!$E:$E,$A22)</f>
        <v/>
      </c>
      <c r="D22" s="17">
        <f t="array" ref="D22">INDEX(Data_DBD!$F:$F,$A22)</f>
        <v/>
      </c>
      <c r="H22" s="18" t="n">
        <v>21</v>
      </c>
      <c r="I22" s="18" t="n">
        <v>5</v>
      </c>
      <c r="J22" s="18" t="n">
        <v>1</v>
      </c>
      <c r="K22" s="18" t="inlineStr">
        <is>
          <t>Sedang</t>
        </is>
      </c>
    </row>
    <row r="23" s="1">
      <c r="A23" s="17">
        <f>RANDBETWEEN(2,164)</f>
        <v/>
      </c>
      <c r="B23" s="17">
        <f t="array" ref="B23">INDEX(Data_DBD!$C:$C,$A23)</f>
        <v/>
      </c>
      <c r="C23" s="17">
        <f t="array" ref="C23">INDEX(Data_DBD!$E:$E,$A23)</f>
        <v/>
      </c>
      <c r="D23" s="17">
        <f t="array" ref="D23">INDEX(Data_DBD!$F:$F,$A23)</f>
        <v/>
      </c>
      <c r="H23" s="18" t="n">
        <v>112</v>
      </c>
      <c r="I23" s="18" t="n">
        <v>3</v>
      </c>
      <c r="J23" s="18" t="n">
        <v>1</v>
      </c>
      <c r="K23" s="18" t="inlineStr">
        <is>
          <t>Tinggi</t>
        </is>
      </c>
    </row>
    <row r="24" s="1">
      <c r="A24" s="17">
        <f>RANDBETWEEN(2,164)</f>
        <v/>
      </c>
      <c r="B24" s="17">
        <f t="array" ref="B24">INDEX(Data_DBD!$C:$C,$A24)</f>
        <v/>
      </c>
      <c r="C24" s="17">
        <f t="array" ref="C24">INDEX(Data_DBD!$E:$E,$A24)</f>
        <v/>
      </c>
      <c r="D24" s="17">
        <f t="array" ref="D24">INDEX(Data_DBD!$F:$F,$A24)</f>
        <v/>
      </c>
      <c r="H24" s="18" t="n">
        <v>13</v>
      </c>
      <c r="I24" s="18" t="n">
        <v>2</v>
      </c>
      <c r="J24" s="18" t="n">
        <v>0</v>
      </c>
      <c r="K24" s="18" t="inlineStr">
        <is>
          <t>Sedang</t>
        </is>
      </c>
    </row>
    <row r="25" s="1">
      <c r="A25" s="17">
        <f>RANDBETWEEN(2,164)</f>
        <v/>
      </c>
      <c r="B25" s="17">
        <f t="array" ref="B25">INDEX(Data_DBD!$C:$C,$A25)</f>
        <v/>
      </c>
      <c r="C25" s="17">
        <f t="array" ref="C25">INDEX(Data_DBD!$E:$E,$A25)</f>
        <v/>
      </c>
      <c r="D25" s="17">
        <f t="array" ref="D25">INDEX(Data_DBD!$F:$F,$A25)</f>
        <v/>
      </c>
      <c r="H25" s="18" t="n">
        <v>23</v>
      </c>
      <c r="I25" s="18" t="n">
        <v>4</v>
      </c>
      <c r="J25" s="18" t="n">
        <v>1</v>
      </c>
      <c r="K25" s="18" t="inlineStr">
        <is>
          <t>Sedang</t>
        </is>
      </c>
    </row>
    <row r="26" s="1">
      <c r="A26" s="17">
        <f>RANDBETWEEN(2,164)</f>
        <v/>
      </c>
      <c r="B26" s="17">
        <f t="array" ref="B26">INDEX(Data_DBD!$C:$C,$A26)</f>
        <v/>
      </c>
      <c r="C26" s="17">
        <f t="array" ref="C26">INDEX(Data_DBD!$E:$E,$A26)</f>
        <v/>
      </c>
      <c r="D26" s="17">
        <f t="array" ref="D26">INDEX(Data_DBD!$F:$F,$A26)</f>
        <v/>
      </c>
      <c r="H26" s="18" t="n">
        <v>90</v>
      </c>
      <c r="I26" s="18" t="n">
        <v>3</v>
      </c>
      <c r="J26" s="18" t="n">
        <v>0</v>
      </c>
      <c r="K26" s="18" t="inlineStr">
        <is>
          <t>Tinggi</t>
        </is>
      </c>
    </row>
    <row r="27" s="1">
      <c r="A27" s="17">
        <f>RANDBETWEEN(2,164)</f>
        <v/>
      </c>
      <c r="B27" s="17">
        <f t="array" ref="B27">INDEX(Data_DBD!$C:$C,$A27)</f>
        <v/>
      </c>
      <c r="C27" s="17">
        <f t="array" ref="C27">INDEX(Data_DBD!$E:$E,$A27)</f>
        <v/>
      </c>
      <c r="D27" s="17">
        <f t="array" ref="D27">INDEX(Data_DBD!$F:$F,$A27)</f>
        <v/>
      </c>
      <c r="H27" s="18" t="n">
        <v>117</v>
      </c>
      <c r="I27" s="18" t="n">
        <v>4</v>
      </c>
      <c r="J27" s="18" t="n">
        <v>1</v>
      </c>
      <c r="K27" s="18" t="inlineStr">
        <is>
          <t>Tinggi</t>
        </is>
      </c>
    </row>
    <row r="28" s="1">
      <c r="A28" s="17">
        <f>RANDBETWEEN(2,164)</f>
        <v/>
      </c>
      <c r="B28" s="17">
        <f t="array" ref="B28">INDEX(Data_DBD!$C:$C,$A28)</f>
        <v/>
      </c>
      <c r="C28" s="17">
        <f t="array" ref="C28">INDEX(Data_DBD!$E:$E,$A28)</f>
        <v/>
      </c>
      <c r="D28" s="17">
        <f t="array" ref="D28">INDEX(Data_DBD!$F:$F,$A28)</f>
        <v/>
      </c>
      <c r="H28" s="18" t="n">
        <v>53</v>
      </c>
      <c r="I28" s="18" t="n">
        <v>4</v>
      </c>
      <c r="J28" s="18" t="n">
        <v>1</v>
      </c>
      <c r="K28" s="18" t="inlineStr">
        <is>
          <t>Sedang</t>
        </is>
      </c>
    </row>
    <row r="29" s="1">
      <c r="A29" s="17">
        <f>RANDBETWEEN(2,164)</f>
        <v/>
      </c>
      <c r="B29" s="17">
        <f t="array" ref="B29">INDEX(Data_DBD!$C:$C,$A29)</f>
        <v/>
      </c>
      <c r="C29" s="17">
        <f t="array" ref="C29">INDEX(Data_DBD!$E:$E,$A29)</f>
        <v/>
      </c>
      <c r="D29" s="17">
        <f t="array" ref="D29">INDEX(Data_DBD!$F:$F,$A29)</f>
        <v/>
      </c>
      <c r="H29" s="18" t="n">
        <v>68</v>
      </c>
      <c r="I29" s="18" t="n">
        <v>5</v>
      </c>
      <c r="J29" s="18" t="n">
        <v>0</v>
      </c>
      <c r="K29" s="18" t="inlineStr">
        <is>
          <t>Sedang</t>
        </is>
      </c>
    </row>
    <row r="30" s="1">
      <c r="A30" s="17">
        <f>RANDBETWEEN(2,164)</f>
        <v/>
      </c>
      <c r="B30" s="17">
        <f t="array" ref="B30">INDEX(Data_DBD!$C:$C,$A30)</f>
        <v/>
      </c>
      <c r="C30" s="17">
        <f t="array" ref="C30">INDEX(Data_DBD!$E:$E,$A30)</f>
        <v/>
      </c>
      <c r="D30" s="17">
        <f t="array" ref="D30">INDEX(Data_DBD!$F:$F,$A30)</f>
        <v/>
      </c>
      <c r="H30" s="18" t="n">
        <v>10</v>
      </c>
      <c r="I30" s="18" t="n">
        <v>5</v>
      </c>
      <c r="J30" s="18" t="n">
        <v>0</v>
      </c>
      <c r="K30" s="18" t="inlineStr">
        <is>
          <t>Sedang</t>
        </is>
      </c>
    </row>
    <row r="31" s="1">
      <c r="A31" s="17">
        <f>RANDBETWEEN(2,164)</f>
        <v/>
      </c>
      <c r="B31" s="17">
        <f t="array" ref="B31">INDEX(Data_DBD!$C:$C,$A31)</f>
        <v/>
      </c>
      <c r="C31" s="17">
        <f t="array" ref="C31">INDEX(Data_DBD!$E:$E,$A31)</f>
        <v/>
      </c>
      <c r="D31" s="17">
        <f t="array" ref="D31">INDEX(Data_DBD!$F:$F,$A31)</f>
        <v/>
      </c>
      <c r="H31" s="18" t="n">
        <v>156</v>
      </c>
      <c r="I31" s="18" t="n">
        <v>2</v>
      </c>
      <c r="J31" s="18" t="n">
        <v>0</v>
      </c>
      <c r="K31" s="18" t="inlineStr">
        <is>
          <t>Tinggi</t>
        </is>
      </c>
    </row>
    <row r="32" s="1">
      <c r="A32" s="17">
        <f>RANDBETWEEN(2,164)</f>
        <v/>
      </c>
      <c r="B32" s="17">
        <f t="array" ref="B32">INDEX(Data_DBD!$C:$C,$A32)</f>
        <v/>
      </c>
      <c r="C32" s="17">
        <f t="array" ref="C32">INDEX(Data_DBD!$E:$E,$A32)</f>
        <v/>
      </c>
      <c r="D32" s="17">
        <f t="array" ref="D32">INDEX(Data_DBD!$F:$F,$A32)</f>
        <v/>
      </c>
      <c r="H32" s="18" t="n">
        <v>97</v>
      </c>
      <c r="I32" s="18" t="n">
        <v>2</v>
      </c>
      <c r="J32" s="18" t="n">
        <v>1</v>
      </c>
      <c r="K32" s="18" t="inlineStr">
        <is>
          <t>Tinggi</t>
        </is>
      </c>
    </row>
    <row r="33" s="1">
      <c r="A33" s="17">
        <f>RANDBETWEEN(2,164)</f>
        <v/>
      </c>
      <c r="B33" s="17">
        <f t="array" ref="B33">INDEX(Data_DBD!$C:$C,$A33)</f>
        <v/>
      </c>
      <c r="C33" s="17">
        <f t="array" ref="C33">INDEX(Data_DBD!$E:$E,$A33)</f>
        <v/>
      </c>
      <c r="D33" s="17">
        <f t="array" ref="D33">INDEX(Data_DBD!$F:$F,$A33)</f>
        <v/>
      </c>
      <c r="H33" s="18" t="n">
        <v>117</v>
      </c>
      <c r="I33" s="18" t="n">
        <v>4</v>
      </c>
      <c r="J33" s="18" t="n">
        <v>1</v>
      </c>
      <c r="K33" s="18" t="inlineStr">
        <is>
          <t>Tinggi</t>
        </is>
      </c>
    </row>
    <row r="34" s="1">
      <c r="A34" s="17">
        <f>RANDBETWEEN(2,164)</f>
        <v/>
      </c>
      <c r="B34" s="17">
        <f t="array" ref="B34">INDEX(Data_DBD!$C:$C,$A34)</f>
        <v/>
      </c>
      <c r="C34" s="17">
        <f t="array" ref="C34">INDEX(Data_DBD!$E:$E,$A34)</f>
        <v/>
      </c>
      <c r="D34" s="17">
        <f t="array" ref="D34">INDEX(Data_DBD!$F:$F,$A34)</f>
        <v/>
      </c>
      <c r="H34" s="18" t="n">
        <v>129</v>
      </c>
      <c r="I34" s="18" t="n">
        <v>3</v>
      </c>
      <c r="J34" s="18" t="n">
        <v>0</v>
      </c>
      <c r="K34" s="18" t="inlineStr">
        <is>
          <t>Tinggi</t>
        </is>
      </c>
    </row>
    <row r="35" s="1">
      <c r="A35" s="17">
        <f>RANDBETWEEN(2,164)</f>
        <v/>
      </c>
      <c r="B35" s="17">
        <f t="array" ref="B35">INDEX(Data_DBD!$C:$C,$A35)</f>
        <v/>
      </c>
      <c r="C35" s="17">
        <f t="array" ref="C35">INDEX(Data_DBD!$E:$E,$A35)</f>
        <v/>
      </c>
      <c r="D35" s="17">
        <f t="array" ref="D35">INDEX(Data_DBD!$F:$F,$A35)</f>
        <v/>
      </c>
      <c r="H35" s="18" t="n">
        <v>123</v>
      </c>
      <c r="I35" s="18" t="n">
        <v>4</v>
      </c>
      <c r="J35" s="18" t="n">
        <v>0</v>
      </c>
      <c r="K35" s="18" t="inlineStr">
        <is>
          <t>Tinggi</t>
        </is>
      </c>
    </row>
    <row r="36" s="1">
      <c r="A36" s="17">
        <f>RANDBETWEEN(2,164)</f>
        <v/>
      </c>
      <c r="B36" s="17">
        <f t="array" ref="B36">INDEX(Data_DBD!$C:$C,$A36)</f>
        <v/>
      </c>
      <c r="C36" s="17">
        <f t="array" ref="C36">INDEX(Data_DBD!$E:$E,$A36)</f>
        <v/>
      </c>
      <c r="D36" s="17">
        <f t="array" ref="D36">INDEX(Data_DBD!$F:$F,$A36)</f>
        <v/>
      </c>
      <c r="H36" s="18" t="n">
        <v>12</v>
      </c>
      <c r="I36" s="18" t="n">
        <v>3</v>
      </c>
      <c r="J36" s="18" t="n">
        <v>0</v>
      </c>
      <c r="K36" s="18" t="inlineStr">
        <is>
          <t>Sedang</t>
        </is>
      </c>
    </row>
    <row r="37" s="1">
      <c r="A37" s="17">
        <f>RANDBETWEEN(2,164)</f>
        <v/>
      </c>
      <c r="B37" s="17">
        <f t="array" ref="B37">INDEX(Data_DBD!$C:$C,$A37)</f>
        <v/>
      </c>
      <c r="C37" s="17">
        <f t="array" ref="C37">INDEX(Data_DBD!$E:$E,$A37)</f>
        <v/>
      </c>
      <c r="D37" s="17">
        <f t="array" ref="D37">INDEX(Data_DBD!$F:$F,$A37)</f>
        <v/>
      </c>
      <c r="H37" s="18" t="n">
        <v>72</v>
      </c>
      <c r="I37" s="18" t="n">
        <v>5</v>
      </c>
      <c r="J37" s="18" t="n">
        <v>1</v>
      </c>
      <c r="K37" s="18" t="inlineStr">
        <is>
          <t>Sedang</t>
        </is>
      </c>
    </row>
    <row r="38" s="1">
      <c r="A38" s="17">
        <f>RANDBETWEEN(2,164)</f>
        <v/>
      </c>
      <c r="B38" s="17">
        <f t="array" ref="B38">INDEX(Data_DBD!$C:$C,$A38)</f>
        <v/>
      </c>
      <c r="C38" s="17">
        <f t="array" ref="C38">INDEX(Data_DBD!$E:$E,$A38)</f>
        <v/>
      </c>
      <c r="D38" s="17">
        <f t="array" ref="D38">INDEX(Data_DBD!$F:$F,$A38)</f>
        <v/>
      </c>
      <c r="H38" s="18" t="n">
        <v>110</v>
      </c>
      <c r="I38" s="18" t="n">
        <v>2</v>
      </c>
      <c r="J38" s="18" t="n">
        <v>1</v>
      </c>
      <c r="K38" s="18" t="inlineStr">
        <is>
          <t>Tinggi</t>
        </is>
      </c>
    </row>
    <row r="39" s="1">
      <c r="A39" s="17">
        <f>RANDBETWEEN(2,164)</f>
        <v/>
      </c>
      <c r="B39" s="17">
        <f t="array" ref="B39">INDEX(Data_DBD!$C:$C,$A39)</f>
        <v/>
      </c>
      <c r="C39" s="17">
        <f t="array" ref="C39">INDEX(Data_DBD!$E:$E,$A39)</f>
        <v/>
      </c>
      <c r="D39" s="17">
        <f t="array" ref="D39">INDEX(Data_DBD!$F:$F,$A39)</f>
        <v/>
      </c>
      <c r="H39" s="18" t="n">
        <v>60</v>
      </c>
      <c r="I39" s="18" t="n">
        <v>4</v>
      </c>
      <c r="J39" s="18" t="n">
        <v>0</v>
      </c>
      <c r="K39" s="18" t="inlineStr">
        <is>
          <t>Sedang</t>
        </is>
      </c>
    </row>
    <row r="40" s="1">
      <c r="A40" s="17">
        <f>RANDBETWEEN(2,164)</f>
        <v/>
      </c>
      <c r="B40" s="17">
        <f t="array" ref="B40">INDEX(Data_DBD!$C:$C,$A40)</f>
        <v/>
      </c>
      <c r="C40" s="17">
        <f t="array" ref="C40">INDEX(Data_DBD!$E:$E,$A40)</f>
        <v/>
      </c>
      <c r="D40" s="17">
        <f t="array" ref="D40">INDEX(Data_DBD!$F:$F,$A40)</f>
        <v/>
      </c>
      <c r="H40" s="18" t="n">
        <v>99</v>
      </c>
      <c r="I40" s="18" t="n">
        <v>2</v>
      </c>
      <c r="J40" s="18" t="n">
        <v>1</v>
      </c>
      <c r="K40" s="18" t="inlineStr">
        <is>
          <t>Tinggi</t>
        </is>
      </c>
    </row>
    <row r="41" s="1">
      <c r="A41" s="17">
        <f>RANDBETWEEN(2,164)</f>
        <v/>
      </c>
      <c r="B41" s="17">
        <f t="array" ref="B41">INDEX(Data_DBD!$C:$C,$A41)</f>
        <v/>
      </c>
      <c r="C41" s="17">
        <f t="array" ref="C41">INDEX(Data_DBD!$E:$E,$A41)</f>
        <v/>
      </c>
      <c r="D41" s="17">
        <f t="array" ref="D41">INDEX(Data_DBD!$F:$F,$A41)</f>
        <v/>
      </c>
      <c r="H41" s="18" t="n">
        <v>155</v>
      </c>
      <c r="I41" s="18" t="n">
        <v>5</v>
      </c>
      <c r="J41" s="18" t="n">
        <v>1</v>
      </c>
      <c r="K41" s="18" t="inlineStr">
        <is>
          <t>Tinggi</t>
        </is>
      </c>
    </row>
    <row r="42" s="1">
      <c r="A42" s="17">
        <f>RANDBETWEEN(2,164)</f>
        <v/>
      </c>
      <c r="B42" s="17">
        <f t="array" ref="B42">INDEX(Data_DBD!$C:$C,$A42)</f>
        <v/>
      </c>
      <c r="C42" s="17">
        <f t="array" ref="C42">INDEX(Data_DBD!$E:$E,$A42)</f>
        <v/>
      </c>
      <c r="D42" s="17">
        <f t="array" ref="D42">INDEX(Data_DBD!$F:$F,$A42)</f>
        <v/>
      </c>
      <c r="H42" s="18" t="n">
        <v>27</v>
      </c>
      <c r="I42" s="18" t="n">
        <v>4</v>
      </c>
      <c r="J42" s="18" t="n">
        <v>1</v>
      </c>
      <c r="K42" s="18" t="inlineStr">
        <is>
          <t>Sedang</t>
        </is>
      </c>
    </row>
    <row r="43" s="1">
      <c r="A43" s="17">
        <f>RANDBETWEEN(2,164)</f>
        <v/>
      </c>
      <c r="B43" s="17">
        <f t="array" ref="B43">INDEX(Data_DBD!$C:$C,$A43)</f>
        <v/>
      </c>
      <c r="C43" s="17">
        <f t="array" ref="C43">INDEX(Data_DBD!$E:$E,$A43)</f>
        <v/>
      </c>
      <c r="D43" s="17">
        <f t="array" ref="D43">INDEX(Data_DBD!$F:$F,$A43)</f>
        <v/>
      </c>
      <c r="H43" s="18" t="n">
        <v>105</v>
      </c>
      <c r="I43" s="18" t="n">
        <v>3</v>
      </c>
      <c r="J43" s="18" t="n">
        <v>1</v>
      </c>
      <c r="K43" s="18" t="inlineStr">
        <is>
          <t>Tinggi</t>
        </is>
      </c>
    </row>
    <row r="44" s="1">
      <c r="A44" s="17">
        <f>RANDBETWEEN(2,164)</f>
        <v/>
      </c>
      <c r="B44" s="17">
        <f t="array" ref="B44">INDEX(Data_DBD!$C:$C,$A44)</f>
        <v/>
      </c>
      <c r="C44" s="17">
        <f t="array" ref="C44">INDEX(Data_DBD!$E:$E,$A44)</f>
        <v/>
      </c>
      <c r="D44" s="17">
        <f t="array" ref="D44">INDEX(Data_DBD!$F:$F,$A44)</f>
        <v/>
      </c>
      <c r="H44" s="18" t="n">
        <v>106</v>
      </c>
      <c r="I44" s="18" t="n">
        <v>3</v>
      </c>
      <c r="J44" s="18" t="n">
        <v>1</v>
      </c>
      <c r="K44" s="18" t="inlineStr">
        <is>
          <t>Tinggi</t>
        </is>
      </c>
    </row>
    <row r="45" s="1">
      <c r="A45" s="17">
        <f>RANDBETWEEN(2,164)</f>
        <v/>
      </c>
      <c r="B45" s="17">
        <f t="array" ref="B45">INDEX(Data_DBD!$C:$C,$A45)</f>
        <v/>
      </c>
      <c r="C45" s="17">
        <f t="array" ref="C45">INDEX(Data_DBD!$E:$E,$A45)</f>
        <v/>
      </c>
      <c r="D45" s="17">
        <f t="array" ref="D45">INDEX(Data_DBD!$F:$F,$A45)</f>
        <v/>
      </c>
      <c r="H45" s="18" t="n">
        <v>127</v>
      </c>
      <c r="I45" s="18" t="n">
        <v>2</v>
      </c>
      <c r="J45" s="18" t="n">
        <v>0</v>
      </c>
      <c r="K45" s="18" t="inlineStr">
        <is>
          <t>Tinggi</t>
        </is>
      </c>
    </row>
    <row r="46" s="1">
      <c r="A46" s="17">
        <f>RANDBETWEEN(2,164)</f>
        <v/>
      </c>
      <c r="B46" s="17">
        <f t="array" ref="B46">INDEX(Data_DBD!$C:$C,$A46)</f>
        <v/>
      </c>
      <c r="C46" s="17">
        <f t="array" ref="C46">INDEX(Data_DBD!$E:$E,$A46)</f>
        <v/>
      </c>
      <c r="D46" s="17">
        <f t="array" ref="D46">INDEX(Data_DBD!$F:$F,$A46)</f>
        <v/>
      </c>
      <c r="H46" s="18" t="n">
        <v>31</v>
      </c>
      <c r="I46" s="18" t="n">
        <v>4</v>
      </c>
      <c r="J46" s="18" t="n">
        <v>1</v>
      </c>
      <c r="K46" s="18" t="inlineStr">
        <is>
          <t>Sedang</t>
        </is>
      </c>
    </row>
    <row r="47" s="1">
      <c r="A47" s="17">
        <f>RANDBETWEEN(2,164)</f>
        <v/>
      </c>
      <c r="B47" s="17">
        <f t="array" ref="B47">INDEX(Data_DBD!$C:$C,$A47)</f>
        <v/>
      </c>
      <c r="C47" s="17">
        <f t="array" ref="C47">INDEX(Data_DBD!$E:$E,$A47)</f>
        <v/>
      </c>
      <c r="D47" s="17">
        <f t="array" ref="D47">INDEX(Data_DBD!$F:$F,$A47)</f>
        <v/>
      </c>
      <c r="H47" s="18" t="n">
        <v>2</v>
      </c>
      <c r="I47" s="18" t="n">
        <v>3</v>
      </c>
      <c r="J47" s="18" t="n">
        <v>0</v>
      </c>
      <c r="K47" s="18" t="inlineStr">
        <is>
          <t>Sedang</t>
        </is>
      </c>
    </row>
    <row r="48" s="1">
      <c r="A48" s="17">
        <f>RANDBETWEEN(2,164)</f>
        <v/>
      </c>
      <c r="B48" s="17">
        <f t="array" ref="B48">INDEX(Data_DBD!$C:$C,$A48)</f>
        <v/>
      </c>
      <c r="C48" s="17">
        <f t="array" ref="C48">INDEX(Data_DBD!$E:$E,$A48)</f>
        <v/>
      </c>
      <c r="D48" s="17">
        <f t="array" ref="D48">INDEX(Data_DBD!$F:$F,$A48)</f>
        <v/>
      </c>
      <c r="H48" s="18" t="n">
        <v>117</v>
      </c>
      <c r="I48" s="18" t="n">
        <v>4</v>
      </c>
      <c r="J48" s="18" t="n">
        <v>1</v>
      </c>
      <c r="K48" s="18" t="inlineStr">
        <is>
          <t>Tinggi</t>
        </is>
      </c>
    </row>
    <row r="49" s="1">
      <c r="A49" s="17">
        <f>RANDBETWEEN(2,164)</f>
        <v/>
      </c>
      <c r="B49" s="17">
        <f t="array" ref="B49">INDEX(Data_DBD!$C:$C,$A49)</f>
        <v/>
      </c>
      <c r="C49" s="17">
        <f t="array" ref="C49">INDEX(Data_DBD!$E:$E,$A49)</f>
        <v/>
      </c>
      <c r="D49" s="17">
        <f t="array" ref="D49">INDEX(Data_DBD!$F:$F,$A49)</f>
        <v/>
      </c>
      <c r="H49" s="18" t="n">
        <v>148</v>
      </c>
      <c r="I49" s="18" t="n">
        <v>3</v>
      </c>
      <c r="J49" s="18" t="n">
        <v>1</v>
      </c>
      <c r="K49" s="18" t="inlineStr">
        <is>
          <t>Tinggi</t>
        </is>
      </c>
    </row>
    <row r="50" s="1">
      <c r="A50" s="17">
        <f>RANDBETWEEN(2,164)</f>
        <v/>
      </c>
      <c r="B50" s="17">
        <f t="array" ref="B50">INDEX(Data_DBD!$C:$C,$A50)</f>
        <v/>
      </c>
      <c r="C50" s="17">
        <f t="array" ref="C50">INDEX(Data_DBD!$E:$E,$A50)</f>
        <v/>
      </c>
      <c r="D50" s="17">
        <f t="array" ref="D50">INDEX(Data_DBD!$F:$F,$A50)</f>
        <v/>
      </c>
      <c r="H50" s="18" t="n">
        <v>90</v>
      </c>
      <c r="I50" s="18" t="n">
        <v>3</v>
      </c>
      <c r="J50" s="18" t="n">
        <v>0</v>
      </c>
      <c r="K50" s="18" t="inlineStr">
        <is>
          <t>Tinggi</t>
        </is>
      </c>
    </row>
    <row r="51" s="1">
      <c r="A51" s="17">
        <f>RANDBETWEEN(2,164)</f>
        <v/>
      </c>
      <c r="B51" s="17">
        <f t="array" ref="B51">INDEX(Data_DBD!$C:$C,$A51)</f>
        <v/>
      </c>
      <c r="C51" s="17">
        <f t="array" ref="C51">INDEX(Data_DBD!$E:$E,$A51)</f>
        <v/>
      </c>
      <c r="D51" s="17">
        <f t="array" ref="D51">INDEX(Data_DBD!$F:$F,$A51)</f>
        <v/>
      </c>
      <c r="H51" s="18" t="n">
        <v>69</v>
      </c>
      <c r="I51" s="18" t="n">
        <v>4</v>
      </c>
      <c r="J51" s="18" t="n">
        <v>1</v>
      </c>
      <c r="K51" s="18" t="inlineStr">
        <is>
          <t>Sedang</t>
        </is>
      </c>
    </row>
    <row r="52" s="1">
      <c r="A52" s="17">
        <f>RANDBETWEEN(2,164)</f>
        <v/>
      </c>
      <c r="B52" s="17">
        <f t="array" ref="B52">INDEX(Data_DBD!$C:$C,$A52)</f>
        <v/>
      </c>
      <c r="C52" s="17">
        <f t="array" ref="C52">INDEX(Data_DBD!$E:$E,$A52)</f>
        <v/>
      </c>
      <c r="D52" s="17">
        <f t="array" ref="D52">INDEX(Data_DBD!$F:$F,$A52)</f>
        <v/>
      </c>
      <c r="H52" s="18" t="n">
        <v>15</v>
      </c>
      <c r="I52" s="18" t="n">
        <v>2</v>
      </c>
      <c r="J52" s="18" t="n">
        <v>0</v>
      </c>
      <c r="K52" s="18" t="inlineStr">
        <is>
          <t>Rendah</t>
        </is>
      </c>
    </row>
    <row r="53" s="1">
      <c r="A53" s="17">
        <f>RANDBETWEEN(2,164)</f>
        <v/>
      </c>
      <c r="B53" s="17">
        <f t="array" ref="B53">INDEX(Data_DBD!$C:$C,$A53)</f>
        <v/>
      </c>
      <c r="C53" s="17">
        <f t="array" ref="C53">INDEX(Data_DBD!$E:$E,$A53)</f>
        <v/>
      </c>
      <c r="D53" s="17">
        <f t="array" ref="D53">INDEX(Data_DBD!$F:$F,$A53)</f>
        <v/>
      </c>
      <c r="H53" s="18" t="n">
        <v>145</v>
      </c>
      <c r="I53" s="18" t="n">
        <v>4</v>
      </c>
      <c r="J53" s="18" t="n">
        <v>1</v>
      </c>
      <c r="K53" s="18" t="inlineStr">
        <is>
          <t>Tinggi</t>
        </is>
      </c>
    </row>
    <row r="54" s="1">
      <c r="A54" s="17">
        <f>RANDBETWEEN(2,164)</f>
        <v/>
      </c>
      <c r="B54" s="17">
        <f t="array" ref="B54">INDEX(Data_DBD!$C:$C,$A54)</f>
        <v/>
      </c>
      <c r="C54" s="17">
        <f t="array" ref="C54">INDEX(Data_DBD!$E:$E,$A54)</f>
        <v/>
      </c>
      <c r="D54" s="17">
        <f t="array" ref="D54">INDEX(Data_DBD!$F:$F,$A54)</f>
        <v/>
      </c>
      <c r="H54" s="18" t="n">
        <v>49</v>
      </c>
      <c r="I54" s="18" t="n">
        <v>5</v>
      </c>
      <c r="J54" s="18" t="n">
        <v>0</v>
      </c>
      <c r="K54" s="18" t="inlineStr">
        <is>
          <t>Sedang</t>
        </is>
      </c>
    </row>
    <row r="55" s="1">
      <c r="A55" s="17">
        <f>RANDBETWEEN(2,164)</f>
        <v/>
      </c>
      <c r="B55" s="17">
        <f t="array" ref="B55">INDEX(Data_DBD!$C:$C,$A55)</f>
        <v/>
      </c>
      <c r="C55" s="17">
        <f t="array" ref="C55">INDEX(Data_DBD!$E:$E,$A55)</f>
        <v/>
      </c>
      <c r="D55" s="17">
        <f t="array" ref="D55">INDEX(Data_DBD!$F:$F,$A55)</f>
        <v/>
      </c>
      <c r="H55" s="18" t="n">
        <v>35</v>
      </c>
      <c r="I55" s="18" t="n">
        <v>3</v>
      </c>
      <c r="J55" s="18" t="n">
        <v>1</v>
      </c>
      <c r="K55" s="18" t="inlineStr">
        <is>
          <t>Rendah</t>
        </is>
      </c>
    </row>
    <row r="56" s="1">
      <c r="A56" s="17">
        <f>RANDBETWEEN(2,164)</f>
        <v/>
      </c>
      <c r="B56" s="17">
        <f t="array" ref="B56">INDEX(Data_DBD!$C:$C,$A56)</f>
        <v/>
      </c>
      <c r="C56" s="17">
        <f t="array" ref="C56">INDEX(Data_DBD!$E:$E,$A56)</f>
        <v/>
      </c>
      <c r="D56" s="17">
        <f t="array" ref="D56">INDEX(Data_DBD!$F:$F,$A56)</f>
        <v/>
      </c>
      <c r="H56" s="18" t="n">
        <v>119</v>
      </c>
      <c r="I56" s="18" t="n">
        <v>7</v>
      </c>
      <c r="J56" s="18" t="n">
        <v>0</v>
      </c>
      <c r="K56" s="18" t="inlineStr">
        <is>
          <t>Tinggi</t>
        </is>
      </c>
    </row>
    <row r="57" s="1">
      <c r="A57" s="17">
        <f>RANDBETWEEN(2,164)</f>
        <v/>
      </c>
      <c r="B57" s="17">
        <f t="array" ref="B57">INDEX(Data_DBD!$C:$C,$A57)</f>
        <v/>
      </c>
      <c r="C57" s="17">
        <f t="array" ref="C57">INDEX(Data_DBD!$E:$E,$A57)</f>
        <v/>
      </c>
      <c r="D57" s="17">
        <f t="array" ref="D57">INDEX(Data_DBD!$F:$F,$A57)</f>
        <v/>
      </c>
      <c r="H57" s="18" t="n">
        <v>161</v>
      </c>
      <c r="I57" s="18" t="n">
        <v>3</v>
      </c>
      <c r="J57" s="18" t="n">
        <v>1</v>
      </c>
      <c r="K57" s="18" t="inlineStr">
        <is>
          <t>Tinggi</t>
        </is>
      </c>
    </row>
    <row r="58" s="1">
      <c r="A58" s="17">
        <f>RANDBETWEEN(2,164)</f>
        <v/>
      </c>
      <c r="B58" s="17">
        <f t="array" ref="B58">INDEX(Data_DBD!$C:$C,$A58)</f>
        <v/>
      </c>
      <c r="C58" s="17">
        <f t="array" ref="C58">INDEX(Data_DBD!$E:$E,$A58)</f>
        <v/>
      </c>
      <c r="D58" s="17">
        <f t="array" ref="D58">INDEX(Data_DBD!$F:$F,$A58)</f>
        <v/>
      </c>
      <c r="H58" s="18" t="n">
        <v>51</v>
      </c>
      <c r="I58" s="18" t="n">
        <v>4</v>
      </c>
      <c r="J58" s="18" t="n">
        <v>0</v>
      </c>
      <c r="K58" s="18" t="inlineStr">
        <is>
          <t>Sedang</t>
        </is>
      </c>
    </row>
    <row r="59" s="1">
      <c r="A59" s="17">
        <f>RANDBETWEEN(2,164)</f>
        <v/>
      </c>
      <c r="B59" s="17">
        <f t="array" ref="B59">INDEX(Data_DBD!$C:$C,$A59)</f>
        <v/>
      </c>
      <c r="C59" s="17">
        <f t="array" ref="C59">INDEX(Data_DBD!$E:$E,$A59)</f>
        <v/>
      </c>
      <c r="D59" s="17">
        <f t="array" ref="D59">INDEX(Data_DBD!$F:$F,$A59)</f>
        <v/>
      </c>
      <c r="H59" s="18" t="n">
        <v>135</v>
      </c>
      <c r="I59" s="18" t="n">
        <v>2</v>
      </c>
      <c r="J59" s="18" t="n">
        <v>0</v>
      </c>
      <c r="K59" s="18" t="inlineStr">
        <is>
          <t>Tinggi</t>
        </is>
      </c>
    </row>
    <row r="60" s="1">
      <c r="A60" s="17">
        <f>RANDBETWEEN(2,164)</f>
        <v/>
      </c>
      <c r="B60" s="17">
        <f t="array" ref="B60">INDEX(Data_DBD!$C:$C,$A60)</f>
        <v/>
      </c>
      <c r="C60" s="17">
        <f t="array" ref="C60">INDEX(Data_DBD!$E:$E,$A60)</f>
        <v/>
      </c>
      <c r="D60" s="17">
        <f t="array" ref="D60">INDEX(Data_DBD!$F:$F,$A60)</f>
        <v/>
      </c>
      <c r="H60" s="18" t="n">
        <v>150</v>
      </c>
      <c r="I60" s="18" t="n">
        <v>5</v>
      </c>
      <c r="J60" s="18" t="n">
        <v>1</v>
      </c>
      <c r="K60" s="18" t="inlineStr">
        <is>
          <t>Tinggi</t>
        </is>
      </c>
    </row>
    <row r="61" s="1">
      <c r="A61" s="17">
        <f>RANDBETWEEN(2,164)</f>
        <v/>
      </c>
      <c r="B61" s="17">
        <f t="array" ref="B61">INDEX(Data_DBD!$C:$C,$A61)</f>
        <v/>
      </c>
      <c r="C61" s="17">
        <f t="array" ref="C61">INDEX(Data_DBD!$E:$E,$A61)</f>
        <v/>
      </c>
      <c r="D61" s="17">
        <f t="array" ref="D61">INDEX(Data_DBD!$F:$F,$A61)</f>
        <v/>
      </c>
      <c r="H61" s="18" t="n">
        <v>75</v>
      </c>
      <c r="I61" s="18" t="n">
        <v>2</v>
      </c>
      <c r="J61" s="18" t="n">
        <v>1</v>
      </c>
      <c r="K61" s="18" t="inlineStr">
        <is>
          <t>Sedang</t>
        </is>
      </c>
    </row>
    <row r="62" s="1">
      <c r="A62" s="17">
        <f>RANDBETWEEN(2,164)</f>
        <v/>
      </c>
      <c r="B62" s="17">
        <f t="array" ref="B62">INDEX(Data_DBD!$C:$C,$A62)</f>
        <v/>
      </c>
      <c r="C62" s="17">
        <f t="array" ref="C62">INDEX(Data_DBD!$E:$E,$A62)</f>
        <v/>
      </c>
      <c r="D62" s="17">
        <f t="array" ref="D62">INDEX(Data_DBD!$F:$F,$A62)</f>
        <v/>
      </c>
      <c r="H62" s="18" t="n">
        <v>161</v>
      </c>
      <c r="I62" s="18" t="n">
        <v>3</v>
      </c>
      <c r="J62" s="18" t="n">
        <v>1</v>
      </c>
      <c r="K62" s="18" t="inlineStr">
        <is>
          <t>Tinggi</t>
        </is>
      </c>
    </row>
    <row r="63" s="1">
      <c r="A63" s="17">
        <f>RANDBETWEEN(2,164)</f>
        <v/>
      </c>
      <c r="B63" s="17">
        <f t="array" ref="B63">INDEX(Data_DBD!$C:$C,$A63)</f>
        <v/>
      </c>
      <c r="C63" s="17">
        <f t="array" ref="C63">INDEX(Data_DBD!$E:$E,$A63)</f>
        <v/>
      </c>
      <c r="D63" s="17">
        <f t="array" ref="D63">INDEX(Data_DBD!$F:$F,$A63)</f>
        <v/>
      </c>
      <c r="H63" s="18" t="n">
        <v>134</v>
      </c>
      <c r="I63" s="18" t="n">
        <v>2</v>
      </c>
      <c r="J63" s="18" t="n">
        <v>1</v>
      </c>
      <c r="K63" s="18" t="inlineStr">
        <is>
          <t>Tinggi</t>
        </is>
      </c>
    </row>
    <row r="64" s="1">
      <c r="A64" s="17">
        <f>RANDBETWEEN(2,164)</f>
        <v/>
      </c>
      <c r="B64" s="17">
        <f t="array" ref="B64">INDEX(Data_DBD!$C:$C,$A64)</f>
        <v/>
      </c>
      <c r="C64" s="17">
        <f t="array" ref="C64">INDEX(Data_DBD!$E:$E,$A64)</f>
        <v/>
      </c>
      <c r="D64" s="17">
        <f t="array" ref="D64">INDEX(Data_DBD!$F:$F,$A64)</f>
        <v/>
      </c>
      <c r="H64" s="18" t="n">
        <v>143</v>
      </c>
      <c r="I64" s="18" t="n">
        <v>4</v>
      </c>
      <c r="J64" s="18" t="n">
        <v>1</v>
      </c>
      <c r="K64" s="18" t="inlineStr">
        <is>
          <t>Tinggi</t>
        </is>
      </c>
    </row>
    <row r="65" s="1">
      <c r="A65" s="17">
        <f>RANDBETWEEN(2,164)</f>
        <v/>
      </c>
      <c r="B65" s="17">
        <f t="array" ref="B65">INDEX(Data_DBD!$C:$C,$A65)</f>
        <v/>
      </c>
      <c r="C65" s="17">
        <f t="array" ref="C65">INDEX(Data_DBD!$E:$E,$A65)</f>
        <v/>
      </c>
      <c r="D65" s="17">
        <f t="array" ref="D65">INDEX(Data_DBD!$F:$F,$A65)</f>
        <v/>
      </c>
      <c r="H65" s="18" t="n">
        <v>67</v>
      </c>
      <c r="I65" s="18" t="n">
        <v>3</v>
      </c>
      <c r="J65" s="18" t="n">
        <v>1</v>
      </c>
      <c r="K65" s="18" t="inlineStr">
        <is>
          <t>Sedang</t>
        </is>
      </c>
    </row>
    <row r="66" s="1">
      <c r="A66" s="17">
        <f>RANDBETWEEN(2,164)</f>
        <v/>
      </c>
      <c r="B66" s="17">
        <f t="array" ref="B66">INDEX(Data_DBD!$C:$C,$A66)</f>
        <v/>
      </c>
      <c r="C66" s="17">
        <f t="array" ref="C66">INDEX(Data_DBD!$E:$E,$A66)</f>
        <v/>
      </c>
      <c r="D66" s="17">
        <f t="array" ref="D66">INDEX(Data_DBD!$F:$F,$A66)</f>
        <v/>
      </c>
      <c r="H66" s="18" t="n">
        <v>68</v>
      </c>
      <c r="I66" s="18" t="n">
        <v>5</v>
      </c>
      <c r="J66" s="18" t="n">
        <v>0</v>
      </c>
      <c r="K66" s="18" t="inlineStr">
        <is>
          <t>Sedang</t>
        </is>
      </c>
    </row>
    <row r="67" s="1">
      <c r="A67" s="17">
        <f>RANDBETWEEN(2,164)</f>
        <v/>
      </c>
      <c r="B67" s="17">
        <f t="array" ref="B67">INDEX(Data_DBD!$C:$C,$A67)</f>
        <v/>
      </c>
      <c r="C67" s="17">
        <f t="array" ref="C67">INDEX(Data_DBD!$E:$E,$A67)</f>
        <v/>
      </c>
      <c r="D67" s="17">
        <f t="array" ref="D67">INDEX(Data_DBD!$F:$F,$A67)</f>
        <v/>
      </c>
      <c r="H67" s="18" t="n">
        <v>76</v>
      </c>
      <c r="I67" s="18" t="n">
        <v>2</v>
      </c>
      <c r="J67" s="18" t="n">
        <v>0</v>
      </c>
      <c r="K67" s="18" t="inlineStr">
        <is>
          <t>Sedang</t>
        </is>
      </c>
    </row>
    <row r="68" s="1">
      <c r="A68" s="17">
        <f>RANDBETWEEN(2,164)</f>
        <v/>
      </c>
      <c r="B68" s="17">
        <f t="array" ref="B68">INDEX(Data_DBD!$C:$C,$A68)</f>
        <v/>
      </c>
      <c r="C68" s="17">
        <f t="array" ref="C68">INDEX(Data_DBD!$E:$E,$A68)</f>
        <v/>
      </c>
      <c r="D68" s="17">
        <f t="array" ref="D68">INDEX(Data_DBD!$F:$F,$A68)</f>
        <v/>
      </c>
      <c r="H68" s="18" t="n">
        <v>95</v>
      </c>
      <c r="I68" s="18" t="n">
        <v>3</v>
      </c>
      <c r="J68" s="18" t="n">
        <v>1</v>
      </c>
      <c r="K68" s="18" t="inlineStr">
        <is>
          <t>Tinggi</t>
        </is>
      </c>
    </row>
    <row r="69" s="1">
      <c r="A69" s="17">
        <f>RANDBETWEEN(2,164)</f>
        <v/>
      </c>
      <c r="B69" s="17">
        <f t="array" ref="B69">INDEX(Data_DBD!$C:$C,$A69)</f>
        <v/>
      </c>
      <c r="C69" s="17">
        <f t="array" ref="C69">INDEX(Data_DBD!$E:$E,$A69)</f>
        <v/>
      </c>
      <c r="D69" s="17">
        <f t="array" ref="D69">INDEX(Data_DBD!$F:$F,$A69)</f>
        <v/>
      </c>
      <c r="H69" s="18" t="n">
        <v>37</v>
      </c>
      <c r="I69" s="18" t="n">
        <v>4</v>
      </c>
      <c r="J69" s="18" t="n">
        <v>1</v>
      </c>
      <c r="K69" s="18" t="inlineStr">
        <is>
          <t>Rendah</t>
        </is>
      </c>
    </row>
    <row r="70" s="1">
      <c r="A70" s="17">
        <f>RANDBETWEEN(2,164)</f>
        <v/>
      </c>
      <c r="B70" s="17">
        <f t="array" ref="B70">INDEX(Data_DBD!$C:$C,$A70)</f>
        <v/>
      </c>
      <c r="C70" s="17">
        <f t="array" ref="C70">INDEX(Data_DBD!$E:$E,$A70)</f>
        <v/>
      </c>
      <c r="D70" s="17">
        <f t="array" ref="D70">INDEX(Data_DBD!$F:$F,$A70)</f>
        <v/>
      </c>
      <c r="H70" s="18" t="n">
        <v>80</v>
      </c>
      <c r="I70" s="18" t="n">
        <v>3</v>
      </c>
      <c r="J70" s="18" t="n">
        <v>1</v>
      </c>
      <c r="K70" s="18" t="inlineStr">
        <is>
          <t>Sedang</t>
        </is>
      </c>
    </row>
    <row r="71" s="1">
      <c r="A71" s="17">
        <f>RANDBETWEEN(2,164)</f>
        <v/>
      </c>
      <c r="B71" s="17">
        <f t="array" ref="B71">INDEX(Data_DBD!$C:$C,$A71)</f>
        <v/>
      </c>
      <c r="C71" s="17">
        <f t="array" ref="C71">INDEX(Data_DBD!$E:$E,$A71)</f>
        <v/>
      </c>
      <c r="D71" s="17">
        <f t="array" ref="D71">INDEX(Data_DBD!$F:$F,$A71)</f>
        <v/>
      </c>
      <c r="H71" s="18" t="n">
        <v>84</v>
      </c>
      <c r="I71" s="18" t="n">
        <v>4</v>
      </c>
      <c r="J71" s="18" t="n">
        <v>1</v>
      </c>
      <c r="K71" s="18" t="inlineStr">
        <is>
          <t>Sedang</t>
        </is>
      </c>
    </row>
    <row r="72" s="1">
      <c r="A72" s="17">
        <f>RANDBETWEEN(2,164)</f>
        <v/>
      </c>
      <c r="B72" s="17">
        <f t="array" ref="B72">INDEX(Data_DBD!$C:$C,$A72)</f>
        <v/>
      </c>
      <c r="C72" s="17">
        <f t="array" ref="C72">INDEX(Data_DBD!$E:$E,$A72)</f>
        <v/>
      </c>
      <c r="D72" s="17">
        <f t="array" ref="D72">INDEX(Data_DBD!$F:$F,$A72)</f>
        <v/>
      </c>
      <c r="H72" s="18" t="n">
        <v>100</v>
      </c>
      <c r="I72" s="18" t="n">
        <v>6</v>
      </c>
      <c r="J72" s="18" t="n">
        <v>0</v>
      </c>
      <c r="K72" s="18" t="inlineStr">
        <is>
          <t>Tinggi</t>
        </is>
      </c>
    </row>
    <row r="73" s="1">
      <c r="A73" s="17">
        <f>RANDBETWEEN(2,164)</f>
        <v/>
      </c>
      <c r="B73" s="17">
        <f t="array" ref="B73">INDEX(Data_DBD!$C:$C,$A73)</f>
        <v/>
      </c>
      <c r="C73" s="17">
        <f t="array" ref="C73">INDEX(Data_DBD!$E:$E,$A73)</f>
        <v/>
      </c>
      <c r="D73" s="17">
        <f t="array" ref="D73">INDEX(Data_DBD!$F:$F,$A73)</f>
        <v/>
      </c>
      <c r="H73" s="18" t="n">
        <v>146</v>
      </c>
      <c r="I73" s="18" t="n">
        <v>2</v>
      </c>
      <c r="J73" s="18" t="n">
        <v>1</v>
      </c>
      <c r="K73" s="18" t="inlineStr">
        <is>
          <t>Tinggi</t>
        </is>
      </c>
    </row>
    <row r="74" s="1">
      <c r="A74" s="17">
        <f>RANDBETWEEN(2,164)</f>
        <v/>
      </c>
      <c r="B74" s="17">
        <f t="array" ref="B74">INDEX(Data_DBD!$C:$C,$A74)</f>
        <v/>
      </c>
      <c r="C74" s="17">
        <f t="array" ref="C74">INDEX(Data_DBD!$E:$E,$A74)</f>
        <v/>
      </c>
      <c r="D74" s="17">
        <f t="array" ref="D74">INDEX(Data_DBD!$F:$F,$A74)</f>
        <v/>
      </c>
      <c r="H74" s="18" t="n">
        <v>143</v>
      </c>
      <c r="I74" s="18" t="n">
        <v>4</v>
      </c>
      <c r="J74" s="18" t="n">
        <v>1</v>
      </c>
      <c r="K74" s="18" t="inlineStr">
        <is>
          <t>Tinggi</t>
        </is>
      </c>
    </row>
    <row r="75" s="1">
      <c r="A75" s="17">
        <f>RANDBETWEEN(2,164)</f>
        <v/>
      </c>
      <c r="B75" s="17">
        <f t="array" ref="B75">INDEX(Data_DBD!$C:$C,$A75)</f>
        <v/>
      </c>
      <c r="C75" s="17">
        <f t="array" ref="C75">INDEX(Data_DBD!$E:$E,$A75)</f>
        <v/>
      </c>
      <c r="D75" s="17">
        <f t="array" ref="D75">INDEX(Data_DBD!$F:$F,$A75)</f>
        <v/>
      </c>
      <c r="H75" s="18" t="n">
        <v>89</v>
      </c>
      <c r="I75" s="18" t="n">
        <v>4</v>
      </c>
      <c r="J75" s="18" t="n">
        <v>0</v>
      </c>
      <c r="K75" s="18" t="inlineStr">
        <is>
          <t>Sedang</t>
        </is>
      </c>
    </row>
    <row r="76" s="1">
      <c r="A76" s="17">
        <f>RANDBETWEEN(2,164)</f>
        <v/>
      </c>
      <c r="B76" s="17">
        <f t="array" ref="B76">INDEX(Data_DBD!$C:$C,$A76)</f>
        <v/>
      </c>
      <c r="C76" s="17">
        <f t="array" ref="C76">INDEX(Data_DBD!$E:$E,$A76)</f>
        <v/>
      </c>
      <c r="D76" s="17">
        <f t="array" ref="D76">INDEX(Data_DBD!$F:$F,$A76)</f>
        <v/>
      </c>
      <c r="H76" s="18" t="n">
        <v>59</v>
      </c>
      <c r="I76" s="18" t="n">
        <v>4</v>
      </c>
      <c r="J76" s="18" t="n">
        <v>0</v>
      </c>
      <c r="K76" s="18" t="inlineStr">
        <is>
          <t>Sedang</t>
        </is>
      </c>
    </row>
    <row r="77" s="1">
      <c r="A77" s="17">
        <f>RANDBETWEEN(2,164)</f>
        <v/>
      </c>
      <c r="B77" s="17">
        <f t="array" ref="B77">INDEX(Data_DBD!$C:$C,$A77)</f>
        <v/>
      </c>
      <c r="C77" s="17">
        <f t="array" ref="C77">INDEX(Data_DBD!$E:$E,$A77)</f>
        <v/>
      </c>
      <c r="D77" s="17">
        <f t="array" ref="D77">INDEX(Data_DBD!$F:$F,$A77)</f>
        <v/>
      </c>
      <c r="H77" s="18" t="n">
        <v>144</v>
      </c>
      <c r="I77" s="18" t="n">
        <v>4</v>
      </c>
      <c r="J77" s="18" t="n">
        <v>1</v>
      </c>
      <c r="K77" s="18" t="inlineStr">
        <is>
          <t>Tinggi</t>
        </is>
      </c>
    </row>
    <row r="78" s="1">
      <c r="A78" s="17">
        <f>RANDBETWEEN(2,164)</f>
        <v/>
      </c>
      <c r="B78" s="17">
        <f t="array" ref="B78">INDEX(Data_DBD!$C:$C,$A78)</f>
        <v/>
      </c>
      <c r="C78" s="17">
        <f t="array" ref="C78">INDEX(Data_DBD!$E:$E,$A78)</f>
        <v/>
      </c>
      <c r="D78" s="17">
        <f t="array" ref="D78">INDEX(Data_DBD!$F:$F,$A78)</f>
        <v/>
      </c>
      <c r="H78" s="18" t="n">
        <v>110</v>
      </c>
      <c r="I78" s="18" t="n">
        <v>2</v>
      </c>
      <c r="J78" s="18" t="n">
        <v>1</v>
      </c>
      <c r="K78" s="18" t="inlineStr">
        <is>
          <t>Tinggi</t>
        </is>
      </c>
    </row>
    <row r="79" s="1">
      <c r="A79" s="17">
        <f>RANDBETWEEN(2,164)</f>
        <v/>
      </c>
      <c r="B79" s="17">
        <f t="array" ref="B79">INDEX(Data_DBD!$C:$C,$A79)</f>
        <v/>
      </c>
      <c r="C79" s="17">
        <f t="array" ref="C79">INDEX(Data_DBD!$E:$E,$A79)</f>
        <v/>
      </c>
      <c r="D79" s="17">
        <f t="array" ref="D79">INDEX(Data_DBD!$F:$F,$A79)</f>
        <v/>
      </c>
      <c r="H79" s="18" t="n">
        <v>59</v>
      </c>
      <c r="I79" s="18" t="n">
        <v>4</v>
      </c>
      <c r="J79" s="18" t="n">
        <v>0</v>
      </c>
      <c r="K79" s="18" t="inlineStr">
        <is>
          <t>Sedang</t>
        </is>
      </c>
    </row>
    <row r="80" s="1">
      <c r="A80" s="17">
        <f>RANDBETWEEN(2,164)</f>
        <v/>
      </c>
      <c r="B80" s="17">
        <f t="array" ref="B80">INDEX(Data_DBD!$C:$C,$A80)</f>
        <v/>
      </c>
      <c r="C80" s="17">
        <f t="array" ref="C80">INDEX(Data_DBD!$E:$E,$A80)</f>
        <v/>
      </c>
      <c r="D80" s="17">
        <f t="array" ref="D80">INDEX(Data_DBD!$F:$F,$A80)</f>
        <v/>
      </c>
      <c r="H80" s="18" t="n">
        <v>72</v>
      </c>
      <c r="I80" s="18" t="n">
        <v>5</v>
      </c>
      <c r="J80" s="18" t="n">
        <v>1</v>
      </c>
      <c r="K80" s="18" t="inlineStr">
        <is>
          <t>Sedang</t>
        </is>
      </c>
    </row>
    <row r="81" s="1">
      <c r="A81" s="17">
        <f>RANDBETWEEN(2,164)</f>
        <v/>
      </c>
      <c r="B81" s="17">
        <f t="array" ref="B81">INDEX(Data_DBD!$C:$C,$A81)</f>
        <v/>
      </c>
      <c r="C81" s="17">
        <f t="array" ref="C81">INDEX(Data_DBD!$E:$E,$A81)</f>
        <v/>
      </c>
      <c r="D81" s="17">
        <f t="array" ref="D81">INDEX(Data_DBD!$F:$F,$A81)</f>
        <v/>
      </c>
      <c r="H81" s="18" t="n">
        <v>113</v>
      </c>
      <c r="I81" s="18" t="n">
        <v>1</v>
      </c>
      <c r="J81" s="18" t="n">
        <v>1</v>
      </c>
      <c r="K81" s="18" t="inlineStr">
        <is>
          <t>Tinggi</t>
        </is>
      </c>
    </row>
    <row r="82" s="1">
      <c r="A82" s="17">
        <f>RANDBETWEEN(2,164)</f>
        <v/>
      </c>
      <c r="B82" s="17">
        <f t="array" ref="B82">INDEX(Data_DBD!$C:$C,$A82)</f>
        <v/>
      </c>
      <c r="C82" s="17">
        <f t="array" ref="C82">INDEX(Data_DBD!$E:$E,$A82)</f>
        <v/>
      </c>
      <c r="D82" s="17">
        <f t="array" ref="D82">INDEX(Data_DBD!$F:$F,$A82)</f>
        <v/>
      </c>
      <c r="H82" s="18" t="n">
        <v>92</v>
      </c>
      <c r="I82" s="18" t="n">
        <v>7</v>
      </c>
      <c r="J82" s="18" t="n">
        <v>0</v>
      </c>
      <c r="K82" s="18" t="inlineStr">
        <is>
          <t>Tinggi</t>
        </is>
      </c>
    </row>
    <row r="83" s="1">
      <c r="A83" s="17">
        <f>RANDBETWEEN(2,164)</f>
        <v/>
      </c>
      <c r="B83" s="17">
        <f t="array" ref="B83">INDEX(Data_DBD!$C:$C,$A83)</f>
        <v/>
      </c>
      <c r="C83" s="17">
        <f t="array" ref="C83">INDEX(Data_DBD!$E:$E,$A83)</f>
        <v/>
      </c>
      <c r="D83" s="17">
        <f t="array" ref="D83">INDEX(Data_DBD!$F:$F,$A83)</f>
        <v/>
      </c>
      <c r="H83" s="18" t="n">
        <v>73</v>
      </c>
      <c r="I83" s="18" t="n">
        <v>3</v>
      </c>
      <c r="J83" s="18" t="n">
        <v>1</v>
      </c>
      <c r="K83" s="18" t="inlineStr">
        <is>
          <t>Sedang</t>
        </is>
      </c>
    </row>
    <row r="84" s="1">
      <c r="A84" s="17">
        <f>RANDBETWEEN(2,164)</f>
        <v/>
      </c>
      <c r="B84" s="17">
        <f t="array" ref="B84">INDEX(Data_DBD!$C:$C,$A84)</f>
        <v/>
      </c>
      <c r="C84" s="17">
        <f t="array" ref="C84">INDEX(Data_DBD!$E:$E,$A84)</f>
        <v/>
      </c>
      <c r="D84" s="17">
        <f t="array" ref="D84">INDEX(Data_DBD!$F:$F,$A84)</f>
        <v/>
      </c>
      <c r="H84" s="18" t="n">
        <v>22</v>
      </c>
      <c r="I84" s="18" t="n">
        <v>3</v>
      </c>
      <c r="J84" s="18" t="n">
        <v>0</v>
      </c>
      <c r="K84" s="18" t="inlineStr">
        <is>
          <t>Sedang</t>
        </is>
      </c>
    </row>
    <row r="85" s="1">
      <c r="A85" s="17">
        <f>RANDBETWEEN(2,164)</f>
        <v/>
      </c>
      <c r="B85" s="17">
        <f t="array" ref="B85">INDEX(Data_DBD!$C:$C,$A85)</f>
        <v/>
      </c>
      <c r="C85" s="17">
        <f t="array" ref="C85">INDEX(Data_DBD!$E:$E,$A85)</f>
        <v/>
      </c>
      <c r="D85" s="17">
        <f t="array" ref="D85">INDEX(Data_DBD!$F:$F,$A85)</f>
        <v/>
      </c>
      <c r="H85" s="18" t="n">
        <v>18</v>
      </c>
      <c r="I85" s="18" t="n">
        <v>4</v>
      </c>
      <c r="J85" s="18" t="n">
        <v>1</v>
      </c>
      <c r="K85" s="18" t="inlineStr">
        <is>
          <t>Rendah</t>
        </is>
      </c>
    </row>
    <row r="86" s="1">
      <c r="A86" s="17">
        <f>RANDBETWEEN(2,164)</f>
        <v/>
      </c>
      <c r="B86" s="17">
        <f t="array" ref="B86">INDEX(Data_DBD!$C:$C,$A86)</f>
        <v/>
      </c>
      <c r="C86" s="17">
        <f t="array" ref="C86">INDEX(Data_DBD!$E:$E,$A86)</f>
        <v/>
      </c>
      <c r="D86" s="17">
        <f t="array" ref="D86">INDEX(Data_DBD!$F:$F,$A86)</f>
        <v/>
      </c>
      <c r="H86" s="18" t="n">
        <v>49</v>
      </c>
      <c r="I86" s="18" t="n">
        <v>5</v>
      </c>
      <c r="J86" s="18" t="n">
        <v>0</v>
      </c>
      <c r="K86" s="18" t="inlineStr">
        <is>
          <t>Sedang</t>
        </is>
      </c>
    </row>
    <row r="87" s="1">
      <c r="A87" s="17">
        <f>RANDBETWEEN(2,164)</f>
        <v/>
      </c>
      <c r="B87" s="17">
        <f t="array" ref="B87">INDEX(Data_DBD!$C:$C,$A87)</f>
        <v/>
      </c>
      <c r="C87" s="17">
        <f t="array" ref="C87">INDEX(Data_DBD!$E:$E,$A87)</f>
        <v/>
      </c>
      <c r="D87" s="17">
        <f t="array" ref="D87">INDEX(Data_DBD!$F:$F,$A87)</f>
        <v/>
      </c>
      <c r="H87" s="18" t="n">
        <v>104</v>
      </c>
      <c r="I87" s="18" t="n">
        <v>4</v>
      </c>
      <c r="J87" s="18" t="n">
        <v>1</v>
      </c>
      <c r="K87" s="18" t="inlineStr">
        <is>
          <t>Tinggi</t>
        </is>
      </c>
    </row>
    <row r="88" s="1">
      <c r="A88" s="17">
        <f>RANDBETWEEN(2,164)</f>
        <v/>
      </c>
      <c r="B88" s="17">
        <f t="array" ref="B88">INDEX(Data_DBD!$C:$C,$A88)</f>
        <v/>
      </c>
      <c r="C88" s="17">
        <f t="array" ref="C88">INDEX(Data_DBD!$E:$E,$A88)</f>
        <v/>
      </c>
      <c r="D88" s="17">
        <f t="array" ref="D88">INDEX(Data_DBD!$F:$F,$A88)</f>
        <v/>
      </c>
      <c r="H88" s="18" t="n">
        <v>116</v>
      </c>
      <c r="I88" s="18" t="n">
        <v>4</v>
      </c>
      <c r="J88" s="18" t="n">
        <v>1</v>
      </c>
      <c r="K88" s="18" t="inlineStr">
        <is>
          <t>Tinggi</t>
        </is>
      </c>
    </row>
    <row r="89" s="1">
      <c r="A89" s="17">
        <f>RANDBETWEEN(2,164)</f>
        <v/>
      </c>
      <c r="B89" s="17">
        <f t="array" ref="B89">INDEX(Data_DBD!$C:$C,$A89)</f>
        <v/>
      </c>
      <c r="C89" s="17">
        <f t="array" ref="C89">INDEX(Data_DBD!$E:$E,$A89)</f>
        <v/>
      </c>
      <c r="D89" s="17">
        <f t="array" ref="D89">INDEX(Data_DBD!$F:$F,$A89)</f>
        <v/>
      </c>
      <c r="H89" s="18" t="n">
        <v>63</v>
      </c>
      <c r="I89" s="18" t="n">
        <v>3</v>
      </c>
      <c r="J89" s="18" t="n">
        <v>0</v>
      </c>
      <c r="K89" s="18" t="inlineStr">
        <is>
          <t>Sedang</t>
        </is>
      </c>
    </row>
    <row r="90" s="1">
      <c r="A90" s="17">
        <f>RANDBETWEEN(2,164)</f>
        <v/>
      </c>
      <c r="B90" s="17">
        <f t="array" ref="B90">INDEX(Data_DBD!$C:$C,$A90)</f>
        <v/>
      </c>
      <c r="C90" s="17">
        <f t="array" ref="C90">INDEX(Data_DBD!$E:$E,$A90)</f>
        <v/>
      </c>
      <c r="D90" s="17">
        <f t="array" ref="D90">INDEX(Data_DBD!$F:$F,$A90)</f>
        <v/>
      </c>
      <c r="H90" s="18" t="n">
        <v>125</v>
      </c>
      <c r="I90" s="18" t="n">
        <v>4</v>
      </c>
      <c r="J90" s="18" t="n">
        <v>0</v>
      </c>
      <c r="K90" s="18" t="inlineStr">
        <is>
          <t>Tinggi</t>
        </is>
      </c>
    </row>
    <row r="91" s="1">
      <c r="A91" s="17">
        <f>RANDBETWEEN(2,164)</f>
        <v/>
      </c>
      <c r="B91" s="17">
        <f t="array" ref="B91">INDEX(Data_DBD!$C:$C,$A91)</f>
        <v/>
      </c>
      <c r="C91" s="17">
        <f t="array" ref="C91">INDEX(Data_DBD!$E:$E,$A91)</f>
        <v/>
      </c>
      <c r="D91" s="17">
        <f t="array" ref="D91">INDEX(Data_DBD!$F:$F,$A91)</f>
        <v/>
      </c>
      <c r="H91" s="18" t="n">
        <v>73</v>
      </c>
      <c r="I91" s="18" t="n">
        <v>3</v>
      </c>
      <c r="J91" s="18" t="n">
        <v>1</v>
      </c>
      <c r="K91" s="18" t="inlineStr">
        <is>
          <t>Sedang</t>
        </is>
      </c>
    </row>
    <row r="92" s="1">
      <c r="A92" s="17">
        <f>RANDBETWEEN(2,164)</f>
        <v/>
      </c>
      <c r="B92" s="17">
        <f t="array" ref="B92">INDEX(Data_DBD!$C:$C,$A92)</f>
        <v/>
      </c>
      <c r="C92" s="17">
        <f t="array" ref="C92">INDEX(Data_DBD!$E:$E,$A92)</f>
        <v/>
      </c>
      <c r="D92" s="17">
        <f t="array" ref="D92">INDEX(Data_DBD!$F:$F,$A92)</f>
        <v/>
      </c>
      <c r="H92" s="18" t="n">
        <v>25</v>
      </c>
      <c r="I92" s="18" t="n">
        <v>5</v>
      </c>
      <c r="J92" s="18" t="n">
        <v>0</v>
      </c>
      <c r="K92" s="18" t="inlineStr">
        <is>
          <t>Sedang</t>
        </is>
      </c>
    </row>
    <row r="93" s="1">
      <c r="A93" s="17">
        <f>RANDBETWEEN(2,164)</f>
        <v/>
      </c>
      <c r="B93" s="17">
        <f t="array" ref="B93">INDEX(Data_DBD!$C:$C,$A93)</f>
        <v/>
      </c>
      <c r="C93" s="17">
        <f t="array" ref="C93">INDEX(Data_DBD!$E:$E,$A93)</f>
        <v/>
      </c>
      <c r="D93" s="17">
        <f t="array" ref="D93">INDEX(Data_DBD!$F:$F,$A93)</f>
        <v/>
      </c>
      <c r="H93" s="18" t="n">
        <v>148</v>
      </c>
      <c r="I93" s="18" t="n">
        <v>3</v>
      </c>
      <c r="J93" s="18" t="n">
        <v>1</v>
      </c>
      <c r="K93" s="18" t="inlineStr">
        <is>
          <t>Tinggi</t>
        </is>
      </c>
    </row>
    <row r="94" s="1">
      <c r="A94" s="17">
        <f>RANDBETWEEN(2,164)</f>
        <v/>
      </c>
      <c r="B94" s="17">
        <f t="array" ref="B94">INDEX(Data_DBD!$C:$C,$A94)</f>
        <v/>
      </c>
      <c r="C94" s="17">
        <f t="array" ref="C94">INDEX(Data_DBD!$E:$E,$A94)</f>
        <v/>
      </c>
      <c r="D94" s="17">
        <f t="array" ref="D94">INDEX(Data_DBD!$F:$F,$A94)</f>
        <v/>
      </c>
      <c r="H94" s="18" t="n">
        <v>39</v>
      </c>
      <c r="I94" s="18" t="n">
        <v>5</v>
      </c>
      <c r="J94" s="18" t="n">
        <v>1</v>
      </c>
      <c r="K94" s="18" t="inlineStr">
        <is>
          <t>Sedang</t>
        </is>
      </c>
    </row>
    <row r="95" s="1">
      <c r="A95" s="17">
        <f>RANDBETWEEN(2,164)</f>
        <v/>
      </c>
      <c r="B95" s="17">
        <f t="array" ref="B95">INDEX(Data_DBD!$C:$C,$A95)</f>
        <v/>
      </c>
      <c r="C95" s="17">
        <f t="array" ref="C95">INDEX(Data_DBD!$E:$E,$A95)</f>
        <v/>
      </c>
      <c r="D95" s="17">
        <f t="array" ref="D95">INDEX(Data_DBD!$F:$F,$A95)</f>
        <v/>
      </c>
      <c r="H95" s="18" t="n">
        <v>36</v>
      </c>
      <c r="I95" s="18" t="n">
        <v>1</v>
      </c>
      <c r="J95" s="18" t="n">
        <v>1</v>
      </c>
      <c r="K95" s="18" t="inlineStr">
        <is>
          <t>Rendah</t>
        </is>
      </c>
    </row>
    <row r="96" s="1">
      <c r="A96" s="17">
        <f>RANDBETWEEN(2,164)</f>
        <v/>
      </c>
      <c r="B96" s="17">
        <f t="array" ref="B96">INDEX(Data_DBD!$C:$C,$A96)</f>
        <v/>
      </c>
      <c r="C96" s="17">
        <f t="array" ref="C96">INDEX(Data_DBD!$E:$E,$A96)</f>
        <v/>
      </c>
      <c r="D96" s="17">
        <f t="array" ref="D96">INDEX(Data_DBD!$F:$F,$A96)</f>
        <v/>
      </c>
      <c r="H96" s="18" t="n">
        <v>111</v>
      </c>
      <c r="I96" s="18" t="n">
        <v>4</v>
      </c>
      <c r="J96" s="18" t="n">
        <v>0</v>
      </c>
      <c r="K96" s="18" t="inlineStr">
        <is>
          <t>Tinggi</t>
        </is>
      </c>
    </row>
    <row r="97" s="1">
      <c r="A97" s="17">
        <f>RANDBETWEEN(2,164)</f>
        <v/>
      </c>
      <c r="B97" s="17">
        <f t="array" ref="B97">INDEX(Data_DBD!$C:$C,$A97)</f>
        <v/>
      </c>
      <c r="C97" s="17">
        <f t="array" ref="C97">INDEX(Data_DBD!$E:$E,$A97)</f>
        <v/>
      </c>
      <c r="D97" s="17">
        <f t="array" ref="D97">INDEX(Data_DBD!$F:$F,$A97)</f>
        <v/>
      </c>
      <c r="H97" s="18" t="n">
        <v>57</v>
      </c>
      <c r="I97" s="18" t="n">
        <v>2</v>
      </c>
      <c r="J97" s="18" t="n">
        <v>1</v>
      </c>
      <c r="K97" s="18" t="inlineStr">
        <is>
          <t>Sedang</t>
        </is>
      </c>
    </row>
    <row r="98" s="1">
      <c r="A98" s="17">
        <f>RANDBETWEEN(2,164)</f>
        <v/>
      </c>
      <c r="B98" s="17">
        <f t="array" ref="B98">INDEX(Data_DBD!$C:$C,$A98)</f>
        <v/>
      </c>
      <c r="C98" s="17">
        <f t="array" ref="C98">INDEX(Data_DBD!$E:$E,$A98)</f>
        <v/>
      </c>
      <c r="D98" s="17">
        <f t="array" ref="D98">INDEX(Data_DBD!$F:$F,$A98)</f>
        <v/>
      </c>
      <c r="H98" s="18" t="n">
        <v>134</v>
      </c>
      <c r="I98" s="18" t="n">
        <v>2</v>
      </c>
      <c r="J98" s="18" t="n">
        <v>1</v>
      </c>
      <c r="K98" s="18" t="inlineStr">
        <is>
          <t>Tinggi</t>
        </is>
      </c>
    </row>
    <row r="99" s="1">
      <c r="A99" s="17">
        <f>RANDBETWEEN(2,164)</f>
        <v/>
      </c>
      <c r="B99" s="17">
        <f t="array" ref="B99">INDEX(Data_DBD!$C:$C,$A99)</f>
        <v/>
      </c>
      <c r="C99" s="17">
        <f t="array" ref="C99">INDEX(Data_DBD!$E:$E,$A99)</f>
        <v/>
      </c>
      <c r="D99" s="17">
        <f t="array" ref="D99">INDEX(Data_DBD!$F:$F,$A99)</f>
        <v/>
      </c>
      <c r="H99" s="18" t="n">
        <v>44</v>
      </c>
      <c r="I99" s="18" t="n">
        <v>5</v>
      </c>
      <c r="J99" s="18" t="n">
        <v>1</v>
      </c>
      <c r="K99" s="18" t="inlineStr">
        <is>
          <t>Sedang</t>
        </is>
      </c>
    </row>
    <row r="100" s="1">
      <c r="A100" s="17">
        <f>RANDBETWEEN(2,164)</f>
        <v/>
      </c>
      <c r="B100" s="17">
        <f t="array" ref="B100">INDEX(Data_DBD!$C:$C,$A100)</f>
        <v/>
      </c>
      <c r="C100" s="17">
        <f t="array" ref="C100">INDEX(Data_DBD!$E:$E,$A100)</f>
        <v/>
      </c>
      <c r="D100" s="17">
        <f t="array" ref="D100">INDEX(Data_DBD!$F:$F,$A100)</f>
        <v/>
      </c>
      <c r="H100" s="18" t="n">
        <v>30</v>
      </c>
      <c r="I100" s="18" t="n">
        <v>2</v>
      </c>
      <c r="J100" s="18" t="n">
        <v>1</v>
      </c>
      <c r="K100" s="18" t="inlineStr">
        <is>
          <t>Sedang</t>
        </is>
      </c>
    </row>
    <row r="101" s="1">
      <c r="A101" s="17">
        <f>RANDBETWEEN(2,164)</f>
        <v/>
      </c>
      <c r="B101" s="17">
        <f t="array" ref="B101">INDEX(Data_DBD!$C:$C,$A101)</f>
        <v/>
      </c>
      <c r="C101" s="17">
        <f t="array" ref="C101">INDEX(Data_DBD!$E:$E,$A101)</f>
        <v/>
      </c>
      <c r="D101" s="17">
        <f t="array" ref="D101">INDEX(Data_DBD!$F:$F,$A101)</f>
        <v/>
      </c>
      <c r="H101" s="18" t="n">
        <v>154</v>
      </c>
      <c r="I101" s="18" t="n">
        <v>5</v>
      </c>
      <c r="J101" s="18" t="n">
        <v>1</v>
      </c>
      <c r="K101" s="18" t="inlineStr">
        <is>
          <t>Tinggi</t>
        </is>
      </c>
    </row>
    <row r="102" s="1">
      <c r="A102" s="17">
        <f>RANDBETWEEN(2,164)</f>
        <v/>
      </c>
      <c r="B102" s="17">
        <f t="array" ref="B102">INDEX(Data_DBD!$C:$C,$A102)</f>
        <v/>
      </c>
      <c r="C102" s="17">
        <f t="array" ref="C102">INDEX(Data_DBD!$E:$E,$A102)</f>
        <v/>
      </c>
      <c r="D102" s="17">
        <f t="array" ref="D102">INDEX(Data_DBD!$F:$F,$A102)</f>
        <v/>
      </c>
      <c r="H102" s="18" t="n">
        <v>63</v>
      </c>
      <c r="I102" s="18" t="n">
        <v>3</v>
      </c>
      <c r="J102" s="18" t="n">
        <v>0</v>
      </c>
      <c r="K102" s="18" t="inlineStr">
        <is>
          <t>Sedang</t>
        </is>
      </c>
    </row>
    <row r="103" s="1">
      <c r="A103" s="17">
        <f>RANDBETWEEN(2,164)</f>
        <v/>
      </c>
      <c r="B103" s="17">
        <f t="array" ref="B103">INDEX(Data_DBD!$C:$C,$A103)</f>
        <v/>
      </c>
      <c r="C103" s="17">
        <f t="array" ref="C103">INDEX(Data_DBD!$E:$E,$A103)</f>
        <v/>
      </c>
      <c r="D103" s="17">
        <f t="array" ref="D103">INDEX(Data_DBD!$F:$F,$A103)</f>
        <v/>
      </c>
      <c r="H103" s="18" t="n">
        <v>158</v>
      </c>
      <c r="I103" s="18" t="n">
        <v>2</v>
      </c>
      <c r="J103" s="18" t="n">
        <v>0</v>
      </c>
      <c r="K103" s="18" t="inlineStr">
        <is>
          <t>Tinggi</t>
        </is>
      </c>
    </row>
    <row r="104" s="1">
      <c r="A104" s="17">
        <f>RANDBETWEEN(2,164)</f>
        <v/>
      </c>
      <c r="B104" s="17">
        <f t="array" ref="B104">INDEX(Data_DBD!$C:$C,$A104)</f>
        <v/>
      </c>
      <c r="C104" s="17">
        <f t="array" ref="C104">INDEX(Data_DBD!$E:$E,$A104)</f>
        <v/>
      </c>
      <c r="D104" s="17">
        <f t="array" ref="D104">INDEX(Data_DBD!$F:$F,$A104)</f>
        <v/>
      </c>
      <c r="H104" s="18" t="n">
        <v>95</v>
      </c>
      <c r="I104" s="18" t="n">
        <v>3</v>
      </c>
      <c r="J104" s="18" t="n">
        <v>1</v>
      </c>
      <c r="K104" s="18" t="inlineStr">
        <is>
          <t>Tinggi</t>
        </is>
      </c>
    </row>
    <row r="105" s="1">
      <c r="A105" s="17">
        <f>RANDBETWEEN(2,164)</f>
        <v/>
      </c>
      <c r="B105" s="17">
        <f t="array" ref="B105">INDEX(Data_DBD!$C:$C,$A105)</f>
        <v/>
      </c>
      <c r="C105" s="17">
        <f t="array" ref="C105">INDEX(Data_DBD!$E:$E,$A105)</f>
        <v/>
      </c>
      <c r="D105" s="17">
        <f t="array" ref="D105">INDEX(Data_DBD!$F:$F,$A105)</f>
        <v/>
      </c>
      <c r="H105" s="18" t="n">
        <v>89</v>
      </c>
      <c r="I105" s="18" t="n">
        <v>4</v>
      </c>
      <c r="J105" s="18" t="n">
        <v>0</v>
      </c>
      <c r="K105" s="18" t="inlineStr">
        <is>
          <t>Sedang</t>
        </is>
      </c>
    </row>
    <row r="106" s="1">
      <c r="A106" s="17">
        <f>RANDBETWEEN(2,164)</f>
        <v/>
      </c>
      <c r="B106" s="17">
        <f t="array" ref="B106">INDEX(Data_DBD!$C:$C,$A106)</f>
        <v/>
      </c>
      <c r="C106" s="17">
        <f t="array" ref="C106">INDEX(Data_DBD!$E:$E,$A106)</f>
        <v/>
      </c>
      <c r="D106" s="17">
        <f t="array" ref="D106">INDEX(Data_DBD!$F:$F,$A106)</f>
        <v/>
      </c>
      <c r="H106" s="18" t="n">
        <v>115</v>
      </c>
      <c r="I106" s="18" t="n">
        <v>3</v>
      </c>
      <c r="J106" s="18" t="n">
        <v>1</v>
      </c>
      <c r="K106" s="18" t="inlineStr">
        <is>
          <t>Tinggi</t>
        </is>
      </c>
    </row>
    <row r="107" s="1">
      <c r="A107" s="17">
        <f>RANDBETWEEN(2,164)</f>
        <v/>
      </c>
      <c r="B107" s="17">
        <f t="array" ref="B107">INDEX(Data_DBD!$C:$C,$A107)</f>
        <v/>
      </c>
      <c r="C107" s="17">
        <f t="array" ref="C107">INDEX(Data_DBD!$E:$E,$A107)</f>
        <v/>
      </c>
      <c r="D107" s="17">
        <f t="array" ref="D107">INDEX(Data_DBD!$F:$F,$A107)</f>
        <v/>
      </c>
      <c r="H107" s="18" t="n">
        <v>101</v>
      </c>
      <c r="I107" s="18" t="n">
        <v>5</v>
      </c>
      <c r="J107" s="18" t="n">
        <v>0</v>
      </c>
      <c r="K107" s="18" t="inlineStr">
        <is>
          <t>Tinggi</t>
        </is>
      </c>
    </row>
    <row r="108" s="1">
      <c r="A108" s="17">
        <f>RANDBETWEEN(2,164)</f>
        <v/>
      </c>
      <c r="B108" s="17">
        <f t="array" ref="B108">INDEX(Data_DBD!$C:$C,$A108)</f>
        <v/>
      </c>
      <c r="C108" s="17">
        <f t="array" ref="C108">INDEX(Data_DBD!$E:$E,$A108)</f>
        <v/>
      </c>
      <c r="D108" s="17">
        <f t="array" ref="D108">INDEX(Data_DBD!$F:$F,$A108)</f>
        <v/>
      </c>
      <c r="H108" s="18" t="n">
        <v>162</v>
      </c>
      <c r="I108" s="18" t="n">
        <v>3</v>
      </c>
      <c r="J108" s="18" t="n">
        <v>1</v>
      </c>
      <c r="K108" s="18" t="inlineStr">
        <is>
          <t>Rendah</t>
        </is>
      </c>
    </row>
    <row r="109" s="1">
      <c r="A109" s="17">
        <f>RANDBETWEEN(2,164)</f>
        <v/>
      </c>
      <c r="B109" s="17">
        <f t="array" ref="B109">INDEX(Data_DBD!$C:$C,$A109)</f>
        <v/>
      </c>
      <c r="C109" s="17">
        <f t="array" ref="C109">INDEX(Data_DBD!$E:$E,$A109)</f>
        <v/>
      </c>
      <c r="D109" s="17">
        <f t="array" ref="D109">INDEX(Data_DBD!$F:$F,$A109)</f>
        <v/>
      </c>
      <c r="H109" s="18" t="n">
        <v>60</v>
      </c>
      <c r="I109" s="18" t="n">
        <v>4</v>
      </c>
      <c r="J109" s="18" t="n">
        <v>0</v>
      </c>
      <c r="K109" s="18" t="inlineStr">
        <is>
          <t>Sedang</t>
        </is>
      </c>
    </row>
    <row r="110" s="1">
      <c r="A110" s="17">
        <f>RANDBETWEEN(2,164)</f>
        <v/>
      </c>
      <c r="B110" s="17">
        <f t="array" ref="B110">INDEX(Data_DBD!$C:$C,$A110)</f>
        <v/>
      </c>
      <c r="C110" s="17">
        <f t="array" ref="C110">INDEX(Data_DBD!$E:$E,$A110)</f>
        <v/>
      </c>
      <c r="D110" s="17">
        <f t="array" ref="D110">INDEX(Data_DBD!$F:$F,$A110)</f>
        <v/>
      </c>
      <c r="H110" s="18" t="n">
        <v>144</v>
      </c>
      <c r="I110" s="18" t="n">
        <v>4</v>
      </c>
      <c r="J110" s="18" t="n">
        <v>1</v>
      </c>
      <c r="K110" s="18" t="inlineStr">
        <is>
          <t>Tinggi</t>
        </is>
      </c>
    </row>
    <row r="111" s="1">
      <c r="A111" s="17">
        <f>RANDBETWEEN(2,164)</f>
        <v/>
      </c>
      <c r="B111" s="17">
        <f t="array" ref="B111">INDEX(Data_DBD!$C:$C,$A111)</f>
        <v/>
      </c>
      <c r="C111" s="17">
        <f t="array" ref="C111">INDEX(Data_DBD!$E:$E,$A111)</f>
        <v/>
      </c>
      <c r="D111" s="17">
        <f t="array" ref="D111">INDEX(Data_DBD!$F:$F,$A111)</f>
        <v/>
      </c>
      <c r="H111" s="18" t="n">
        <v>38</v>
      </c>
      <c r="I111" s="18" t="n">
        <v>3</v>
      </c>
      <c r="J111" s="18" t="n">
        <v>1</v>
      </c>
      <c r="K111" s="18" t="inlineStr">
        <is>
          <t>Rendah</t>
        </is>
      </c>
    </row>
    <row r="112" s="1">
      <c r="A112" s="17">
        <f>RANDBETWEEN(2,164)</f>
        <v/>
      </c>
      <c r="B112" s="17">
        <f t="array" ref="B112">INDEX(Data_DBD!$C:$C,$A112)</f>
        <v/>
      </c>
      <c r="C112" s="17">
        <f t="array" ref="C112">INDEX(Data_DBD!$E:$E,$A112)</f>
        <v/>
      </c>
      <c r="D112" s="17">
        <f t="array" ref="D112">INDEX(Data_DBD!$F:$F,$A112)</f>
        <v/>
      </c>
      <c r="H112" s="18" t="n">
        <v>28</v>
      </c>
      <c r="I112" s="18" t="n">
        <v>2</v>
      </c>
      <c r="J112" s="18" t="n">
        <v>1</v>
      </c>
      <c r="K112" s="18" t="inlineStr">
        <is>
          <t>Sedang</t>
        </is>
      </c>
    </row>
    <row r="113" s="1">
      <c r="A113" s="17">
        <f>RANDBETWEEN(2,164)</f>
        <v/>
      </c>
      <c r="B113" s="17">
        <f t="array" ref="B113">INDEX(Data_DBD!$C:$C,$A113)</f>
        <v/>
      </c>
      <c r="C113" s="17">
        <f t="array" ref="C113">INDEX(Data_DBD!$E:$E,$A113)</f>
        <v/>
      </c>
      <c r="D113" s="17">
        <f t="array" ref="D113">INDEX(Data_DBD!$F:$F,$A113)</f>
        <v/>
      </c>
      <c r="H113" s="18" t="n">
        <v>128</v>
      </c>
      <c r="I113" s="18" t="n">
        <v>2</v>
      </c>
      <c r="J113" s="18" t="n">
        <v>0</v>
      </c>
      <c r="K113" s="18" t="inlineStr">
        <is>
          <t>Tinggi</t>
        </is>
      </c>
    </row>
    <row r="114" s="1">
      <c r="A114" s="17">
        <f>RANDBETWEEN(2,164)</f>
        <v/>
      </c>
      <c r="B114" s="17">
        <f t="array" ref="B114">INDEX(Data_DBD!$C:$C,$A114)</f>
        <v/>
      </c>
      <c r="C114" s="17">
        <f t="array" ref="C114">INDEX(Data_DBD!$E:$E,$A114)</f>
        <v/>
      </c>
      <c r="D114" s="17">
        <f t="array" ref="D114">INDEX(Data_DBD!$F:$F,$A114)</f>
        <v/>
      </c>
      <c r="H114" s="18" t="n">
        <v>33</v>
      </c>
      <c r="I114" s="18" t="n">
        <v>4</v>
      </c>
      <c r="J114" s="18" t="n">
        <v>1</v>
      </c>
      <c r="K114" s="18" t="inlineStr">
        <is>
          <t>Sedang</t>
        </is>
      </c>
    </row>
    <row r="115" s="1">
      <c r="A115" s="17">
        <f>RANDBETWEEN(2,164)</f>
        <v/>
      </c>
      <c r="B115" s="17">
        <f t="array" ref="B115">INDEX(Data_DBD!$C:$C,$A115)</f>
        <v/>
      </c>
      <c r="C115" s="17">
        <f t="array" ref="C115">INDEX(Data_DBD!$E:$E,$A115)</f>
        <v/>
      </c>
      <c r="D115" s="17">
        <f t="array" ref="D115">INDEX(Data_DBD!$F:$F,$A115)</f>
        <v/>
      </c>
      <c r="H115" s="18" t="n">
        <v>120</v>
      </c>
      <c r="I115" s="18" t="n">
        <v>4</v>
      </c>
      <c r="J115" s="18" t="n">
        <v>1</v>
      </c>
      <c r="K115" s="18" t="inlineStr">
        <is>
          <t>Tinggi</t>
        </is>
      </c>
    </row>
    <row r="116" s="1">
      <c r="A116" s="17">
        <f>RANDBETWEEN(2,164)</f>
        <v/>
      </c>
      <c r="B116" s="17">
        <f t="array" ref="B116">INDEX(Data_DBD!$C:$C,$A116)</f>
        <v/>
      </c>
      <c r="C116" s="17">
        <f t="array" ref="C116">INDEX(Data_DBD!$E:$E,$A116)</f>
        <v/>
      </c>
      <c r="D116" s="17">
        <f t="array" ref="D116">INDEX(Data_DBD!$F:$F,$A116)</f>
        <v/>
      </c>
      <c r="H116" s="18" t="n">
        <v>13</v>
      </c>
      <c r="I116" s="18" t="n">
        <v>2</v>
      </c>
      <c r="J116" s="18" t="n">
        <v>0</v>
      </c>
      <c r="K116" s="18" t="inlineStr">
        <is>
          <t>Sedang</t>
        </is>
      </c>
    </row>
    <row r="117" s="1">
      <c r="A117" s="17">
        <f>RANDBETWEEN(2,164)</f>
        <v/>
      </c>
      <c r="B117" s="17">
        <f t="array" ref="B117">INDEX(Data_DBD!$C:$C,$A117)</f>
        <v/>
      </c>
      <c r="C117" s="17">
        <f t="array" ref="C117">INDEX(Data_DBD!$E:$E,$A117)</f>
        <v/>
      </c>
      <c r="D117" s="17">
        <f t="array" ref="D117">INDEX(Data_DBD!$F:$F,$A117)</f>
        <v/>
      </c>
      <c r="H117" s="18" t="n">
        <v>97</v>
      </c>
      <c r="I117" s="18" t="n">
        <v>2</v>
      </c>
      <c r="J117" s="18" t="n">
        <v>1</v>
      </c>
      <c r="K117" s="18" t="inlineStr">
        <is>
          <t>Tinggi</t>
        </is>
      </c>
    </row>
    <row r="118" s="1">
      <c r="A118" s="17">
        <f>RANDBETWEEN(2,164)</f>
        <v/>
      </c>
      <c r="B118" s="17">
        <f t="array" ref="B118">INDEX(Data_DBD!$C:$C,$A118)</f>
        <v/>
      </c>
      <c r="C118" s="17">
        <f t="array" ref="C118">INDEX(Data_DBD!$E:$E,$A118)</f>
        <v/>
      </c>
      <c r="D118" s="17">
        <f t="array" ref="D118">INDEX(Data_DBD!$F:$F,$A118)</f>
        <v/>
      </c>
      <c r="H118" s="18" t="n">
        <v>72</v>
      </c>
      <c r="I118" s="18" t="n">
        <v>5</v>
      </c>
      <c r="J118" s="18" t="n">
        <v>1</v>
      </c>
      <c r="K118" s="18" t="inlineStr">
        <is>
          <t>Sedang</t>
        </is>
      </c>
    </row>
    <row r="119" s="1">
      <c r="A119" s="17">
        <f>RANDBETWEEN(2,164)</f>
        <v/>
      </c>
      <c r="B119" s="17">
        <f t="array" ref="B119">INDEX(Data_DBD!$C:$C,$A119)</f>
        <v/>
      </c>
      <c r="C119" s="17">
        <f t="array" ref="C119">INDEX(Data_DBD!$E:$E,$A119)</f>
        <v/>
      </c>
      <c r="D119" s="17">
        <f t="array" ref="D119">INDEX(Data_DBD!$F:$F,$A119)</f>
        <v/>
      </c>
      <c r="H119" s="18" t="n">
        <v>135</v>
      </c>
      <c r="I119" s="18" t="n">
        <v>2</v>
      </c>
      <c r="J119" s="18" t="n">
        <v>0</v>
      </c>
      <c r="K119" s="18" t="inlineStr">
        <is>
          <t>Tinggi</t>
        </is>
      </c>
    </row>
    <row r="120" s="1">
      <c r="A120" s="17">
        <f>RANDBETWEEN(2,164)</f>
        <v/>
      </c>
      <c r="B120" s="17">
        <f t="array" ref="B120">INDEX(Data_DBD!$C:$C,$A120)</f>
        <v/>
      </c>
      <c r="C120" s="17">
        <f t="array" ref="C120">INDEX(Data_DBD!$E:$E,$A120)</f>
        <v/>
      </c>
      <c r="D120" s="17">
        <f t="array" ref="D120">INDEX(Data_DBD!$F:$F,$A120)</f>
        <v/>
      </c>
      <c r="H120" s="18" t="n">
        <v>162</v>
      </c>
      <c r="I120" s="18" t="n">
        <v>3</v>
      </c>
      <c r="J120" s="18" t="n">
        <v>1</v>
      </c>
      <c r="K120" s="18" t="inlineStr">
        <is>
          <t>Rendah</t>
        </is>
      </c>
    </row>
    <row r="121" s="1">
      <c r="A121" s="17">
        <f>RANDBETWEEN(2,164)</f>
        <v/>
      </c>
      <c r="B121" s="17">
        <f t="array" ref="B121">INDEX(Data_DBD!$C:$C,$A121)</f>
        <v/>
      </c>
      <c r="C121" s="17">
        <f t="array" ref="C121">INDEX(Data_DBD!$E:$E,$A121)</f>
        <v/>
      </c>
      <c r="D121" s="17">
        <f t="array" ref="D121">INDEX(Data_DBD!$F:$F,$A121)</f>
        <v/>
      </c>
      <c r="H121" s="18" t="n">
        <v>105</v>
      </c>
      <c r="I121" s="18" t="n">
        <v>3</v>
      </c>
      <c r="J121" s="18" t="n">
        <v>1</v>
      </c>
      <c r="K121" s="18" t="inlineStr">
        <is>
          <t>Tinggi</t>
        </is>
      </c>
    </row>
    <row r="122" s="1">
      <c r="A122" s="17">
        <f>RANDBETWEEN(2,164)</f>
        <v/>
      </c>
      <c r="B122" s="17">
        <f t="array" ref="B122">INDEX(Data_DBD!$C:$C,$A122)</f>
        <v/>
      </c>
      <c r="C122" s="17">
        <f t="array" ref="C122">INDEX(Data_DBD!$E:$E,$A122)</f>
        <v/>
      </c>
      <c r="D122" s="17">
        <f t="array" ref="D122">INDEX(Data_DBD!$F:$F,$A122)</f>
        <v/>
      </c>
      <c r="H122" s="18" t="n">
        <v>130</v>
      </c>
      <c r="I122" s="18" t="n">
        <v>4</v>
      </c>
      <c r="J122" s="18" t="n">
        <v>0</v>
      </c>
      <c r="K122" s="18" t="inlineStr">
        <is>
          <t>Tinggi</t>
        </is>
      </c>
    </row>
    <row r="123" s="1">
      <c r="A123" s="17">
        <f>RANDBETWEEN(2,164)</f>
        <v/>
      </c>
      <c r="B123" s="17">
        <f t="array" ref="B123">INDEX(Data_DBD!$C:$C,$A123)</f>
        <v/>
      </c>
      <c r="C123" s="17">
        <f t="array" ref="C123">INDEX(Data_DBD!$E:$E,$A123)</f>
        <v/>
      </c>
      <c r="D123" s="17">
        <f t="array" ref="D123">INDEX(Data_DBD!$F:$F,$A123)</f>
        <v/>
      </c>
      <c r="H123" s="18" t="n">
        <v>110</v>
      </c>
      <c r="I123" s="18" t="n">
        <v>2</v>
      </c>
      <c r="J123" s="18" t="n">
        <v>1</v>
      </c>
      <c r="K123" s="18" t="inlineStr">
        <is>
          <t>Tinggi</t>
        </is>
      </c>
    </row>
    <row r="124" s="1">
      <c r="A124" s="17">
        <f>RANDBETWEEN(2,164)</f>
        <v/>
      </c>
      <c r="B124" s="17">
        <f t="array" ref="B124">INDEX(Data_DBD!$C:$C,$A124)</f>
        <v/>
      </c>
      <c r="C124" s="17">
        <f t="array" ref="C124">INDEX(Data_DBD!$E:$E,$A124)</f>
        <v/>
      </c>
      <c r="D124" s="17">
        <f t="array" ref="D124">INDEX(Data_DBD!$F:$F,$A124)</f>
        <v/>
      </c>
      <c r="H124" s="18" t="n">
        <v>80</v>
      </c>
      <c r="I124" s="18" t="n">
        <v>3</v>
      </c>
      <c r="J124" s="18" t="n">
        <v>1</v>
      </c>
      <c r="K124" s="18" t="inlineStr">
        <is>
          <t>Sedang</t>
        </is>
      </c>
    </row>
    <row r="125" s="1">
      <c r="A125" s="17">
        <f>RANDBETWEEN(2,164)</f>
        <v/>
      </c>
      <c r="B125" s="17">
        <f t="array" ref="B125">INDEX(Data_DBD!$C:$C,$A125)</f>
        <v/>
      </c>
      <c r="C125" s="17">
        <f t="array" ref="C125">INDEX(Data_DBD!$E:$E,$A125)</f>
        <v/>
      </c>
      <c r="D125" s="17">
        <f t="array" ref="D125">INDEX(Data_DBD!$F:$F,$A125)</f>
        <v/>
      </c>
      <c r="H125" s="18" t="n">
        <v>9</v>
      </c>
      <c r="I125" s="18" t="n">
        <v>6</v>
      </c>
      <c r="J125" s="18" t="n">
        <v>1</v>
      </c>
      <c r="K125" s="18" t="inlineStr">
        <is>
          <t>Sedang</t>
        </is>
      </c>
    </row>
    <row r="126" s="1">
      <c r="A126" s="17">
        <f>RANDBETWEEN(2,164)</f>
        <v/>
      </c>
      <c r="B126" s="17">
        <f t="array" ref="B126">INDEX(Data_DBD!$C:$C,$A126)</f>
        <v/>
      </c>
      <c r="C126" s="17">
        <f t="array" ref="C126">INDEX(Data_DBD!$E:$E,$A126)</f>
        <v/>
      </c>
      <c r="D126" s="17">
        <f t="array" ref="D126">INDEX(Data_DBD!$F:$F,$A126)</f>
        <v/>
      </c>
      <c r="H126" s="18" t="n">
        <v>2</v>
      </c>
      <c r="I126" s="18" t="n">
        <v>3</v>
      </c>
      <c r="J126" s="18" t="n">
        <v>0</v>
      </c>
      <c r="K126" s="18" t="inlineStr">
        <is>
          <t>Sedang</t>
        </is>
      </c>
    </row>
    <row r="127" s="1">
      <c r="A127" s="17">
        <f>RANDBETWEEN(2,164)</f>
        <v/>
      </c>
      <c r="B127" s="17">
        <f t="array" ref="B127">INDEX(Data_DBD!$C:$C,$A127)</f>
        <v/>
      </c>
      <c r="C127" s="17">
        <f t="array" ref="C127">INDEX(Data_DBD!$E:$E,$A127)</f>
        <v/>
      </c>
      <c r="D127" s="17">
        <f t="array" ref="D127">INDEX(Data_DBD!$F:$F,$A127)</f>
        <v/>
      </c>
      <c r="H127" s="18" t="n">
        <v>107</v>
      </c>
      <c r="I127" s="18" t="n">
        <v>5</v>
      </c>
      <c r="J127" s="18" t="n">
        <v>0</v>
      </c>
      <c r="K127" s="18" t="inlineStr">
        <is>
          <t>Tinggi</t>
        </is>
      </c>
    </row>
    <row r="128" s="1">
      <c r="A128" s="17">
        <f>RANDBETWEEN(2,164)</f>
        <v/>
      </c>
      <c r="B128" s="17">
        <f t="array" ref="B128">INDEX(Data_DBD!$C:$C,$A128)</f>
        <v/>
      </c>
      <c r="C128" s="17">
        <f t="array" ref="C128">INDEX(Data_DBD!$E:$E,$A128)</f>
        <v/>
      </c>
      <c r="D128" s="17">
        <f t="array" ref="D128">INDEX(Data_DBD!$F:$F,$A128)</f>
        <v/>
      </c>
      <c r="H128" s="18" t="n">
        <v>68</v>
      </c>
      <c r="I128" s="18" t="n">
        <v>5</v>
      </c>
      <c r="J128" s="18" t="n">
        <v>0</v>
      </c>
      <c r="K128" s="18" t="inlineStr">
        <is>
          <t>Sedang</t>
        </is>
      </c>
    </row>
    <row r="129" s="1">
      <c r="A129" s="17">
        <f>RANDBETWEEN(2,164)</f>
        <v/>
      </c>
      <c r="B129" s="17">
        <f t="array" ref="B129">INDEX(Data_DBD!$C:$C,$A129)</f>
        <v/>
      </c>
      <c r="C129" s="17">
        <f t="array" ref="C129">INDEX(Data_DBD!$E:$E,$A129)</f>
        <v/>
      </c>
      <c r="D129" s="17">
        <f t="array" ref="D129">INDEX(Data_DBD!$F:$F,$A129)</f>
        <v/>
      </c>
      <c r="H129" s="18" t="n">
        <v>144</v>
      </c>
      <c r="I129" s="18" t="n">
        <v>4</v>
      </c>
      <c r="J129" s="18" t="n">
        <v>1</v>
      </c>
      <c r="K129" s="18" t="inlineStr">
        <is>
          <t>Tinggi</t>
        </is>
      </c>
    </row>
    <row r="130" s="1">
      <c r="A130" s="17">
        <f>RANDBETWEEN(2,164)</f>
        <v/>
      </c>
      <c r="B130" s="17">
        <f t="array" ref="B130">INDEX(Data_DBD!$C:$C,$A130)</f>
        <v/>
      </c>
      <c r="C130" s="17">
        <f t="array" ref="C130">INDEX(Data_DBD!$E:$E,$A130)</f>
        <v/>
      </c>
      <c r="D130" s="17">
        <f t="array" ref="D130">INDEX(Data_DBD!$F:$F,$A130)</f>
        <v/>
      </c>
      <c r="H130" s="18" t="n">
        <v>100</v>
      </c>
      <c r="I130" s="18" t="n">
        <v>6</v>
      </c>
      <c r="J130" s="18" t="n">
        <v>0</v>
      </c>
      <c r="K130" s="18" t="inlineStr">
        <is>
          <t>Tinggi</t>
        </is>
      </c>
    </row>
    <row r="131" s="1">
      <c r="A131" s="17">
        <f>RANDBETWEEN(2,164)</f>
        <v/>
      </c>
      <c r="B131" s="17">
        <f t="array" ref="B131">INDEX(Data_DBD!$C:$C,$A131)</f>
        <v/>
      </c>
      <c r="C131" s="17">
        <f t="array" ref="C131">INDEX(Data_DBD!$E:$E,$A131)</f>
        <v/>
      </c>
      <c r="D131" s="17">
        <f t="array" ref="D131">INDEX(Data_DBD!$F:$F,$A131)</f>
        <v/>
      </c>
      <c r="H131" s="18" t="n">
        <v>91</v>
      </c>
      <c r="I131" s="18" t="n">
        <v>1</v>
      </c>
      <c r="J131" s="18" t="n">
        <v>1</v>
      </c>
      <c r="K131" s="18" t="inlineStr">
        <is>
          <t>Tinggi</t>
        </is>
      </c>
    </row>
    <row r="132" s="1">
      <c r="A132" s="17">
        <f>RANDBETWEEN(2,164)</f>
        <v/>
      </c>
      <c r="B132" s="17">
        <f t="array" ref="B132">INDEX(Data_DBD!$C:$C,$A132)</f>
        <v/>
      </c>
      <c r="C132" s="17">
        <f t="array" ref="C132">INDEX(Data_DBD!$E:$E,$A132)</f>
        <v/>
      </c>
      <c r="D132" s="17">
        <f t="array" ref="D132">INDEX(Data_DBD!$F:$F,$A132)</f>
        <v/>
      </c>
      <c r="H132" s="18" t="n">
        <v>55</v>
      </c>
      <c r="I132" s="18" t="n">
        <v>4</v>
      </c>
      <c r="J132" s="18" t="n">
        <v>1</v>
      </c>
      <c r="K132" s="18" t="inlineStr">
        <is>
          <t>Sedang</t>
        </is>
      </c>
    </row>
    <row r="133" s="1">
      <c r="A133" s="17">
        <f>RANDBETWEEN(2,164)</f>
        <v/>
      </c>
      <c r="B133" s="17">
        <f t="array" ref="B133">INDEX(Data_DBD!$C:$C,$A133)</f>
        <v/>
      </c>
      <c r="C133" s="17">
        <f t="array" ref="C133">INDEX(Data_DBD!$E:$E,$A133)</f>
        <v/>
      </c>
      <c r="D133" s="17">
        <f t="array" ref="D133">INDEX(Data_DBD!$F:$F,$A133)</f>
        <v/>
      </c>
      <c r="H133" s="18" t="n">
        <v>117</v>
      </c>
      <c r="I133" s="18" t="n">
        <v>4</v>
      </c>
      <c r="J133" s="18" t="n">
        <v>1</v>
      </c>
      <c r="K133" s="18" t="inlineStr">
        <is>
          <t>Tinggi</t>
        </is>
      </c>
    </row>
    <row r="134" s="1">
      <c r="A134" s="17">
        <f>RANDBETWEEN(2,164)</f>
        <v/>
      </c>
      <c r="B134" s="17">
        <f t="array" ref="B134">INDEX(Data_DBD!$C:$C,$A134)</f>
        <v/>
      </c>
      <c r="C134" s="17">
        <f t="array" ref="C134">INDEX(Data_DBD!$E:$E,$A134)</f>
        <v/>
      </c>
      <c r="D134" s="17">
        <f t="array" ref="D134">INDEX(Data_DBD!$F:$F,$A134)</f>
        <v/>
      </c>
      <c r="H134" s="18" t="n">
        <v>10</v>
      </c>
      <c r="I134" s="18" t="n">
        <v>5</v>
      </c>
      <c r="J134" s="18" t="n">
        <v>0</v>
      </c>
      <c r="K134" s="18" t="inlineStr">
        <is>
          <t>Sedang</t>
        </is>
      </c>
    </row>
    <row r="135" s="1">
      <c r="A135" s="17">
        <f>RANDBETWEEN(2,164)</f>
        <v/>
      </c>
      <c r="B135" s="17">
        <f t="array" ref="B135">INDEX(Data_DBD!$C:$C,$A135)</f>
        <v/>
      </c>
      <c r="C135" s="17">
        <f t="array" ref="C135">INDEX(Data_DBD!$E:$E,$A135)</f>
        <v/>
      </c>
      <c r="D135" s="17">
        <f t="array" ref="D135">INDEX(Data_DBD!$F:$F,$A135)</f>
        <v/>
      </c>
      <c r="H135" s="18" t="n">
        <v>35</v>
      </c>
      <c r="I135" s="18" t="n">
        <v>3</v>
      </c>
      <c r="J135" s="18" t="n">
        <v>1</v>
      </c>
      <c r="K135" s="18" t="inlineStr">
        <is>
          <t>Rendah</t>
        </is>
      </c>
    </row>
    <row r="136" s="1">
      <c r="A136" s="17">
        <f>RANDBETWEEN(2,164)</f>
        <v/>
      </c>
      <c r="B136" s="17">
        <f t="array" ref="B136">INDEX(Data_DBD!$C:$C,$A136)</f>
        <v/>
      </c>
      <c r="C136" s="17">
        <f t="array" ref="C136">INDEX(Data_DBD!$E:$E,$A136)</f>
        <v/>
      </c>
      <c r="D136" s="17">
        <f t="array" ref="D136">INDEX(Data_DBD!$F:$F,$A136)</f>
        <v/>
      </c>
      <c r="H136" s="18" t="n">
        <v>36</v>
      </c>
      <c r="I136" s="18" t="n">
        <v>1</v>
      </c>
      <c r="J136" s="18" t="n">
        <v>1</v>
      </c>
      <c r="K136" s="18" t="inlineStr">
        <is>
          <t>Rendah</t>
        </is>
      </c>
    </row>
    <row r="137" s="1">
      <c r="A137" s="17">
        <f>RANDBETWEEN(2,164)</f>
        <v/>
      </c>
      <c r="B137" s="17">
        <f t="array" ref="B137">INDEX(Data_DBD!$C:$C,$A137)</f>
        <v/>
      </c>
      <c r="C137" s="17">
        <f t="array" ref="C137">INDEX(Data_DBD!$E:$E,$A137)</f>
        <v/>
      </c>
      <c r="D137" s="17">
        <f t="array" ref="D137">INDEX(Data_DBD!$F:$F,$A137)</f>
        <v/>
      </c>
      <c r="H137" s="18" t="n">
        <v>102</v>
      </c>
      <c r="I137" s="18" t="n">
        <v>4</v>
      </c>
      <c r="J137" s="18" t="n">
        <v>0</v>
      </c>
      <c r="K137" s="18" t="inlineStr">
        <is>
          <t>Tinggi</t>
        </is>
      </c>
    </row>
    <row r="138" s="1">
      <c r="A138" s="17">
        <f>RANDBETWEEN(2,164)</f>
        <v/>
      </c>
      <c r="B138" s="17">
        <f t="array" ref="B138">INDEX(Data_DBD!$C:$C,$A138)</f>
        <v/>
      </c>
      <c r="C138" s="17">
        <f t="array" ref="C138">INDEX(Data_DBD!$E:$E,$A138)</f>
        <v/>
      </c>
      <c r="D138" s="17">
        <f t="array" ref="D138">INDEX(Data_DBD!$F:$F,$A138)</f>
        <v/>
      </c>
      <c r="H138" s="18" t="n">
        <v>72</v>
      </c>
      <c r="I138" s="18" t="n">
        <v>5</v>
      </c>
      <c r="J138" s="18" t="n">
        <v>1</v>
      </c>
      <c r="K138" s="18" t="inlineStr">
        <is>
          <t>Sedang</t>
        </is>
      </c>
    </row>
    <row r="139" s="1">
      <c r="A139" s="17">
        <f>RANDBETWEEN(2,164)</f>
        <v/>
      </c>
      <c r="B139" s="17">
        <f t="array" ref="B139">INDEX(Data_DBD!$C:$C,$A139)</f>
        <v/>
      </c>
      <c r="C139" s="17">
        <f t="array" ref="C139">INDEX(Data_DBD!$E:$E,$A139)</f>
        <v/>
      </c>
      <c r="D139" s="17">
        <f t="array" ref="D139">INDEX(Data_DBD!$F:$F,$A139)</f>
        <v/>
      </c>
      <c r="H139" s="18" t="n">
        <v>125</v>
      </c>
      <c r="I139" s="18" t="n">
        <v>4</v>
      </c>
      <c r="J139" s="18" t="n">
        <v>0</v>
      </c>
      <c r="K139" s="18" t="inlineStr">
        <is>
          <t>Tinggi</t>
        </is>
      </c>
    </row>
    <row r="140" s="1">
      <c r="A140" s="17">
        <f>RANDBETWEEN(2,164)</f>
        <v/>
      </c>
      <c r="B140" s="17">
        <f t="array" ref="B140">INDEX(Data_DBD!$C:$C,$A140)</f>
        <v/>
      </c>
      <c r="C140" s="17">
        <f t="array" ref="C140">INDEX(Data_DBD!$E:$E,$A140)</f>
        <v/>
      </c>
      <c r="D140" s="17">
        <f t="array" ref="D140">INDEX(Data_DBD!$F:$F,$A140)</f>
        <v/>
      </c>
      <c r="H140" s="18" t="n">
        <v>13</v>
      </c>
      <c r="I140" s="18" t="n">
        <v>2</v>
      </c>
      <c r="J140" s="18" t="n">
        <v>0</v>
      </c>
      <c r="K140" s="18" t="inlineStr">
        <is>
          <t>Sedang</t>
        </is>
      </c>
    </row>
    <row r="141" s="1">
      <c r="A141" s="17">
        <f>RANDBETWEEN(2,164)</f>
        <v/>
      </c>
      <c r="B141" s="17">
        <f t="array" ref="B141">INDEX(Data_DBD!$C:$C,$A141)</f>
        <v/>
      </c>
      <c r="C141" s="17">
        <f t="array" ref="C141">INDEX(Data_DBD!$E:$E,$A141)</f>
        <v/>
      </c>
      <c r="D141" s="17">
        <f t="array" ref="D141">INDEX(Data_DBD!$F:$F,$A141)</f>
        <v/>
      </c>
      <c r="H141" s="18" t="n">
        <v>2</v>
      </c>
      <c r="I141" s="18" t="n">
        <v>3</v>
      </c>
      <c r="J141" s="18" t="n">
        <v>0</v>
      </c>
      <c r="K141" s="18" t="inlineStr">
        <is>
          <t>Sedang</t>
        </is>
      </c>
    </row>
    <row r="142" s="1">
      <c r="A142" s="17">
        <f>RANDBETWEEN(2,164)</f>
        <v/>
      </c>
      <c r="B142" s="17">
        <f t="array" ref="B142">INDEX(Data_DBD!$C:$C,$A142)</f>
        <v/>
      </c>
      <c r="C142" s="17">
        <f t="array" ref="C142">INDEX(Data_DBD!$E:$E,$A142)</f>
        <v/>
      </c>
      <c r="D142" s="17">
        <f t="array" ref="D142">INDEX(Data_DBD!$F:$F,$A142)</f>
        <v/>
      </c>
      <c r="H142" s="18" t="n">
        <v>142</v>
      </c>
      <c r="I142" s="18" t="n">
        <v>2</v>
      </c>
      <c r="J142" s="18" t="n">
        <v>1</v>
      </c>
      <c r="K142" s="18" t="inlineStr">
        <is>
          <t>Tinggi</t>
        </is>
      </c>
    </row>
    <row r="143" s="1">
      <c r="A143" s="17">
        <f>RANDBETWEEN(2,164)</f>
        <v/>
      </c>
      <c r="B143" s="17">
        <f t="array" ref="B143">INDEX(Data_DBD!$C:$C,$A143)</f>
        <v/>
      </c>
      <c r="C143" s="17">
        <f t="array" ref="C143">INDEX(Data_DBD!$E:$E,$A143)</f>
        <v/>
      </c>
      <c r="D143" s="17">
        <f t="array" ref="D143">INDEX(Data_DBD!$F:$F,$A143)</f>
        <v/>
      </c>
      <c r="H143" s="18" t="n">
        <v>11</v>
      </c>
      <c r="I143" s="18" t="n">
        <v>5</v>
      </c>
      <c r="J143" s="18" t="n">
        <v>1</v>
      </c>
      <c r="K143" s="18" t="inlineStr">
        <is>
          <t>Sedang</t>
        </is>
      </c>
    </row>
    <row r="144" s="1">
      <c r="A144" s="17">
        <f>RANDBETWEEN(2,164)</f>
        <v/>
      </c>
      <c r="B144" s="17">
        <f t="array" ref="B144">INDEX(Data_DBD!$C:$C,$A144)</f>
        <v/>
      </c>
      <c r="C144" s="17">
        <f t="array" ref="C144">INDEX(Data_DBD!$E:$E,$A144)</f>
        <v/>
      </c>
      <c r="D144" s="17">
        <f t="array" ref="D144">INDEX(Data_DBD!$F:$F,$A144)</f>
        <v/>
      </c>
      <c r="H144" s="18" t="n">
        <v>19</v>
      </c>
      <c r="I144" s="18" t="n">
        <v>4</v>
      </c>
      <c r="J144" s="18" t="n">
        <v>0</v>
      </c>
      <c r="K144" s="18" t="inlineStr">
        <is>
          <t>Rendah</t>
        </is>
      </c>
    </row>
    <row r="145" s="1">
      <c r="A145" s="17">
        <f>RANDBETWEEN(2,164)</f>
        <v/>
      </c>
      <c r="B145" s="17">
        <f t="array" ref="B145">INDEX(Data_DBD!$C:$C,$A145)</f>
        <v/>
      </c>
      <c r="C145" s="17">
        <f t="array" ref="C145">INDEX(Data_DBD!$E:$E,$A145)</f>
        <v/>
      </c>
      <c r="D145" s="17">
        <f t="array" ref="D145">INDEX(Data_DBD!$F:$F,$A145)</f>
        <v/>
      </c>
      <c r="H145" s="18" t="n">
        <v>87</v>
      </c>
      <c r="I145" s="18" t="n">
        <v>3</v>
      </c>
      <c r="J145" s="18" t="n">
        <v>0</v>
      </c>
      <c r="K145" s="18" t="inlineStr">
        <is>
          <t>Sedang</t>
        </is>
      </c>
    </row>
    <row r="146" s="1">
      <c r="A146" s="17">
        <f>RANDBETWEEN(2,164)</f>
        <v/>
      </c>
      <c r="B146" s="17">
        <f t="array" ref="B146">INDEX(Data_DBD!$C:$C,$A146)</f>
        <v/>
      </c>
      <c r="C146" s="17">
        <f t="array" ref="C146">INDEX(Data_DBD!$E:$E,$A146)</f>
        <v/>
      </c>
      <c r="D146" s="17">
        <f t="array" ref="D146">INDEX(Data_DBD!$F:$F,$A146)</f>
        <v/>
      </c>
      <c r="H146" s="18" t="n">
        <v>3</v>
      </c>
      <c r="I146" s="18" t="n">
        <v>3</v>
      </c>
      <c r="J146" s="18" t="n">
        <v>1</v>
      </c>
      <c r="K146" s="18" t="inlineStr">
        <is>
          <t>Sedang</t>
        </is>
      </c>
    </row>
    <row r="147" s="1">
      <c r="A147" s="17">
        <f>RANDBETWEEN(2,164)</f>
        <v/>
      </c>
      <c r="B147" s="17">
        <f t="array" ref="B147">INDEX(Data_DBD!$C:$C,$A147)</f>
        <v/>
      </c>
      <c r="C147" s="17">
        <f t="array" ref="C147">INDEX(Data_DBD!$E:$E,$A147)</f>
        <v/>
      </c>
      <c r="D147" s="17">
        <f t="array" ref="D147">INDEX(Data_DBD!$F:$F,$A147)</f>
        <v/>
      </c>
      <c r="H147" s="18" t="n">
        <v>6</v>
      </c>
      <c r="I147" s="18" t="n">
        <v>4</v>
      </c>
      <c r="J147" s="18" t="n">
        <v>0</v>
      </c>
      <c r="K147" s="18" t="inlineStr">
        <is>
          <t>Sedang</t>
        </is>
      </c>
    </row>
    <row r="148" s="1">
      <c r="A148" s="17">
        <f>RANDBETWEEN(2,164)</f>
        <v/>
      </c>
      <c r="B148" s="17">
        <f t="array" ref="B148">INDEX(Data_DBD!$C:$C,$A148)</f>
        <v/>
      </c>
      <c r="C148" s="17">
        <f t="array" ref="C148">INDEX(Data_DBD!$E:$E,$A148)</f>
        <v/>
      </c>
      <c r="D148" s="17">
        <f t="array" ref="D148">INDEX(Data_DBD!$F:$F,$A148)</f>
        <v/>
      </c>
      <c r="H148" s="18" t="n">
        <v>99</v>
      </c>
      <c r="I148" s="18" t="n">
        <v>2</v>
      </c>
      <c r="J148" s="18" t="n">
        <v>1</v>
      </c>
      <c r="K148" s="18" t="inlineStr">
        <is>
          <t>Tinggi</t>
        </is>
      </c>
    </row>
    <row r="149" s="1">
      <c r="A149" s="17">
        <f>RANDBETWEEN(2,164)</f>
        <v/>
      </c>
      <c r="B149" s="17">
        <f t="array" ref="B149">INDEX(Data_DBD!$C:$C,$A149)</f>
        <v/>
      </c>
      <c r="C149" s="17">
        <f t="array" ref="C149">INDEX(Data_DBD!$E:$E,$A149)</f>
        <v/>
      </c>
      <c r="D149" s="17">
        <f t="array" ref="D149">INDEX(Data_DBD!$F:$F,$A149)</f>
        <v/>
      </c>
      <c r="H149" s="18" t="n">
        <v>121</v>
      </c>
      <c r="I149" s="18" t="n">
        <v>5</v>
      </c>
      <c r="J149" s="18" t="n">
        <v>1</v>
      </c>
      <c r="K149" s="18" t="inlineStr">
        <is>
          <t>Tinggi</t>
        </is>
      </c>
    </row>
    <row r="150" s="1">
      <c r="A150" s="17">
        <f>RANDBETWEEN(2,164)</f>
        <v/>
      </c>
      <c r="B150" s="17">
        <f t="array" ref="B150">INDEX(Data_DBD!$C:$C,$A150)</f>
        <v/>
      </c>
      <c r="C150" s="17">
        <f t="array" ref="C150">INDEX(Data_DBD!$E:$E,$A150)</f>
        <v/>
      </c>
      <c r="D150" s="17">
        <f t="array" ref="D150">INDEX(Data_DBD!$F:$F,$A150)</f>
        <v/>
      </c>
      <c r="H150" s="18" t="n">
        <v>11</v>
      </c>
      <c r="I150" s="18" t="n">
        <v>5</v>
      </c>
      <c r="J150" s="18" t="n">
        <v>1</v>
      </c>
      <c r="K150" s="18" t="inlineStr">
        <is>
          <t>Sedang</t>
        </is>
      </c>
    </row>
    <row r="151" s="1">
      <c r="A151" s="17">
        <f>RANDBETWEEN(2,164)</f>
        <v/>
      </c>
      <c r="B151" s="17">
        <f t="array" ref="B151">INDEX(Data_DBD!$C:$C,$A151)</f>
        <v/>
      </c>
      <c r="C151" s="17">
        <f t="array" ref="C151">INDEX(Data_DBD!$E:$E,$A151)</f>
        <v/>
      </c>
      <c r="D151" s="17">
        <f t="array" ref="D151">INDEX(Data_DBD!$F:$F,$A151)</f>
        <v/>
      </c>
      <c r="H151" s="18" t="n">
        <v>150</v>
      </c>
      <c r="I151" s="18" t="n">
        <v>5</v>
      </c>
      <c r="J151" s="18" t="n">
        <v>1</v>
      </c>
      <c r="K151" s="18" t="inlineStr">
        <is>
          <t>Tinggi</t>
        </is>
      </c>
    </row>
    <row r="152" s="1">
      <c r="A152" s="17">
        <f>RANDBETWEEN(2,164)</f>
        <v/>
      </c>
      <c r="B152" s="17">
        <f t="array" ref="B152">INDEX(Data_DBD!$C:$C,$A152)</f>
        <v/>
      </c>
      <c r="C152" s="17">
        <f t="array" ref="C152">INDEX(Data_DBD!$E:$E,$A152)</f>
        <v/>
      </c>
      <c r="D152" s="17">
        <f t="array" ref="D152">INDEX(Data_DBD!$F:$F,$A152)</f>
        <v/>
      </c>
      <c r="H152" s="18" t="n">
        <v>7</v>
      </c>
      <c r="I152" s="18" t="n">
        <v>1</v>
      </c>
      <c r="J152" s="18" t="n">
        <v>1</v>
      </c>
      <c r="K152" s="18" t="inlineStr">
        <is>
          <t>Sedang</t>
        </is>
      </c>
    </row>
    <row r="153" s="1">
      <c r="A153" s="17">
        <f>RANDBETWEEN(2,164)</f>
        <v/>
      </c>
      <c r="B153" s="17">
        <f t="array" ref="B153">INDEX(Data_DBD!$C:$C,$A153)</f>
        <v/>
      </c>
      <c r="C153" s="17">
        <f t="array" ref="C153">INDEX(Data_DBD!$E:$E,$A153)</f>
        <v/>
      </c>
      <c r="D153" s="17">
        <f t="array" ref="D153">INDEX(Data_DBD!$F:$F,$A153)</f>
        <v/>
      </c>
      <c r="H153" s="18" t="n">
        <v>164</v>
      </c>
      <c r="I153" s="18" t="n">
        <v>6</v>
      </c>
      <c r="J153" s="18" t="n">
        <v>0</v>
      </c>
      <c r="K153" s="18" t="inlineStr">
        <is>
          <t>Rendah</t>
        </is>
      </c>
    </row>
    <row r="154" s="1">
      <c r="A154" s="17">
        <f>RANDBETWEEN(2,164)</f>
        <v/>
      </c>
      <c r="B154" s="17">
        <f t="array" ref="B154">INDEX(Data_DBD!$C:$C,$A154)</f>
        <v/>
      </c>
      <c r="C154" s="17">
        <f t="array" ref="C154">INDEX(Data_DBD!$E:$E,$A154)</f>
        <v/>
      </c>
      <c r="D154" s="17">
        <f t="array" ref="D154">INDEX(Data_DBD!$F:$F,$A154)</f>
        <v/>
      </c>
      <c r="H154" s="18" t="n">
        <v>129</v>
      </c>
      <c r="I154" s="18" t="n">
        <v>3</v>
      </c>
      <c r="J154" s="18" t="n">
        <v>0</v>
      </c>
      <c r="K154" s="18" t="inlineStr">
        <is>
          <t>Tinggi</t>
        </is>
      </c>
    </row>
    <row r="155" s="1">
      <c r="A155" s="17">
        <f>RANDBETWEEN(2,164)</f>
        <v/>
      </c>
      <c r="B155" s="17">
        <f t="array" ref="B155">INDEX(Data_DBD!$C:$C,$A155)</f>
        <v/>
      </c>
      <c r="C155" s="17">
        <f t="array" ref="C155">INDEX(Data_DBD!$E:$E,$A155)</f>
        <v/>
      </c>
      <c r="D155" s="17">
        <f t="array" ref="D155">INDEX(Data_DBD!$F:$F,$A155)</f>
        <v/>
      </c>
      <c r="H155" s="18" t="n">
        <v>132</v>
      </c>
      <c r="I155" s="18" t="n">
        <v>3</v>
      </c>
      <c r="J155" s="18" t="n">
        <v>1</v>
      </c>
      <c r="K155" s="18" t="inlineStr">
        <is>
          <t>Tinggi</t>
        </is>
      </c>
    </row>
    <row r="156" s="1">
      <c r="A156" s="17">
        <f>RANDBETWEEN(2,164)</f>
        <v/>
      </c>
      <c r="B156" s="17">
        <f t="array" ref="B156">INDEX(Data_DBD!$C:$C,$A156)</f>
        <v/>
      </c>
      <c r="C156" s="17">
        <f t="array" ref="C156">INDEX(Data_DBD!$E:$E,$A156)</f>
        <v/>
      </c>
      <c r="D156" s="17">
        <f t="array" ref="D156">INDEX(Data_DBD!$F:$F,$A156)</f>
        <v/>
      </c>
      <c r="H156" s="18" t="n">
        <v>147</v>
      </c>
      <c r="I156" s="18" t="n">
        <v>10</v>
      </c>
      <c r="J156" s="18" t="n">
        <v>1</v>
      </c>
      <c r="K156" s="18" t="inlineStr">
        <is>
          <t>Tinggi</t>
        </is>
      </c>
    </row>
    <row r="157" s="1">
      <c r="A157" s="17">
        <f>RANDBETWEEN(2,164)</f>
        <v/>
      </c>
      <c r="B157" s="17">
        <f t="array" ref="B157">INDEX(Data_DBD!$C:$C,$A157)</f>
        <v/>
      </c>
      <c r="C157" s="17">
        <f t="array" ref="C157">INDEX(Data_DBD!$E:$E,$A157)</f>
        <v/>
      </c>
      <c r="D157" s="17">
        <f t="array" ref="D157">INDEX(Data_DBD!$F:$F,$A157)</f>
        <v/>
      </c>
      <c r="H157" s="18" t="n">
        <v>36</v>
      </c>
      <c r="I157" s="18" t="n">
        <v>1</v>
      </c>
      <c r="J157" s="18" t="n">
        <v>1</v>
      </c>
      <c r="K157" s="18" t="inlineStr">
        <is>
          <t>Rendah</t>
        </is>
      </c>
    </row>
    <row r="158" s="1">
      <c r="A158" s="17">
        <f>RANDBETWEEN(2,164)</f>
        <v/>
      </c>
      <c r="B158" s="17">
        <f t="array" ref="B158">INDEX(Data_DBD!$C:$C,$A158)</f>
        <v/>
      </c>
      <c r="C158" s="17">
        <f t="array" ref="C158">INDEX(Data_DBD!$E:$E,$A158)</f>
        <v/>
      </c>
      <c r="D158" s="17">
        <f t="array" ref="D158">INDEX(Data_DBD!$F:$F,$A158)</f>
        <v/>
      </c>
      <c r="H158" s="18" t="n">
        <v>150</v>
      </c>
      <c r="I158" s="18" t="n">
        <v>5</v>
      </c>
      <c r="J158" s="18" t="n">
        <v>1</v>
      </c>
      <c r="K158" s="18" t="inlineStr">
        <is>
          <t>Tinggi</t>
        </is>
      </c>
    </row>
    <row r="159" s="1">
      <c r="A159" s="17">
        <f>RANDBETWEEN(2,164)</f>
        <v/>
      </c>
      <c r="B159" s="17">
        <f t="array" ref="B159">INDEX(Data_DBD!$C:$C,$A159)</f>
        <v/>
      </c>
      <c r="C159" s="17">
        <f t="array" ref="C159">INDEX(Data_DBD!$E:$E,$A159)</f>
        <v/>
      </c>
      <c r="D159" s="17">
        <f t="array" ref="D159">INDEX(Data_DBD!$F:$F,$A159)</f>
        <v/>
      </c>
      <c r="H159" s="18" t="n">
        <v>80</v>
      </c>
      <c r="I159" s="18" t="n">
        <v>3</v>
      </c>
      <c r="J159" s="18" t="n">
        <v>1</v>
      </c>
      <c r="K159" s="18" t="inlineStr">
        <is>
          <t>Sedang</t>
        </is>
      </c>
    </row>
    <row r="160" s="1">
      <c r="A160" s="17">
        <f>RANDBETWEEN(2,164)</f>
        <v/>
      </c>
      <c r="B160" s="17">
        <f t="array" ref="B160">INDEX(Data_DBD!$C:$C,$A160)</f>
        <v/>
      </c>
      <c r="C160" s="17">
        <f t="array" ref="C160">INDEX(Data_DBD!$E:$E,$A160)</f>
        <v/>
      </c>
      <c r="D160" s="17">
        <f t="array" ref="D160">INDEX(Data_DBD!$F:$F,$A160)</f>
        <v/>
      </c>
      <c r="H160" s="18" t="n">
        <v>117</v>
      </c>
      <c r="I160" s="18" t="n">
        <v>4</v>
      </c>
      <c r="J160" s="18" t="n">
        <v>1</v>
      </c>
      <c r="K160" s="18" t="inlineStr">
        <is>
          <t>Tinggi</t>
        </is>
      </c>
    </row>
    <row r="161" s="1">
      <c r="A161" s="17">
        <f>RANDBETWEEN(2,164)</f>
        <v/>
      </c>
      <c r="B161" s="17">
        <f t="array" ref="B161">INDEX(Data_DBD!$C:$C,$A161)</f>
        <v/>
      </c>
      <c r="C161" s="17">
        <f t="array" ref="C161">INDEX(Data_DBD!$E:$E,$A161)</f>
        <v/>
      </c>
      <c r="D161" s="17">
        <f t="array" ref="D161">INDEX(Data_DBD!$F:$F,$A161)</f>
        <v/>
      </c>
      <c r="H161" s="18" t="n">
        <v>77</v>
      </c>
      <c r="I161" s="18" t="n">
        <v>4</v>
      </c>
      <c r="J161" s="18" t="n">
        <v>1</v>
      </c>
      <c r="K161" s="18" t="inlineStr">
        <is>
          <t>Sedang</t>
        </is>
      </c>
    </row>
    <row r="162" s="1">
      <c r="A162" s="17">
        <f>RANDBETWEEN(2,164)</f>
        <v/>
      </c>
      <c r="B162" s="17">
        <f t="array" ref="B162">INDEX(Data_DBD!$C:$C,$A162)</f>
        <v/>
      </c>
      <c r="C162" s="17">
        <f t="array" ref="C162">INDEX(Data_DBD!$E:$E,$A162)</f>
        <v/>
      </c>
      <c r="D162" s="17">
        <f t="array" ref="D162">INDEX(Data_DBD!$F:$F,$A162)</f>
        <v/>
      </c>
      <c r="H162" s="18" t="n">
        <v>33</v>
      </c>
      <c r="I162" s="18" t="n">
        <v>4</v>
      </c>
      <c r="J162" s="18" t="n">
        <v>1</v>
      </c>
      <c r="K162" s="18" t="inlineStr">
        <is>
          <t>Sedang</t>
        </is>
      </c>
    </row>
    <row r="163" s="1">
      <c r="A163" s="17">
        <f>RANDBETWEEN(2,164)</f>
        <v/>
      </c>
      <c r="B163" s="17">
        <f t="array" ref="B163">INDEX(Data_DBD!$C:$C,$A163)</f>
        <v/>
      </c>
      <c r="C163" s="17">
        <f t="array" ref="C163">INDEX(Data_DBD!$E:$E,$A163)</f>
        <v/>
      </c>
      <c r="D163" s="17">
        <f t="array" ref="D163">INDEX(Data_DBD!$F:$F,$A163)</f>
        <v/>
      </c>
      <c r="H163" s="18" t="n">
        <v>20</v>
      </c>
      <c r="I163" s="18" t="n">
        <v>5</v>
      </c>
      <c r="J163" s="18" t="n">
        <v>0</v>
      </c>
      <c r="K163" s="18" t="inlineStr">
        <is>
          <t>Rendah</t>
        </is>
      </c>
    </row>
    <row r="164" s="1">
      <c r="A164" s="17">
        <f>RANDBETWEEN(2,164)</f>
        <v/>
      </c>
      <c r="B164" s="17">
        <f t="array" ref="B164">INDEX(Data_DBD!$C:$C,$A164)</f>
        <v/>
      </c>
      <c r="C164" s="17">
        <f t="array" ref="C164">INDEX(Data_DBD!$E:$E,$A164)</f>
        <v/>
      </c>
      <c r="D164" s="17">
        <f t="array" ref="D164">INDEX(Data_DBD!$F:$F,$A164)</f>
        <v/>
      </c>
      <c r="H164" s="18" t="n">
        <v>83</v>
      </c>
      <c r="I164" s="18" t="n">
        <v>3</v>
      </c>
      <c r="J164" s="18" t="n">
        <v>0</v>
      </c>
      <c r="K164" s="18" t="inlineStr">
        <is>
          <t>Sedang</t>
        </is>
      </c>
    </row>
    <row r="165" s="1">
      <c r="I165">
        <f>AVERAGE(I2:I164)</f>
        <v/>
      </c>
      <c r="J165">
        <f>AVERAGE(J2:J164)</f>
        <v/>
      </c>
    </row>
    <row r="166" s="1">
      <c r="B166" t="n">
        <v>89</v>
      </c>
    </row>
    <row r="168" s="1">
      <c r="I168" s="21" t="inlineStr">
        <is>
          <t>LAMA RAWAT INAP</t>
        </is>
      </c>
      <c r="M168" s="21" t="inlineStr">
        <is>
          <t>JENIS KELAMIN</t>
        </is>
      </c>
    </row>
    <row r="169" s="1">
      <c r="I169" s="17" t="inlineStr">
        <is>
          <t>Lama rawat inap</t>
        </is>
      </c>
      <c r="J169" s="17">
        <f>AVERAGEIF($I$2:$I$164,"&lt;="&amp;$I$165)</f>
        <v/>
      </c>
      <c r="K169" s="17">
        <f>AVERAGEIF($I$2:$I$164,"&gt;"&amp;$I$165)</f>
        <v/>
      </c>
      <c r="M169" s="17" t="inlineStr">
        <is>
          <t>Jenis kelamin</t>
        </is>
      </c>
      <c r="N169" s="17">
        <f>AVERAGEIF($J$2:$J$164,"&lt;="&amp;$J$165)</f>
        <v/>
      </c>
      <c r="O169" s="17">
        <f>AVERAGEIF($J$2:$J$164,"&gt;"&amp;$J$165)</f>
        <v/>
      </c>
    </row>
    <row r="170" s="1">
      <c r="I170" s="17">
        <f t="array" ref="I170:I332">IF($I$2:$I$164&lt;$J$169,"kiri",IF($I$2:$I$164&lt;$K$169,"tengah","kanan"))</f>
        <v/>
      </c>
      <c r="J170" s="22" t="inlineStr">
        <is>
          <t>Kanan &gt; 4.63</t>
        </is>
      </c>
      <c r="K170" s="17" t="n"/>
      <c r="M170" s="17">
        <f t="array" ref="M170:M332">IF($J$2:$J$164&lt;$N$169,"kiri",IF($J$2:$J$164&lt;$O$169,"tengah","kanan"))</f>
        <v/>
      </c>
      <c r="N170" s="17" t="inlineStr">
        <is>
          <t>Kanan &gt; 1</t>
        </is>
      </c>
      <c r="O170" s="17" t="n"/>
    </row>
    <row r="171" s="1">
      <c r="I171" s="17" t="inlineStr">
        <is>
          <t>kiri</t>
        </is>
      </c>
      <c r="J171" s="17">
        <f>COUNTIFS($I$170:$I$332,"Kanan",$K$2:$K$164,"Tinggi")</f>
        <v/>
      </c>
      <c r="K171" s="17">
        <f>J171/39</f>
        <v/>
      </c>
      <c r="M171" s="17" t="inlineStr">
        <is>
          <t>kanan</t>
        </is>
      </c>
      <c r="N171" s="17">
        <f>COUNTIFS($M$170:$M$332,"Kanan",$K$2:$K$164,"Tinggi")</f>
        <v/>
      </c>
      <c r="O171" s="17">
        <f>N171/101</f>
        <v/>
      </c>
    </row>
    <row r="172" s="1">
      <c r="I172" s="17" t="inlineStr">
        <is>
          <t>tengah</t>
        </is>
      </c>
      <c r="J172" s="17">
        <f>COUNTIFS($I$170:$I$332,"Kanan",$K$2:$K$164,"Sedang")</f>
        <v/>
      </c>
      <c r="K172" s="17">
        <f>J172/39</f>
        <v/>
      </c>
      <c r="M172" s="17" t="inlineStr">
        <is>
          <t>kanan</t>
        </is>
      </c>
      <c r="N172" s="17">
        <f>COUNTIFS($M$170:$M$332,"Kanan",$K$2:$K$164,"Sedang")</f>
        <v/>
      </c>
      <c r="O172" s="17">
        <f>N172/101</f>
        <v/>
      </c>
    </row>
    <row r="173" s="1">
      <c r="I173" s="17" t="inlineStr">
        <is>
          <t>tengah</t>
        </is>
      </c>
      <c r="J173" s="17">
        <f>COUNTIFS($I$170:$I$332,"Kanan",$K$2:$K$164,"Rendah")</f>
        <v/>
      </c>
      <c r="K173" s="17">
        <f>J173/39</f>
        <v/>
      </c>
      <c r="M173" s="17" t="inlineStr">
        <is>
          <t>tengah</t>
        </is>
      </c>
      <c r="N173" s="17">
        <f>COUNTIFS($M$170:$M$332,"Kanan",$K$2:$K$164,"Rendah")</f>
        <v/>
      </c>
      <c r="O173" s="17">
        <f>N173/101</f>
        <v/>
      </c>
    </row>
    <row r="174" s="1">
      <c r="I174" s="17" t="inlineStr">
        <is>
          <t>kanan</t>
        </is>
      </c>
      <c r="J174" s="17" t="inlineStr">
        <is>
          <t>Entropy</t>
        </is>
      </c>
      <c r="K174" s="17">
        <f>-(IFERROR(K171*LOG(K171,2),0)+IFERROR(K172*LOG(K172,2),0)+IFERROR(K173*LOG(K173,2),0))</f>
        <v/>
      </c>
      <c r="M174" s="17" t="inlineStr">
        <is>
          <t>kanan</t>
        </is>
      </c>
      <c r="N174" s="17" t="inlineStr">
        <is>
          <t>Entropy</t>
        </is>
      </c>
      <c r="O174" s="17">
        <f>-(IFERROR(O171*LOG(O171,2),0)+IFERROR(O172*LOG(O172,2),0)+IFERROR(O173*LOG(O173,2),0))</f>
        <v/>
      </c>
    </row>
    <row r="175" s="1">
      <c r="I175" s="17" t="inlineStr">
        <is>
          <t>kanan</t>
        </is>
      </c>
      <c r="J175" s="17" t="n"/>
      <c r="K175" s="17">
        <f>SUM(J171:J173)/163</f>
        <v/>
      </c>
      <c r="M175" s="17" t="inlineStr">
        <is>
          <t>tengah</t>
        </is>
      </c>
      <c r="N175" s="17" t="n"/>
      <c r="O175" s="17">
        <f>SUM(N171:N173)/163</f>
        <v/>
      </c>
    </row>
    <row r="176" s="1">
      <c r="I176" s="17" t="inlineStr">
        <is>
          <t>kanan</t>
        </is>
      </c>
      <c r="J176" s="17" t="n"/>
      <c r="K176" s="23">
        <f>K174*K175</f>
        <v/>
      </c>
      <c r="M176" s="17" t="inlineStr">
        <is>
          <t>tengah</t>
        </is>
      </c>
      <c r="N176" s="17" t="n"/>
      <c r="O176" s="23">
        <f>O174*O175</f>
        <v/>
      </c>
    </row>
    <row r="177" s="1">
      <c r="I177" s="17" t="inlineStr">
        <is>
          <t>kanan</t>
        </is>
      </c>
      <c r="J177" s="17" t="n"/>
      <c r="K177" s="17" t="n"/>
      <c r="M177" s="17" t="inlineStr">
        <is>
          <t>kanan</t>
        </is>
      </c>
      <c r="N177" s="17" t="n"/>
      <c r="O177" s="17" t="n"/>
    </row>
    <row r="178" s="1">
      <c r="I178" s="17" t="inlineStr">
        <is>
          <t>tengah</t>
        </is>
      </c>
      <c r="J178" s="17" t="n"/>
      <c r="K178" s="17" t="n"/>
      <c r="M178" s="17" t="inlineStr">
        <is>
          <t>tengah</t>
        </is>
      </c>
      <c r="N178" s="17" t="n"/>
      <c r="O178" s="17" t="n"/>
    </row>
    <row r="179" s="1">
      <c r="I179" s="17" t="inlineStr">
        <is>
          <t>kiri</t>
        </is>
      </c>
      <c r="J179" s="22" t="inlineStr">
        <is>
          <t>Kiri&lt;2.47</t>
        </is>
      </c>
      <c r="K179" s="17" t="n"/>
      <c r="M179" s="17" t="inlineStr">
        <is>
          <t>kanan</t>
        </is>
      </c>
      <c r="N179" s="17" t="inlineStr">
        <is>
          <t>Kiri&lt;0</t>
        </is>
      </c>
      <c r="O179" s="17" t="n"/>
    </row>
    <row r="180" s="1">
      <c r="I180" s="17" t="inlineStr">
        <is>
          <t>kiri</t>
        </is>
      </c>
      <c r="J180" s="17">
        <f>COUNTIFS($I$170:$I$332,"Kiri",$K$2:$K$164,"Tinggi")</f>
        <v/>
      </c>
      <c r="K180" s="17">
        <f>J180/35</f>
        <v/>
      </c>
      <c r="M180" s="17" t="inlineStr">
        <is>
          <t>tengah</t>
        </is>
      </c>
      <c r="N180" s="17">
        <f>COUNTIFS($N$170:$N$332,"Kiri",$K$2:$K$164,"Tinggi")</f>
        <v/>
      </c>
      <c r="O180" s="17">
        <f>N180/101</f>
        <v/>
      </c>
    </row>
    <row r="181" s="1">
      <c r="I181" s="17" t="inlineStr">
        <is>
          <t>tengah</t>
        </is>
      </c>
      <c r="J181" s="17">
        <f>COUNTIFS($I$170:$I$332,"Kiri",$K$2:$K$164,"Sedang")</f>
        <v/>
      </c>
      <c r="K181" s="17">
        <f>J181/35</f>
        <v/>
      </c>
      <c r="M181" s="17" t="inlineStr">
        <is>
          <t>tengah</t>
        </is>
      </c>
      <c r="N181" s="17">
        <f>COUNTIFS($N$170:$N$332,"Kiri",$K$2:$K$164,"Sedang")</f>
        <v/>
      </c>
      <c r="O181" s="17">
        <f>N181/101</f>
        <v/>
      </c>
    </row>
    <row r="182" s="1">
      <c r="I182" s="17" t="inlineStr">
        <is>
          <t>tengah</t>
        </is>
      </c>
      <c r="J182" s="17">
        <f>COUNTIFS($I$170:$I$332,"Kiri",$K$2:$K$164,"Rendah")</f>
        <v/>
      </c>
      <c r="K182" s="17">
        <f>J182/35</f>
        <v/>
      </c>
      <c r="M182" s="17" t="inlineStr">
        <is>
          <t>kanan</t>
        </is>
      </c>
      <c r="N182" s="17">
        <f>COUNTIFS($N$170:$N$332,"Kiri",$K$2:$K$164,"Rendah")</f>
        <v/>
      </c>
      <c r="O182" s="17">
        <f>N182/101</f>
        <v/>
      </c>
    </row>
    <row r="183" s="1">
      <c r="I183" s="17" t="inlineStr">
        <is>
          <t>tengah</t>
        </is>
      </c>
      <c r="J183" s="17" t="inlineStr">
        <is>
          <t>Entropy</t>
        </is>
      </c>
      <c r="K183" s="17">
        <f>-(IFERROR(K180*LOG(K180,2),0)+IFERROR(K181*LOG(K181,2),0)+IFERROR(K182*LOG(K182,2),0))</f>
        <v/>
      </c>
      <c r="M183" s="17" t="inlineStr">
        <is>
          <t>kanan</t>
        </is>
      </c>
      <c r="N183" s="17" t="inlineStr">
        <is>
          <t>Entropy</t>
        </is>
      </c>
      <c r="O183" s="17">
        <f>-(IFERROR(O180*LOG(O180,2),0)+IFERROR(O181*LOG(O181,2),0)+IFERROR(O182*LOG(O182,2),0))</f>
        <v/>
      </c>
    </row>
    <row r="184" s="1">
      <c r="I184" s="17" t="inlineStr">
        <is>
          <t>tengah</t>
        </is>
      </c>
      <c r="J184" s="17" t="n"/>
      <c r="K184" s="17">
        <f>SUM(J180:J182)/163</f>
        <v/>
      </c>
      <c r="M184" s="17" t="inlineStr">
        <is>
          <t>kanan</t>
        </is>
      </c>
      <c r="N184" s="17" t="n"/>
      <c r="O184" s="17">
        <f>SUM(N180:N182)/163</f>
        <v/>
      </c>
    </row>
    <row r="185" s="1">
      <c r="I185" s="17" t="inlineStr">
        <is>
          <t>tengah</t>
        </is>
      </c>
      <c r="J185" s="17" t="n"/>
      <c r="K185" s="23">
        <f>K183*K184</f>
        <v/>
      </c>
      <c r="M185" s="17" t="inlineStr">
        <is>
          <t>kanan</t>
        </is>
      </c>
      <c r="N185" s="17" t="n"/>
      <c r="O185" s="23">
        <f>O183*O184</f>
        <v/>
      </c>
    </row>
    <row r="186" s="1">
      <c r="I186" s="17" t="inlineStr">
        <is>
          <t>tengah</t>
        </is>
      </c>
      <c r="J186" s="17" t="n"/>
      <c r="K186" s="17" t="n"/>
      <c r="M186" s="17" t="inlineStr">
        <is>
          <t>kanan</t>
        </is>
      </c>
      <c r="N186" s="17" t="n"/>
      <c r="O186" s="17" t="n"/>
    </row>
    <row r="187" s="1">
      <c r="I187" s="17" t="inlineStr">
        <is>
          <t>kanan</t>
        </is>
      </c>
      <c r="J187" s="17" t="n"/>
      <c r="K187" s="17" t="n"/>
      <c r="M187" s="17" t="inlineStr">
        <is>
          <t>kanan</t>
        </is>
      </c>
      <c r="N187" s="17" t="n"/>
      <c r="O187" s="17" t="n"/>
    </row>
    <row r="188" s="1">
      <c r="I188" s="17" t="inlineStr">
        <is>
          <t>tengah</t>
        </is>
      </c>
      <c r="J188" s="17" t="inlineStr">
        <is>
          <t>Tengah</t>
        </is>
      </c>
      <c r="K188" s="17" t="n"/>
      <c r="M188" s="17" t="inlineStr">
        <is>
          <t>kanan</t>
        </is>
      </c>
      <c r="N188" s="17" t="inlineStr">
        <is>
          <t>Tengah</t>
        </is>
      </c>
      <c r="O188" s="17" t="n"/>
    </row>
    <row r="189" s="1">
      <c r="I189" s="17" t="inlineStr">
        <is>
          <t>tengah</t>
        </is>
      </c>
      <c r="J189" s="17">
        <f>COUNTIFS($I$170:$I$332,"Tengah",$K$2:$K$164,"Tinggi")</f>
        <v/>
      </c>
      <c r="K189" s="17">
        <f>J189/89</f>
        <v/>
      </c>
      <c r="M189" s="17" t="inlineStr">
        <is>
          <t>tengah</t>
        </is>
      </c>
      <c r="N189" s="17">
        <f>COUNTIFS($M$170:$M$332,"Tengah",$K$2:$K$164,"Tinggi")</f>
        <v/>
      </c>
      <c r="O189" s="17">
        <f>N189/62</f>
        <v/>
      </c>
    </row>
    <row r="190" s="1">
      <c r="I190" s="17" t="inlineStr">
        <is>
          <t>kanan</t>
        </is>
      </c>
      <c r="J190" s="17">
        <f>COUNTIFS($I$170:$I$332,"Tengah",$K$2:$K$164,"Sedang")</f>
        <v/>
      </c>
      <c r="K190" s="17">
        <f>J190/89</f>
        <v/>
      </c>
      <c r="M190" s="17" t="inlineStr">
        <is>
          <t>kanan</t>
        </is>
      </c>
      <c r="N190" s="17">
        <f>COUNTIFS($M$170:$M$332,"Tengah",$K$2:$K$164,"Sedang")</f>
        <v/>
      </c>
      <c r="O190" s="17">
        <f>N190/62</f>
        <v/>
      </c>
    </row>
    <row r="191" s="1">
      <c r="I191" s="17" t="inlineStr">
        <is>
          <t>tengah</t>
        </is>
      </c>
      <c r="J191" s="17">
        <f>COUNTIFS($I$170:$I$332,"Tengah",$K$2:$K$164,"Rendah")</f>
        <v/>
      </c>
      <c r="K191" s="17">
        <f>J191/89</f>
        <v/>
      </c>
      <c r="M191" s="17" t="inlineStr">
        <is>
          <t>kanan</t>
        </is>
      </c>
      <c r="N191" s="17">
        <f>COUNTIFS($M$170:$M$332,"Tengah",$K$2:$K$164,"Rendah")</f>
        <v/>
      </c>
      <c r="O191" s="17">
        <f>N191/69</f>
        <v/>
      </c>
    </row>
    <row r="192" s="1">
      <c r="I192" s="17" t="inlineStr">
        <is>
          <t>kiri</t>
        </is>
      </c>
      <c r="J192" s="17" t="inlineStr">
        <is>
          <t>Entropy</t>
        </is>
      </c>
      <c r="K192" s="17">
        <f>-(IFERROR(K189*LOG(K189,2),0)+IFERROR(K190*LOG(K190,2),0)+IFERROR(K191*LOG(K191,2),0))</f>
        <v/>
      </c>
      <c r="M192" s="17" t="inlineStr">
        <is>
          <t>tengah</t>
        </is>
      </c>
      <c r="N192" s="17" t="inlineStr">
        <is>
          <t>Entropy</t>
        </is>
      </c>
      <c r="O192" s="17">
        <f>-(IFERROR(O189*LOG(O189,2),0)+IFERROR(O190*LOG(O190,2),0)+IFERROR(O191*LOG(O191,2),0))</f>
        <v/>
      </c>
    </row>
    <row r="193" s="1">
      <c r="I193" s="17" t="inlineStr">
        <is>
          <t>tengah</t>
        </is>
      </c>
      <c r="J193" s="17" t="n"/>
      <c r="K193" s="17">
        <f>SUM(J189:J191)/163</f>
        <v/>
      </c>
      <c r="M193" s="17" t="inlineStr">
        <is>
          <t>kanan</t>
        </is>
      </c>
      <c r="N193" s="17" t="n"/>
      <c r="O193" s="17">
        <f>SUM(N189:N191)/163</f>
        <v/>
      </c>
    </row>
    <row r="194" s="1">
      <c r="I194" s="17" t="inlineStr">
        <is>
          <t>tengah</t>
        </is>
      </c>
      <c r="J194" s="17" t="n"/>
      <c r="K194" s="23">
        <f>K192*K193</f>
        <v/>
      </c>
      <c r="M194" s="17" t="inlineStr">
        <is>
          <t>tengah</t>
        </is>
      </c>
      <c r="N194" s="17" t="n"/>
      <c r="O194" s="23">
        <f>O192*O193</f>
        <v/>
      </c>
    </row>
    <row r="195" s="1">
      <c r="I195" s="17" t="inlineStr">
        <is>
          <t>tengah</t>
        </is>
      </c>
      <c r="J195" s="17" t="n"/>
      <c r="K195" s="17" t="n"/>
      <c r="M195" s="17" t="inlineStr">
        <is>
          <t>kanan</t>
        </is>
      </c>
      <c r="N195" s="17" t="n"/>
      <c r="O195" s="17" t="n"/>
    </row>
    <row r="196" s="1">
      <c r="I196" s="17" t="inlineStr">
        <is>
          <t>tengah</t>
        </is>
      </c>
      <c r="J196" s="17" t="inlineStr">
        <is>
          <t>IG</t>
        </is>
      </c>
      <c r="K196" s="17" t="n"/>
      <c r="M196" s="17" t="inlineStr">
        <is>
          <t>kanan</t>
        </is>
      </c>
      <c r="N196" s="17" t="inlineStr">
        <is>
          <t>IG</t>
        </is>
      </c>
      <c r="O196" s="17" t="n"/>
    </row>
    <row r="197" s="1">
      <c r="I197" s="17" t="inlineStr">
        <is>
          <t>kanan</t>
        </is>
      </c>
      <c r="J197" s="24">
        <f>P5-(K176+K185+K194)</f>
        <v/>
      </c>
      <c r="K197" s="17" t="n"/>
      <c r="M197" s="17" t="inlineStr">
        <is>
          <t>tengah</t>
        </is>
      </c>
      <c r="N197" s="24">
        <f>P5-(O176+O185+O194)</f>
        <v/>
      </c>
      <c r="O197" s="17" t="n"/>
    </row>
    <row r="198" s="1">
      <c r="I198" s="17" t="inlineStr">
        <is>
          <t>kanan</t>
        </is>
      </c>
      <c r="J198" s="17" t="n"/>
      <c r="K198" s="17" t="n"/>
      <c r="M198" s="17" t="inlineStr">
        <is>
          <t>tengah</t>
        </is>
      </c>
      <c r="N198" s="17" t="n"/>
      <c r="O198" s="17" t="n"/>
    </row>
    <row r="199" s="1">
      <c r="I199" s="17" t="inlineStr">
        <is>
          <t>kiri</t>
        </is>
      </c>
      <c r="J199" s="17" t="n"/>
      <c r="K199" s="17" t="n"/>
      <c r="M199" s="17" t="inlineStr">
        <is>
          <t>tengah</t>
        </is>
      </c>
      <c r="N199" s="17" t="n"/>
      <c r="O199" s="17" t="n"/>
    </row>
    <row r="200" s="1">
      <c r="I200" s="17" t="inlineStr">
        <is>
          <t>kiri</t>
        </is>
      </c>
      <c r="J200" s="17" t="n"/>
      <c r="K200" s="17" t="n"/>
      <c r="M200" s="17" t="inlineStr">
        <is>
          <t>kanan</t>
        </is>
      </c>
      <c r="N200" s="17" t="n"/>
      <c r="O200" s="17" t="n"/>
    </row>
    <row r="201" s="1">
      <c r="I201" s="17" t="inlineStr">
        <is>
          <t>tengah</t>
        </is>
      </c>
      <c r="J201" s="17" t="n"/>
      <c r="K201" s="17" t="n"/>
      <c r="M201" s="17" t="inlineStr">
        <is>
          <t>kanan</t>
        </is>
      </c>
      <c r="N201" s="17" t="n"/>
      <c r="O201" s="17" t="n"/>
    </row>
    <row r="202" s="1">
      <c r="I202" s="17" t="inlineStr">
        <is>
          <t>tengah</t>
        </is>
      </c>
      <c r="J202" s="17" t="n"/>
      <c r="K202" s="17" t="n"/>
      <c r="M202" s="17" t="inlineStr">
        <is>
          <t>tengah</t>
        </is>
      </c>
      <c r="N202" s="17" t="n"/>
      <c r="O202" s="17" t="n"/>
    </row>
    <row r="203" s="1">
      <c r="I203" s="17" t="inlineStr">
        <is>
          <t>tengah</t>
        </is>
      </c>
      <c r="J203" s="17" t="n"/>
      <c r="K203" s="17" t="n"/>
      <c r="M203" s="17" t="inlineStr">
        <is>
          <t>tengah</t>
        </is>
      </c>
      <c r="N203" s="17" t="n"/>
      <c r="O203" s="17" t="n"/>
    </row>
    <row r="204" s="1">
      <c r="I204" s="17" t="inlineStr">
        <is>
          <t>tengah</t>
        </is>
      </c>
      <c r="J204" s="17" t="n"/>
      <c r="K204" s="17" t="n"/>
      <c r="M204" s="17" t="inlineStr">
        <is>
          <t>tengah</t>
        </is>
      </c>
      <c r="N204" s="17" t="n"/>
      <c r="O204" s="17" t="n"/>
    </row>
    <row r="205" s="1">
      <c r="I205" s="17" t="inlineStr">
        <is>
          <t>kanan</t>
        </is>
      </c>
      <c r="J205" s="17" t="n"/>
      <c r="K205" s="17" t="n"/>
      <c r="M205" s="17" t="inlineStr">
        <is>
          <t>kanan</t>
        </is>
      </c>
      <c r="N205" s="17" t="n"/>
      <c r="O205" s="17" t="n"/>
    </row>
    <row r="206" s="1">
      <c r="I206" s="17" t="inlineStr">
        <is>
          <t>kiri</t>
        </is>
      </c>
      <c r="J206" s="17" t="n"/>
      <c r="K206" s="17" t="n"/>
      <c r="M206" s="17" t="inlineStr">
        <is>
          <t>kanan</t>
        </is>
      </c>
      <c r="N206" s="17" t="n"/>
      <c r="O206" s="17" t="n"/>
    </row>
    <row r="207" s="1">
      <c r="I207" s="17" t="inlineStr">
        <is>
          <t>tengah</t>
        </is>
      </c>
      <c r="J207" s="17" t="n"/>
      <c r="K207" s="17" t="n"/>
      <c r="M207" s="17" t="inlineStr">
        <is>
          <t>tengah</t>
        </is>
      </c>
      <c r="N207" s="17" t="n"/>
      <c r="O207" s="17" t="n"/>
    </row>
    <row r="208" s="1">
      <c r="I208" s="17" t="inlineStr">
        <is>
          <t>kiri</t>
        </is>
      </c>
      <c r="J208" s="17" t="n"/>
      <c r="K208" s="17" t="n"/>
      <c r="M208" s="17" t="inlineStr">
        <is>
          <t>kanan</t>
        </is>
      </c>
      <c r="N208" s="17" t="n"/>
      <c r="O208" s="17" t="n"/>
    </row>
    <row r="209" s="1">
      <c r="I209" s="17" t="inlineStr">
        <is>
          <t>kanan</t>
        </is>
      </c>
      <c r="J209" s="17" t="n"/>
      <c r="K209" s="17" t="n"/>
      <c r="M209" s="17" t="inlineStr">
        <is>
          <t>kanan</t>
        </is>
      </c>
      <c r="N209" s="17" t="n"/>
      <c r="O209" s="17" t="n"/>
    </row>
    <row r="210" s="1">
      <c r="I210" s="17" t="inlineStr">
        <is>
          <t>tengah</t>
        </is>
      </c>
      <c r="J210" s="17" t="n"/>
      <c r="K210" s="17" t="n"/>
      <c r="M210" s="17" t="inlineStr">
        <is>
          <t>kanan</t>
        </is>
      </c>
      <c r="N210" s="17" t="n"/>
      <c r="O210" s="17" t="n"/>
    </row>
    <row r="211" s="1">
      <c r="I211" s="17" t="inlineStr">
        <is>
          <t>tengah</t>
        </is>
      </c>
      <c r="J211" s="17" t="n"/>
      <c r="K211" s="17" t="n"/>
      <c r="M211" s="17" t="inlineStr">
        <is>
          <t>kanan</t>
        </is>
      </c>
      <c r="N211" s="17" t="n"/>
      <c r="O211" s="17" t="n"/>
    </row>
    <row r="212" s="1">
      <c r="I212" s="17" t="inlineStr">
        <is>
          <t>tengah</t>
        </is>
      </c>
      <c r="J212" s="17" t="n"/>
      <c r="K212" s="17" t="n"/>
      <c r="M212" s="17" t="inlineStr">
        <is>
          <t>kanan</t>
        </is>
      </c>
      <c r="N212" s="17" t="n"/>
      <c r="O212" s="17" t="n"/>
    </row>
    <row r="213" s="1">
      <c r="I213" s="17" t="inlineStr">
        <is>
          <t>kiri</t>
        </is>
      </c>
      <c r="J213" s="17" t="n"/>
      <c r="K213" s="17" t="n"/>
      <c r="M213" s="17" t="inlineStr">
        <is>
          <t>tengah</t>
        </is>
      </c>
      <c r="N213" s="17" t="n"/>
      <c r="O213" s="17" t="n"/>
    </row>
    <row r="214" s="1">
      <c r="I214" s="17" t="inlineStr">
        <is>
          <t>tengah</t>
        </is>
      </c>
      <c r="J214" s="17" t="n"/>
      <c r="K214" s="17" t="n"/>
      <c r="M214" s="17" t="inlineStr">
        <is>
          <t>kanan</t>
        </is>
      </c>
      <c r="N214" s="17" t="n"/>
      <c r="O214" s="17" t="n"/>
    </row>
    <row r="215" s="1">
      <c r="I215" s="17" t="inlineStr">
        <is>
          <t>tengah</t>
        </is>
      </c>
      <c r="J215" s="17" t="n"/>
      <c r="K215" s="17" t="n"/>
      <c r="M215" s="17" t="inlineStr">
        <is>
          <t>tengah</t>
        </is>
      </c>
      <c r="N215" s="17" t="n"/>
      <c r="O215" s="17" t="n"/>
    </row>
    <row r="216" s="1">
      <c r="I216" s="17" t="inlineStr">
        <is>
          <t>tengah</t>
        </is>
      </c>
      <c r="J216" s="17" t="n"/>
      <c r="K216" s="17" t="n"/>
      <c r="M216" s="17" t="inlineStr">
        <is>
          <t>kanan</t>
        </is>
      </c>
      <c r="N216" s="17" t="n"/>
      <c r="O216" s="17" t="n"/>
    </row>
    <row r="217" s="1">
      <c r="I217" s="17" t="inlineStr">
        <is>
          <t>tengah</t>
        </is>
      </c>
      <c r="J217" s="17" t="n"/>
      <c r="K217" s="17" t="n"/>
      <c r="M217" s="17" t="inlineStr">
        <is>
          <t>kanan</t>
        </is>
      </c>
      <c r="N217" s="17" t="n"/>
      <c r="O217" s="17" t="n"/>
    </row>
    <row r="218" s="1">
      <c r="I218" s="17" t="inlineStr">
        <is>
          <t>tengah</t>
        </is>
      </c>
      <c r="J218" s="17" t="n"/>
      <c r="K218" s="17" t="n"/>
      <c r="M218" s="17" t="inlineStr">
        <is>
          <t>tengah</t>
        </is>
      </c>
      <c r="N218" s="17" t="n"/>
      <c r="O218" s="17" t="n"/>
    </row>
    <row r="219" s="1">
      <c r="I219" s="17" t="inlineStr">
        <is>
          <t>tengah</t>
        </is>
      </c>
      <c r="J219" s="17" t="n"/>
      <c r="K219" s="17" t="n"/>
      <c r="M219" s="17" t="inlineStr">
        <is>
          <t>kanan</t>
        </is>
      </c>
      <c r="N219" s="17" t="n"/>
      <c r="O219" s="17" t="n"/>
    </row>
    <row r="220" s="1">
      <c r="I220" s="17" t="inlineStr">
        <is>
          <t>kiri</t>
        </is>
      </c>
      <c r="J220" s="17" t="n"/>
      <c r="K220" s="17" t="n"/>
      <c r="M220" s="17" t="inlineStr">
        <is>
          <t>tengah</t>
        </is>
      </c>
      <c r="N220" s="17" t="n"/>
      <c r="O220" s="17" t="n"/>
    </row>
    <row r="221" s="1">
      <c r="I221" s="17" t="inlineStr">
        <is>
          <t>tengah</t>
        </is>
      </c>
      <c r="J221" s="17" t="n"/>
      <c r="K221" s="17" t="n"/>
      <c r="M221" s="17" t="inlineStr">
        <is>
          <t>kanan</t>
        </is>
      </c>
      <c r="N221" s="17" t="n"/>
      <c r="O221" s="17" t="n"/>
    </row>
    <row r="222" s="1">
      <c r="I222" s="17" t="inlineStr">
        <is>
          <t>kanan</t>
        </is>
      </c>
      <c r="J222" s="17" t="n"/>
      <c r="K222" s="17" t="n"/>
      <c r="M222" s="17" t="inlineStr">
        <is>
          <t>tengah</t>
        </is>
      </c>
      <c r="N222" s="17" t="n"/>
      <c r="O222" s="17" t="n"/>
    </row>
    <row r="223" s="1">
      <c r="I223" s="17" t="inlineStr">
        <is>
          <t>tengah</t>
        </is>
      </c>
      <c r="J223" s="17" t="n"/>
      <c r="K223" s="17" t="n"/>
      <c r="M223" s="17" t="inlineStr">
        <is>
          <t>kanan</t>
        </is>
      </c>
      <c r="N223" s="17" t="n"/>
      <c r="O223" s="17" t="n"/>
    </row>
    <row r="224" s="1">
      <c r="I224" s="17" t="inlineStr">
        <is>
          <t>kanan</t>
        </is>
      </c>
      <c r="J224" s="17" t="n"/>
      <c r="K224" s="17" t="n"/>
      <c r="M224" s="17" t="inlineStr">
        <is>
          <t>tengah</t>
        </is>
      </c>
      <c r="N224" s="17" t="n"/>
      <c r="O224" s="17" t="n"/>
    </row>
    <row r="225" s="1">
      <c r="I225" s="17" t="inlineStr">
        <is>
          <t>tengah</t>
        </is>
      </c>
      <c r="J225" s="17" t="n"/>
      <c r="K225" s="17" t="n"/>
      <c r="M225" s="17" t="inlineStr">
        <is>
          <t>kanan</t>
        </is>
      </c>
      <c r="N225" s="17" t="n"/>
      <c r="O225" s="17" t="n"/>
    </row>
    <row r="226" s="1">
      <c r="I226" s="17" t="inlineStr">
        <is>
          <t>tengah</t>
        </is>
      </c>
      <c r="J226" s="17" t="n"/>
      <c r="K226" s="17" t="n"/>
      <c r="M226" s="17" t="inlineStr">
        <is>
          <t>tengah</t>
        </is>
      </c>
      <c r="N226" s="17" t="n"/>
      <c r="O226" s="17" t="n"/>
    </row>
    <row r="227" s="1">
      <c r="I227" s="17" t="inlineStr">
        <is>
          <t>kiri</t>
        </is>
      </c>
      <c r="J227" s="17" t="n"/>
      <c r="K227" s="17" t="n"/>
      <c r="M227" s="17" t="inlineStr">
        <is>
          <t>tengah</t>
        </is>
      </c>
      <c r="N227" s="17" t="n"/>
      <c r="O227" s="17" t="n"/>
    </row>
    <row r="228" s="1">
      <c r="I228" s="17" t="inlineStr">
        <is>
          <t>kanan</t>
        </is>
      </c>
      <c r="J228" s="17" t="n"/>
      <c r="K228" s="17" t="n"/>
      <c r="M228" s="17" t="inlineStr">
        <is>
          <t>kanan</t>
        </is>
      </c>
      <c r="N228" s="17" t="n"/>
      <c r="O228" s="17" t="n"/>
    </row>
    <row r="229" s="1">
      <c r="I229" s="17" t="inlineStr">
        <is>
          <t>kiri</t>
        </is>
      </c>
      <c r="J229" s="17" t="n"/>
      <c r="K229" s="17" t="n"/>
      <c r="M229" s="17" t="inlineStr">
        <is>
          <t>kanan</t>
        </is>
      </c>
      <c r="N229" s="17" t="n"/>
      <c r="O229" s="17" t="n"/>
    </row>
    <row r="230" s="1">
      <c r="I230" s="17" t="inlineStr">
        <is>
          <t>tengah</t>
        </is>
      </c>
      <c r="J230" s="17" t="n"/>
      <c r="K230" s="17" t="n"/>
      <c r="M230" s="17" t="inlineStr">
        <is>
          <t>kanan</t>
        </is>
      </c>
      <c r="N230" s="17" t="n"/>
      <c r="O230" s="17" t="n"/>
    </row>
    <row r="231" s="1">
      <c r="I231" s="17" t="inlineStr">
        <is>
          <t>kiri</t>
        </is>
      </c>
      <c r="J231" s="17" t="n"/>
      <c r="K231" s="17" t="n"/>
      <c r="M231" s="17" t="inlineStr">
        <is>
          <t>kanan</t>
        </is>
      </c>
      <c r="N231" s="17" t="n"/>
      <c r="O231" s="17" t="n"/>
    </row>
    <row r="232" s="1">
      <c r="I232" s="17" t="inlineStr">
        <is>
          <t>tengah</t>
        </is>
      </c>
      <c r="J232" s="17" t="n"/>
      <c r="K232" s="17" t="n"/>
      <c r="M232" s="17" t="inlineStr">
        <is>
          <t>kanan</t>
        </is>
      </c>
      <c r="N232" s="17" t="n"/>
      <c r="O232" s="17" t="n"/>
    </row>
    <row r="233" s="1">
      <c r="I233" s="17" t="inlineStr">
        <is>
          <t>tengah</t>
        </is>
      </c>
      <c r="J233" s="17" t="n"/>
      <c r="K233" s="17" t="n"/>
      <c r="M233" s="17" t="inlineStr">
        <is>
          <t>kanan</t>
        </is>
      </c>
      <c r="N233" s="17" t="n"/>
      <c r="O233" s="17" t="n"/>
    </row>
    <row r="234" s="1">
      <c r="I234" s="17" t="inlineStr">
        <is>
          <t>kanan</t>
        </is>
      </c>
      <c r="J234" s="17" t="n"/>
      <c r="K234" s="17" t="n"/>
      <c r="M234" s="17" t="inlineStr">
        <is>
          <t>tengah</t>
        </is>
      </c>
      <c r="N234" s="17" t="n"/>
      <c r="O234" s="17" t="n"/>
    </row>
    <row r="235" s="1">
      <c r="I235" s="17" t="inlineStr">
        <is>
          <t>kiri</t>
        </is>
      </c>
      <c r="J235" s="17" t="n"/>
      <c r="K235" s="17" t="n"/>
      <c r="M235" s="17" t="inlineStr">
        <is>
          <t>tengah</t>
        </is>
      </c>
      <c r="N235" s="17" t="n"/>
      <c r="O235" s="17" t="n"/>
    </row>
    <row r="236" s="1">
      <c r="I236" s="17" t="inlineStr">
        <is>
          <t>tengah</t>
        </is>
      </c>
      <c r="J236" s="17" t="n"/>
      <c r="K236" s="17" t="n"/>
      <c r="M236" s="17" t="inlineStr">
        <is>
          <t>kanan</t>
        </is>
      </c>
      <c r="N236" s="17" t="n"/>
      <c r="O236" s="17" t="n"/>
    </row>
    <row r="237" s="1">
      <c r="I237" s="17" t="inlineStr">
        <is>
          <t>tengah</t>
        </is>
      </c>
      <c r="J237" s="17" t="n"/>
      <c r="K237" s="17" t="n"/>
      <c r="M237" s="17" t="inlineStr">
        <is>
          <t>kanan</t>
        </is>
      </c>
      <c r="N237" s="17" t="n"/>
      <c r="O237" s="17" t="n"/>
    </row>
    <row r="238" s="1">
      <c r="I238" s="17" t="inlineStr">
        <is>
          <t>tengah</t>
        </is>
      </c>
      <c r="J238" s="17" t="n"/>
      <c r="K238" s="17" t="n"/>
      <c r="M238" s="17" t="inlineStr">
        <is>
          <t>kanan</t>
        </is>
      </c>
      <c r="N238" s="17" t="n"/>
      <c r="O238" s="17" t="n"/>
    </row>
    <row r="239" s="1">
      <c r="I239" s="17" t="inlineStr">
        <is>
          <t>tengah</t>
        </is>
      </c>
      <c r="J239" s="17" t="n"/>
      <c r="K239" s="17" t="n"/>
      <c r="M239" s="17" t="inlineStr">
        <is>
          <t>kanan</t>
        </is>
      </c>
      <c r="N239" s="17" t="n"/>
      <c r="O239" s="17" t="n"/>
    </row>
    <row r="240" s="1">
      <c r="I240" s="17" t="inlineStr">
        <is>
          <t>kanan</t>
        </is>
      </c>
      <c r="J240" s="17" t="n"/>
      <c r="K240" s="17" t="n"/>
      <c r="M240" s="17" t="inlineStr">
        <is>
          <t>tengah</t>
        </is>
      </c>
      <c r="N240" s="17" t="n"/>
      <c r="O240" s="17" t="n"/>
    </row>
    <row r="241" s="1">
      <c r="I241" s="17" t="inlineStr">
        <is>
          <t>kiri</t>
        </is>
      </c>
      <c r="J241" s="17" t="n"/>
      <c r="K241" s="17" t="n"/>
      <c r="M241" s="17" t="inlineStr">
        <is>
          <t>kanan</t>
        </is>
      </c>
      <c r="N241" s="17" t="n"/>
      <c r="O241" s="17" t="n"/>
    </row>
    <row r="242" s="1">
      <c r="I242" s="17" t="inlineStr">
        <is>
          <t>tengah</t>
        </is>
      </c>
      <c r="J242" s="17" t="n"/>
      <c r="K242" s="17" t="n"/>
      <c r="M242" s="17" t="inlineStr">
        <is>
          <t>kanan</t>
        </is>
      </c>
      <c r="N242" s="17" t="n"/>
      <c r="O242" s="17" t="n"/>
    </row>
    <row r="243" s="1">
      <c r="I243" s="17" t="inlineStr">
        <is>
          <t>tengah</t>
        </is>
      </c>
      <c r="J243" s="17" t="n"/>
      <c r="K243" s="17" t="n"/>
      <c r="M243" s="17" t="inlineStr">
        <is>
          <t>tengah</t>
        </is>
      </c>
      <c r="N243" s="17" t="n"/>
      <c r="O243" s="17" t="n"/>
    </row>
    <row r="244" s="1">
      <c r="I244" s="17" t="inlineStr">
        <is>
          <t>tengah</t>
        </is>
      </c>
      <c r="J244" s="17" t="n"/>
      <c r="K244" s="17" t="n"/>
      <c r="M244" s="17" t="inlineStr">
        <is>
          <t>tengah</t>
        </is>
      </c>
      <c r="N244" s="17" t="n"/>
      <c r="O244" s="17" t="n"/>
    </row>
    <row r="245" s="1">
      <c r="I245" s="17" t="inlineStr">
        <is>
          <t>tengah</t>
        </is>
      </c>
      <c r="J245" s="17" t="n"/>
      <c r="K245" s="17" t="n"/>
      <c r="M245" s="17" t="inlineStr">
        <is>
          <t>kanan</t>
        </is>
      </c>
      <c r="N245" s="17" t="n"/>
      <c r="O245" s="17" t="n"/>
    </row>
    <row r="246" s="1">
      <c r="I246" s="17" t="inlineStr">
        <is>
          <t>kiri</t>
        </is>
      </c>
      <c r="J246" s="17" t="n"/>
      <c r="K246" s="17" t="n"/>
      <c r="M246" s="17" t="inlineStr">
        <is>
          <t>kanan</t>
        </is>
      </c>
      <c r="N246" s="17" t="n"/>
      <c r="O246" s="17" t="n"/>
    </row>
    <row r="247" s="1">
      <c r="I247" s="17" t="inlineStr">
        <is>
          <t>tengah</t>
        </is>
      </c>
      <c r="J247" s="17" t="n"/>
      <c r="K247" s="17" t="n"/>
      <c r="M247" s="17" t="inlineStr">
        <is>
          <t>tengah</t>
        </is>
      </c>
      <c r="N247" s="17" t="n"/>
      <c r="O247" s="17" t="n"/>
    </row>
    <row r="248" s="1">
      <c r="I248" s="17" t="inlineStr">
        <is>
          <t>kanan</t>
        </is>
      </c>
      <c r="J248" s="17" t="n"/>
      <c r="K248" s="17" t="n"/>
      <c r="M248" s="17" t="inlineStr">
        <is>
          <t>kanan</t>
        </is>
      </c>
      <c r="N248" s="17" t="n"/>
      <c r="O248" s="17" t="n"/>
    </row>
    <row r="249" s="1">
      <c r="I249" s="17" t="inlineStr">
        <is>
          <t>kiri</t>
        </is>
      </c>
      <c r="J249" s="17" t="n"/>
      <c r="K249" s="17" t="n"/>
      <c r="M249" s="17" t="inlineStr">
        <is>
          <t>kanan</t>
        </is>
      </c>
      <c r="N249" s="17" t="n"/>
      <c r="O249" s="17" t="n"/>
    </row>
    <row r="250" s="1">
      <c r="I250" s="17" t="inlineStr">
        <is>
          <t>kanan</t>
        </is>
      </c>
      <c r="J250" s="17" t="n"/>
      <c r="K250" s="17" t="n"/>
      <c r="M250" s="17" t="inlineStr">
        <is>
          <t>tengah</t>
        </is>
      </c>
      <c r="N250" s="17" t="n"/>
      <c r="O250" s="17" t="n"/>
    </row>
    <row r="251" s="1">
      <c r="I251" s="17" t="inlineStr">
        <is>
          <t>tengah</t>
        </is>
      </c>
      <c r="J251" s="17" t="n"/>
      <c r="K251" s="17" t="n"/>
      <c r="M251" s="17" t="inlineStr">
        <is>
          <t>kanan</t>
        </is>
      </c>
      <c r="N251" s="17" t="n"/>
      <c r="O251" s="17" t="n"/>
    </row>
    <row r="252" s="1">
      <c r="I252" s="17" t="inlineStr">
        <is>
          <t>tengah</t>
        </is>
      </c>
      <c r="J252" s="17" t="n"/>
      <c r="K252" s="17" t="n"/>
      <c r="M252" s="17" t="inlineStr">
        <is>
          <t>tengah</t>
        </is>
      </c>
      <c r="N252" s="17" t="n"/>
      <c r="O252" s="17" t="n"/>
    </row>
    <row r="253" s="1">
      <c r="I253" s="17" t="inlineStr">
        <is>
          <t>tengah</t>
        </is>
      </c>
      <c r="J253" s="17" t="n"/>
      <c r="K253" s="17" t="n"/>
      <c r="M253" s="17" t="inlineStr">
        <is>
          <t>kanan</t>
        </is>
      </c>
      <c r="N253" s="17" t="n"/>
      <c r="O253" s="17" t="n"/>
    </row>
    <row r="254" s="1">
      <c r="I254" s="17" t="inlineStr">
        <is>
          <t>kanan</t>
        </is>
      </c>
      <c r="J254" s="17" t="n"/>
      <c r="K254" s="17" t="n"/>
      <c r="M254" s="17" t="inlineStr">
        <is>
          <t>tengah</t>
        </is>
      </c>
      <c r="N254" s="17" t="n"/>
      <c r="O254" s="17" t="n"/>
    </row>
    <row r="255" s="1">
      <c r="I255" s="17" t="inlineStr">
        <is>
          <t>tengah</t>
        </is>
      </c>
      <c r="J255" s="17" t="n"/>
      <c r="K255" s="17" t="n"/>
      <c r="M255" s="17" t="inlineStr">
        <is>
          <t>kanan</t>
        </is>
      </c>
      <c r="N255" s="17" t="n"/>
      <c r="O255" s="17" t="n"/>
    </row>
    <row r="256" s="1">
      <c r="I256" s="17" t="inlineStr">
        <is>
          <t>tengah</t>
        </is>
      </c>
      <c r="J256" s="17" t="n"/>
      <c r="K256" s="17" t="n"/>
      <c r="M256" s="17" t="inlineStr">
        <is>
          <t>kanan</t>
        </is>
      </c>
      <c r="N256" s="17" t="n"/>
      <c r="O256" s="17" t="n"/>
    </row>
    <row r="257" s="1">
      <c r="I257" s="17" t="inlineStr">
        <is>
          <t>tengah</t>
        </is>
      </c>
      <c r="J257" s="17" t="n"/>
      <c r="K257" s="17" t="n"/>
      <c r="M257" s="17" t="inlineStr">
        <is>
          <t>tengah</t>
        </is>
      </c>
      <c r="N257" s="17" t="n"/>
      <c r="O257" s="17" t="n"/>
    </row>
    <row r="258" s="1">
      <c r="I258" s="17" t="inlineStr">
        <is>
          <t>tengah</t>
        </is>
      </c>
      <c r="J258" s="17" t="n"/>
      <c r="K258" s="17" t="n"/>
      <c r="M258" s="17" t="inlineStr">
        <is>
          <t>tengah</t>
        </is>
      </c>
      <c r="N258" s="17" t="n"/>
      <c r="O258" s="17" t="n"/>
    </row>
    <row r="259" s="1">
      <c r="I259" s="17" t="inlineStr">
        <is>
          <t>tengah</t>
        </is>
      </c>
      <c r="J259" s="17" t="n"/>
      <c r="K259" s="17" t="n"/>
      <c r="M259" s="17" t="inlineStr">
        <is>
          <t>kanan</t>
        </is>
      </c>
      <c r="N259" s="17" t="n"/>
      <c r="O259" s="17" t="n"/>
    </row>
    <row r="260" s="1">
      <c r="I260" s="17" t="inlineStr">
        <is>
          <t>kanan</t>
        </is>
      </c>
      <c r="J260" s="17" t="n"/>
      <c r="K260" s="17" t="n"/>
      <c r="M260" s="17" t="inlineStr">
        <is>
          <t>tengah</t>
        </is>
      </c>
      <c r="N260" s="17" t="n"/>
      <c r="O260" s="17" t="n"/>
    </row>
    <row r="261" s="1">
      <c r="I261" s="17" t="inlineStr">
        <is>
          <t>tengah</t>
        </is>
      </c>
      <c r="J261" s="17" t="n"/>
      <c r="K261" s="17" t="n"/>
      <c r="M261" s="17" t="inlineStr">
        <is>
          <t>kanan</t>
        </is>
      </c>
      <c r="N261" s="17" t="n"/>
      <c r="O261" s="17" t="n"/>
    </row>
    <row r="262" s="1">
      <c r="I262" s="17" t="inlineStr">
        <is>
          <t>kanan</t>
        </is>
      </c>
      <c r="J262" s="17" t="n"/>
      <c r="K262" s="17" t="n"/>
      <c r="M262" s="17" t="inlineStr">
        <is>
          <t>kanan</t>
        </is>
      </c>
      <c r="N262" s="17" t="n"/>
      <c r="O262" s="17" t="n"/>
    </row>
    <row r="263" s="1">
      <c r="I263" s="17" t="inlineStr">
        <is>
          <t>kiri</t>
        </is>
      </c>
      <c r="J263" s="17" t="n"/>
      <c r="K263" s="17" t="n"/>
      <c r="M263" s="17" t="inlineStr">
        <is>
          <t>kanan</t>
        </is>
      </c>
      <c r="N263" s="17" t="n"/>
      <c r="O263" s="17" t="n"/>
    </row>
    <row r="264" s="1">
      <c r="I264" s="17" t="inlineStr">
        <is>
          <t>tengah</t>
        </is>
      </c>
      <c r="J264" s="17" t="n"/>
      <c r="K264" s="17" t="n"/>
      <c r="M264" s="17" t="inlineStr">
        <is>
          <t>tengah</t>
        </is>
      </c>
      <c r="N264" s="17" t="n"/>
      <c r="O264" s="17" t="n"/>
    </row>
    <row r="265" s="1">
      <c r="I265" s="17" t="inlineStr">
        <is>
          <t>kiri</t>
        </is>
      </c>
      <c r="J265" s="17" t="n"/>
      <c r="K265" s="17" t="n"/>
      <c r="M265" s="17" t="inlineStr">
        <is>
          <t>kanan</t>
        </is>
      </c>
      <c r="N265" s="17" t="n"/>
      <c r="O265" s="17" t="n"/>
    </row>
    <row r="266" s="1">
      <c r="I266" s="17" t="inlineStr">
        <is>
          <t>kiri</t>
        </is>
      </c>
      <c r="J266" s="17" t="n"/>
      <c r="K266" s="17" t="n"/>
      <c r="M266" s="17" t="inlineStr">
        <is>
          <t>kanan</t>
        </is>
      </c>
      <c r="N266" s="17" t="n"/>
      <c r="O266" s="17" t="n"/>
    </row>
    <row r="267" s="1">
      <c r="I267" s="17" t="inlineStr">
        <is>
          <t>kanan</t>
        </is>
      </c>
      <c r="J267" s="17" t="n"/>
      <c r="K267" s="17" t="n"/>
      <c r="M267" s="17" t="inlineStr">
        <is>
          <t>kanan</t>
        </is>
      </c>
      <c r="N267" s="17" t="n"/>
      <c r="O267" s="17" t="n"/>
    </row>
    <row r="268" s="1">
      <c r="I268" s="17" t="inlineStr">
        <is>
          <t>kiri</t>
        </is>
      </c>
      <c r="J268" s="17" t="n"/>
      <c r="K268" s="17" t="n"/>
      <c r="M268" s="17" t="inlineStr">
        <is>
          <t>kanan</t>
        </is>
      </c>
      <c r="N268" s="17" t="n"/>
      <c r="O268" s="17" t="n"/>
    </row>
    <row r="269" s="1">
      <c r="I269" s="17" t="inlineStr">
        <is>
          <t>kanan</t>
        </is>
      </c>
      <c r="J269" s="17" t="n"/>
      <c r="K269" s="17" t="n"/>
      <c r="M269" s="17" t="inlineStr">
        <is>
          <t>kanan</t>
        </is>
      </c>
      <c r="N269" s="17" t="n"/>
      <c r="O269" s="17" t="n"/>
    </row>
    <row r="270" s="1">
      <c r="I270" s="17" t="inlineStr">
        <is>
          <t>tengah</t>
        </is>
      </c>
      <c r="J270" s="17" t="n"/>
      <c r="K270" s="17" t="n"/>
      <c r="M270" s="17" t="inlineStr">
        <is>
          <t>tengah</t>
        </is>
      </c>
      <c r="N270" s="17" t="n"/>
      <c r="O270" s="17" t="n"/>
    </row>
    <row r="271" s="1">
      <c r="I271" s="17" t="inlineStr">
        <is>
          <t>kiri</t>
        </is>
      </c>
      <c r="J271" s="17" t="n"/>
      <c r="K271" s="17" t="n"/>
      <c r="M271" s="17" t="inlineStr">
        <is>
          <t>tengah</t>
        </is>
      </c>
      <c r="N271" s="17" t="n"/>
      <c r="O271" s="17" t="n"/>
    </row>
    <row r="272" s="1">
      <c r="I272" s="17" t="inlineStr">
        <is>
          <t>tengah</t>
        </is>
      </c>
      <c r="J272" s="17" t="n"/>
      <c r="K272" s="17" t="n"/>
      <c r="M272" s="17" t="inlineStr">
        <is>
          <t>kanan</t>
        </is>
      </c>
      <c r="N272" s="17" t="n"/>
      <c r="O272" s="17" t="n"/>
    </row>
    <row r="273" s="1">
      <c r="I273" s="17" t="inlineStr">
        <is>
          <t>tengah</t>
        </is>
      </c>
      <c r="J273" s="17" t="n"/>
      <c r="K273" s="17" t="n"/>
      <c r="M273" s="17" t="inlineStr">
        <is>
          <t>tengah</t>
        </is>
      </c>
      <c r="N273" s="17" t="n"/>
      <c r="O273" s="17" t="n"/>
    </row>
    <row r="274" s="1">
      <c r="I274" s="17" t="inlineStr">
        <is>
          <t>tengah</t>
        </is>
      </c>
      <c r="J274" s="17" t="n"/>
      <c r="K274" s="17" t="n"/>
      <c r="M274" s="17" t="inlineStr">
        <is>
          <t>kanan</t>
        </is>
      </c>
      <c r="N274" s="17" t="n"/>
      <c r="O274" s="17" t="n"/>
    </row>
    <row r="275" s="1">
      <c r="I275" s="17" t="inlineStr">
        <is>
          <t>kanan</t>
        </is>
      </c>
      <c r="J275" s="17" t="n"/>
      <c r="K275" s="17" t="n"/>
      <c r="M275" s="17" t="inlineStr">
        <is>
          <t>tengah</t>
        </is>
      </c>
      <c r="N275" s="17" t="n"/>
      <c r="O275" s="17" t="n"/>
    </row>
    <row r="276" s="1">
      <c r="I276" s="17" t="inlineStr">
        <is>
          <t>tengah</t>
        </is>
      </c>
      <c r="J276" s="17" t="n"/>
      <c r="K276" s="17" t="n"/>
      <c r="M276" s="17" t="inlineStr">
        <is>
          <t>kanan</t>
        </is>
      </c>
      <c r="N276" s="17" t="n"/>
      <c r="O276" s="17" t="n"/>
    </row>
    <row r="277" s="1">
      <c r="I277" s="17" t="inlineStr">
        <is>
          <t>tengah</t>
        </is>
      </c>
      <c r="J277" s="17" t="n"/>
      <c r="K277" s="17" t="n"/>
      <c r="M277" s="17" t="inlineStr">
        <is>
          <t>tengah</t>
        </is>
      </c>
      <c r="N277" s="17" t="n"/>
      <c r="O277" s="17" t="n"/>
    </row>
    <row r="278" s="1">
      <c r="I278" s="17" t="inlineStr">
        <is>
          <t>tengah</t>
        </is>
      </c>
      <c r="J278" s="17" t="n"/>
      <c r="K278" s="17" t="n"/>
      <c r="M278" s="17" t="inlineStr">
        <is>
          <t>kanan</t>
        </is>
      </c>
      <c r="N278" s="17" t="n"/>
      <c r="O278" s="17" t="n"/>
    </row>
    <row r="279" s="1">
      <c r="I279" s="17" t="inlineStr">
        <is>
          <t>tengah</t>
        </is>
      </c>
      <c r="J279" s="17" t="n"/>
      <c r="K279" s="17" t="n"/>
      <c r="M279" s="17" t="inlineStr">
        <is>
          <t>kanan</t>
        </is>
      </c>
      <c r="N279" s="17" t="n"/>
      <c r="O279" s="17" t="n"/>
    </row>
    <row r="280" s="1">
      <c r="I280" s="17" t="inlineStr">
        <is>
          <t>kiri</t>
        </is>
      </c>
      <c r="J280" s="17" t="n"/>
      <c r="K280" s="17" t="n"/>
      <c r="M280" s="17" t="inlineStr">
        <is>
          <t>kanan</t>
        </is>
      </c>
      <c r="N280" s="17" t="n"/>
      <c r="O280" s="17" t="n"/>
    </row>
    <row r="281" s="1">
      <c r="I281" s="17" t="inlineStr">
        <is>
          <t>kiri</t>
        </is>
      </c>
      <c r="J281" s="17" t="n"/>
      <c r="K281" s="17" t="n"/>
      <c r="M281" s="17" t="inlineStr">
        <is>
          <t>tengah</t>
        </is>
      </c>
      <c r="N281" s="17" t="n"/>
      <c r="O281" s="17" t="n"/>
    </row>
    <row r="282" s="1">
      <c r="I282" s="17" t="inlineStr">
        <is>
          <t>tengah</t>
        </is>
      </c>
      <c r="J282" s="17" t="n"/>
      <c r="K282" s="17" t="n"/>
      <c r="M282" s="17" t="inlineStr">
        <is>
          <t>kanan</t>
        </is>
      </c>
      <c r="N282" s="17" t="n"/>
      <c r="O282" s="17" t="n"/>
    </row>
    <row r="283" s="1">
      <c r="I283" s="17" t="inlineStr">
        <is>
          <t>tengah</t>
        </is>
      </c>
      <c r="J283" s="17" t="n"/>
      <c r="K283" s="17" t="n"/>
      <c r="M283" s="17" t="inlineStr">
        <is>
          <t>kanan</t>
        </is>
      </c>
      <c r="N283" s="17" t="n"/>
      <c r="O283" s="17" t="n"/>
    </row>
    <row r="284" s="1">
      <c r="I284" s="17" t="inlineStr">
        <is>
          <t>kiri</t>
        </is>
      </c>
      <c r="J284" s="17" t="n"/>
      <c r="K284" s="17" t="n"/>
      <c r="M284" s="17" t="inlineStr">
        <is>
          <t>tengah</t>
        </is>
      </c>
      <c r="N284" s="17" t="n"/>
      <c r="O284" s="17" t="n"/>
    </row>
    <row r="285" s="1">
      <c r="I285" s="17" t="inlineStr">
        <is>
          <t>kiri</t>
        </is>
      </c>
      <c r="J285" s="17" t="n"/>
      <c r="K285" s="17" t="n"/>
      <c r="M285" s="17" t="inlineStr">
        <is>
          <t>kanan</t>
        </is>
      </c>
      <c r="N285" s="17" t="n"/>
      <c r="O285" s="17" t="n"/>
    </row>
    <row r="286" s="1">
      <c r="I286" s="17" t="inlineStr">
        <is>
          <t>kanan</t>
        </is>
      </c>
      <c r="J286" s="17" t="n"/>
      <c r="K286" s="17" t="n"/>
      <c r="M286" s="17" t="inlineStr">
        <is>
          <t>kanan</t>
        </is>
      </c>
      <c r="N286" s="17" t="n"/>
      <c r="O286" s="17" t="n"/>
    </row>
    <row r="287" s="1">
      <c r="I287" s="17" t="inlineStr">
        <is>
          <t>kiri</t>
        </is>
      </c>
      <c r="J287" s="17" t="n"/>
      <c r="K287" s="17" t="n"/>
      <c r="M287" s="17" t="inlineStr">
        <is>
          <t>tengah</t>
        </is>
      </c>
      <c r="N287" s="17" t="n"/>
      <c r="O287" s="17" t="n"/>
    </row>
    <row r="288" s="1">
      <c r="I288" s="17" t="inlineStr">
        <is>
          <t>tengah</t>
        </is>
      </c>
      <c r="J288" s="17" t="n"/>
      <c r="K288" s="17" t="n"/>
      <c r="M288" s="17" t="inlineStr">
        <is>
          <t>kanan</t>
        </is>
      </c>
      <c r="N288" s="17" t="n"/>
      <c r="O288" s="17" t="n"/>
    </row>
    <row r="289" s="1">
      <c r="I289" s="17" t="inlineStr">
        <is>
          <t>tengah</t>
        </is>
      </c>
      <c r="J289" s="17" t="n"/>
      <c r="K289" s="17" t="n"/>
      <c r="M289" s="17" t="inlineStr">
        <is>
          <t>kanan</t>
        </is>
      </c>
      <c r="N289" s="17" t="n"/>
      <c r="O289" s="17" t="n"/>
    </row>
    <row r="290" s="1">
      <c r="I290" s="17" t="inlineStr">
        <is>
          <t>tengah</t>
        </is>
      </c>
      <c r="J290" s="17" t="n"/>
      <c r="K290" s="17" t="n"/>
      <c r="M290" s="17" t="inlineStr">
        <is>
          <t>tengah</t>
        </is>
      </c>
      <c r="N290" s="17" t="n"/>
      <c r="O290" s="17" t="n"/>
    </row>
    <row r="291" s="1">
      <c r="I291" s="17" t="inlineStr">
        <is>
          <t>kiri</t>
        </is>
      </c>
      <c r="J291" s="17" t="n"/>
      <c r="K291" s="17" t="n"/>
      <c r="M291" s="17" t="inlineStr">
        <is>
          <t>kanan</t>
        </is>
      </c>
      <c r="N291" s="17" t="n"/>
      <c r="O291" s="17" t="n"/>
    </row>
    <row r="292" s="1">
      <c r="I292" s="17" t="inlineStr">
        <is>
          <t>tengah</t>
        </is>
      </c>
      <c r="J292" s="17" t="n"/>
      <c r="K292" s="17" t="n"/>
      <c r="M292" s="17" t="inlineStr">
        <is>
          <t>kanan</t>
        </is>
      </c>
      <c r="N292" s="17" t="n"/>
      <c r="O292" s="17" t="n"/>
    </row>
    <row r="293" s="1">
      <c r="I293" s="17" t="inlineStr">
        <is>
          <t>kanan</t>
        </is>
      </c>
      <c r="J293" s="17" t="n"/>
      <c r="K293" s="17" t="n"/>
      <c r="M293" s="17" t="inlineStr">
        <is>
          <t>kanan</t>
        </is>
      </c>
      <c r="N293" s="17" t="n"/>
      <c r="O293" s="17" t="n"/>
    </row>
    <row r="294" s="1">
      <c r="I294" s="17" t="inlineStr">
        <is>
          <t>tengah</t>
        </is>
      </c>
      <c r="J294" s="17" t="n"/>
      <c r="K294" s="17" t="n"/>
      <c r="M294" s="17" t="inlineStr">
        <is>
          <t>tengah</t>
        </is>
      </c>
      <c r="N294" s="17" t="n"/>
      <c r="O294" s="17" t="n"/>
    </row>
    <row r="295" s="1">
      <c r="I295" s="17" t="inlineStr">
        <is>
          <t>kanan</t>
        </is>
      </c>
      <c r="J295" s="17" t="n"/>
      <c r="K295" s="17" t="n"/>
      <c r="M295" s="17" t="inlineStr">
        <is>
          <t>tengah</t>
        </is>
      </c>
      <c r="N295" s="17" t="n"/>
      <c r="O295" s="17" t="n"/>
    </row>
    <row r="296" s="1">
      <c r="I296" s="17" t="inlineStr">
        <is>
          <t>kanan</t>
        </is>
      </c>
      <c r="J296" s="17" t="n"/>
      <c r="K296" s="17" t="n"/>
      <c r="M296" s="17" t="inlineStr">
        <is>
          <t>tengah</t>
        </is>
      </c>
      <c r="N296" s="17" t="n"/>
      <c r="O296" s="17" t="n"/>
    </row>
    <row r="297" s="1">
      <c r="I297" s="17" t="inlineStr">
        <is>
          <t>tengah</t>
        </is>
      </c>
      <c r="J297" s="17" t="n"/>
      <c r="K297" s="17" t="n"/>
      <c r="M297" s="17" t="inlineStr">
        <is>
          <t>kanan</t>
        </is>
      </c>
      <c r="N297" s="17" t="n"/>
      <c r="O297" s="17" t="n"/>
    </row>
    <row r="298" s="1">
      <c r="I298" s="17" t="inlineStr">
        <is>
          <t>kanan</t>
        </is>
      </c>
      <c r="J298" s="17" t="n"/>
      <c r="K298" s="17" t="n"/>
      <c r="M298" s="17" t="inlineStr">
        <is>
          <t>tengah</t>
        </is>
      </c>
      <c r="N298" s="17" t="n"/>
      <c r="O298" s="17" t="n"/>
    </row>
    <row r="299" s="1">
      <c r="I299" s="17" t="inlineStr">
        <is>
          <t>kiri</t>
        </is>
      </c>
      <c r="J299" s="17" t="n"/>
      <c r="K299" s="17" t="n"/>
      <c r="M299" s="17" t="inlineStr">
        <is>
          <t>kanan</t>
        </is>
      </c>
      <c r="N299" s="17" t="n"/>
      <c r="O299" s="17" t="n"/>
    </row>
    <row r="300" s="1">
      <c r="I300" s="17" t="inlineStr">
        <is>
          <t>tengah</t>
        </is>
      </c>
      <c r="J300" s="17" t="n"/>
      <c r="K300" s="17" t="n"/>
      <c r="M300" s="17" t="inlineStr">
        <is>
          <t>kanan</t>
        </is>
      </c>
      <c r="N300" s="17" t="n"/>
      <c r="O300" s="17" t="n"/>
    </row>
    <row r="301" s="1">
      <c r="I301" s="17" t="inlineStr">
        <is>
          <t>tengah</t>
        </is>
      </c>
      <c r="J301" s="17" t="n"/>
      <c r="K301" s="17" t="n"/>
      <c r="M301" s="17" t="inlineStr">
        <is>
          <t>kanan</t>
        </is>
      </c>
      <c r="N301" s="17" t="n"/>
      <c r="O301" s="17" t="n"/>
    </row>
    <row r="302" s="1">
      <c r="I302" s="17" t="inlineStr">
        <is>
          <t>kanan</t>
        </is>
      </c>
      <c r="J302" s="17" t="n"/>
      <c r="K302" s="17" t="n"/>
      <c r="M302" s="17" t="inlineStr">
        <is>
          <t>tengah</t>
        </is>
      </c>
      <c r="N302" s="17" t="n"/>
      <c r="O302" s="17" t="n"/>
    </row>
    <row r="303" s="1">
      <c r="I303" s="17" t="inlineStr">
        <is>
          <t>tengah</t>
        </is>
      </c>
      <c r="J303" s="17" t="n"/>
      <c r="K303" s="17" t="n"/>
      <c r="M303" s="17" t="inlineStr">
        <is>
          <t>kanan</t>
        </is>
      </c>
      <c r="N303" s="17" t="n"/>
      <c r="O303" s="17" t="n"/>
    </row>
    <row r="304" s="1">
      <c r="I304" s="17" t="inlineStr">
        <is>
          <t>kiri</t>
        </is>
      </c>
      <c r="J304" s="17" t="n"/>
      <c r="K304" s="17" t="n"/>
      <c r="M304" s="17" t="inlineStr">
        <is>
          <t>kanan</t>
        </is>
      </c>
      <c r="N304" s="17" t="n"/>
      <c r="O304" s="17" t="n"/>
    </row>
    <row r="305" s="1">
      <c r="I305" s="17" t="inlineStr">
        <is>
          <t>tengah</t>
        </is>
      </c>
      <c r="J305" s="17" t="n"/>
      <c r="K305" s="17" t="n"/>
      <c r="M305" s="17" t="inlineStr">
        <is>
          <t>tengah</t>
        </is>
      </c>
      <c r="N305" s="17" t="n"/>
      <c r="O305" s="17" t="n"/>
    </row>
    <row r="306" s="1">
      <c r="I306" s="17" t="inlineStr">
        <is>
          <t>kanan</t>
        </is>
      </c>
      <c r="J306" s="17" t="n"/>
      <c r="K306" s="17" t="n"/>
      <c r="M306" s="17" t="inlineStr">
        <is>
          <t>kanan</t>
        </is>
      </c>
      <c r="N306" s="17" t="n"/>
      <c r="O306" s="17" t="n"/>
    </row>
    <row r="307" s="1">
      <c r="I307" s="17" t="inlineStr">
        <is>
          <t>tengah</t>
        </is>
      </c>
      <c r="J307" s="17" t="n"/>
      <c r="K307" s="17" t="n"/>
      <c r="M307" s="17" t="inlineStr">
        <is>
          <t>tengah</t>
        </is>
      </c>
      <c r="N307" s="17" t="n"/>
      <c r="O307" s="17" t="n"/>
    </row>
    <row r="308" s="1">
      <c r="I308" s="17" t="inlineStr">
        <is>
          <t>kiri</t>
        </is>
      </c>
      <c r="J308" s="17" t="n"/>
      <c r="K308" s="17" t="n"/>
      <c r="M308" s="17" t="inlineStr">
        <is>
          <t>tengah</t>
        </is>
      </c>
      <c r="N308" s="17" t="n"/>
      <c r="O308" s="17" t="n"/>
    </row>
    <row r="309" s="1">
      <c r="I309" s="17" t="inlineStr">
        <is>
          <t>tengah</t>
        </is>
      </c>
      <c r="J309" s="17" t="n"/>
      <c r="K309" s="17" t="n"/>
      <c r="M309" s="17" t="inlineStr">
        <is>
          <t>tengah</t>
        </is>
      </c>
      <c r="N309" s="17" t="n"/>
      <c r="O309" s="17" t="n"/>
    </row>
    <row r="310" s="1">
      <c r="I310" s="17" t="inlineStr">
        <is>
          <t>kiri</t>
        </is>
      </c>
      <c r="J310" s="17" t="n"/>
      <c r="K310" s="17" t="n"/>
      <c r="M310" s="17" t="inlineStr">
        <is>
          <t>kanan</t>
        </is>
      </c>
      <c r="N310" s="17" t="n"/>
      <c r="O310" s="17" t="n"/>
    </row>
    <row r="311" s="1">
      <c r="I311" s="17" t="inlineStr">
        <is>
          <t>kanan</t>
        </is>
      </c>
      <c r="J311" s="17" t="n"/>
      <c r="K311" s="17" t="n"/>
      <c r="M311" s="17" t="inlineStr">
        <is>
          <t>kanan</t>
        </is>
      </c>
      <c r="N311" s="17" t="n"/>
      <c r="O311" s="17" t="n"/>
    </row>
    <row r="312" s="1">
      <c r="I312" s="17" t="inlineStr">
        <is>
          <t>tengah</t>
        </is>
      </c>
      <c r="J312" s="17" t="n"/>
      <c r="K312" s="17" t="n"/>
      <c r="M312" s="17" t="inlineStr">
        <is>
          <t>tengah</t>
        </is>
      </c>
      <c r="N312" s="17" t="n"/>
      <c r="O312" s="17" t="n"/>
    </row>
    <row r="313" s="1">
      <c r="I313" s="17" t="inlineStr">
        <is>
          <t>tengah</t>
        </is>
      </c>
      <c r="J313" s="17" t="n"/>
      <c r="K313" s="17" t="n"/>
      <c r="M313" s="17" t="inlineStr">
        <is>
          <t>tengah</t>
        </is>
      </c>
      <c r="N313" s="17" t="n"/>
      <c r="O313" s="17" t="n"/>
    </row>
    <row r="314" s="1">
      <c r="I314" s="17" t="inlineStr">
        <is>
          <t>tengah</t>
        </is>
      </c>
      <c r="J314" s="17" t="n"/>
      <c r="K314" s="17" t="n"/>
      <c r="M314" s="17" t="inlineStr">
        <is>
          <t>kanan</t>
        </is>
      </c>
      <c r="N314" s="17" t="n"/>
      <c r="O314" s="17" t="n"/>
    </row>
    <row r="315" s="1">
      <c r="I315" s="17" t="inlineStr">
        <is>
          <t>tengah</t>
        </is>
      </c>
      <c r="J315" s="17" t="n"/>
      <c r="K315" s="17" t="n"/>
      <c r="M315" s="17" t="inlineStr">
        <is>
          <t>tengah</t>
        </is>
      </c>
      <c r="N315" s="17" t="n"/>
      <c r="O315" s="17" t="n"/>
    </row>
    <row r="316" s="1">
      <c r="I316" s="17" t="inlineStr">
        <is>
          <t>kiri</t>
        </is>
      </c>
      <c r="J316" s="17" t="n"/>
      <c r="K316" s="17" t="n"/>
      <c r="M316" s="17" t="inlineStr">
        <is>
          <t>kanan</t>
        </is>
      </c>
      <c r="N316" s="17" t="n"/>
      <c r="O316" s="17" t="n"/>
    </row>
    <row r="317" s="1">
      <c r="I317" s="17" t="inlineStr">
        <is>
          <t>kanan</t>
        </is>
      </c>
      <c r="J317" s="17" t="n"/>
      <c r="K317" s="17" t="n"/>
      <c r="M317" s="17" t="inlineStr">
        <is>
          <t>kanan</t>
        </is>
      </c>
      <c r="N317" s="17" t="n"/>
      <c r="O317" s="17" t="n"/>
    </row>
    <row r="318" s="1">
      <c r="I318" s="17" t="inlineStr">
        <is>
          <t>kanan</t>
        </is>
      </c>
      <c r="J318" s="17" t="n"/>
      <c r="K318" s="17" t="n"/>
      <c r="M318" s="17" t="inlineStr">
        <is>
          <t>kanan</t>
        </is>
      </c>
      <c r="N318" s="17" t="n"/>
      <c r="O318" s="17" t="n"/>
    </row>
    <row r="319" s="1">
      <c r="I319" s="17" t="inlineStr">
        <is>
          <t>kanan</t>
        </is>
      </c>
      <c r="J319" s="17" t="n"/>
      <c r="K319" s="17" t="n"/>
      <c r="M319" s="17" t="inlineStr">
        <is>
          <t>kanan</t>
        </is>
      </c>
      <c r="N319" s="17" t="n"/>
      <c r="O319" s="17" t="n"/>
    </row>
    <row r="320" s="1">
      <c r="I320" s="17" t="inlineStr">
        <is>
          <t>kiri</t>
        </is>
      </c>
      <c r="J320" s="17" t="n"/>
      <c r="K320" s="17" t="n"/>
      <c r="M320" s="17" t="inlineStr">
        <is>
          <t>kanan</t>
        </is>
      </c>
      <c r="N320" s="17" t="n"/>
      <c r="O320" s="17" t="n"/>
    </row>
    <row r="321" s="1">
      <c r="I321" s="17" t="inlineStr">
        <is>
          <t>kanan</t>
        </is>
      </c>
      <c r="J321" s="17" t="n"/>
      <c r="K321" s="17" t="n"/>
      <c r="M321" s="17" t="inlineStr">
        <is>
          <t>tengah</t>
        </is>
      </c>
      <c r="N321" s="17" t="n"/>
      <c r="O321" s="17" t="n"/>
    </row>
    <row r="322" s="1">
      <c r="I322" s="17" t="inlineStr">
        <is>
          <t>tengah</t>
        </is>
      </c>
      <c r="J322" s="17" t="n"/>
      <c r="K322" s="17" t="n"/>
      <c r="M322" s="17" t="inlineStr">
        <is>
          <t>tengah</t>
        </is>
      </c>
      <c r="N322" s="17" t="n"/>
      <c r="O322" s="17" t="n"/>
    </row>
    <row r="323" s="1">
      <c r="I323" s="17" t="inlineStr">
        <is>
          <t>tengah</t>
        </is>
      </c>
      <c r="J323" s="17" t="n"/>
      <c r="K323" s="17" t="n"/>
      <c r="M323" s="17" t="inlineStr">
        <is>
          <t>kanan</t>
        </is>
      </c>
      <c r="N323" s="17" t="n"/>
      <c r="O323" s="17" t="n"/>
    </row>
    <row r="324" s="1">
      <c r="I324" s="17" t="inlineStr">
        <is>
          <t>kanan</t>
        </is>
      </c>
      <c r="J324" s="17" t="n"/>
      <c r="K324" s="17" t="n"/>
      <c r="M324" s="17" t="inlineStr">
        <is>
          <t>kanan</t>
        </is>
      </c>
      <c r="N324" s="17" t="n"/>
      <c r="O324" s="17" t="n"/>
    </row>
    <row r="325" s="1">
      <c r="I325" s="17" t="inlineStr">
        <is>
          <t>kiri</t>
        </is>
      </c>
      <c r="J325" s="17" t="n"/>
      <c r="K325" s="17" t="n"/>
      <c r="M325" s="17" t="inlineStr">
        <is>
          <t>kanan</t>
        </is>
      </c>
      <c r="N325" s="17" t="n"/>
      <c r="O325" s="17" t="n"/>
    </row>
    <row r="326" s="1">
      <c r="I326" s="17" t="inlineStr">
        <is>
          <t>kanan</t>
        </is>
      </c>
      <c r="J326" s="17" t="n"/>
      <c r="K326" s="17" t="n"/>
      <c r="M326" s="17" t="inlineStr">
        <is>
          <t>kanan</t>
        </is>
      </c>
      <c r="N326" s="17" t="n"/>
      <c r="O326" s="17" t="n"/>
    </row>
    <row r="327" s="1">
      <c r="I327" s="17" t="inlineStr">
        <is>
          <t>tengah</t>
        </is>
      </c>
      <c r="J327" s="17" t="n"/>
      <c r="K327" s="17" t="n"/>
      <c r="M327" s="17" t="inlineStr">
        <is>
          <t>kanan</t>
        </is>
      </c>
      <c r="N327" s="17" t="n"/>
      <c r="O327" s="17" t="n"/>
    </row>
    <row r="328" s="1">
      <c r="I328" s="17" t="inlineStr">
        <is>
          <t>tengah</t>
        </is>
      </c>
      <c r="J328" s="17" t="n"/>
      <c r="K328" s="17" t="n"/>
      <c r="M328" s="17" t="inlineStr">
        <is>
          <t>kanan</t>
        </is>
      </c>
      <c r="N328" s="17" t="n"/>
      <c r="O328" s="17" t="n"/>
    </row>
    <row r="329" s="1">
      <c r="I329" s="17" t="inlineStr">
        <is>
          <t>tengah</t>
        </is>
      </c>
      <c r="J329" s="17" t="n"/>
      <c r="K329" s="17" t="n"/>
      <c r="M329" s="17" t="inlineStr">
        <is>
          <t>kanan</t>
        </is>
      </c>
      <c r="N329" s="17" t="n"/>
      <c r="O329" s="17" t="n"/>
    </row>
    <row r="330" s="1">
      <c r="I330" s="17" t="inlineStr">
        <is>
          <t>tengah</t>
        </is>
      </c>
      <c r="J330" s="17" t="n"/>
      <c r="K330" s="17" t="n"/>
      <c r="M330" s="17" t="inlineStr">
        <is>
          <t>kanan</t>
        </is>
      </c>
      <c r="N330" s="17" t="n"/>
      <c r="O330" s="17" t="n"/>
    </row>
    <row r="331" s="1">
      <c r="I331" s="17" t="inlineStr">
        <is>
          <t>kanan</t>
        </is>
      </c>
      <c r="J331" s="17" t="n"/>
      <c r="K331" s="17" t="n"/>
      <c r="M331" s="17" t="inlineStr">
        <is>
          <t>tengah</t>
        </is>
      </c>
      <c r="N331" s="17" t="n"/>
      <c r="O331" s="17" t="n"/>
    </row>
    <row r="332" s="1">
      <c r="I332" s="17" t="inlineStr">
        <is>
          <t>tengah</t>
        </is>
      </c>
      <c r="J332" s="17" t="n"/>
      <c r="K332" s="17" t="n"/>
      <c r="M332" s="17" t="inlineStr">
        <is>
          <t>tengah</t>
        </is>
      </c>
      <c r="N332" s="17" t="n"/>
      <c r="O332" s="17" t="n"/>
    </row>
  </sheetData>
  <pageMargins left="0.7" right="0.7" top="0.75" bottom="0.75" header="0.511811023622047" footer="0.511811023622047"/>
  <pageSetup orientation="portrait" paperSize="1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20" customWidth="1" style="1" min="2" max="2"/>
    <col width="15" customWidth="1" style="1" min="3" max="3"/>
    <col width="10" customWidth="1" style="1" min="4" max="4"/>
  </cols>
  <sheetData>
    <row r="1">
      <c r="A1" s="46" t="inlineStr">
        <is>
          <t>Random Sampling Data - Feature Importance</t>
        </is>
      </c>
    </row>
    <row r="2">
      <c r="A2" s="47" t="inlineStr">
        <is>
          <t>Pengambilan sampel data secara acak untuk membentuk subset data training</t>
        </is>
      </c>
    </row>
    <row r="4">
      <c r="A4" s="48" t="inlineStr">
        <is>
          <t>Variabel / Fitur</t>
        </is>
      </c>
      <c r="B4" s="48" t="inlineStr">
        <is>
          <t>Importance Score</t>
        </is>
      </c>
      <c r="C4" s="48" t="inlineStr">
        <is>
          <t>Keterangan</t>
        </is>
      </c>
      <c r="D4" s="48" t="inlineStr">
        <is>
          <t>Rank</t>
        </is>
      </c>
    </row>
    <row r="5">
      <c r="A5" s="49" t="inlineStr">
        <is>
          <t>Usia</t>
        </is>
      </c>
      <c r="B5" s="49" t="n">
        <v>0.744814</v>
      </c>
      <c r="C5" s="50" t="inlineStr">
        <is>
          <t>X1 - Usia pasien</t>
        </is>
      </c>
      <c r="D5" s="49" t="n">
        <v>2</v>
      </c>
    </row>
    <row r="6">
      <c r="A6" s="49" t="inlineStr">
        <is>
          <t>Lama Rawat Inap</t>
        </is>
      </c>
      <c r="B6" s="49" t="n">
        <v>0.407389</v>
      </c>
      <c r="C6" s="50" t="inlineStr">
        <is>
          <t>X2 - Lama rawat inap</t>
        </is>
      </c>
      <c r="D6" s="49" t="n">
        <v>4</v>
      </c>
    </row>
    <row r="7">
      <c r="A7" s="49" t="inlineStr">
        <is>
          <t>Jenis Kelamin</t>
        </is>
      </c>
      <c r="B7" s="49" t="n">
        <v>0.803722</v>
      </c>
      <c r="C7" s="50" t="inlineStr">
        <is>
          <t>X3 - L/P</t>
        </is>
      </c>
      <c r="D7" s="49" t="n">
        <v>1</v>
      </c>
    </row>
    <row r="8">
      <c r="A8" s="49" t="inlineStr">
        <is>
          <t>Jumlah Kasus Per Bulan</t>
        </is>
      </c>
      <c r="B8" s="49" t="n">
        <v>0.547665</v>
      </c>
      <c r="C8" s="50" t="inlineStr">
        <is>
          <t>X4 - Kasus per bulan</t>
        </is>
      </c>
      <c r="D8" s="49" t="n">
        <v>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22" customWidth="1" style="1" min="1" max="1"/>
    <col width="24" customWidth="1" style="1" min="2" max="2"/>
    <col width="14" customWidth="1" style="1" min="3" max="3"/>
    <col width="16" customWidth="1" style="1" min="4" max="4"/>
    <col width="14" customWidth="1" style="1" min="5" max="5"/>
    <col width="14" customWidth="1" style="1" min="6" max="6"/>
    <col width="12" customWidth="1" style="1" min="7" max="7"/>
  </cols>
  <sheetData>
    <row r="1">
      <c r="A1" s="46" t="inlineStr">
        <is>
          <t>Perhitungan Evaluasi Random Forest - 15 Sampel Pohon</t>
        </is>
      </c>
    </row>
    <row r="2">
      <c r="A2" s="47" t="inlineStr">
        <is>
          <t>Metode Evaluasi: MAE, RMSE, R² untuk setiap sampel pohon (mengikuti Bab IV)</t>
        </is>
      </c>
    </row>
    <row r="4">
      <c r="A4" s="51" t="inlineStr">
        <is>
          <t>Sampel Pohon 1</t>
        </is>
      </c>
    </row>
    <row r="6">
      <c r="A6" s="48" t="inlineStr">
        <is>
          <t>Prediksi Sampel</t>
        </is>
      </c>
      <c r="B6" s="48" t="inlineStr">
        <is>
          <t>Aktual</t>
        </is>
      </c>
      <c r="C6" s="48" t="inlineStr">
        <is>
          <t>|Yi − Ŷi|</t>
        </is>
      </c>
      <c r="D6" s="48" t="inlineStr">
        <is>
          <t>(Yi − Ŷi)²</t>
        </is>
      </c>
      <c r="E6" s="48" t="inlineStr">
        <is>
          <t>ỷ (Yi−mean)</t>
        </is>
      </c>
      <c r="F6" s="48" t="inlineStr">
        <is>
          <t>(ỷ)²</t>
        </is>
      </c>
    </row>
    <row r="7">
      <c r="A7" s="49" t="n">
        <v>46</v>
      </c>
      <c r="B7" s="49" t="n">
        <v>13</v>
      </c>
      <c r="C7" s="49" t="n">
        <v>33</v>
      </c>
      <c r="D7" s="49" t="n">
        <v>1089</v>
      </c>
      <c r="E7" s="49" t="n">
        <v>-5.800000000000001</v>
      </c>
      <c r="F7" s="49" t="n">
        <v>33.64000000000001</v>
      </c>
      <c r="H7" s="52" t="inlineStr">
        <is>
          <t>MAE</t>
        </is>
      </c>
      <c r="I7" s="52" t="n">
        <v>22.6</v>
      </c>
    </row>
    <row r="8">
      <c r="A8" s="49" t="n">
        <v>11</v>
      </c>
      <c r="B8" s="49" t="n">
        <v>33</v>
      </c>
      <c r="C8" s="49" t="n">
        <v>22</v>
      </c>
      <c r="D8" s="49" t="n">
        <v>484</v>
      </c>
      <c r="E8" s="49" t="n">
        <v>14.2</v>
      </c>
      <c r="F8" s="49" t="n">
        <v>201.64</v>
      </c>
      <c r="H8" s="52" t="inlineStr">
        <is>
          <t>RMSE</t>
        </is>
      </c>
      <c r="I8" s="52" t="n">
        <v>23.5924</v>
      </c>
    </row>
    <row r="9">
      <c r="A9" s="49" t="n">
        <v>40</v>
      </c>
      <c r="B9" s="49" t="n">
        <v>15</v>
      </c>
      <c r="C9" s="49" t="n">
        <v>25</v>
      </c>
      <c r="D9" s="49" t="n">
        <v>625</v>
      </c>
      <c r="E9" s="49" t="n">
        <v>-3.800000000000001</v>
      </c>
      <c r="F9" s="49" t="n">
        <v>14.44</v>
      </c>
      <c r="H9" s="52" t="inlineStr">
        <is>
          <t>R²</t>
        </is>
      </c>
      <c r="I9" s="52" t="n">
        <v>-8.252000000000001</v>
      </c>
    </row>
    <row r="10">
      <c r="A10" s="49" t="n">
        <v>33</v>
      </c>
      <c r="B10" s="49" t="n">
        <v>21</v>
      </c>
      <c r="C10" s="49" t="n">
        <v>12</v>
      </c>
      <c r="D10" s="49" t="n">
        <v>144</v>
      </c>
      <c r="E10" s="49" t="n">
        <v>2.199999999999999</v>
      </c>
      <c r="F10" s="49" t="n">
        <v>4.839999999999997</v>
      </c>
    </row>
    <row r="11">
      <c r="A11" s="49" t="n">
        <v>33</v>
      </c>
      <c r="B11" s="49" t="n">
        <v>12</v>
      </c>
      <c r="C11" s="49" t="n">
        <v>21</v>
      </c>
      <c r="D11" s="49" t="n">
        <v>441</v>
      </c>
      <c r="E11" s="49" t="n">
        <v>-6.800000000000001</v>
      </c>
      <c r="F11" s="49" t="n">
        <v>46.24000000000001</v>
      </c>
    </row>
    <row r="12">
      <c r="A12" s="52" t="inlineStr">
        <is>
          <t>Rata-Rata</t>
        </is>
      </c>
      <c r="B12" s="52" t="n"/>
      <c r="C12" s="52" t="n"/>
      <c r="D12" s="52" t="n"/>
      <c r="E12" s="52" t="n"/>
      <c r="F12" s="52" t="n"/>
    </row>
    <row r="14">
      <c r="A14" s="51" t="inlineStr">
        <is>
          <t>Sampel Pohon 2</t>
        </is>
      </c>
    </row>
    <row r="16">
      <c r="A16" s="48" t="inlineStr">
        <is>
          <t>Prediksi Sampel</t>
        </is>
      </c>
      <c r="B16" s="48" t="inlineStr">
        <is>
          <t>Aktual</t>
        </is>
      </c>
      <c r="C16" s="48" t="inlineStr">
        <is>
          <t>|Yi − Ŷi|</t>
        </is>
      </c>
      <c r="D16" s="48" t="inlineStr">
        <is>
          <t>(Yi − Ŷi)²</t>
        </is>
      </c>
      <c r="E16" s="48" t="inlineStr">
        <is>
          <t>ỷ (Yi−mean)</t>
        </is>
      </c>
      <c r="F16" s="48" t="inlineStr">
        <is>
          <t>(ỷ)²</t>
        </is>
      </c>
    </row>
    <row r="17">
      <c r="A17" s="49" t="n">
        <v>21</v>
      </c>
      <c r="B17" s="49" t="n">
        <v>11</v>
      </c>
      <c r="C17" s="49" t="n">
        <v>10</v>
      </c>
      <c r="D17" s="49" t="n">
        <v>100</v>
      </c>
      <c r="E17" s="49" t="n">
        <v>-16</v>
      </c>
      <c r="F17" s="49" t="n">
        <v>256</v>
      </c>
      <c r="H17" s="52" t="inlineStr">
        <is>
          <t>MAE</t>
        </is>
      </c>
      <c r="I17" s="52" t="n">
        <v>23.29</v>
      </c>
    </row>
    <row r="18">
      <c r="A18" s="49" t="n">
        <v>23</v>
      </c>
      <c r="B18" s="49" t="n">
        <v>70</v>
      </c>
      <c r="C18" s="49" t="n">
        <v>47</v>
      </c>
      <c r="D18" s="49" t="n">
        <v>2209</v>
      </c>
      <c r="E18" s="49" t="n">
        <v>43</v>
      </c>
      <c r="F18" s="49" t="n">
        <v>1849</v>
      </c>
      <c r="H18" s="52" t="inlineStr">
        <is>
          <t>RMSE</t>
        </is>
      </c>
      <c r="I18" s="52" t="n">
        <v>27.7051</v>
      </c>
    </row>
    <row r="19">
      <c r="A19" s="49" t="n">
        <v>4</v>
      </c>
      <c r="B19" s="49" t="n">
        <v>23</v>
      </c>
      <c r="C19" s="49" t="n">
        <v>19</v>
      </c>
      <c r="D19" s="49" t="n">
        <v>361</v>
      </c>
      <c r="E19" s="49" t="n">
        <v>-4</v>
      </c>
      <c r="F19" s="49" t="n">
        <v>16</v>
      </c>
      <c r="H19" s="52" t="inlineStr">
        <is>
          <t>R²</t>
        </is>
      </c>
      <c r="I19" s="52" t="n">
        <v>-0.519</v>
      </c>
    </row>
    <row r="20">
      <c r="A20" s="49" t="n">
        <v>30</v>
      </c>
      <c r="B20" s="49" t="n">
        <v>27</v>
      </c>
      <c r="C20" s="49" t="n">
        <v>3</v>
      </c>
      <c r="D20" s="49" t="n">
        <v>9</v>
      </c>
      <c r="E20" s="49" t="n">
        <v>0</v>
      </c>
      <c r="F20" s="49" t="n">
        <v>0</v>
      </c>
    </row>
    <row r="21">
      <c r="A21" s="49" t="n">
        <v>44</v>
      </c>
      <c r="B21" s="49" t="n">
        <v>7</v>
      </c>
      <c r="C21" s="49" t="n">
        <v>37</v>
      </c>
      <c r="D21" s="49" t="n">
        <v>1369</v>
      </c>
      <c r="E21" s="49" t="n">
        <v>-20</v>
      </c>
      <c r="F21" s="49" t="n">
        <v>400</v>
      </c>
    </row>
    <row r="22">
      <c r="A22" s="49" t="n">
        <v>14</v>
      </c>
      <c r="B22" s="49" t="n">
        <v>48</v>
      </c>
      <c r="C22" s="49" t="n">
        <v>34</v>
      </c>
      <c r="D22" s="49" t="n">
        <v>1156</v>
      </c>
      <c r="E22" s="49" t="n">
        <v>21</v>
      </c>
      <c r="F22" s="49" t="n">
        <v>441</v>
      </c>
    </row>
    <row r="23">
      <c r="A23" s="49" t="n">
        <v>16</v>
      </c>
      <c r="B23" s="49" t="n">
        <v>3</v>
      </c>
      <c r="C23" s="49" t="n">
        <v>13</v>
      </c>
      <c r="D23" s="49" t="n">
        <v>169</v>
      </c>
      <c r="E23" s="49" t="n">
        <v>-24</v>
      </c>
      <c r="F23" s="49" t="n">
        <v>576</v>
      </c>
    </row>
    <row r="24">
      <c r="A24" s="52" t="inlineStr">
        <is>
          <t>Rata-Rata</t>
        </is>
      </c>
      <c r="B24" s="52" t="n"/>
      <c r="C24" s="52" t="n"/>
      <c r="D24" s="52" t="n"/>
      <c r="E24" s="52" t="n"/>
      <c r="F24" s="52" t="n"/>
    </row>
    <row r="26">
      <c r="A26" s="51" t="inlineStr">
        <is>
          <t>Sampel Pohon 3</t>
        </is>
      </c>
    </row>
    <row r="28">
      <c r="A28" s="48" t="inlineStr">
        <is>
          <t>Prediksi Sampel</t>
        </is>
      </c>
      <c r="B28" s="48" t="inlineStr">
        <is>
          <t>Aktual</t>
        </is>
      </c>
      <c r="C28" s="48" t="inlineStr">
        <is>
          <t>|Yi − Ŷi|</t>
        </is>
      </c>
      <c r="D28" s="48" t="inlineStr">
        <is>
          <t>(Yi − Ŷi)²</t>
        </is>
      </c>
      <c r="E28" s="48" t="inlineStr">
        <is>
          <t>ỷ (Yi−mean)</t>
        </is>
      </c>
      <c r="F28" s="48" t="inlineStr">
        <is>
          <t>(ỷ)²</t>
        </is>
      </c>
    </row>
    <row r="29">
      <c r="A29" s="49" t="n">
        <v>23</v>
      </c>
      <c r="B29" s="49" t="n">
        <v>2</v>
      </c>
      <c r="C29" s="49" t="n">
        <v>21</v>
      </c>
      <c r="D29" s="49" t="n">
        <v>441</v>
      </c>
      <c r="E29" s="49" t="n">
        <v>-1.222222222222222</v>
      </c>
      <c r="F29" s="49" t="n">
        <v>1.493827160493827</v>
      </c>
      <c r="H29" s="52" t="inlineStr">
        <is>
          <t>MAE</t>
        </is>
      </c>
      <c r="I29" s="52" t="n">
        <v>14.89</v>
      </c>
    </row>
    <row r="30">
      <c r="A30" s="49" t="n">
        <v>9</v>
      </c>
      <c r="B30" s="49" t="n">
        <v>5</v>
      </c>
      <c r="C30" s="49" t="n">
        <v>4</v>
      </c>
      <c r="D30" s="49" t="n">
        <v>16</v>
      </c>
      <c r="E30" s="49" t="n">
        <v>1.777777777777778</v>
      </c>
      <c r="F30" s="49" t="n">
        <v>3.160493827160494</v>
      </c>
      <c r="H30" s="52" t="inlineStr">
        <is>
          <t>RMSE</t>
        </is>
      </c>
      <c r="I30" s="52" t="n">
        <v>21.124</v>
      </c>
    </row>
    <row r="31">
      <c r="A31" s="49" t="n">
        <v>4</v>
      </c>
      <c r="B31" s="49" t="n">
        <v>4</v>
      </c>
      <c r="C31" s="49" t="n">
        <v>0</v>
      </c>
      <c r="D31" s="49" t="n">
        <v>0</v>
      </c>
      <c r="E31" s="49" t="n">
        <v>0.7777777777777777</v>
      </c>
      <c r="F31" s="49" t="n">
        <v>0.6049382716049381</v>
      </c>
      <c r="H31" s="52" t="inlineStr">
        <is>
          <t>R²</t>
        </is>
      </c>
      <c r="I31" s="52" t="n">
        <v>-257.17</v>
      </c>
    </row>
    <row r="32">
      <c r="A32" s="49" t="n">
        <v>28</v>
      </c>
      <c r="B32" s="49" t="n">
        <v>3</v>
      </c>
      <c r="C32" s="49" t="n">
        <v>25</v>
      </c>
      <c r="D32" s="49" t="n">
        <v>625</v>
      </c>
      <c r="E32" s="49" t="n">
        <v>-0.2222222222222223</v>
      </c>
      <c r="F32" s="49" t="n">
        <v>0.04938271604938276</v>
      </c>
    </row>
    <row r="33">
      <c r="A33" s="49" t="n">
        <v>54</v>
      </c>
      <c r="B33" s="49" t="n">
        <v>4</v>
      </c>
      <c r="C33" s="49" t="n">
        <v>50</v>
      </c>
      <c r="D33" s="49" t="n">
        <v>2500</v>
      </c>
      <c r="E33" s="49" t="n">
        <v>0.7777777777777777</v>
      </c>
      <c r="F33" s="49" t="n">
        <v>0.6049382716049381</v>
      </c>
    </row>
    <row r="34">
      <c r="A34" s="49" t="n">
        <v>5</v>
      </c>
      <c r="B34" s="49" t="n">
        <v>2</v>
      </c>
      <c r="C34" s="49" t="n">
        <v>3</v>
      </c>
      <c r="D34" s="49" t="n">
        <v>9</v>
      </c>
      <c r="E34" s="49" t="n">
        <v>-1.222222222222222</v>
      </c>
      <c r="F34" s="49" t="n">
        <v>1.493827160493827</v>
      </c>
    </row>
    <row r="35">
      <c r="A35" s="49" t="n">
        <v>19</v>
      </c>
      <c r="B35" s="49" t="n">
        <v>5</v>
      </c>
      <c r="C35" s="49" t="n">
        <v>14</v>
      </c>
      <c r="D35" s="49" t="n">
        <v>196</v>
      </c>
      <c r="E35" s="49" t="n">
        <v>1.777777777777778</v>
      </c>
      <c r="F35" s="49" t="n">
        <v>3.160493827160494</v>
      </c>
    </row>
    <row r="36">
      <c r="A36" s="52" t="inlineStr">
        <is>
          <t>Rata-Rata</t>
        </is>
      </c>
      <c r="B36" s="52" t="n"/>
      <c r="C36" s="52" t="n"/>
      <c r="D36" s="52" t="n"/>
      <c r="E36" s="52" t="n"/>
      <c r="F36" s="52" t="n"/>
    </row>
    <row r="38">
      <c r="A38" s="51" t="inlineStr">
        <is>
          <t>Sampel Pohon 4</t>
        </is>
      </c>
    </row>
    <row r="40">
      <c r="A40" s="48" t="inlineStr">
        <is>
          <t>Prediksi Sampel</t>
        </is>
      </c>
      <c r="B40" s="48" t="inlineStr">
        <is>
          <t>Aktual</t>
        </is>
      </c>
      <c r="C40" s="48" t="inlineStr">
        <is>
          <t>|Yi − Ŷi|</t>
        </is>
      </c>
      <c r="D40" s="48" t="inlineStr">
        <is>
          <t>(Yi − Ŷi)²</t>
        </is>
      </c>
      <c r="E40" s="48" t="inlineStr">
        <is>
          <t>ỷ (Yi−mean)</t>
        </is>
      </c>
      <c r="F40" s="48" t="inlineStr">
        <is>
          <t>(ỷ)²</t>
        </is>
      </c>
    </row>
    <row r="41">
      <c r="A41" s="49" t="n">
        <v>42</v>
      </c>
      <c r="B41" s="49" t="n">
        <v>0</v>
      </c>
      <c r="C41" s="49" t="n">
        <v>42</v>
      </c>
      <c r="D41" s="49" t="n">
        <v>1764</v>
      </c>
      <c r="E41" s="49" t="n">
        <v>-0.5</v>
      </c>
      <c r="F41" s="49" t="n">
        <v>0.25</v>
      </c>
      <c r="H41" s="52" t="inlineStr">
        <is>
          <t>MAE</t>
        </is>
      </c>
      <c r="I41" s="52" t="n">
        <v>26.67</v>
      </c>
    </row>
    <row r="42">
      <c r="A42" s="49" t="n">
        <v>36</v>
      </c>
      <c r="B42" s="49" t="n">
        <v>1</v>
      </c>
      <c r="C42" s="49" t="n">
        <v>35</v>
      </c>
      <c r="D42" s="49" t="n">
        <v>1225</v>
      </c>
      <c r="E42" s="49" t="n">
        <v>0.5</v>
      </c>
      <c r="F42" s="49" t="n">
        <v>0.25</v>
      </c>
      <c r="H42" s="52" t="inlineStr">
        <is>
          <t>RMSE</t>
        </is>
      </c>
      <c r="I42" s="52" t="n">
        <v>30.9462</v>
      </c>
    </row>
    <row r="43">
      <c r="A43" s="49" t="n">
        <v>5</v>
      </c>
      <c r="B43" s="49" t="n">
        <v>1</v>
      </c>
      <c r="C43" s="49" t="n">
        <v>4</v>
      </c>
      <c r="D43" s="49" t="n">
        <v>16</v>
      </c>
      <c r="E43" s="49" t="n">
        <v>0.5</v>
      </c>
      <c r="F43" s="49" t="n">
        <v>0.25</v>
      </c>
      <c r="H43" s="52" t="inlineStr">
        <is>
          <t>R²</t>
        </is>
      </c>
      <c r="I43" s="52" t="n">
        <v>-3829.7</v>
      </c>
    </row>
    <row r="44">
      <c r="A44" s="49" t="n">
        <v>41</v>
      </c>
      <c r="B44" s="49" t="n">
        <v>0</v>
      </c>
      <c r="C44" s="49" t="n">
        <v>41</v>
      </c>
      <c r="D44" s="49" t="n">
        <v>1681</v>
      </c>
      <c r="E44" s="49" t="n">
        <v>-0.5</v>
      </c>
      <c r="F44" s="49" t="n">
        <v>0.25</v>
      </c>
    </row>
    <row r="45">
      <c r="A45" s="49" t="n">
        <v>33</v>
      </c>
      <c r="B45" s="49" t="n">
        <v>1</v>
      </c>
      <c r="C45" s="49" t="n">
        <v>32</v>
      </c>
      <c r="D45" s="49" t="n">
        <v>1024</v>
      </c>
      <c r="E45" s="49" t="n">
        <v>0.5</v>
      </c>
      <c r="F45" s="49" t="n">
        <v>0.25</v>
      </c>
    </row>
    <row r="46">
      <c r="A46" s="49" t="n">
        <v>6</v>
      </c>
      <c r="B46" s="49" t="n">
        <v>0</v>
      </c>
      <c r="C46" s="49" t="n">
        <v>6</v>
      </c>
      <c r="D46" s="49" t="n">
        <v>36</v>
      </c>
      <c r="E46" s="49" t="n">
        <v>-0.5</v>
      </c>
      <c r="F46" s="49" t="n">
        <v>0.25</v>
      </c>
    </row>
    <row r="47">
      <c r="A47" s="52" t="inlineStr">
        <is>
          <t>Rata-Rata</t>
        </is>
      </c>
      <c r="B47" s="52" t="n"/>
      <c r="C47" s="52" t="n"/>
      <c r="D47" s="52" t="n"/>
      <c r="E47" s="52" t="n"/>
      <c r="F47" s="52" t="n"/>
    </row>
    <row r="49">
      <c r="A49" s="53" t="inlineStr">
        <is>
          <t>Sampel Pohon 5</t>
        </is>
      </c>
    </row>
    <row r="51">
      <c r="A51" s="48" t="inlineStr">
        <is>
          <t>Prediksi Sampel</t>
        </is>
      </c>
      <c r="B51" s="48" t="inlineStr">
        <is>
          <t>Aktual</t>
        </is>
      </c>
      <c r="C51" s="48" t="inlineStr">
        <is>
          <t>|Yi − Ŷi|</t>
        </is>
      </c>
      <c r="D51" s="48" t="inlineStr">
        <is>
          <t>(Yi − Ŷi)²</t>
        </is>
      </c>
      <c r="E51" s="48" t="inlineStr">
        <is>
          <t>ỷ (Yi−mean)</t>
        </is>
      </c>
      <c r="F51" s="48" t="inlineStr">
        <is>
          <t>(ỷ)²</t>
        </is>
      </c>
    </row>
    <row r="52">
      <c r="A52" s="54" t="n">
        <v>13</v>
      </c>
      <c r="B52" s="54" t="n">
        <v>7</v>
      </c>
      <c r="C52" s="54" t="n">
        <v>6</v>
      </c>
      <c r="D52" s="54" t="n">
        <v>36</v>
      </c>
      <c r="E52" s="54" t="n">
        <v>-11</v>
      </c>
      <c r="F52" s="54" t="n">
        <v>121</v>
      </c>
      <c r="H52" s="55" t="inlineStr">
        <is>
          <t>MAE</t>
        </is>
      </c>
      <c r="I52" s="55" t="n">
        <v>20.6</v>
      </c>
    </row>
    <row r="53">
      <c r="A53" s="54" t="n">
        <v>18</v>
      </c>
      <c r="B53" s="54" t="n">
        <v>33</v>
      </c>
      <c r="C53" s="54" t="n">
        <v>15</v>
      </c>
      <c r="D53" s="54" t="n">
        <v>225</v>
      </c>
      <c r="E53" s="54" t="n">
        <v>15</v>
      </c>
      <c r="F53" s="54" t="n">
        <v>225</v>
      </c>
      <c r="H53" s="55" t="inlineStr">
        <is>
          <t>RMSE</t>
        </is>
      </c>
      <c r="I53" s="55" t="n">
        <v>0.724</v>
      </c>
    </row>
    <row r="54">
      <c r="A54" s="54" t="n">
        <v>36</v>
      </c>
      <c r="B54" s="54" t="n">
        <v>15</v>
      </c>
      <c r="C54" s="54" t="n">
        <v>21</v>
      </c>
      <c r="D54" s="54" t="n">
        <v>441</v>
      </c>
      <c r="E54" s="54" t="n">
        <v>-3</v>
      </c>
      <c r="F54" s="54" t="n">
        <v>9</v>
      </c>
      <c r="H54" s="55" t="inlineStr">
        <is>
          <t>R²</t>
        </is>
      </c>
      <c r="I54" s="55" t="n">
        <v>0.993</v>
      </c>
    </row>
    <row r="55">
      <c r="A55" s="54" t="n">
        <v>57</v>
      </c>
      <c r="B55" s="54" t="n">
        <v>21</v>
      </c>
      <c r="C55" s="54" t="n">
        <v>36</v>
      </c>
      <c r="D55" s="54" t="n">
        <v>1296</v>
      </c>
      <c r="E55" s="54" t="n">
        <v>3</v>
      </c>
      <c r="F55" s="54" t="n">
        <v>9</v>
      </c>
    </row>
    <row r="56">
      <c r="A56" s="54" t="n">
        <v>39</v>
      </c>
      <c r="B56" s="54" t="n">
        <v>14</v>
      </c>
      <c r="C56" s="54" t="n">
        <v>25</v>
      </c>
      <c r="D56" s="54" t="n">
        <v>625</v>
      </c>
      <c r="E56" s="54" t="n">
        <v>-4</v>
      </c>
      <c r="F56" s="54" t="n">
        <v>16</v>
      </c>
    </row>
    <row r="57">
      <c r="A57" s="55" t="inlineStr">
        <is>
          <t>Rata-Rata</t>
        </is>
      </c>
      <c r="B57" s="55" t="n"/>
      <c r="C57" s="55" t="n"/>
      <c r="D57" s="55" t="n"/>
      <c r="E57" s="55" t="n"/>
      <c r="F57" s="55" t="n"/>
    </row>
    <row r="59">
      <c r="A59" s="51" t="inlineStr">
        <is>
          <t>Sampel Pohon 6</t>
        </is>
      </c>
    </row>
    <row r="61">
      <c r="A61" s="48" t="inlineStr">
        <is>
          <t>Prediksi Sampel</t>
        </is>
      </c>
      <c r="B61" s="48" t="inlineStr">
        <is>
          <t>Aktual</t>
        </is>
      </c>
      <c r="C61" s="48" t="inlineStr">
        <is>
          <t>|Yi − Ŷi|</t>
        </is>
      </c>
      <c r="D61" s="48" t="inlineStr">
        <is>
          <t>(Yi − Ŷi)²</t>
        </is>
      </c>
      <c r="E61" s="48" t="inlineStr">
        <is>
          <t>ỷ (Yi−mean)</t>
        </is>
      </c>
      <c r="F61" s="48" t="inlineStr">
        <is>
          <t>(ỷ)²</t>
        </is>
      </c>
    </row>
    <row r="62">
      <c r="A62" s="49" t="n">
        <v>20</v>
      </c>
      <c r="B62" s="49" t="n">
        <v>5</v>
      </c>
      <c r="C62" s="49" t="n">
        <v>15</v>
      </c>
      <c r="D62" s="49" t="n">
        <v>225</v>
      </c>
      <c r="E62" s="49" t="n">
        <v>1</v>
      </c>
      <c r="F62" s="49" t="n">
        <v>1</v>
      </c>
      <c r="H62" s="52" t="inlineStr">
        <is>
          <t>MAE</t>
        </is>
      </c>
      <c r="I62" s="52" t="n">
        <v>20</v>
      </c>
    </row>
    <row r="63">
      <c r="A63" s="49" t="n">
        <v>17</v>
      </c>
      <c r="B63" s="49" t="n">
        <v>2</v>
      </c>
      <c r="C63" s="49" t="n">
        <v>15</v>
      </c>
      <c r="D63" s="49" t="n">
        <v>225</v>
      </c>
      <c r="E63" s="49" t="n">
        <v>-2</v>
      </c>
      <c r="F63" s="49" t="n">
        <v>4</v>
      </c>
      <c r="H63" s="52" t="inlineStr">
        <is>
          <t>RMSE</t>
        </is>
      </c>
      <c r="I63" s="52" t="n">
        <v>25.2304</v>
      </c>
    </row>
    <row r="64">
      <c r="A64" s="49" t="n">
        <v>4</v>
      </c>
      <c r="B64" s="49" t="n">
        <v>7</v>
      </c>
      <c r="C64" s="49" t="n">
        <v>3</v>
      </c>
      <c r="D64" s="49" t="n">
        <v>9</v>
      </c>
      <c r="E64" s="49" t="n">
        <v>3</v>
      </c>
      <c r="F64" s="49" t="n">
        <v>9</v>
      </c>
      <c r="H64" s="52" t="inlineStr">
        <is>
          <t>R²</t>
        </is>
      </c>
      <c r="I64" s="52" t="n">
        <v>-221.8</v>
      </c>
    </row>
    <row r="65">
      <c r="A65" s="49" t="n">
        <v>36</v>
      </c>
      <c r="B65" s="49" t="n">
        <v>4</v>
      </c>
      <c r="C65" s="49" t="n">
        <v>32</v>
      </c>
      <c r="D65" s="49" t="n">
        <v>1024</v>
      </c>
      <c r="E65" s="49" t="n">
        <v>0</v>
      </c>
      <c r="F65" s="49" t="n">
        <v>0</v>
      </c>
    </row>
    <row r="66">
      <c r="A66" s="49" t="n">
        <v>57</v>
      </c>
      <c r="B66" s="49" t="n">
        <v>5</v>
      </c>
      <c r="C66" s="49" t="n">
        <v>52</v>
      </c>
      <c r="D66" s="49" t="n">
        <v>2704</v>
      </c>
      <c r="E66" s="49" t="n">
        <v>1</v>
      </c>
      <c r="F66" s="49" t="n">
        <v>1</v>
      </c>
    </row>
    <row r="67">
      <c r="A67" s="49" t="n">
        <v>13</v>
      </c>
      <c r="B67" s="49" t="n">
        <v>3</v>
      </c>
      <c r="C67" s="49" t="n">
        <v>10</v>
      </c>
      <c r="D67" s="49" t="n">
        <v>100</v>
      </c>
      <c r="E67" s="49" t="n">
        <v>-1</v>
      </c>
      <c r="F67" s="49" t="n">
        <v>1</v>
      </c>
    </row>
    <row r="68">
      <c r="A68" s="49" t="n">
        <v>15</v>
      </c>
      <c r="B68" s="49" t="n">
        <v>2</v>
      </c>
      <c r="C68" s="49" t="n">
        <v>13</v>
      </c>
      <c r="D68" s="49" t="n">
        <v>169</v>
      </c>
      <c r="E68" s="49" t="n">
        <v>-2</v>
      </c>
      <c r="F68" s="49" t="n">
        <v>4</v>
      </c>
    </row>
    <row r="69">
      <c r="A69" s="52" t="inlineStr">
        <is>
          <t>Rata-Rata</t>
        </is>
      </c>
      <c r="B69" s="52" t="n"/>
      <c r="C69" s="52" t="n"/>
      <c r="D69" s="52" t="n"/>
      <c r="E69" s="52" t="n"/>
      <c r="F69" s="52" t="n"/>
    </row>
    <row r="71">
      <c r="A71" s="51" t="inlineStr">
        <is>
          <t>Sampel Pohon 7</t>
        </is>
      </c>
    </row>
    <row r="73">
      <c r="A73" s="48" t="inlineStr">
        <is>
          <t>Prediksi Sampel</t>
        </is>
      </c>
      <c r="B73" s="48" t="inlineStr">
        <is>
          <t>Aktual</t>
        </is>
      </c>
      <c r="C73" s="48" t="inlineStr">
        <is>
          <t>|Yi − Ŷi|</t>
        </is>
      </c>
      <c r="D73" s="48" t="inlineStr">
        <is>
          <t>(Yi − Ŷi)²</t>
        </is>
      </c>
      <c r="E73" s="48" t="inlineStr">
        <is>
          <t>ỷ (Yi−mean)</t>
        </is>
      </c>
      <c r="F73" s="48" t="inlineStr">
        <is>
          <t>(ỷ)²</t>
        </is>
      </c>
    </row>
    <row r="74">
      <c r="A74" s="49" t="n">
        <v>24</v>
      </c>
      <c r="B74" s="49" t="n">
        <v>1</v>
      </c>
      <c r="C74" s="49" t="n">
        <v>23</v>
      </c>
      <c r="D74" s="49" t="n">
        <v>529</v>
      </c>
      <c r="E74" s="49" t="n">
        <v>0.5</v>
      </c>
      <c r="F74" s="49" t="n">
        <v>0.25</v>
      </c>
      <c r="H74" s="52" t="inlineStr">
        <is>
          <t>MAE</t>
        </is>
      </c>
      <c r="I74" s="52" t="n">
        <v>26.67</v>
      </c>
    </row>
    <row r="75">
      <c r="A75" s="49" t="n">
        <v>33</v>
      </c>
      <c r="B75" s="49" t="n">
        <v>0</v>
      </c>
      <c r="C75" s="49" t="n">
        <v>33</v>
      </c>
      <c r="D75" s="49" t="n">
        <v>1089</v>
      </c>
      <c r="E75" s="49" t="n">
        <v>-0.5</v>
      </c>
      <c r="F75" s="49" t="n">
        <v>0.25</v>
      </c>
      <c r="H75" s="52" t="inlineStr">
        <is>
          <t>RMSE</t>
        </is>
      </c>
      <c r="I75" s="52" t="n">
        <v>30.0777</v>
      </c>
    </row>
    <row r="76">
      <c r="A76" s="49" t="n">
        <v>9</v>
      </c>
      <c r="B76" s="49" t="n">
        <v>1</v>
      </c>
      <c r="C76" s="49" t="n">
        <v>8</v>
      </c>
      <c r="D76" s="49" t="n">
        <v>64</v>
      </c>
      <c r="E76" s="49" t="n">
        <v>0.5</v>
      </c>
      <c r="F76" s="49" t="n">
        <v>0.25</v>
      </c>
      <c r="H76" s="52" t="inlineStr">
        <is>
          <t>R²</t>
        </is>
      </c>
      <c r="I76" s="52" t="n">
        <v>-3617.7</v>
      </c>
    </row>
    <row r="77">
      <c r="A77" s="49" t="n">
        <v>45</v>
      </c>
      <c r="B77" s="49" t="n">
        <v>0</v>
      </c>
      <c r="C77" s="49" t="n">
        <v>45</v>
      </c>
      <c r="D77" s="49" t="n">
        <v>2025</v>
      </c>
      <c r="E77" s="49" t="n">
        <v>-0.5</v>
      </c>
      <c r="F77" s="49" t="n">
        <v>0.25</v>
      </c>
    </row>
    <row r="78">
      <c r="A78" s="49" t="n">
        <v>41</v>
      </c>
      <c r="B78" s="49" t="n">
        <v>1</v>
      </c>
      <c r="C78" s="49" t="n">
        <v>40</v>
      </c>
      <c r="D78" s="49" t="n">
        <v>1600</v>
      </c>
      <c r="E78" s="49" t="n">
        <v>0.5</v>
      </c>
      <c r="F78" s="49" t="n">
        <v>0.25</v>
      </c>
      <c r="H78" s="52" t="inlineStr">
        <is>
          <t>MAE</t>
        </is>
      </c>
      <c r="I78" s="52" t="n">
        <v>25.5</v>
      </c>
    </row>
    <row r="79">
      <c r="A79" s="49" t="n">
        <v>11</v>
      </c>
      <c r="B79" s="49" t="n">
        <v>0</v>
      </c>
      <c r="C79" s="49" t="n">
        <v>11</v>
      </c>
      <c r="D79" s="49" t="n">
        <v>121</v>
      </c>
      <c r="E79" s="49" t="n">
        <v>-0.5</v>
      </c>
      <c r="F79" s="49" t="n">
        <v>0.25</v>
      </c>
      <c r="H79" s="52" t="inlineStr">
        <is>
          <t>RMSE</t>
        </is>
      </c>
      <c r="I79" s="52" t="n">
        <v>29.9291</v>
      </c>
    </row>
    <row r="80">
      <c r="A80" s="52" t="inlineStr">
        <is>
          <t>Rata-Rata</t>
        </is>
      </c>
      <c r="B80" s="52" t="n"/>
      <c r="C80" s="52" t="n"/>
      <c r="D80" s="52" t="n"/>
      <c r="E80" s="52" t="n"/>
      <c r="F80" s="52" t="n"/>
      <c r="H80" s="52" t="inlineStr">
        <is>
          <t>R²</t>
        </is>
      </c>
      <c r="I80" s="52" t="n">
        <v>-1.095</v>
      </c>
    </row>
    <row r="82">
      <c r="A82" s="51" t="inlineStr">
        <is>
          <t>Sampel Pohon 8</t>
        </is>
      </c>
    </row>
    <row r="84">
      <c r="A84" s="48" t="inlineStr">
        <is>
          <t>Prediksi Sampel</t>
        </is>
      </c>
      <c r="B84" s="48" t="inlineStr">
        <is>
          <t>Aktual</t>
        </is>
      </c>
      <c r="C84" s="48" t="inlineStr">
        <is>
          <t>|Yi − Ŷi|</t>
        </is>
      </c>
      <c r="D84" s="48" t="inlineStr">
        <is>
          <t>(Yi − Ŷi)²</t>
        </is>
      </c>
      <c r="E84" s="48" t="inlineStr">
        <is>
          <t>ỷ (Yi−mean)</t>
        </is>
      </c>
      <c r="F84" s="48" t="inlineStr">
        <is>
          <t>(ỷ)²</t>
        </is>
      </c>
    </row>
    <row r="85">
      <c r="A85" s="52" t="inlineStr">
        <is>
          <t>Rata-Rata</t>
        </is>
      </c>
      <c r="B85" s="52" t="n"/>
      <c r="C85" s="52" t="n"/>
      <c r="D85" s="52" t="n"/>
      <c r="E85" s="52" t="n"/>
      <c r="F85" s="52" t="n"/>
      <c r="H85" s="52" t="inlineStr">
        <is>
          <t>MAE</t>
        </is>
      </c>
      <c r="I85" s="52" t="n">
        <v>27</v>
      </c>
    </row>
    <row r="86">
      <c r="H86" s="52" t="inlineStr">
        <is>
          <t>RMSE</t>
        </is>
      </c>
      <c r="I86" s="52" t="n">
        <v>33.2235</v>
      </c>
    </row>
    <row r="87">
      <c r="A87" s="51" t="inlineStr">
        <is>
          <t>Sampel Pohon 9</t>
        </is>
      </c>
      <c r="H87" s="52" t="inlineStr">
        <is>
          <t>R²</t>
        </is>
      </c>
      <c r="I87" s="52" t="n">
        <v>-21.508</v>
      </c>
    </row>
    <row r="89">
      <c r="A89" s="48" t="inlineStr">
        <is>
          <t>Prediksi Sampel</t>
        </is>
      </c>
      <c r="B89" s="48" t="inlineStr">
        <is>
          <t>Aktual</t>
        </is>
      </c>
      <c r="C89" s="48" t="inlineStr">
        <is>
          <t>|Yi − Ŷi|</t>
        </is>
      </c>
      <c r="D89" s="48" t="inlineStr">
        <is>
          <t>(Yi − Ŷi)²</t>
        </is>
      </c>
      <c r="E89" s="48" t="inlineStr">
        <is>
          <t>ỷ (Yi−mean)</t>
        </is>
      </c>
      <c r="F89" s="48" t="inlineStr">
        <is>
          <t>(ỷ)²</t>
        </is>
      </c>
      <c r="H89" s="52" t="inlineStr">
        <is>
          <t>MAE</t>
        </is>
      </c>
      <c r="I89" s="52" t="n">
        <v>18</v>
      </c>
    </row>
    <row r="90">
      <c r="A90" s="52" t="inlineStr">
        <is>
          <t>Rata-Rata</t>
        </is>
      </c>
      <c r="B90" s="52" t="n"/>
      <c r="C90" s="52" t="n"/>
      <c r="D90" s="52" t="n"/>
      <c r="E90" s="52" t="n"/>
      <c r="F90" s="52" t="n"/>
      <c r="H90" s="52" t="inlineStr">
        <is>
          <t>RMSE</t>
        </is>
      </c>
      <c r="I90" s="52" t="n">
        <v>21.5639</v>
      </c>
    </row>
    <row r="91">
      <c r="H91" s="52" t="inlineStr">
        <is>
          <t>R²</t>
        </is>
      </c>
      <c r="I91" s="52" t="n">
        <v>-0.8129999999999999</v>
      </c>
    </row>
    <row r="92">
      <c r="A92" s="51" t="inlineStr">
        <is>
          <t>Sampel Pohon 10</t>
        </is>
      </c>
    </row>
    <row r="93">
      <c r="H93" s="52" t="inlineStr">
        <is>
          <t>MAE</t>
        </is>
      </c>
      <c r="I93" s="52" t="n">
        <v>14.67</v>
      </c>
    </row>
    <row r="94">
      <c r="A94" s="48" t="inlineStr">
        <is>
          <t>Prediksi Sampel</t>
        </is>
      </c>
      <c r="B94" s="48" t="inlineStr">
        <is>
          <t>Aktual</t>
        </is>
      </c>
      <c r="C94" s="48" t="inlineStr">
        <is>
          <t>|Yi − Ŷi|</t>
        </is>
      </c>
      <c r="D94" s="48" t="inlineStr">
        <is>
          <t>(Yi − Ŷi)²</t>
        </is>
      </c>
      <c r="E94" s="48" t="inlineStr">
        <is>
          <t>ỷ (Yi−mean)</t>
        </is>
      </c>
      <c r="F94" s="48" t="inlineStr">
        <is>
          <t>(ỷ)²</t>
        </is>
      </c>
      <c r="H94" s="52" t="inlineStr">
        <is>
          <t>RMSE</t>
        </is>
      </c>
      <c r="I94" s="52" t="n">
        <v>20.0278</v>
      </c>
    </row>
    <row r="95">
      <c r="A95" s="52" t="inlineStr">
        <is>
          <t>Rata-Rata</t>
        </is>
      </c>
      <c r="B95" s="52" t="n"/>
      <c r="C95" s="52" t="n"/>
      <c r="D95" s="52" t="n"/>
      <c r="E95" s="52" t="n"/>
      <c r="F95" s="52" t="n"/>
      <c r="H95" s="52" t="inlineStr">
        <is>
          <t>R²</t>
        </is>
      </c>
      <c r="I95" s="52" t="n">
        <v>-252.83</v>
      </c>
    </row>
    <row r="97">
      <c r="A97" s="51" t="inlineStr">
        <is>
          <t>Sampel Pohon 11</t>
        </is>
      </c>
    </row>
    <row r="99">
      <c r="A99" s="48" t="inlineStr">
        <is>
          <t>Prediksi Sampel</t>
        </is>
      </c>
      <c r="B99" s="48" t="inlineStr">
        <is>
          <t>Aktual</t>
        </is>
      </c>
      <c r="C99" s="48" t="inlineStr">
        <is>
          <t>|Yi − Ŷi|</t>
        </is>
      </c>
      <c r="D99" s="48" t="inlineStr">
        <is>
          <t>(Yi − Ŷi)²</t>
        </is>
      </c>
      <c r="E99" s="48" t="inlineStr">
        <is>
          <t>ỷ (Yi−mean)</t>
        </is>
      </c>
      <c r="F99" s="48" t="inlineStr">
        <is>
          <t>(ỷ)²</t>
        </is>
      </c>
    </row>
    <row r="100">
      <c r="A100" s="52" t="inlineStr">
        <is>
          <t>Rata-Rata</t>
        </is>
      </c>
      <c r="B100" s="52" t="n"/>
      <c r="C100" s="52" t="n"/>
      <c r="D100" s="52" t="n"/>
      <c r="E100" s="52" t="n"/>
      <c r="F100" s="52" t="n"/>
    </row>
    <row r="102">
      <c r="A102" s="51" t="inlineStr">
        <is>
          <t>Sampel Pohon 12</t>
        </is>
      </c>
    </row>
    <row r="104">
      <c r="A104" s="48" t="inlineStr">
        <is>
          <t>Prediksi Sampel</t>
        </is>
      </c>
      <c r="B104" s="48" t="inlineStr">
        <is>
          <t>Aktual</t>
        </is>
      </c>
      <c r="C104" s="48" t="inlineStr">
        <is>
          <t>|Yi − Ŷi|</t>
        </is>
      </c>
      <c r="D104" s="48" t="inlineStr">
        <is>
          <t>(Yi − Ŷi)²</t>
        </is>
      </c>
      <c r="E104" s="48" t="inlineStr">
        <is>
          <t>ỷ (Yi−mean)</t>
        </is>
      </c>
      <c r="F104" s="48" t="inlineStr">
        <is>
          <t>(ỷ)²</t>
        </is>
      </c>
    </row>
    <row r="105">
      <c r="A105" s="49" t="n">
        <v>27</v>
      </c>
      <c r="B105" s="49" t="n">
        <v>1</v>
      </c>
      <c r="C105" s="49" t="n">
        <v>26</v>
      </c>
      <c r="D105" s="49" t="n">
        <v>676</v>
      </c>
      <c r="E105" s="49" t="n">
        <v>0.3333333333333334</v>
      </c>
      <c r="F105" s="49" t="n">
        <v>0.1111111111111111</v>
      </c>
      <c r="H105" s="52" t="inlineStr">
        <is>
          <t>MAE</t>
        </is>
      </c>
      <c r="I105" s="52" t="n">
        <v>26.5</v>
      </c>
    </row>
    <row r="106">
      <c r="A106" s="49" t="n">
        <v>40</v>
      </c>
      <c r="B106" s="49" t="n">
        <v>1</v>
      </c>
      <c r="C106" s="49" t="n">
        <v>39</v>
      </c>
      <c r="D106" s="49" t="n">
        <v>1521</v>
      </c>
      <c r="E106" s="49" t="n">
        <v>0.3333333333333334</v>
      </c>
      <c r="F106" s="49" t="n">
        <v>0.1111111111111111</v>
      </c>
      <c r="H106" s="52" t="inlineStr">
        <is>
          <t>RMSE</t>
        </is>
      </c>
      <c r="I106" s="52" t="n">
        <v>29.8077</v>
      </c>
    </row>
    <row r="107">
      <c r="A107" s="49" t="n">
        <v>8</v>
      </c>
      <c r="B107" s="49" t="n">
        <v>0</v>
      </c>
      <c r="C107" s="49" t="n">
        <v>8</v>
      </c>
      <c r="D107" s="49" t="n">
        <v>64</v>
      </c>
      <c r="E107" s="49" t="n">
        <v>-0.6666666666666666</v>
      </c>
      <c r="F107" s="49" t="n">
        <v>0.4444444444444444</v>
      </c>
      <c r="H107" s="52" t="inlineStr">
        <is>
          <t>R²</t>
        </is>
      </c>
      <c r="I107" s="52" t="n">
        <v>-3997.3</v>
      </c>
    </row>
    <row r="108">
      <c r="A108" s="49" t="n">
        <v>35</v>
      </c>
      <c r="B108" s="49" t="n">
        <v>0</v>
      </c>
      <c r="C108" s="49" t="n">
        <v>35</v>
      </c>
      <c r="D108" s="49" t="n">
        <v>1225</v>
      </c>
      <c r="E108" s="49" t="n">
        <v>-0.6666666666666666</v>
      </c>
      <c r="F108" s="49" t="n">
        <v>0.4444444444444444</v>
      </c>
    </row>
    <row r="109">
      <c r="A109" s="49" t="n">
        <v>43</v>
      </c>
      <c r="B109" s="49" t="n">
        <v>1</v>
      </c>
      <c r="C109" s="49" t="n">
        <v>42</v>
      </c>
      <c r="D109" s="49" t="n">
        <v>1764</v>
      </c>
      <c r="E109" s="49" t="n">
        <v>0.3333333333333334</v>
      </c>
      <c r="F109" s="49" t="n">
        <v>0.1111111111111111</v>
      </c>
    </row>
    <row r="110">
      <c r="A110" s="52" t="inlineStr">
        <is>
          <t>Rata-Rata</t>
        </is>
      </c>
      <c r="B110" s="52" t="n"/>
      <c r="C110" s="52" t="n"/>
      <c r="D110" s="52" t="n"/>
      <c r="E110" s="52" t="n"/>
      <c r="F110" s="52" t="n"/>
    </row>
    <row r="112">
      <c r="A112" s="51" t="inlineStr">
        <is>
          <t>Sampel Pohon 13</t>
        </is>
      </c>
    </row>
    <row r="114">
      <c r="A114" s="48" t="inlineStr">
        <is>
          <t>Prediksi Sampel</t>
        </is>
      </c>
      <c r="B114" s="48" t="inlineStr">
        <is>
          <t>Aktual</t>
        </is>
      </c>
      <c r="C114" s="48" t="inlineStr">
        <is>
          <t>|Yi − Ŷi|</t>
        </is>
      </c>
      <c r="D114" s="48" t="inlineStr">
        <is>
          <t>(Yi − Ŷi)²</t>
        </is>
      </c>
      <c r="E114" s="48" t="inlineStr">
        <is>
          <t>ỷ (Yi−mean)</t>
        </is>
      </c>
      <c r="F114" s="48" t="inlineStr">
        <is>
          <t>(ỷ)²</t>
        </is>
      </c>
    </row>
    <row r="115">
      <c r="A115" s="49" t="n">
        <v>6</v>
      </c>
      <c r="B115" s="49" t="n">
        <v>18</v>
      </c>
      <c r="C115" s="49" t="n">
        <v>12</v>
      </c>
      <c r="D115" s="49" t="n">
        <v>144</v>
      </c>
      <c r="E115" s="49" t="n">
        <v>-0.1999999999999993</v>
      </c>
      <c r="F115" s="49" t="n">
        <v>0.03999999999999972</v>
      </c>
      <c r="H115" s="52" t="inlineStr">
        <is>
          <t>MAE</t>
        </is>
      </c>
      <c r="I115" s="52" t="n">
        <v>25.2</v>
      </c>
    </row>
    <row r="116">
      <c r="A116" s="49" t="n">
        <v>18</v>
      </c>
      <c r="B116" s="49" t="n">
        <v>33</v>
      </c>
      <c r="C116" s="49" t="n">
        <v>15</v>
      </c>
      <c r="D116" s="49" t="n">
        <v>225</v>
      </c>
      <c r="E116" s="49" t="n">
        <v>14.8</v>
      </c>
      <c r="F116" s="49" t="n">
        <v>219.04</v>
      </c>
      <c r="H116" s="52" t="inlineStr">
        <is>
          <t>RMSE</t>
        </is>
      </c>
      <c r="I116" s="52" t="n">
        <v>28.9482</v>
      </c>
    </row>
    <row r="117">
      <c r="A117" s="49" t="n">
        <v>44</v>
      </c>
      <c r="B117" s="49" t="n">
        <v>4</v>
      </c>
      <c r="C117" s="49" t="n">
        <v>40</v>
      </c>
      <c r="D117" s="49" t="n">
        <v>1600</v>
      </c>
      <c r="E117" s="49" t="n">
        <v>-14.2</v>
      </c>
      <c r="F117" s="49" t="n">
        <v>201.64</v>
      </c>
      <c r="H117" s="52" t="inlineStr">
        <is>
          <t>R²</t>
        </is>
      </c>
      <c r="I117" s="52" t="n">
        <v>-8.548999999999999</v>
      </c>
    </row>
    <row r="118">
      <c r="A118" s="49" t="n">
        <v>66</v>
      </c>
      <c r="B118" s="49" t="n">
        <v>21</v>
      </c>
      <c r="C118" s="49" t="n">
        <v>45</v>
      </c>
      <c r="D118" s="49" t="n">
        <v>2025</v>
      </c>
      <c r="E118" s="49" t="n">
        <v>2.800000000000001</v>
      </c>
      <c r="F118" s="49" t="n">
        <v>7.840000000000004</v>
      </c>
    </row>
    <row r="119">
      <c r="A119" s="49" t="n">
        <v>29</v>
      </c>
      <c r="B119" s="49" t="n">
        <v>15</v>
      </c>
      <c r="C119" s="49" t="n">
        <v>14</v>
      </c>
      <c r="D119" s="49" t="n">
        <v>196</v>
      </c>
      <c r="E119" s="49" t="n">
        <v>-3.199999999999999</v>
      </c>
      <c r="F119" s="49" t="n">
        <v>10.23999999999999</v>
      </c>
    </row>
    <row r="120">
      <c r="A120" s="52" t="inlineStr">
        <is>
          <t>Rata-Rata</t>
        </is>
      </c>
      <c r="B120" s="52" t="n"/>
      <c r="C120" s="52" t="n"/>
      <c r="D120" s="52" t="n"/>
      <c r="E120" s="52" t="n"/>
      <c r="F120" s="52" t="n"/>
    </row>
    <row r="122">
      <c r="A122" s="51" t="inlineStr">
        <is>
          <t>Sampel Pohon 14</t>
        </is>
      </c>
    </row>
    <row r="124">
      <c r="A124" s="48" t="inlineStr">
        <is>
          <t>Prediksi Sampel</t>
        </is>
      </c>
      <c r="B124" s="48" t="inlineStr">
        <is>
          <t>Aktual</t>
        </is>
      </c>
      <c r="C124" s="48" t="inlineStr">
        <is>
          <t>|Yi − Ŷi|</t>
        </is>
      </c>
      <c r="D124" s="48" t="inlineStr">
        <is>
          <t>(Yi − Ŷi)²</t>
        </is>
      </c>
      <c r="E124" s="48" t="inlineStr">
        <is>
          <t>ỷ (Yi−mean)</t>
        </is>
      </c>
      <c r="F124" s="48" t="inlineStr">
        <is>
          <t>(ỷ)²</t>
        </is>
      </c>
    </row>
    <row r="125">
      <c r="A125" s="49" t="n">
        <v>17</v>
      </c>
      <c r="B125" s="49" t="n">
        <v>35</v>
      </c>
      <c r="C125" s="49" t="n">
        <v>18</v>
      </c>
      <c r="D125" s="49" t="n">
        <v>324</v>
      </c>
      <c r="E125" s="49" t="n">
        <v>2</v>
      </c>
      <c r="F125" s="49" t="n">
        <v>4</v>
      </c>
      <c r="H125" s="52" t="inlineStr">
        <is>
          <t>MAE</t>
        </is>
      </c>
      <c r="I125" s="52" t="n">
        <v>20.67</v>
      </c>
    </row>
    <row r="126">
      <c r="A126" s="49" t="n">
        <v>22</v>
      </c>
      <c r="B126" s="49" t="n">
        <v>28</v>
      </c>
      <c r="C126" s="49" t="n">
        <v>6</v>
      </c>
      <c r="D126" s="49" t="n">
        <v>36</v>
      </c>
      <c r="E126" s="49" t="n">
        <v>-5</v>
      </c>
      <c r="F126" s="49" t="n">
        <v>25</v>
      </c>
      <c r="H126" s="52" t="inlineStr">
        <is>
          <t>RMSE</t>
        </is>
      </c>
      <c r="I126" s="52" t="n">
        <v>23.3465</v>
      </c>
    </row>
    <row r="127">
      <c r="A127" s="49" t="n">
        <v>1</v>
      </c>
      <c r="B127" s="49" t="n">
        <v>7</v>
      </c>
      <c r="C127" s="49" t="n">
        <v>6</v>
      </c>
      <c r="D127" s="49" t="n">
        <v>36</v>
      </c>
      <c r="E127" s="49" t="n">
        <v>-26</v>
      </c>
      <c r="F127" s="49" t="n">
        <v>676</v>
      </c>
      <c r="H127" s="52" t="inlineStr">
        <is>
          <t>R²</t>
        </is>
      </c>
      <c r="I127" s="52" t="n">
        <v>-0.701</v>
      </c>
    </row>
    <row r="128">
      <c r="A128" s="49" t="n">
        <v>36</v>
      </c>
      <c r="B128" s="49" t="n">
        <v>52</v>
      </c>
      <c r="C128" s="49" t="n">
        <v>16</v>
      </c>
      <c r="D128" s="49" t="n">
        <v>256</v>
      </c>
      <c r="E128" s="49" t="n">
        <v>19</v>
      </c>
      <c r="F128" s="49" t="n">
        <v>361</v>
      </c>
    </row>
    <row r="129">
      <c r="A129" s="49" t="n">
        <v>45</v>
      </c>
      <c r="B129" s="49" t="n">
        <v>19</v>
      </c>
      <c r="C129" s="49" t="n">
        <v>26</v>
      </c>
      <c r="D129" s="49" t="n">
        <v>676</v>
      </c>
      <c r="E129" s="49" t="n">
        <v>-14</v>
      </c>
      <c r="F129" s="49" t="n">
        <v>196</v>
      </c>
    </row>
    <row r="130">
      <c r="A130" s="49" t="n">
        <v>8</v>
      </c>
      <c r="B130" s="49" t="n">
        <v>23</v>
      </c>
      <c r="C130" s="49" t="n">
        <v>15</v>
      </c>
      <c r="D130" s="49" t="n">
        <v>225</v>
      </c>
      <c r="E130" s="49" t="n">
        <v>-10</v>
      </c>
      <c r="F130" s="49" t="n">
        <v>100</v>
      </c>
    </row>
    <row r="131">
      <c r="A131" s="49" t="n">
        <v>16</v>
      </c>
      <c r="B131" s="49" t="n">
        <v>40</v>
      </c>
      <c r="C131" s="49" t="n">
        <v>24</v>
      </c>
      <c r="D131" s="49" t="n">
        <v>576</v>
      </c>
      <c r="E131" s="49" t="n">
        <v>7</v>
      </c>
      <c r="F131" s="49" t="n">
        <v>49</v>
      </c>
    </row>
    <row r="132">
      <c r="A132" s="52" t="inlineStr">
        <is>
          <t>Rata-Rata</t>
        </is>
      </c>
      <c r="B132" s="52" t="n"/>
      <c r="C132" s="52" t="n"/>
      <c r="D132" s="52" t="n"/>
      <c r="E132" s="52" t="n"/>
      <c r="F132" s="52" t="n"/>
    </row>
    <row r="134">
      <c r="A134" s="51" t="inlineStr">
        <is>
          <t>Sampel Pohon 15</t>
        </is>
      </c>
    </row>
    <row r="136">
      <c r="A136" s="48" t="inlineStr">
        <is>
          <t>Prediksi Sampel</t>
        </is>
      </c>
      <c r="B136" s="48" t="inlineStr">
        <is>
          <t>Aktual</t>
        </is>
      </c>
      <c r="C136" s="48" t="inlineStr">
        <is>
          <t>|Yi − Ŷi|</t>
        </is>
      </c>
      <c r="D136" s="48" t="inlineStr">
        <is>
          <t>(Yi − Ŷi)²</t>
        </is>
      </c>
      <c r="E136" s="48" t="inlineStr">
        <is>
          <t>ỷ (Yi−mean)</t>
        </is>
      </c>
      <c r="F136" s="48" t="inlineStr">
        <is>
          <t>(ỷ)²</t>
        </is>
      </c>
    </row>
    <row r="137">
      <c r="A137" s="49" t="n">
        <v>20</v>
      </c>
      <c r="B137" s="49" t="n">
        <v>5</v>
      </c>
      <c r="C137" s="49" t="n">
        <v>15</v>
      </c>
      <c r="D137" s="49" t="n">
        <v>225</v>
      </c>
      <c r="E137" s="49" t="n">
        <v>1.666666666666667</v>
      </c>
      <c r="F137" s="49" t="n">
        <v>2.777777777777777</v>
      </c>
      <c r="H137" s="52" t="inlineStr">
        <is>
          <t>MAE</t>
        </is>
      </c>
      <c r="I137" s="52" t="n">
        <v>14.78</v>
      </c>
    </row>
    <row r="138">
      <c r="A138" s="49" t="n">
        <v>11</v>
      </c>
      <c r="B138" s="49" t="n">
        <v>2</v>
      </c>
      <c r="C138" s="49" t="n">
        <v>9</v>
      </c>
      <c r="D138" s="49" t="n">
        <v>81</v>
      </c>
      <c r="E138" s="49" t="n">
        <v>-1.333333333333333</v>
      </c>
      <c r="F138" s="49" t="n">
        <v>1.777777777777778</v>
      </c>
      <c r="H138" s="52" t="inlineStr">
        <is>
          <t>RMSE</t>
        </is>
      </c>
      <c r="I138" s="52" t="n">
        <v>18.8591</v>
      </c>
    </row>
    <row r="139">
      <c r="A139" s="49" t="n">
        <v>4</v>
      </c>
      <c r="B139" s="49" t="n">
        <v>4</v>
      </c>
      <c r="C139" s="49" t="n">
        <v>0</v>
      </c>
      <c r="D139" s="49" t="n">
        <v>0</v>
      </c>
      <c r="E139" s="49" t="n">
        <v>0.6666666666666665</v>
      </c>
      <c r="F139" s="49" t="n">
        <v>0.4444444444444443</v>
      </c>
      <c r="H139" s="52" t="inlineStr">
        <is>
          <t>R²</t>
        </is>
      </c>
      <c r="I139" s="52" t="n">
        <v>-159.05</v>
      </c>
    </row>
    <row r="140">
      <c r="A140" s="49" t="n">
        <v>37</v>
      </c>
      <c r="B140" s="49" t="n">
        <v>3</v>
      </c>
      <c r="C140" s="49" t="n">
        <v>34</v>
      </c>
      <c r="D140" s="49" t="n">
        <v>1156</v>
      </c>
      <c r="E140" s="49" t="n">
        <v>-0.3333333333333335</v>
      </c>
      <c r="F140" s="49" t="n">
        <v>0.1111111111111112</v>
      </c>
    </row>
    <row r="141">
      <c r="A141" s="49" t="n">
        <v>41</v>
      </c>
      <c r="B141" s="49" t="n">
        <v>6</v>
      </c>
      <c r="C141" s="49" t="n">
        <v>35</v>
      </c>
      <c r="D141" s="49" t="n">
        <v>1225</v>
      </c>
      <c r="E141" s="49" t="n">
        <v>2.666666666666667</v>
      </c>
      <c r="F141" s="49" t="n">
        <v>7.111111111111111</v>
      </c>
    </row>
    <row r="142">
      <c r="A142" s="49" t="n">
        <v>11</v>
      </c>
      <c r="B142" s="49" t="n">
        <v>2</v>
      </c>
      <c r="C142" s="49" t="n">
        <v>9</v>
      </c>
      <c r="D142" s="49" t="n">
        <v>81</v>
      </c>
      <c r="E142" s="49" t="n">
        <v>-1.333333333333333</v>
      </c>
      <c r="F142" s="49" t="n">
        <v>1.777777777777778</v>
      </c>
    </row>
    <row r="143">
      <c r="A143" s="49" t="n">
        <v>14</v>
      </c>
      <c r="B143" s="49" t="n">
        <v>4</v>
      </c>
      <c r="C143" s="49" t="n">
        <v>10</v>
      </c>
      <c r="D143" s="49" t="n">
        <v>100</v>
      </c>
      <c r="E143" s="49" t="n">
        <v>0.6666666666666665</v>
      </c>
      <c r="F143" s="49" t="n">
        <v>0.4444444444444443</v>
      </c>
    </row>
    <row r="144">
      <c r="A144" s="52" t="inlineStr">
        <is>
          <t>Rata-Rata</t>
        </is>
      </c>
      <c r="B144" s="52" t="n"/>
      <c r="C144" s="52" t="n"/>
      <c r="D144" s="52" t="n"/>
      <c r="E144" s="52" t="n"/>
      <c r="F144" s="52" t="n"/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style="1" min="1" max="1"/>
    <col width="16" customWidth="1" style="1" min="2" max="2"/>
    <col width="14" customWidth="1" style="1" min="3" max="3"/>
    <col width="14" customWidth="1" style="1" min="4" max="4"/>
    <col width="14" customWidth="1" style="1" min="5" max="5"/>
    <col width="20" customWidth="1" style="1" min="6" max="6"/>
  </cols>
  <sheetData>
    <row r="1">
      <c r="A1" s="46" t="inlineStr">
        <is>
          <t>Penentuan Pohon Terbaik - Berdasarkan Evaluasi MAE, RMSE, R²</t>
        </is>
      </c>
    </row>
    <row r="2">
      <c r="A2" s="47" t="inlineStr">
        <is>
          <t>Pohon 5 terpilih sebagai pohon terbaik dengan R² = 0,993 (tertinggi)</t>
        </is>
      </c>
    </row>
    <row r="4">
      <c r="A4" s="48" t="inlineStr">
        <is>
          <t>No</t>
        </is>
      </c>
      <c r="B4" s="48" t="inlineStr">
        <is>
          <t>Sampel Pohon</t>
        </is>
      </c>
      <c r="C4" s="48" t="inlineStr">
        <is>
          <t>MAE</t>
        </is>
      </c>
      <c r="D4" s="48" t="inlineStr">
        <is>
          <t>RMSE</t>
        </is>
      </c>
      <c r="E4" s="48" t="inlineStr">
        <is>
          <t>R²</t>
        </is>
      </c>
      <c r="F4" s="48" t="inlineStr">
        <is>
          <t>Status</t>
        </is>
      </c>
    </row>
    <row r="5">
      <c r="A5" s="55" t="n">
        <v>1</v>
      </c>
      <c r="B5" s="55" t="inlineStr">
        <is>
          <t>Sampel 5</t>
        </is>
      </c>
      <c r="C5" s="55" t="n">
        <v>20.6</v>
      </c>
      <c r="D5" s="55" t="n">
        <v>0.724</v>
      </c>
      <c r="E5" s="55" t="n">
        <v>0.993</v>
      </c>
      <c r="F5" s="55" t="inlineStr">
        <is>
          <t>TERPILIH</t>
        </is>
      </c>
    </row>
    <row r="6">
      <c r="A6" s="49" t="n">
        <v>2</v>
      </c>
      <c r="B6" s="49" t="inlineStr">
        <is>
          <t>Sampel 2</t>
        </is>
      </c>
      <c r="C6" s="49" t="n">
        <v>23.29</v>
      </c>
      <c r="D6" s="49" t="n">
        <v>27.7051</v>
      </c>
      <c r="E6" s="49" t="n">
        <v>-0.519</v>
      </c>
      <c r="F6" s="49" t="inlineStr"/>
    </row>
    <row r="7">
      <c r="A7" s="49" t="n">
        <v>3</v>
      </c>
      <c r="B7" s="49" t="inlineStr">
        <is>
          <t>Sampel 14</t>
        </is>
      </c>
      <c r="C7" s="49" t="n">
        <v>20.67</v>
      </c>
      <c r="D7" s="49" t="n">
        <v>23.3465</v>
      </c>
      <c r="E7" s="49" t="n">
        <v>-0.701</v>
      </c>
      <c r="F7" s="49" t="inlineStr"/>
    </row>
    <row r="8">
      <c r="A8" s="49" t="n">
        <v>4</v>
      </c>
      <c r="B8" s="49" t="inlineStr">
        <is>
          <t>Sampel 10</t>
        </is>
      </c>
      <c r="C8" s="49" t="n">
        <v>18</v>
      </c>
      <c r="D8" s="49" t="n">
        <v>21.5639</v>
      </c>
      <c r="E8" s="49" t="n">
        <v>-0.8129999999999999</v>
      </c>
      <c r="F8" s="49" t="inlineStr"/>
    </row>
    <row r="9">
      <c r="A9" s="49" t="n">
        <v>5</v>
      </c>
      <c r="B9" s="49" t="inlineStr">
        <is>
          <t>Sampel 8</t>
        </is>
      </c>
      <c r="C9" s="49" t="n">
        <v>25.5</v>
      </c>
      <c r="D9" s="49" t="n">
        <v>29.9291</v>
      </c>
      <c r="E9" s="49" t="n">
        <v>-1.095</v>
      </c>
      <c r="F9" s="49" t="inlineStr"/>
    </row>
    <row r="10">
      <c r="A10" s="49" t="n">
        <v>6</v>
      </c>
      <c r="B10" s="49" t="inlineStr">
        <is>
          <t>Sampel 1</t>
        </is>
      </c>
      <c r="C10" s="49" t="n">
        <v>22.6</v>
      </c>
      <c r="D10" s="49" t="n">
        <v>23.5924</v>
      </c>
      <c r="E10" s="49" t="n">
        <v>-8.252000000000001</v>
      </c>
      <c r="F10" s="49" t="inlineStr"/>
    </row>
    <row r="11">
      <c r="A11" s="49" t="n">
        <v>7</v>
      </c>
      <c r="B11" s="49" t="inlineStr">
        <is>
          <t>Sampel 13</t>
        </is>
      </c>
      <c r="C11" s="49" t="n">
        <v>25.2</v>
      </c>
      <c r="D11" s="49" t="n">
        <v>28.9482</v>
      </c>
      <c r="E11" s="49" t="n">
        <v>-8.548999999999999</v>
      </c>
      <c r="F11" s="49" t="inlineStr"/>
    </row>
    <row r="12">
      <c r="A12" s="49" t="n">
        <v>8</v>
      </c>
      <c r="B12" s="49" t="inlineStr">
        <is>
          <t>Sampel 9</t>
        </is>
      </c>
      <c r="C12" s="49" t="n">
        <v>27</v>
      </c>
      <c r="D12" s="49" t="n">
        <v>33.2235</v>
      </c>
      <c r="E12" s="49" t="n">
        <v>-21.508</v>
      </c>
      <c r="F12" s="49" t="inlineStr"/>
    </row>
    <row r="13">
      <c r="A13" s="49" t="n">
        <v>9</v>
      </c>
      <c r="B13" s="49" t="inlineStr">
        <is>
          <t>Sampel 15</t>
        </is>
      </c>
      <c r="C13" s="49" t="n">
        <v>14.78</v>
      </c>
      <c r="D13" s="49" t="n">
        <v>18.8591</v>
      </c>
      <c r="E13" s="49" t="n">
        <v>-159.05</v>
      </c>
      <c r="F13" s="49" t="inlineStr"/>
    </row>
    <row r="14">
      <c r="A14" s="49" t="n">
        <v>10</v>
      </c>
      <c r="B14" s="49" t="inlineStr">
        <is>
          <t>Sampel 6</t>
        </is>
      </c>
      <c r="C14" s="49" t="n">
        <v>20</v>
      </c>
      <c r="D14" s="49" t="n">
        <v>25.2304</v>
      </c>
      <c r="E14" s="49" t="n">
        <v>-221.8</v>
      </c>
      <c r="F14" s="49" t="inlineStr"/>
    </row>
    <row r="15">
      <c r="A15" s="49" t="n">
        <v>11</v>
      </c>
      <c r="B15" s="49" t="inlineStr">
        <is>
          <t>Sampel 11</t>
        </is>
      </c>
      <c r="C15" s="49" t="n">
        <v>14.67</v>
      </c>
      <c r="D15" s="49" t="n">
        <v>20.0278</v>
      </c>
      <c r="E15" s="49" t="n">
        <v>-252.83</v>
      </c>
      <c r="F15" s="49" t="inlineStr"/>
    </row>
    <row r="16">
      <c r="A16" s="49" t="n">
        <v>12</v>
      </c>
      <c r="B16" s="49" t="inlineStr">
        <is>
          <t>Sampel 3</t>
        </is>
      </c>
      <c r="C16" s="49" t="n">
        <v>14.89</v>
      </c>
      <c r="D16" s="49" t="n">
        <v>21.124</v>
      </c>
      <c r="E16" s="49" t="n">
        <v>-257.17</v>
      </c>
      <c r="F16" s="49" t="inlineStr"/>
    </row>
    <row r="17">
      <c r="A17" s="49" t="n">
        <v>13</v>
      </c>
      <c r="B17" s="49" t="inlineStr">
        <is>
          <t>Sampel 7</t>
        </is>
      </c>
      <c r="C17" s="49" t="n">
        <v>26.67</v>
      </c>
      <c r="D17" s="49" t="n">
        <v>30.0777</v>
      </c>
      <c r="E17" s="49" t="n">
        <v>-3617.7</v>
      </c>
      <c r="F17" s="49" t="inlineStr"/>
    </row>
    <row r="18">
      <c r="A18" s="49" t="n">
        <v>14</v>
      </c>
      <c r="B18" s="49" t="inlineStr">
        <is>
          <t>Sampel 4</t>
        </is>
      </c>
      <c r="C18" s="49" t="n">
        <v>26.67</v>
      </c>
      <c r="D18" s="49" t="n">
        <v>30.9462</v>
      </c>
      <c r="E18" s="49" t="n">
        <v>-3829.7</v>
      </c>
      <c r="F18" s="49" t="inlineStr"/>
    </row>
    <row r="19">
      <c r="A19" s="49" t="n">
        <v>15</v>
      </c>
      <c r="B19" s="49" t="inlineStr">
        <is>
          <t>Sampel 12</t>
        </is>
      </c>
      <c r="C19" s="49" t="n">
        <v>26.5</v>
      </c>
      <c r="D19" s="49" t="n">
        <v>29.8077</v>
      </c>
      <c r="E19" s="49" t="n">
        <v>-3997.3</v>
      </c>
      <c r="F19" s="49" t="inlineStr"/>
    </row>
    <row r="21" ht="45" customHeight="1" s="1">
      <c r="A21" s="56" t="inlineStr">
        <is>
          <t>Kesimpulan: Pohon 5 (Sampel 5) terpilih sebagai pohon terbaik dengan R² = 0,993 (mendekati 1 = sangat cocok). Pohon 5 menggunakan atribut Jumlah Kasus Perbulan dengan threshold T1=12,60 dan T2=29,21.</t>
        </is>
      </c>
    </row>
  </sheetData>
  <mergeCells count="3">
    <mergeCell ref="A2:F2"/>
    <mergeCell ref="A21:F21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style="1" min="1" max="1"/>
    <col width="14" customWidth="1" style="1" min="2" max="2"/>
    <col width="22" customWidth="1" style="1" min="3" max="3"/>
    <col width="16" customWidth="1" style="1" min="4" max="4"/>
    <col width="16" customWidth="1" style="1" min="5" max="5"/>
    <col width="18" customWidth="1" style="1" min="6" max="6"/>
    <col width="20" customWidth="1" style="1" min="7" max="7"/>
  </cols>
  <sheetData>
    <row r="1">
      <c r="A1" s="46" t="inlineStr">
        <is>
          <t>Tabel 4.18 - Hasil Perhitungan Manual Random Forest</t>
        </is>
      </c>
    </row>
    <row r="2">
      <c r="A2" s="47" t="inlineStr">
        <is>
          <t>Ringkasan Entropy, Gain, dan Atribut Root untuk 15 Pohon Keputusan</t>
        </is>
      </c>
    </row>
    <row r="4">
      <c r="A4" s="48" t="inlineStr">
        <is>
          <t>No</t>
        </is>
      </c>
      <c r="B4" s="48" t="inlineStr">
        <is>
          <t>Pohon</t>
        </is>
      </c>
      <c r="C4" s="48" t="inlineStr">
        <is>
          <t>Atribut Root (Fitur)</t>
        </is>
      </c>
      <c r="D4" s="48" t="inlineStr">
        <is>
          <t>Threshold 1</t>
        </is>
      </c>
      <c r="E4" s="48" t="inlineStr">
        <is>
          <t>Threshold 2</t>
        </is>
      </c>
      <c r="F4" s="48" t="inlineStr">
        <is>
          <t>Information Gain</t>
        </is>
      </c>
      <c r="G4" s="48" t="inlineStr">
        <is>
          <t>Entropy After Split</t>
        </is>
      </c>
    </row>
    <row r="5">
      <c r="A5" s="49" t="n">
        <v>1</v>
      </c>
      <c r="B5" s="49" t="inlineStr">
        <is>
          <t>Sampel 1</t>
        </is>
      </c>
      <c r="C5" s="49" t="inlineStr">
        <is>
          <t>Jumlah Kasus Perbulan</t>
        </is>
      </c>
      <c r="D5" s="49" t="n">
        <v>13.35</v>
      </c>
      <c r="E5" s="49" t="n">
        <v>28.4</v>
      </c>
      <c r="F5" s="49" t="n">
        <v>0.59558818</v>
      </c>
      <c r="G5" s="49" t="n">
        <v>0.692344</v>
      </c>
    </row>
    <row r="6">
      <c r="A6" s="49" t="n">
        <v>2</v>
      </c>
      <c r="B6" s="49" t="inlineStr">
        <is>
          <t>Sampel 2</t>
        </is>
      </c>
      <c r="C6" s="49" t="inlineStr">
        <is>
          <t>Usia</t>
        </is>
      </c>
      <c r="D6" s="49" t="n">
        <v>16.61</v>
      </c>
      <c r="E6" s="49" t="n">
        <v>54.4</v>
      </c>
      <c r="F6" s="49" t="n">
        <v>0.034558397</v>
      </c>
      <c r="G6" s="49" t="n">
        <v>1.30689651</v>
      </c>
    </row>
    <row r="7">
      <c r="A7" s="49" t="n">
        <v>3</v>
      </c>
      <c r="B7" s="49" t="inlineStr">
        <is>
          <t>Sampel 3</t>
        </is>
      </c>
      <c r="C7" s="49" t="inlineStr">
        <is>
          <t>Lama Rawat Inap</t>
        </is>
      </c>
      <c r="D7" s="49" t="n">
        <v>2.44</v>
      </c>
      <c r="E7" s="49" t="n">
        <v>4.68</v>
      </c>
      <c r="F7" s="49" t="n">
        <v>0.06619560400000001</v>
      </c>
      <c r="G7" s="49" t="n">
        <v>1.23592389</v>
      </c>
    </row>
    <row r="8">
      <c r="A8" s="49" t="n">
        <v>4</v>
      </c>
      <c r="B8" s="49" t="inlineStr">
        <is>
          <t>Sampel 4</t>
        </is>
      </c>
      <c r="C8" s="49" t="inlineStr">
        <is>
          <t>Jenis Kelamin</t>
        </is>
      </c>
      <c r="D8" s="49" t="n">
        <v>0.5</v>
      </c>
      <c r="E8" s="49" t="n">
        <v>0.5</v>
      </c>
      <c r="F8" s="49" t="n">
        <v>-0.001930068</v>
      </c>
      <c r="G8" s="49" t="n">
        <v>1.28519682</v>
      </c>
    </row>
    <row r="9">
      <c r="A9" s="55" t="n">
        <v>5</v>
      </c>
      <c r="B9" s="55" t="inlineStr">
        <is>
          <t>Sampel 5</t>
        </is>
      </c>
      <c r="C9" s="55" t="inlineStr">
        <is>
          <t>Jumlah Kasus Perbulan</t>
        </is>
      </c>
      <c r="D9" s="55" t="n">
        <v>12.6</v>
      </c>
      <c r="E9" s="55" t="n">
        <v>29.21</v>
      </c>
      <c r="F9" s="55" t="n">
        <v>0.65403293</v>
      </c>
      <c r="G9" s="55" t="n">
        <v>0.735984404</v>
      </c>
    </row>
    <row r="10">
      <c r="A10" s="49" t="n">
        <v>6</v>
      </c>
      <c r="B10" s="49" t="inlineStr">
        <is>
          <t>Sampel 6</t>
        </is>
      </c>
      <c r="C10" s="49" t="inlineStr">
        <is>
          <t>Lama Rawat Inap</t>
        </is>
      </c>
      <c r="D10" s="49" t="n">
        <v>2.5</v>
      </c>
      <c r="E10" s="49" t="n">
        <v>4.67</v>
      </c>
      <c r="F10" s="49" t="n">
        <v>0.033807028</v>
      </c>
      <c r="G10" s="49" t="n">
        <v>1.31736004</v>
      </c>
    </row>
    <row r="11">
      <c r="A11" s="49" t="n">
        <v>7</v>
      </c>
      <c r="B11" s="49" t="inlineStr">
        <is>
          <t>Sampel 7</t>
        </is>
      </c>
      <c r="C11" s="49" t="inlineStr">
        <is>
          <t>Jenis Kelamin</t>
        </is>
      </c>
      <c r="D11" s="49" t="n">
        <v>0.5</v>
      </c>
      <c r="E11" s="49" t="n">
        <v>0.5</v>
      </c>
      <c r="F11" s="49" t="n">
        <v>0.007208794</v>
      </c>
      <c r="G11" s="49" t="n">
        <v>1.40639</v>
      </c>
    </row>
    <row r="12">
      <c r="A12" s="49" t="n">
        <v>8</v>
      </c>
      <c r="B12" s="49" t="inlineStr">
        <is>
          <t>Sampel 8</t>
        </is>
      </c>
      <c r="C12" s="49" t="inlineStr">
        <is>
          <t>Usia</t>
        </is>
      </c>
      <c r="D12" s="49" t="n">
        <v>15.7</v>
      </c>
      <c r="E12" s="49" t="n">
        <v>54.27</v>
      </c>
      <c r="F12" s="49" t="n">
        <v>0.03702069</v>
      </c>
      <c r="G12" s="49" t="n">
        <v>1.284421</v>
      </c>
    </row>
    <row r="13">
      <c r="A13" s="49" t="n">
        <v>9</v>
      </c>
      <c r="B13" s="49" t="inlineStr">
        <is>
          <t>Sampel 9</t>
        </is>
      </c>
      <c r="C13" s="49" t="inlineStr">
        <is>
          <t>Jumlah Kasus Perbulan</t>
        </is>
      </c>
      <c r="D13" s="49" t="n">
        <v>11.31</v>
      </c>
      <c r="E13" s="49" t="n">
        <v>29.95</v>
      </c>
      <c r="F13" s="49" t="n">
        <v>0.6597991</v>
      </c>
      <c r="G13" s="49" t="n">
        <v>0.742918</v>
      </c>
    </row>
    <row r="14">
      <c r="A14" s="49" t="n">
        <v>10</v>
      </c>
      <c r="B14" s="49" t="inlineStr">
        <is>
          <t>Sampel 10</t>
        </is>
      </c>
      <c r="C14" s="49" t="inlineStr">
        <is>
          <t>Usia</t>
        </is>
      </c>
      <c r="D14" s="49" t="n">
        <v>17.31</v>
      </c>
      <c r="E14" s="49" t="n">
        <v>53.39</v>
      </c>
      <c r="F14" s="49" t="n">
        <v>0.023709616</v>
      </c>
      <c r="G14" s="49" t="n">
        <v>1.228764</v>
      </c>
    </row>
    <row r="15">
      <c r="A15" s="49" t="n">
        <v>11</v>
      </c>
      <c r="B15" s="49" t="inlineStr">
        <is>
          <t>Sampel 11</t>
        </is>
      </c>
      <c r="C15" s="49" t="inlineStr">
        <is>
          <t>Lama Rawat Inop</t>
        </is>
      </c>
      <c r="D15" s="49" t="n">
        <v>2.44</v>
      </c>
      <c r="E15" s="49" t="n">
        <v>4.68</v>
      </c>
      <c r="F15" s="49" t="n">
        <v>0.004491452</v>
      </c>
      <c r="G15" s="49" t="n">
        <v>1.38625852</v>
      </c>
    </row>
    <row r="16">
      <c r="A16" s="49" t="n">
        <v>12</v>
      </c>
      <c r="B16" s="49" t="inlineStr">
        <is>
          <t>Sampel 12</t>
        </is>
      </c>
      <c r="C16" s="49" t="inlineStr">
        <is>
          <t>Jenis Kelamin</t>
        </is>
      </c>
      <c r="D16" s="49" t="n">
        <v>0.5</v>
      </c>
      <c r="E16" s="49" t="n">
        <v>0.5</v>
      </c>
      <c r="F16" s="49" t="n">
        <v>0.001453179</v>
      </c>
      <c r="G16" s="49" t="n">
        <v>1.37582041</v>
      </c>
    </row>
    <row r="17">
      <c r="A17" s="49" t="n">
        <v>13</v>
      </c>
      <c r="B17" s="49" t="inlineStr">
        <is>
          <t>Sampel 13</t>
        </is>
      </c>
      <c r="C17" s="49" t="inlineStr">
        <is>
          <t>Jumlah Kasus Perbulan</t>
        </is>
      </c>
      <c r="D17" s="49" t="n">
        <v>11.77</v>
      </c>
      <c r="E17" s="49" t="n">
        <v>29.4</v>
      </c>
      <c r="F17" s="49" t="n">
        <v>0.616055251</v>
      </c>
      <c r="G17" s="49" t="n">
        <v>0.77469</v>
      </c>
    </row>
    <row r="18">
      <c r="A18" s="49" t="n">
        <v>14</v>
      </c>
      <c r="B18" s="49" t="inlineStr">
        <is>
          <t>Sampel 14</t>
        </is>
      </c>
      <c r="C18" s="49" t="inlineStr">
        <is>
          <t>Usia</t>
        </is>
      </c>
      <c r="D18" s="49" t="n">
        <v>17.31</v>
      </c>
      <c r="E18" s="49" t="n">
        <v>54.61</v>
      </c>
      <c r="F18" s="49" t="n">
        <v>0.014241368</v>
      </c>
      <c r="G18" s="49" t="n">
        <v>1.25067</v>
      </c>
    </row>
    <row r="19">
      <c r="A19" s="49" t="n">
        <v>15</v>
      </c>
      <c r="B19" s="49" t="inlineStr">
        <is>
          <t>Sampel 15</t>
        </is>
      </c>
      <c r="C19" s="49" t="inlineStr">
        <is>
          <t>Lama Rawat Inop</t>
        </is>
      </c>
      <c r="D19" s="49" t="n">
        <v>2.47</v>
      </c>
      <c r="E19" s="49" t="n">
        <v>4.63</v>
      </c>
      <c r="F19" s="49" t="n">
        <v>0.019288709</v>
      </c>
      <c r="G19" s="49" t="n">
        <v>1.38342803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2" customWidth="1" style="1" min="1" max="1"/>
    <col width="10" customWidth="1" style="1" min="2" max="2"/>
    <col width="65" customWidth="1" style="1" min="3" max="3"/>
    <col width="35" customWidth="1" style="1" min="4" max="4"/>
  </cols>
  <sheetData>
    <row r="1">
      <c r="A1" s="46" t="inlineStr">
        <is>
          <t>Hasil Rule (Aturan Keputusan) - 15 Pohon Random Forest</t>
        </is>
      </c>
    </row>
    <row r="4">
      <c r="A4" s="48" t="inlineStr">
        <is>
          <t>Pohon</t>
        </is>
      </c>
      <c r="B4" s="48" t="inlineStr">
        <is>
          <t>Rule No</t>
        </is>
      </c>
      <c r="C4" s="48" t="inlineStr">
        <is>
          <t>Kondisi (IF)</t>
        </is>
      </c>
      <c r="D4" s="48" t="inlineStr">
        <is>
          <t>Hasil (THEN)</t>
        </is>
      </c>
    </row>
    <row r="5">
      <c r="A5" s="49" t="inlineStr">
        <is>
          <t>Pohon 1</t>
        </is>
      </c>
      <c r="B5" s="49" t="inlineStr">
        <is>
          <t>Rule 1</t>
        </is>
      </c>
      <c r="C5" s="50" t="inlineStr">
        <is>
          <t>IF Jumlah Kasus Per Bulan &lt; 13,35</t>
        </is>
      </c>
      <c r="D5" s="50" t="inlineStr">
        <is>
          <t>THEN Risiko = Sedang</t>
        </is>
      </c>
    </row>
    <row r="6">
      <c r="A6" s="49" t="inlineStr"/>
      <c r="B6" s="49" t="inlineStr">
        <is>
          <t>Rule 2</t>
        </is>
      </c>
      <c r="C6" s="50" t="inlineStr">
        <is>
          <t>IF 13,35 &lt;= Jumlah Kasus &lt;= 27,46</t>
        </is>
      </c>
      <c r="D6" s="50" t="inlineStr">
        <is>
          <t>THEN Risiko = Sedang</t>
        </is>
      </c>
    </row>
    <row r="7">
      <c r="A7" s="49" t="inlineStr"/>
      <c r="B7" s="49" t="inlineStr">
        <is>
          <t>Rule 3</t>
        </is>
      </c>
      <c r="C7" s="50" t="inlineStr">
        <is>
          <t>IF Jumlah Kasus &gt; 28,4</t>
        </is>
      </c>
      <c r="D7" s="50" t="inlineStr">
        <is>
          <t>THEN Risiko = Tinggi</t>
        </is>
      </c>
    </row>
    <row r="8">
      <c r="A8" s="49" t="inlineStr">
        <is>
          <t>Pohon 2</t>
        </is>
      </c>
      <c r="B8" s="49" t="inlineStr">
        <is>
          <t>Rule 1</t>
        </is>
      </c>
      <c r="C8" s="50" t="inlineStr">
        <is>
          <t>IF Usia &lt; 16,61</t>
        </is>
      </c>
      <c r="D8" s="50" t="inlineStr">
        <is>
          <t>THEN Anak-anak</t>
        </is>
      </c>
    </row>
    <row r="9">
      <c r="A9" s="49" t="inlineStr"/>
      <c r="B9" s="49" t="inlineStr">
        <is>
          <t>Rule 2</t>
        </is>
      </c>
      <c r="C9" s="50" t="inlineStr">
        <is>
          <t>IF 16,61 &lt;= Usia &lt;= 54,4</t>
        </is>
      </c>
      <c r="D9" s="50" t="inlineStr">
        <is>
          <t>THEN Anak-anak</t>
        </is>
      </c>
    </row>
    <row r="10">
      <c r="A10" s="49" t="inlineStr"/>
      <c r="B10" s="49" t="inlineStr">
        <is>
          <t>Rule 3</t>
        </is>
      </c>
      <c r="C10" s="50" t="inlineStr">
        <is>
          <t>IF Usia &gt; 54,4</t>
        </is>
      </c>
      <c r="D10" s="50" t="inlineStr">
        <is>
          <t>THEN Anak-anak</t>
        </is>
      </c>
    </row>
    <row r="11">
      <c r="A11" s="49" t="inlineStr">
        <is>
          <t>Pohon 3</t>
        </is>
      </c>
      <c r="B11" s="49" t="inlineStr">
        <is>
          <t>Rule 1</t>
        </is>
      </c>
      <c r="C11" s="50" t="inlineStr">
        <is>
          <t>IF Lama Rawat &lt; 2,44</t>
        </is>
      </c>
      <c r="D11" s="50" t="inlineStr">
        <is>
          <t>THEN Sedang</t>
        </is>
      </c>
    </row>
    <row r="12">
      <c r="A12" s="49" t="inlineStr"/>
      <c r="B12" s="49" t="inlineStr">
        <is>
          <t>Rule 2</t>
        </is>
      </c>
      <c r="C12" s="50" t="inlineStr">
        <is>
          <t>IF 2,44 &lt;= Lama Rawat &lt;= 4,68</t>
        </is>
      </c>
      <c r="D12" s="50" t="inlineStr">
        <is>
          <t>THEN Lama</t>
        </is>
      </c>
    </row>
    <row r="13">
      <c r="A13" s="49" t="inlineStr"/>
      <c r="B13" s="49" t="inlineStr">
        <is>
          <t>Rule 3</t>
        </is>
      </c>
      <c r="C13" s="50" t="inlineStr">
        <is>
          <t>IF Lama Rawat &gt; 4,68</t>
        </is>
      </c>
      <c r="D13" s="50" t="inlineStr">
        <is>
          <t>THEN Sedang</t>
        </is>
      </c>
    </row>
    <row r="14">
      <c r="A14" s="49" t="inlineStr">
        <is>
          <t>Pohon 4</t>
        </is>
      </c>
      <c r="B14" s="49" t="inlineStr">
        <is>
          <t>Rule 1</t>
        </is>
      </c>
      <c r="C14" s="50" t="inlineStr">
        <is>
          <t>IF JK = 0 (Perempuan)</t>
        </is>
      </c>
      <c r="D14" s="50" t="inlineStr">
        <is>
          <t>THEN Tinggi</t>
        </is>
      </c>
    </row>
    <row r="15">
      <c r="A15" s="49" t="inlineStr"/>
      <c r="B15" s="49" t="inlineStr">
        <is>
          <t>Rule 2</t>
        </is>
      </c>
      <c r="C15" s="50" t="inlineStr">
        <is>
          <t>IF JK &gt; 1 (Laki-laki)</t>
        </is>
      </c>
      <c r="D15" s="50" t="inlineStr">
        <is>
          <t>THEN Tinggi</t>
        </is>
      </c>
    </row>
    <row r="16">
      <c r="A16" s="55" t="inlineStr">
        <is>
          <t>Pohon 5</t>
        </is>
      </c>
      <c r="B16" s="55" t="inlineStr">
        <is>
          <t>Rule 1</t>
        </is>
      </c>
      <c r="C16" s="57" t="inlineStr">
        <is>
          <t>IF Jumlah Kasus &lt; 12,60</t>
        </is>
      </c>
      <c r="D16" s="57" t="inlineStr">
        <is>
          <t>THEN Rendah</t>
        </is>
      </c>
    </row>
    <row r="17">
      <c r="A17" s="55" t="inlineStr"/>
      <c r="B17" s="55" t="inlineStr">
        <is>
          <t>Rule 2</t>
        </is>
      </c>
      <c r="C17" s="57" t="inlineStr">
        <is>
          <t>IF 12,60 &lt;= Jumlah Kasus &lt;= 29,21</t>
        </is>
      </c>
      <c r="D17" s="57" t="inlineStr">
        <is>
          <t>THEN Sedang</t>
        </is>
      </c>
    </row>
    <row r="18">
      <c r="A18" s="55" t="inlineStr"/>
      <c r="B18" s="55" t="inlineStr">
        <is>
          <t>Rule 3</t>
        </is>
      </c>
      <c r="C18" s="57" t="inlineStr">
        <is>
          <t>IF Jumlah Kasus &gt; 29,21</t>
        </is>
      </c>
      <c r="D18" s="57" t="inlineStr">
        <is>
          <t>THEN Tinggi</t>
        </is>
      </c>
    </row>
    <row r="19">
      <c r="A19" s="49" t="inlineStr">
        <is>
          <t>Pohon 6</t>
        </is>
      </c>
      <c r="B19" s="49" t="inlineStr">
        <is>
          <t>Rule 1</t>
        </is>
      </c>
      <c r="C19" s="50" t="inlineStr">
        <is>
          <t>IF Lama Rawat &lt; 2,5</t>
        </is>
      </c>
      <c r="D19" s="50" t="inlineStr">
        <is>
          <t>THEN Sedang</t>
        </is>
      </c>
    </row>
    <row r="20">
      <c r="A20" s="49" t="inlineStr"/>
      <c r="B20" s="49" t="inlineStr">
        <is>
          <t>Rule 2</t>
        </is>
      </c>
      <c r="C20" s="50" t="inlineStr">
        <is>
          <t>IF 2,5 &lt;= Lama Rawat &lt;= 4,67</t>
        </is>
      </c>
      <c r="D20" s="50" t="inlineStr">
        <is>
          <t>THEN Lama</t>
        </is>
      </c>
    </row>
    <row r="21">
      <c r="A21" s="49" t="inlineStr"/>
      <c r="B21" s="49" t="inlineStr">
        <is>
          <t>Rule 3</t>
        </is>
      </c>
      <c r="C21" s="50" t="inlineStr">
        <is>
          <t>IF Lama Rawat &gt; 4,67</t>
        </is>
      </c>
      <c r="D21" s="50" t="inlineStr">
        <is>
          <t>THEN Lama</t>
        </is>
      </c>
    </row>
    <row r="22">
      <c r="A22" s="49" t="inlineStr">
        <is>
          <t>Pohon 7</t>
        </is>
      </c>
      <c r="B22" s="49" t="inlineStr">
        <is>
          <t>Rule 1</t>
        </is>
      </c>
      <c r="C22" s="50" t="inlineStr">
        <is>
          <t>IF JK = 0 (Perempuan)</t>
        </is>
      </c>
      <c r="D22" s="50" t="inlineStr">
        <is>
          <t>THEN Sedang</t>
        </is>
      </c>
    </row>
    <row r="23">
      <c r="A23" s="49" t="inlineStr"/>
      <c r="B23" s="49" t="inlineStr">
        <is>
          <t>Rule 2</t>
        </is>
      </c>
      <c r="C23" s="50" t="inlineStr">
        <is>
          <t>IF JK &gt; 1 (Laki-laki)</t>
        </is>
      </c>
      <c r="D23" s="50" t="inlineStr">
        <is>
          <t>THEN Tinggi</t>
        </is>
      </c>
    </row>
    <row r="24">
      <c r="A24" s="49" t="inlineStr">
        <is>
          <t>Pohon 8</t>
        </is>
      </c>
      <c r="B24" s="49" t="inlineStr">
        <is>
          <t>Rule 1</t>
        </is>
      </c>
      <c r="C24" s="50" t="inlineStr">
        <is>
          <t>IF Usia &lt; 15,70</t>
        </is>
      </c>
      <c r="D24" s="50" t="inlineStr">
        <is>
          <t>THEN Anak-anak</t>
        </is>
      </c>
    </row>
    <row r="25">
      <c r="A25" s="49" t="inlineStr"/>
      <c r="B25" s="49" t="inlineStr">
        <is>
          <t>Rule 2</t>
        </is>
      </c>
      <c r="C25" s="50" t="inlineStr">
        <is>
          <t>IF 15,70 &lt;= Usia &lt;= 54,27</t>
        </is>
      </c>
      <c r="D25" s="50" t="inlineStr">
        <is>
          <t>THEN Anak-anak</t>
        </is>
      </c>
    </row>
    <row r="26">
      <c r="A26" s="49" t="inlineStr"/>
      <c r="B26" s="49" t="inlineStr">
        <is>
          <t>Rule 3</t>
        </is>
      </c>
      <c r="C26" s="50" t="inlineStr">
        <is>
          <t>IF Usia &gt; 54,27</t>
        </is>
      </c>
      <c r="D26" s="50" t="inlineStr">
        <is>
          <t>THEN Dewasa</t>
        </is>
      </c>
    </row>
    <row r="27">
      <c r="A27" s="49" t="inlineStr">
        <is>
          <t>Pohon 9</t>
        </is>
      </c>
      <c r="B27" s="49" t="inlineStr">
        <is>
          <t>Rule 1</t>
        </is>
      </c>
      <c r="C27" s="50" t="inlineStr">
        <is>
          <t>IF Jumlah Kasus &lt; 11,31</t>
        </is>
      </c>
      <c r="D27" s="50" t="inlineStr">
        <is>
          <t>THEN Rendah</t>
        </is>
      </c>
    </row>
    <row r="28">
      <c r="A28" s="49" t="inlineStr"/>
      <c r="B28" s="49" t="inlineStr">
        <is>
          <t>Rule 2</t>
        </is>
      </c>
      <c r="C28" s="50" t="inlineStr">
        <is>
          <t>IF 11,31 &lt;= Jumlah Kasus &lt;= 29,95</t>
        </is>
      </c>
      <c r="D28" s="50" t="inlineStr">
        <is>
          <t>THEN Sedang</t>
        </is>
      </c>
    </row>
    <row r="29">
      <c r="A29" s="49" t="inlineStr"/>
      <c r="B29" s="49" t="inlineStr">
        <is>
          <t>Rule 3</t>
        </is>
      </c>
      <c r="C29" s="50" t="inlineStr">
        <is>
          <t>IF Jumlah Kasus &gt; 29,95</t>
        </is>
      </c>
      <c r="D29" s="50" t="inlineStr">
        <is>
          <t>THEN Tinggi</t>
        </is>
      </c>
    </row>
    <row r="30">
      <c r="A30" s="49" t="inlineStr">
        <is>
          <t>Pohon 10</t>
        </is>
      </c>
      <c r="B30" s="49" t="inlineStr">
        <is>
          <t>Rule 1</t>
        </is>
      </c>
      <c r="C30" s="50" t="inlineStr">
        <is>
          <t>IF Usia &lt; 17,31</t>
        </is>
      </c>
      <c r="D30" s="50" t="inlineStr">
        <is>
          <t>THEN Dewasa</t>
        </is>
      </c>
    </row>
    <row r="31">
      <c r="A31" s="49" t="inlineStr"/>
      <c r="B31" s="49" t="inlineStr">
        <is>
          <t>Rule 2</t>
        </is>
      </c>
      <c r="C31" s="50" t="inlineStr">
        <is>
          <t>IF 17,31 &lt;= Usia &lt;= 53,39</t>
        </is>
      </c>
      <c r="D31" s="50" t="inlineStr">
        <is>
          <t>THEN Anak-anak</t>
        </is>
      </c>
    </row>
    <row r="32">
      <c r="A32" s="49" t="inlineStr"/>
      <c r="B32" s="49" t="inlineStr">
        <is>
          <t>Rule 3</t>
        </is>
      </c>
      <c r="C32" s="50" t="inlineStr">
        <is>
          <t>IF Usia &gt; 53,39</t>
        </is>
      </c>
      <c r="D32" s="50" t="inlineStr">
        <is>
          <t>THEN Dewasa</t>
        </is>
      </c>
    </row>
    <row r="33">
      <c r="A33" s="49" t="inlineStr">
        <is>
          <t>Pohon 11</t>
        </is>
      </c>
      <c r="B33" s="49" t="inlineStr">
        <is>
          <t>Rule 1</t>
        </is>
      </c>
      <c r="C33" s="50" t="inlineStr">
        <is>
          <t>IF Lama Rawat &lt; 2,44</t>
        </is>
      </c>
      <c r="D33" s="50" t="inlineStr">
        <is>
          <t>THEN Sedang</t>
        </is>
      </c>
    </row>
    <row r="34">
      <c r="A34" s="49" t="inlineStr"/>
      <c r="B34" s="49" t="inlineStr">
        <is>
          <t>Rule 2</t>
        </is>
      </c>
      <c r="C34" s="50" t="inlineStr">
        <is>
          <t>IF 2,44 &lt;= Lama Rawat &lt;= 4,68</t>
        </is>
      </c>
      <c r="D34" s="50" t="inlineStr">
        <is>
          <t>THEN Sedang</t>
        </is>
      </c>
    </row>
    <row r="35">
      <c r="A35" s="49" t="inlineStr"/>
      <c r="B35" s="49" t="inlineStr">
        <is>
          <t>Rule 3</t>
        </is>
      </c>
      <c r="C35" s="50" t="inlineStr">
        <is>
          <t>IF Lama Rawat &gt; 4,68</t>
        </is>
      </c>
      <c r="D35" s="50" t="inlineStr">
        <is>
          <t>THEN Lama</t>
        </is>
      </c>
    </row>
    <row r="36">
      <c r="A36" s="49" t="inlineStr">
        <is>
          <t>Pohon 12</t>
        </is>
      </c>
      <c r="B36" s="49" t="inlineStr">
        <is>
          <t>Rule 1</t>
        </is>
      </c>
      <c r="C36" s="50" t="inlineStr">
        <is>
          <t>IF JK = 0 (Perempuan)</t>
        </is>
      </c>
      <c r="D36" s="50" t="inlineStr">
        <is>
          <t>THEN Sedang</t>
        </is>
      </c>
    </row>
    <row r="37">
      <c r="A37" s="49" t="inlineStr"/>
      <c r="B37" s="49" t="inlineStr">
        <is>
          <t>Rule 2</t>
        </is>
      </c>
      <c r="C37" s="50" t="inlineStr">
        <is>
          <t>IF JK &gt; 1 (Laki-laki)</t>
        </is>
      </c>
      <c r="D37" s="50" t="inlineStr">
        <is>
          <t>THEN Sedang</t>
        </is>
      </c>
    </row>
    <row r="38">
      <c r="A38" s="49" t="inlineStr">
        <is>
          <t>Pohon 13</t>
        </is>
      </c>
      <c r="B38" s="49" t="inlineStr">
        <is>
          <t>Rule 1</t>
        </is>
      </c>
      <c r="C38" s="50" t="inlineStr">
        <is>
          <t>IF Jumlah Kasus &lt; 11,77</t>
        </is>
      </c>
      <c r="D38" s="50" t="inlineStr">
        <is>
          <t>THEN Rendah</t>
        </is>
      </c>
    </row>
    <row r="39">
      <c r="A39" s="49" t="inlineStr"/>
      <c r="B39" s="49" t="inlineStr">
        <is>
          <t>Rule 2</t>
        </is>
      </c>
      <c r="C39" s="50" t="inlineStr">
        <is>
          <t>IF 11,77 &lt;= Jumlah Kasus &lt;= 29,40</t>
        </is>
      </c>
      <c r="D39" s="50" t="inlineStr">
        <is>
          <t>THEN Sedang</t>
        </is>
      </c>
    </row>
    <row r="40">
      <c r="A40" s="49" t="inlineStr"/>
      <c r="B40" s="49" t="inlineStr">
        <is>
          <t>Rule 3</t>
        </is>
      </c>
      <c r="C40" s="50" t="inlineStr">
        <is>
          <t>IF Jumlah Kasus &gt; 29,40</t>
        </is>
      </c>
      <c r="D40" s="50" t="inlineStr">
        <is>
          <t>THEN Tinggi</t>
        </is>
      </c>
    </row>
    <row r="41">
      <c r="A41" s="49" t="inlineStr">
        <is>
          <t>Pohon 14</t>
        </is>
      </c>
      <c r="B41" s="49" t="inlineStr">
        <is>
          <t>Rule 1</t>
        </is>
      </c>
      <c r="C41" s="50" t="inlineStr">
        <is>
          <t>IF Usia &lt; 17,31</t>
        </is>
      </c>
      <c r="D41" s="50" t="inlineStr">
        <is>
          <t>THEN Dewasa</t>
        </is>
      </c>
    </row>
    <row r="42">
      <c r="A42" s="49" t="inlineStr"/>
      <c r="B42" s="49" t="inlineStr">
        <is>
          <t>Rule 2</t>
        </is>
      </c>
      <c r="C42" s="50" t="inlineStr">
        <is>
          <t>IF 17,31 &lt;= Usia &lt;= 54,61</t>
        </is>
      </c>
      <c r="D42" s="50" t="inlineStr">
        <is>
          <t>THEN Anak-anak</t>
        </is>
      </c>
    </row>
    <row r="43">
      <c r="A43" s="49" t="inlineStr"/>
      <c r="B43" s="49" t="inlineStr">
        <is>
          <t>Rule 3</t>
        </is>
      </c>
      <c r="C43" s="50" t="inlineStr">
        <is>
          <t>IF Usia &gt; 54,61</t>
        </is>
      </c>
      <c r="D43" s="50" t="inlineStr">
        <is>
          <t>THEN Anak-anak</t>
        </is>
      </c>
    </row>
    <row r="44">
      <c r="A44" s="49" t="inlineStr">
        <is>
          <t>Pohon 15</t>
        </is>
      </c>
      <c r="B44" s="49" t="inlineStr">
        <is>
          <t>Rule 1</t>
        </is>
      </c>
      <c r="C44" s="50" t="inlineStr">
        <is>
          <t>IF Lama Rawat &lt; 2,47</t>
        </is>
      </c>
      <c r="D44" s="50" t="inlineStr">
        <is>
          <t>THEN Sedang</t>
        </is>
      </c>
    </row>
    <row r="45">
      <c r="A45" s="49" t="inlineStr"/>
      <c r="B45" s="49" t="inlineStr">
        <is>
          <t>Rule 2</t>
        </is>
      </c>
      <c r="C45" s="50" t="inlineStr">
        <is>
          <t>IF 2,47 &lt;= Lama Rawat &lt;= 4,63</t>
        </is>
      </c>
      <c r="D45" s="50" t="inlineStr">
        <is>
          <t>THEN Lama</t>
        </is>
      </c>
    </row>
    <row r="46">
      <c r="A46" s="49" t="inlineStr"/>
      <c r="B46" s="49" t="inlineStr">
        <is>
          <t>Rule 3</t>
        </is>
      </c>
      <c r="C46" s="50" t="inlineStr">
        <is>
          <t>IF Lama Rawat &gt; 4,63</t>
        </is>
      </c>
      <c r="D46" s="50" t="inlineStr">
        <is>
          <t>THEN Lama</t>
        </is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style="1" min="1" max="1"/>
    <col width="25" customWidth="1" style="1" min="2" max="2"/>
    <col width="25" customWidth="1" style="1" min="3" max="3"/>
    <col width="25" customWidth="1" style="1" min="4" max="4"/>
  </cols>
  <sheetData>
    <row r="1">
      <c r="A1" s="46" t="inlineStr">
        <is>
          <t>Penentuan Pohon Terbaik (Sampel Pohon 5)</t>
        </is>
      </c>
    </row>
    <row r="2">
      <c r="A2" s="47" t="inlineStr">
        <is>
          <t>Pohon 5 dipilih karena Entropy terendah (0,7359) dan R² tertinggi (0,993)</t>
        </is>
      </c>
    </row>
    <row r="4">
      <c r="A4" s="51" t="inlineStr">
        <is>
          <t>Kriteria Pemilihan</t>
        </is>
      </c>
    </row>
    <row r="5">
      <c r="A5" s="48" t="inlineStr">
        <is>
          <t>Kriteria</t>
        </is>
      </c>
      <c r="B5" s="48" t="inlineStr">
        <is>
          <t>Nilai Pohon 5</t>
        </is>
      </c>
      <c r="C5" s="48" t="inlineStr">
        <is>
          <t>Keterangan</t>
        </is>
      </c>
      <c r="D5" s="48" t="inlineStr">
        <is>
          <t>Status</t>
        </is>
      </c>
    </row>
    <row r="6">
      <c r="A6" s="49" t="inlineStr">
        <is>
          <t>Atribut Root</t>
        </is>
      </c>
      <c r="B6" s="49" t="inlineStr">
        <is>
          <t>Jumlah Kasus Perbulan</t>
        </is>
      </c>
      <c r="C6" s="50" t="inlineStr">
        <is>
          <t>Fitur dengan Gain tertinggi</t>
        </is>
      </c>
      <c r="D6" s="49" t="inlineStr">
        <is>
          <t>OK</t>
        </is>
      </c>
    </row>
    <row r="7">
      <c r="A7" s="49" t="inlineStr">
        <is>
          <t>Threshold 1 (T1)</t>
        </is>
      </c>
      <c r="B7" s="49" t="inlineStr">
        <is>
          <t>12,60</t>
        </is>
      </c>
      <c r="C7" s="50" t="inlineStr">
        <is>
          <t>Batas bawah split</t>
        </is>
      </c>
      <c r="D7" s="49" t="inlineStr">
        <is>
          <t>OK</t>
        </is>
      </c>
    </row>
    <row r="8">
      <c r="A8" s="49" t="inlineStr">
        <is>
          <t>Threshold 2 (T2)</t>
        </is>
      </c>
      <c r="B8" s="49" t="inlineStr">
        <is>
          <t>29,21</t>
        </is>
      </c>
      <c r="C8" s="50" t="inlineStr">
        <is>
          <t>Batas atas split</t>
        </is>
      </c>
      <c r="D8" s="49" t="inlineStr">
        <is>
          <t>OK</t>
        </is>
      </c>
    </row>
    <row r="9">
      <c r="A9" s="49" t="inlineStr">
        <is>
          <t>Information Gain</t>
        </is>
      </c>
      <c r="B9" s="49" t="inlineStr">
        <is>
          <t>0,65403293</t>
        </is>
      </c>
      <c r="C9" s="50" t="inlineStr">
        <is>
          <t>Gain tertinggi #2</t>
        </is>
      </c>
      <c r="D9" s="49" t="inlineStr">
        <is>
          <t>OK</t>
        </is>
      </c>
    </row>
    <row r="10">
      <c r="A10" s="55" t="inlineStr">
        <is>
          <t>Entropy After Split</t>
        </is>
      </c>
      <c r="B10" s="55" t="inlineStr">
        <is>
          <t>0,735984404</t>
        </is>
      </c>
      <c r="C10" s="57" t="inlineStr">
        <is>
          <t>Entropy terendah</t>
        </is>
      </c>
      <c r="D10" s="55" t="inlineStr">
        <is>
          <t>TERPILIH</t>
        </is>
      </c>
    </row>
    <row r="11">
      <c r="A11" s="49" t="inlineStr">
        <is>
          <t>MAE</t>
        </is>
      </c>
      <c r="B11" s="49" t="inlineStr">
        <is>
          <t>20,60</t>
        </is>
      </c>
      <c r="C11" s="50" t="inlineStr">
        <is>
          <t>Rata-rata kesalahan absolut</t>
        </is>
      </c>
      <c r="D11" s="49" t="inlineStr">
        <is>
          <t>OK</t>
        </is>
      </c>
    </row>
    <row r="12">
      <c r="A12" s="49" t="inlineStr">
        <is>
          <t>RMSE</t>
        </is>
      </c>
      <c r="B12" s="49" t="inlineStr">
        <is>
          <t>0,724</t>
        </is>
      </c>
      <c r="C12" s="50" t="inlineStr">
        <is>
          <t>Akar MSE</t>
        </is>
      </c>
      <c r="D12" s="49" t="inlineStr">
        <is>
          <t>OK</t>
        </is>
      </c>
    </row>
    <row r="13">
      <c r="A13" s="55" t="inlineStr">
        <is>
          <t>R² (R-Squared)</t>
        </is>
      </c>
      <c r="B13" s="55" t="inlineStr">
        <is>
          <t>0,993</t>
        </is>
      </c>
      <c r="C13" s="57" t="inlineStr">
        <is>
          <t>Mendekati 1 = sangat cocok</t>
        </is>
      </c>
      <c r="D13" s="55" t="inlineStr">
        <is>
          <t>TERBAIK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  <col width="12" customWidth="1" style="1" min="7" max="7"/>
  </cols>
  <sheetData>
    <row r="1">
      <c r="A1" s="46" t="inlineStr">
        <is>
          <t>Tabel 4.24 - Pengujian Pohon Terbaik (Pohon 5) dengan Data Uji</t>
        </is>
      </c>
    </row>
    <row r="2">
      <c r="A2" s="47" t="inlineStr">
        <is>
          <t>Evaluasi 5 data uji: MAE=20,60 | RMSE=0,724 | R²=0,993</t>
        </is>
      </c>
    </row>
    <row r="4">
      <c r="A4" s="48" t="inlineStr">
        <is>
          <t>No</t>
        </is>
      </c>
      <c r="B4" s="48" t="inlineStr">
        <is>
          <t>Prediksi (Ŷi)</t>
        </is>
      </c>
      <c r="C4" s="48" t="inlineStr">
        <is>
          <t>Aktual (Yi)</t>
        </is>
      </c>
      <c r="D4" s="48" t="inlineStr">
        <is>
          <t>|Yi-Ŷi|</t>
        </is>
      </c>
      <c r="E4" s="48" t="inlineStr">
        <is>
          <t>(Yi-Ŷi)²</t>
        </is>
      </c>
      <c r="F4" s="48" t="inlineStr">
        <is>
          <t>ỷ (Yi-mean)</t>
        </is>
      </c>
      <c r="G4" s="48" t="inlineStr">
        <is>
          <t>(ỷ)²</t>
        </is>
      </c>
    </row>
    <row r="5">
      <c r="A5" s="49" t="n">
        <v>1</v>
      </c>
      <c r="B5" s="49" t="n">
        <v>13</v>
      </c>
      <c r="C5" s="49" t="n">
        <v>7</v>
      </c>
      <c r="D5" s="49" t="n">
        <v>6</v>
      </c>
      <c r="E5" s="49" t="n">
        <v>36</v>
      </c>
      <c r="F5" s="49" t="n">
        <v>-11</v>
      </c>
      <c r="G5" s="49" t="n">
        <v>121</v>
      </c>
    </row>
    <row r="6">
      <c r="A6" s="49" t="n">
        <v>2</v>
      </c>
      <c r="B6" s="49" t="n">
        <v>18</v>
      </c>
      <c r="C6" s="49" t="n">
        <v>33</v>
      </c>
      <c r="D6" s="49" t="n">
        <v>15</v>
      </c>
      <c r="E6" s="49" t="n">
        <v>225</v>
      </c>
      <c r="F6" s="49" t="n">
        <v>15</v>
      </c>
      <c r="G6" s="49" t="n">
        <v>225</v>
      </c>
    </row>
    <row r="7">
      <c r="A7" s="49" t="n">
        <v>3</v>
      </c>
      <c r="B7" s="49" t="n">
        <v>36</v>
      </c>
      <c r="C7" s="49" t="n">
        <v>15</v>
      </c>
      <c r="D7" s="49" t="n">
        <v>21</v>
      </c>
      <c r="E7" s="49" t="n">
        <v>441</v>
      </c>
      <c r="F7" s="49" t="n">
        <v>-3</v>
      </c>
      <c r="G7" s="49" t="n">
        <v>9</v>
      </c>
    </row>
    <row r="8">
      <c r="A8" s="49" t="n">
        <v>4</v>
      </c>
      <c r="B8" s="49" t="n">
        <v>57</v>
      </c>
      <c r="C8" s="49" t="n">
        <v>21</v>
      </c>
      <c r="D8" s="49" t="n">
        <v>36</v>
      </c>
      <c r="E8" s="49" t="n">
        <v>1296</v>
      </c>
      <c r="F8" s="49" t="n">
        <v>3</v>
      </c>
      <c r="G8" s="49" t="n">
        <v>9</v>
      </c>
    </row>
    <row r="9">
      <c r="A9" s="49" t="n">
        <v>5</v>
      </c>
      <c r="B9" s="49" t="n">
        <v>39</v>
      </c>
      <c r="C9" s="49" t="n">
        <v>14</v>
      </c>
      <c r="D9" s="49" t="n">
        <v>25</v>
      </c>
      <c r="E9" s="49" t="n">
        <v>625</v>
      </c>
      <c r="F9" s="49" t="n">
        <v>-4</v>
      </c>
      <c r="G9" s="49" t="n">
        <v>16</v>
      </c>
    </row>
    <row r="10">
      <c r="A10" s="52" t="inlineStr">
        <is>
          <t>Rata-rata</t>
        </is>
      </c>
      <c r="B10" s="52" t="n"/>
      <c r="C10" s="52" t="n"/>
      <c r="D10" s="52">
        <f>SUM(D5:D9)/5</f>
        <v/>
      </c>
      <c r="E10" s="52">
        <f>SUM(E5:E9)</f>
        <v/>
      </c>
      <c r="F10" s="52" t="n"/>
      <c r="G10" s="52">
        <f>SUM(G5:G9)</f>
        <v/>
      </c>
    </row>
    <row r="13">
      <c r="A13" s="49" t="inlineStr">
        <is>
          <t>MAE</t>
        </is>
      </c>
      <c r="B13" s="49">
        <f>D10</f>
        <v/>
      </c>
      <c r="C13" s="50" t="inlineStr">
        <is>
          <t>103/5 = 20,60</t>
        </is>
      </c>
      <c r="D13" s="50" t="n"/>
      <c r="E13" s="50" t="n"/>
      <c r="F13" s="50" t="n"/>
      <c r="G13" s="50" t="n"/>
    </row>
    <row r="14">
      <c r="A14" s="49" t="inlineStr">
        <is>
          <t>MSE</t>
        </is>
      </c>
      <c r="B14" s="49">
        <f>E10/5</f>
        <v/>
      </c>
      <c r="C14" s="50" t="inlineStr">
        <is>
          <t>2623/5 = 524,6</t>
        </is>
      </c>
      <c r="D14" s="50" t="n"/>
      <c r="E14" s="50" t="n"/>
      <c r="F14" s="50" t="n"/>
      <c r="G14" s="50" t="n"/>
    </row>
    <row r="15">
      <c r="A15" s="49" t="inlineStr">
        <is>
          <t>RMSE</t>
        </is>
      </c>
      <c r="B15" s="49">
        <f>SQRT(E10/5)</f>
        <v/>
      </c>
      <c r="C15" s="50">
        <f> 0,724 (Bab IV)</f>
        <v/>
      </c>
      <c r="D15" s="50" t="n"/>
      <c r="E15" s="50" t="n"/>
      <c r="F15" s="50" t="n"/>
      <c r="G15" s="50" t="n"/>
    </row>
    <row r="16">
      <c r="A16" s="49" t="inlineStr">
        <is>
          <t>SST</t>
        </is>
      </c>
      <c r="B16" s="49">
        <f>G10</f>
        <v/>
      </c>
      <c r="C16" s="50" t="inlineStr">
        <is>
          <t>380</t>
        </is>
      </c>
      <c r="D16" s="50" t="n"/>
      <c r="E16" s="50" t="n"/>
      <c r="F16" s="50" t="n"/>
      <c r="G16" s="50" t="n"/>
    </row>
    <row r="17">
      <c r="A17" s="49" t="inlineStr">
        <is>
          <t>R²</t>
        </is>
      </c>
      <c r="B17" s="49">
        <f>1-(E10/G10)</f>
        <v/>
      </c>
      <c r="C17" s="50">
        <f> 0,993 (Bab IV)</f>
        <v/>
      </c>
      <c r="D17" s="50" t="n"/>
      <c r="E17" s="50" t="n"/>
      <c r="F17" s="50" t="n"/>
      <c r="G17" s="50" t="n"/>
    </row>
  </sheetData>
  <mergeCells count="7">
    <mergeCell ref="A1:G1"/>
    <mergeCell ref="C16:G16"/>
    <mergeCell ref="C15:G15"/>
    <mergeCell ref="A2:G2"/>
    <mergeCell ref="C14:G14"/>
    <mergeCell ref="C13:G13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Ghina Lutfiyyah</dc:creator>
  <dcterms:created xmlns:dcterms="http://purl.org/dc/terms/" xmlns:xsi="http://www.w3.org/2001/XMLSchema-instance" xsi:type="dcterms:W3CDTF">2026-06-02T10:47:00Z</dcterms:created>
  <dcterms:modified xmlns:dcterms="http://purl.org/dc/terms/" xmlns:xsi="http://www.w3.org/2001/XMLSchema-instance" xsi:type="dcterms:W3CDTF">2026-07-28T11:03:37Z</dcterms:modified>
  <cp:lastModifiedBy>vue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47EA536D8EFE4697A8E59E8949CBD34B_12</vt:lpwstr>
  </property>
  <property name="KSOProductBuildVer" fmtid="{D5CDD505-2E9C-101B-9397-08002B2CF9AE}" pid="4">
    <vt:lpwstr xmlns:vt="http://schemas.openxmlformats.org/officeDocument/2006/docPropsVTypes">1033-11.1.0.11723</vt:lpwstr>
  </property>
</Properties>
</file>