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6"/>
  </bookViews>
  <sheets>
    <sheet name="Data_DBD" sheetId="1" state="visible" r:id="rId3"/>
    <sheet name="Random_Sampling" sheetId="2" state="visible" r:id="rId4"/>
    <sheet name="Pohon 1" sheetId="3" state="visible" r:id="rId5"/>
    <sheet name="Pohon 2" sheetId="4" state="visible" r:id="rId6"/>
    <sheet name="Pohon 3" sheetId="5" state="visible" r:id="rId7"/>
    <sheet name="Pohon 4" sheetId="6" state="visible" r:id="rId8"/>
    <sheet name="Pohon 5" sheetId="7" state="visible" r:id="rId9"/>
    <sheet name="Pohon 6" sheetId="8" state="visible" r:id="rId10"/>
    <sheet name="Pohon 7" sheetId="9" state="visible" r:id="rId11"/>
    <sheet name="Pohon 8 " sheetId="10" state="visible" r:id="rId12"/>
    <sheet name="Pohon 9" sheetId="11" state="visible" r:id="rId13"/>
    <sheet name="Pohon 10" sheetId="12" state="visible" r:id="rId14"/>
    <sheet name="Pohon 11" sheetId="13" state="visible" r:id="rId15"/>
    <sheet name="Pohon 12" sheetId="14" state="visible" r:id="rId16"/>
    <sheet name="Pohon 13" sheetId="15" state="visible" r:id="rId17"/>
    <sheet name="Pohon 14" sheetId="16" state="visible" r:id="rId18"/>
    <sheet name="Pohon 15" sheetId="17" state="visible" r:id="rId19"/>
    <sheet name="PerhitunganRF" sheetId="18" state="visible" r:id="rId20"/>
    <sheet name="PenentuanPohonterbaik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<sst xmlns="http://schemas.openxmlformats.org/spreadsheetml/2006/main" count="3677" uniqueCount="372">
  <si>
    <t xml:space="preserve">Nama</t>
  </si>
  <si>
    <t xml:space="preserve">Usia</t>
  </si>
  <si>
    <t xml:space="preserve">Lama Rawat Inap</t>
  </si>
  <si>
    <t xml:space="preserve">Jumlah Kasus Perbulan</t>
  </si>
  <si>
    <t xml:space="preserve">Jenis Kelamin</t>
  </si>
  <si>
    <t xml:space="preserve">Tingkat Resiko</t>
  </si>
  <si>
    <t xml:space="preserve">Neni Sumetria</t>
  </si>
  <si>
    <t xml:space="preserve">Sedang</t>
  </si>
  <si>
    <t xml:space="preserve">Malki Amron</t>
  </si>
  <si>
    <t xml:space="preserve">Arifa Qyaratul</t>
  </si>
  <si>
    <t xml:space="preserve">Rezki Mhd</t>
  </si>
  <si>
    <t xml:space="preserve">Selfiolla</t>
  </si>
  <si>
    <t xml:space="preserve">M.Albiruni </t>
  </si>
  <si>
    <t xml:space="preserve">Yurika Azarine</t>
  </si>
  <si>
    <t xml:space="preserve">Rahmad Ihtiar</t>
  </si>
  <si>
    <t xml:space="preserve">Tiara Endiwa</t>
  </si>
  <si>
    <t xml:space="preserve">Boby</t>
  </si>
  <si>
    <t xml:space="preserve">Defi Putri</t>
  </si>
  <si>
    <t xml:space="preserve">Nini Efriza</t>
  </si>
  <si>
    <t xml:space="preserve">Novi Agus</t>
  </si>
  <si>
    <t xml:space="preserve">Rendah</t>
  </si>
  <si>
    <t xml:space="preserve">Siska Rahmadani</t>
  </si>
  <si>
    <t xml:space="preserve">Kalmani</t>
  </si>
  <si>
    <t xml:space="preserve">Nayra Dhika</t>
  </si>
  <si>
    <t xml:space="preserve">Andri Naldi</t>
  </si>
  <si>
    <t xml:space="preserve">Qhanita Nur</t>
  </si>
  <si>
    <t xml:space="preserve">Shecillia Hanifah</t>
  </si>
  <si>
    <t xml:space="preserve">Haziq Arsyad</t>
  </si>
  <si>
    <t xml:space="preserve">Naira Giska</t>
  </si>
  <si>
    <t xml:space="preserve">Eko Ady</t>
  </si>
  <si>
    <t xml:space="preserve">Suwarni</t>
  </si>
  <si>
    <t xml:space="preserve">Mayang</t>
  </si>
  <si>
    <t xml:space="preserve">Janibar</t>
  </si>
  <si>
    <t xml:space="preserve">Hendra Wadi</t>
  </si>
  <si>
    <t xml:space="preserve">Heru Pratama</t>
  </si>
  <si>
    <t xml:space="preserve">Ade Sepriyanto</t>
  </si>
  <si>
    <t xml:space="preserve">Diendri Barakta</t>
  </si>
  <si>
    <t xml:space="preserve">Suwardi</t>
  </si>
  <si>
    <t xml:space="preserve">Emelya Nora</t>
  </si>
  <si>
    <t xml:space="preserve">Eosel Rizkia</t>
  </si>
  <si>
    <t xml:space="preserve">Warmaneti</t>
  </si>
  <si>
    <t xml:space="preserve">Yandril</t>
  </si>
  <si>
    <t xml:space="preserve">Romy Herina</t>
  </si>
  <si>
    <t xml:space="preserve">Ilham Saputra</t>
  </si>
  <si>
    <t xml:space="preserve">Berli Simanjuntak</t>
  </si>
  <si>
    <t xml:space="preserve">M. Hafiz</t>
  </si>
  <si>
    <t xml:space="preserve">Yusril</t>
  </si>
  <si>
    <t xml:space="preserve">Anggifa Fitria</t>
  </si>
  <si>
    <t xml:space="preserve">Abdul Fikri</t>
  </si>
  <si>
    <t xml:space="preserve">Refa Anggraini</t>
  </si>
  <si>
    <t xml:space="preserve">Dosil Abdul</t>
  </si>
  <si>
    <t xml:space="preserve">Zulkifli</t>
  </si>
  <si>
    <t xml:space="preserve">Nurhayati</t>
  </si>
  <si>
    <t xml:space="preserve">Muhara Mulya</t>
  </si>
  <si>
    <t xml:space="preserve">Basri</t>
  </si>
  <si>
    <t xml:space="preserve">Yuharni</t>
  </si>
  <si>
    <t xml:space="preserve">Tiara Putri</t>
  </si>
  <si>
    <t xml:space="preserve">Afria Puspa</t>
  </si>
  <si>
    <t xml:space="preserve">Zeinal Efendi</t>
  </si>
  <si>
    <t xml:space="preserve">David Eka Putra</t>
  </si>
  <si>
    <t xml:space="preserve">Khaira Umamah</t>
  </si>
  <si>
    <t xml:space="preserve">Yusuf Andrian</t>
  </si>
  <si>
    <t xml:space="preserve">Riva Afrilliana</t>
  </si>
  <si>
    <t xml:space="preserve">Rizal Putra</t>
  </si>
  <si>
    <t xml:space="preserve">Olivia Kirana</t>
  </si>
  <si>
    <t xml:space="preserve">Fitri Novita</t>
  </si>
  <si>
    <t xml:space="preserve">Elianti</t>
  </si>
  <si>
    <t xml:space="preserve">Reza Refninda</t>
  </si>
  <si>
    <t xml:space="preserve">Fauzan</t>
  </si>
  <si>
    <t xml:space="preserve"> El Alisa Putri</t>
  </si>
  <si>
    <t xml:space="preserve">Sirat</t>
  </si>
  <si>
    <t xml:space="preserve">Emi</t>
  </si>
  <si>
    <t xml:space="preserve">Rezky</t>
  </si>
  <si>
    <t xml:space="preserve">Mhd Rivaldo</t>
  </si>
  <si>
    <t xml:space="preserve">Sri Suhermi</t>
  </si>
  <si>
    <t xml:space="preserve">Syaifullah</t>
  </si>
  <si>
    <t xml:space="preserve">Riwanto</t>
  </si>
  <si>
    <t xml:space="preserve">Yunizar </t>
  </si>
  <si>
    <t xml:space="preserve">Aqlan Havizh</t>
  </si>
  <si>
    <t xml:space="preserve">Dzacky Claresta</t>
  </si>
  <si>
    <t xml:space="preserve">Arumi Putri</t>
  </si>
  <si>
    <t xml:space="preserve">Ibnu Sadri</t>
  </si>
  <si>
    <t xml:space="preserve">Deliana</t>
  </si>
  <si>
    <t xml:space="preserve">Zakra</t>
  </si>
  <si>
    <t xml:space="preserve">Ulfa Oktavia</t>
  </si>
  <si>
    <t xml:space="preserve">Nafilsa Abdul</t>
  </si>
  <si>
    <t xml:space="preserve">Mulyadi</t>
  </si>
  <si>
    <t xml:space="preserve">Fadli Kurniawan</t>
  </si>
  <si>
    <t xml:space="preserve">Oktavianus</t>
  </si>
  <si>
    <t xml:space="preserve">Nipralaini</t>
  </si>
  <si>
    <t xml:space="preserve">Marzoni</t>
  </si>
  <si>
    <t xml:space="preserve">Putri Maylia</t>
  </si>
  <si>
    <t xml:space="preserve">Muthi Navisa</t>
  </si>
  <si>
    <t xml:space="preserve">Mutia Diva </t>
  </si>
  <si>
    <t xml:space="preserve">Anugrah Illahi</t>
  </si>
  <si>
    <t xml:space="preserve">Mon Sri</t>
  </si>
  <si>
    <t xml:space="preserve">Surya Masalfi</t>
  </si>
  <si>
    <t xml:space="preserve">Aat Kusmayadi</t>
  </si>
  <si>
    <t xml:space="preserve">Fitria Anita</t>
  </si>
  <si>
    <t xml:space="preserve">Rosavita</t>
  </si>
  <si>
    <t xml:space="preserve">Jauza Jahira</t>
  </si>
  <si>
    <t xml:space="preserve">Menzo Khaira</t>
  </si>
  <si>
    <t xml:space="preserve">Zulfa Yenti</t>
  </si>
  <si>
    <t xml:space="preserve">Syahlan Yuanda</t>
  </si>
  <si>
    <t xml:space="preserve">Kenzi Romanja</t>
  </si>
  <si>
    <t xml:space="preserve">Abdurrahman As Saoli</t>
  </si>
  <si>
    <t xml:space="preserve">Aisyah Difani</t>
  </si>
  <si>
    <t xml:space="preserve">Rosli Asamara</t>
  </si>
  <si>
    <t xml:space="preserve">Lisma Erni</t>
  </si>
  <si>
    <t xml:space="preserve">Rahmi</t>
  </si>
  <si>
    <t xml:space="preserve">Eki Hendra</t>
  </si>
  <si>
    <t xml:space="preserve">Yusbardar</t>
  </si>
  <si>
    <t xml:space="preserve">Aris Lucky</t>
  </si>
  <si>
    <t xml:space="preserve">Murniaty</t>
  </si>
  <si>
    <t xml:space="preserve">Agus</t>
  </si>
  <si>
    <t xml:space="preserve">Tinggi</t>
  </si>
  <si>
    <t xml:space="preserve">Indra Melvi</t>
  </si>
  <si>
    <t xml:space="preserve">Musliadi</t>
  </si>
  <si>
    <t xml:space="preserve">Ulfa Alifia</t>
  </si>
  <si>
    <t xml:space="preserve">Martias</t>
  </si>
  <si>
    <t xml:space="preserve">Masri</t>
  </si>
  <si>
    <t xml:space="preserve">Dzikra Maulana</t>
  </si>
  <si>
    <t xml:space="preserve">Indra Mastari</t>
  </si>
  <si>
    <t xml:space="preserve">Budi Kargo</t>
  </si>
  <si>
    <t xml:space="preserve">Adril Yusuf</t>
  </si>
  <si>
    <t xml:space="preserve">M. Fatih</t>
  </si>
  <si>
    <t xml:space="preserve">Nila Purnama Sari</t>
  </si>
  <si>
    <t xml:space="preserve">Edo Madani</t>
  </si>
  <si>
    <t xml:space="preserve">Idris</t>
  </si>
  <si>
    <t xml:space="preserve">Randi</t>
  </si>
  <si>
    <t xml:space="preserve">Destia Izani</t>
  </si>
  <si>
    <t xml:space="preserve">M. Raihan</t>
  </si>
  <si>
    <t xml:space="preserve">Widya Anggraini</t>
  </si>
  <si>
    <t xml:space="preserve">Misrita Indra</t>
  </si>
  <si>
    <t xml:space="preserve">Sintia</t>
  </si>
  <si>
    <t xml:space="preserve">Irmalinda</t>
  </si>
  <si>
    <t xml:space="preserve">Andini Putri</t>
  </si>
  <si>
    <t xml:space="preserve">Siti Aisyah</t>
  </si>
  <si>
    <t xml:space="preserve">Naura Salsabila</t>
  </si>
  <si>
    <t xml:space="preserve">Reza Chaniago</t>
  </si>
  <si>
    <t xml:space="preserve">Humaira Denifa</t>
  </si>
  <si>
    <t xml:space="preserve">Azzam</t>
  </si>
  <si>
    <t xml:space="preserve">Adha Lestari</t>
  </si>
  <si>
    <t xml:space="preserve">Nadira Puti</t>
  </si>
  <si>
    <t xml:space="preserve">Reza Andriansyah</t>
  </si>
  <si>
    <t xml:space="preserve">Rafael Sebastian</t>
  </si>
  <si>
    <t xml:space="preserve">Yulia Neri</t>
  </si>
  <si>
    <t xml:space="preserve">Rajab</t>
  </si>
  <si>
    <t xml:space="preserve">Widya Mayang</t>
  </si>
  <si>
    <t xml:space="preserve">Rahmat Fitra</t>
  </si>
  <si>
    <t xml:space="preserve">Alvin Noradilla</t>
  </si>
  <si>
    <t xml:space="preserve">Zhaya</t>
  </si>
  <si>
    <t xml:space="preserve">Ahmad Faizin</t>
  </si>
  <si>
    <t xml:space="preserve">Asrizal </t>
  </si>
  <si>
    <t xml:space="preserve">Yunaldi</t>
  </si>
  <si>
    <t xml:space="preserve">Yanti Devina</t>
  </si>
  <si>
    <t xml:space="preserve">Syafrizal</t>
  </si>
  <si>
    <t xml:space="preserve">Weri Oktavia</t>
  </si>
  <si>
    <t xml:space="preserve">Zulkarnain</t>
  </si>
  <si>
    <t xml:space="preserve">Zainal Abidin</t>
  </si>
  <si>
    <t xml:space="preserve">Kendi Cahya</t>
  </si>
  <si>
    <t xml:space="preserve">Budiyono</t>
  </si>
  <si>
    <t xml:space="preserve">Najwa</t>
  </si>
  <si>
    <t xml:space="preserve">Abdul Aziz</t>
  </si>
  <si>
    <t xml:space="preserve">Hanifa Puti</t>
  </si>
  <si>
    <t xml:space="preserve">Celsi Sapira</t>
  </si>
  <si>
    <t xml:space="preserve">Anita Puspita</t>
  </si>
  <si>
    <t xml:space="preserve">Diffa Cayriful</t>
  </si>
  <si>
    <t xml:space="preserve">Febrianto Angger</t>
  </si>
  <si>
    <t xml:space="preserve">Desrizal</t>
  </si>
  <si>
    <t xml:space="preserve">Aprillia Khairunnisa</t>
  </si>
  <si>
    <t xml:space="preserve">Random Sampling Data</t>
  </si>
  <si>
    <t xml:space="preserve">Jumlah Kasus Per Bulan</t>
  </si>
  <si>
    <t xml:space="preserve">No</t>
  </si>
  <si>
    <t xml:space="preserve">Perhitungan root</t>
  </si>
  <si>
    <t xml:space="preserve">Entropy Root</t>
  </si>
  <si>
    <t xml:space="preserve">Pohon 1:</t>
  </si>
  <si>
    <t xml:space="preserve">Rule 1.1 </t>
  </si>
  <si>
    <t xml:space="preserve">IF Jumlah Kasus Per Bulan  &lt; 13,35 </t>
  </si>
  <si>
    <t xml:space="preserve">THEN  Risiko = Sedang</t>
  </si>
  <si>
    <t xml:space="preserve">Rule 1.2</t>
  </si>
  <si>
    <t xml:space="preserve">IF Jumlah Kasus Per Bulan ≤ 13,35 AND  Jumlah Kasus Per Bulan  &gt; 27,46 </t>
  </si>
  <si>
    <t xml:space="preserve">THEN Risiko = Tinggi</t>
  </si>
  <si>
    <t xml:space="preserve">Rule 1.3</t>
  </si>
  <si>
    <t xml:space="preserve">IF Jumlah Kasus Per Bulan &gt; 28,4 THEN Risiko = Tinggi</t>
  </si>
  <si>
    <t xml:space="preserve">USIA</t>
  </si>
  <si>
    <t xml:space="preserve">LAMA RAWAT INAP</t>
  </si>
  <si>
    <t xml:space="preserve">JUMLAH KASUS PER BULAN</t>
  </si>
  <si>
    <t xml:space="preserve">JENIS KELAMIN</t>
  </si>
  <si>
    <t xml:space="preserve">Lama rawat inap</t>
  </si>
  <si>
    <t xml:space="preserve">Jumlah kasus perbulan</t>
  </si>
  <si>
    <t xml:space="preserve">Jenis kelamin</t>
  </si>
  <si>
    <t xml:space="preserve">Kanan &gt; 55.5</t>
  </si>
  <si>
    <t xml:space="preserve">Kanan &gt; 4.5</t>
  </si>
  <si>
    <t xml:space="preserve">Kanan &gt; 28.4</t>
  </si>
  <si>
    <t xml:space="preserve">Kanan &gt; 1</t>
  </si>
  <si>
    <t xml:space="preserve">Entropy</t>
  </si>
  <si>
    <t xml:space="preserve">Kiri&lt;17.96</t>
  </si>
  <si>
    <t xml:space="preserve">Kiri&lt;2.65</t>
  </si>
  <si>
    <t xml:space="preserve">Kiri&lt;13.35</t>
  </si>
  <si>
    <t xml:space="preserve">Kiri&lt;0</t>
  </si>
  <si>
    <t xml:space="preserve">Tengah</t>
  </si>
  <si>
    <t xml:space="preserve">IG</t>
  </si>
  <si>
    <t xml:space="preserve">Pohon 2:</t>
  </si>
  <si>
    <t xml:space="preserve">IF Usia  &lt; 16,61</t>
  </si>
  <si>
    <t xml:space="preserve">THEN  Kategori Usia  = Anak-anak</t>
  </si>
  <si>
    <t xml:space="preserve">IF Usia ≤ 16,61 AND  Usia  &gt; 54,4</t>
  </si>
  <si>
    <t xml:space="preserve">THEN Kategori Usia  = Anak-anak</t>
  </si>
  <si>
    <t xml:space="preserve">IF Usia &gt; 54,4 THEN Kategori Usia = Anak-anak</t>
  </si>
  <si>
    <t xml:space="preserve">Kanan &gt; 54.4</t>
  </si>
  <si>
    <t xml:space="preserve">Kanan &gt; 4.74</t>
  </si>
  <si>
    <t xml:space="preserve">Kiri&lt;16.61</t>
  </si>
  <si>
    <t xml:space="preserve">Kiri&lt;2.61</t>
  </si>
  <si>
    <t xml:space="preserve">Pohon 3:</t>
  </si>
  <si>
    <t xml:space="preserve">IF Lama Rawat Inap  &lt; 2,44 </t>
  </si>
  <si>
    <t xml:space="preserve">THEN  Kelas = Sedang</t>
  </si>
  <si>
    <t xml:space="preserve">IF Lama Rawat Inap  ≤ 2,44 AND  Lama Rawat Inap  &gt; 4,68 </t>
  </si>
  <si>
    <t xml:space="preserve">THEN Kelas = Lama</t>
  </si>
  <si>
    <t xml:space="preserve">IF Lama Rawat Inap  &gt; 4,68 THEN Kelas = Sedang</t>
  </si>
  <si>
    <t xml:space="preserve">Kanan &gt; 4.68</t>
  </si>
  <si>
    <t xml:space="preserve">Kiri&lt;2.44</t>
  </si>
  <si>
    <t xml:space="preserve">Pohon 4:</t>
  </si>
  <si>
    <t xml:space="preserve">Rule 1.1</t>
  </si>
  <si>
    <t xml:space="preserve">IF Jenis Kelamin  ≤ 0 AND  Jenis Kelamin  &gt; 1</t>
  </si>
  <si>
    <t xml:space="preserve">THEN Kelas = Tinggi</t>
  </si>
  <si>
    <t xml:space="preserve">IF Jenis Kelamin  &gt; 1 THEN Kelas = Tinggi</t>
  </si>
  <si>
    <t xml:space="preserve">Pohon 5:</t>
  </si>
  <si>
    <t xml:space="preserve">IF Jumlah Kasus Per Bulan  &lt; 12,60 </t>
  </si>
  <si>
    <t xml:space="preserve">THEN  Risiko = Rendah</t>
  </si>
  <si>
    <t xml:space="preserve">IF Jumlah Kasus Per Bulan ≤ 12,60 AND  Jumlah Kasus Per Bulan  &gt; 29,21 </t>
  </si>
  <si>
    <t xml:space="preserve">THEN Risiko = Sedang</t>
  </si>
  <si>
    <t xml:space="preserve">IF Jumlah Kasus Per Bulan &gt; 29,21 THEN Risiko = Tinggi</t>
  </si>
  <si>
    <t xml:space="preserve">Kanan &gt; 54.7</t>
  </si>
  <si>
    <t xml:space="preserve">Kanan &gt; 4.72</t>
  </si>
  <si>
    <t xml:space="preserve">Kanan &gt; 29.21</t>
  </si>
  <si>
    <t xml:space="preserve">Kiri&lt;17.15</t>
  </si>
  <si>
    <t xml:space="preserve">Kiri&lt;2.48</t>
  </si>
  <si>
    <t xml:space="preserve">Kiri&lt;12.60</t>
  </si>
  <si>
    <t xml:space="preserve">Pohon 6:</t>
  </si>
  <si>
    <t xml:space="preserve">IF Lama Rawat Inap  &lt; 2,5 </t>
  </si>
  <si>
    <t xml:space="preserve">IF Lama Rawat Inap  ≤ 2,5 AND  Lama Rawat Inap  &gt; 4,67 </t>
  </si>
  <si>
    <t xml:space="preserve">IF Lama Rawat Inap  &gt; 4,67 THEN Kelas = Lama</t>
  </si>
  <si>
    <t xml:space="preserve">Kanan &gt; 55.47</t>
  </si>
  <si>
    <t xml:space="preserve">Kanan &gt; 4.67</t>
  </si>
  <si>
    <t xml:space="preserve">Kiri&lt;16.08</t>
  </si>
  <si>
    <t xml:space="preserve">Kiri&lt;2.5</t>
  </si>
  <si>
    <t xml:space="preserve">Pohon 7:</t>
  </si>
  <si>
    <t xml:space="preserve">THEN Kelas = Sedang</t>
  </si>
  <si>
    <t xml:space="preserve">Kanan &gt; 52.6</t>
  </si>
  <si>
    <t xml:space="preserve">Kiri&lt;15.89</t>
  </si>
  <si>
    <t xml:space="preserve">Kanan &gt; 54.27</t>
  </si>
  <si>
    <t xml:space="preserve">Pohon 8:</t>
  </si>
  <si>
    <t xml:space="preserve">IF Usia  &lt; 15,70</t>
  </si>
  <si>
    <t xml:space="preserve">IF Usia ≤ 15,70 AND  Usia  &gt; 54,27</t>
  </si>
  <si>
    <t xml:space="preserve">Kiri&lt;15.70</t>
  </si>
  <si>
    <t xml:space="preserve">IF Usia &gt; 54,27 THEN Kategori Usia = Dewasa</t>
  </si>
  <si>
    <t xml:space="preserve">Pohon 9:</t>
  </si>
  <si>
    <t xml:space="preserve">IF Jumlah Kasus Per Bulan  &lt; 11,31 </t>
  </si>
  <si>
    <t xml:space="preserve">IF Jumlah Kasus Per Bulan ≤ 11,31 AND  Jumlah Kasus Per Bulan  &gt; 29,95 </t>
  </si>
  <si>
    <t xml:space="preserve">IF Jumlah Kasus Per Bulan &gt; 29,95 THEN Risiko = Tinggi</t>
  </si>
  <si>
    <t xml:space="preserve">Kanan &gt; 51.19</t>
  </si>
  <si>
    <t xml:space="preserve">Kanan &gt; 4.73</t>
  </si>
  <si>
    <t xml:space="preserve">Kanan &gt; 25.95</t>
  </si>
  <si>
    <t xml:space="preserve">Kiri&lt;16.82</t>
  </si>
  <si>
    <t xml:space="preserve">Kiri&lt;2.37</t>
  </si>
  <si>
    <t xml:space="preserve">Kiri&lt;11.31</t>
  </si>
  <si>
    <t xml:space="preserve">Pohon 10:</t>
  </si>
  <si>
    <t xml:space="preserve">IF Usia  &lt; 17,31</t>
  </si>
  <si>
    <t xml:space="preserve">THEN  Kategori Usia  = Dewasa</t>
  </si>
  <si>
    <t xml:space="preserve">IF Usia ≤ 17,31 AND  Usia  &gt; 53,39</t>
  </si>
  <si>
    <t xml:space="preserve">IF Usia &gt; 53,39 THEN Kategori Usia = Dewasa</t>
  </si>
  <si>
    <t xml:space="preserve">Kanan &gt; 53.39</t>
  </si>
  <si>
    <t xml:space="preserve">Kiri&lt;17.31</t>
  </si>
  <si>
    <t xml:space="preserve">Kiri&lt;2.49</t>
  </si>
  <si>
    <t xml:space="preserve">Pohon 11:</t>
  </si>
  <si>
    <t xml:space="preserve">IF Lama Rawat Inap  ≤ 2,44 AND  Lama Rawat Inap  &gt; 4,68</t>
  </si>
  <si>
    <t xml:space="preserve">IF Lama Rawat Inap  &gt; 4,68 THEN Kelas = Lama</t>
  </si>
  <si>
    <t xml:space="preserve">Kanan &gt; 4.48</t>
  </si>
  <si>
    <t xml:space="preserve">Pohon 12:</t>
  </si>
  <si>
    <t xml:space="preserve">IF Jenis Kelamin  &gt; 1 THEN Kelas = Sedang</t>
  </si>
  <si>
    <t xml:space="preserve">Pohon 13:</t>
  </si>
  <si>
    <t xml:space="preserve">IF Jumlah Kasus Per Bulan  &lt; 11,77 </t>
  </si>
  <si>
    <t xml:space="preserve">IF Jumlah Kasus Per Bulan ≤ 11,77 AND  Jumlah Kasus Per Bulan  &gt; 24,90 </t>
  </si>
  <si>
    <t xml:space="preserve">IF Jumlah Kasus Per Bulan &gt; 29,40 THEN Risiko = Tinggi</t>
  </si>
  <si>
    <t xml:space="preserve">Kanan &gt; 52.01</t>
  </si>
  <si>
    <t xml:space="preserve">Kanan &gt; 4.6</t>
  </si>
  <si>
    <t xml:space="preserve">Kanan &gt; 24.90</t>
  </si>
  <si>
    <t xml:space="preserve">Kiri&lt;14.78</t>
  </si>
  <si>
    <t xml:space="preserve">Kiri&lt;2.50</t>
  </si>
  <si>
    <t xml:space="preserve">Kiri&lt;11.77</t>
  </si>
  <si>
    <t xml:space="preserve">Pohon 14:</t>
  </si>
  <si>
    <t xml:space="preserve">IF Usia ≤ 17,31 AND  Usia  &gt; 54,61</t>
  </si>
  <si>
    <t xml:space="preserve">IF Usia &gt; 54,61 THEN Kategori Usia = Anak-anak</t>
  </si>
  <si>
    <t xml:space="preserve">Kanan &gt; 54.61</t>
  </si>
  <si>
    <t xml:space="preserve">Kanan &gt; 4.80</t>
  </si>
  <si>
    <t xml:space="preserve">Kiri&lt;2.4</t>
  </si>
  <si>
    <t xml:space="preserve">Pohon 15:</t>
  </si>
  <si>
    <t xml:space="preserve">IF Lama Rawat Inap  &lt; 2,47 </t>
  </si>
  <si>
    <t xml:space="preserve">IF Lama Rawat Inap  ≤ 2,47 AND  Lama Rawat Inap  &gt; 4,63</t>
  </si>
  <si>
    <t xml:space="preserve">IF Lama Rawat Inap  &gt; 4,63 THEN Kelas = Lama</t>
  </si>
  <si>
    <t xml:space="preserve">Kanan &gt; 4.63</t>
  </si>
  <si>
    <t xml:space="preserve">Kiri&lt;2.47</t>
  </si>
  <si>
    <t xml:space="preserve">Sampel Pohon 1</t>
  </si>
  <si>
    <t xml:space="preserve">Prediksi Sampel 1 </t>
  </si>
  <si>
    <t xml:space="preserve">Aktual(Jumlah Kasus Per Bulan)</t>
  </si>
  <si>
    <t xml:space="preserve">|Yi − Ŷi|</t>
  </si>
  <si>
    <t xml:space="preserve">(Yi − Ŷi)²</t>
  </si>
  <si>
    <t xml:space="preserve">ȳ</t>
  </si>
  <si>
    <t xml:space="preserve">ȳ²</t>
  </si>
  <si>
    <t xml:space="preserve">MAE</t>
  </si>
  <si>
    <t xml:space="preserve">MSE</t>
  </si>
  <si>
    <t xml:space="preserve">RMSE</t>
  </si>
  <si>
    <t xml:space="preserve">R2</t>
  </si>
  <si>
    <t xml:space="preserve">Rata-Rata</t>
  </si>
  <si>
    <t xml:space="preserve">Sampel Pohon 2</t>
  </si>
  <si>
    <t xml:space="preserve">Prediksi Sampel 2 </t>
  </si>
  <si>
    <t xml:space="preserve">Aktual(Usia) </t>
  </si>
  <si>
    <t xml:space="preserve">Sampel Pohon 3</t>
  </si>
  <si>
    <t xml:space="preserve">Prediksi Sampel 3 </t>
  </si>
  <si>
    <t xml:space="preserve">Aktual(Lama Rawat Inap) </t>
  </si>
  <si>
    <t xml:space="preserve">Sampel Pohon 4</t>
  </si>
  <si>
    <t xml:space="preserve">Prediksi Sampel 4 </t>
  </si>
  <si>
    <t xml:space="preserve">Aktual( Jenis Kelamin) </t>
  </si>
  <si>
    <t xml:space="preserve">Sampel Pohon 5</t>
  </si>
  <si>
    <t xml:space="preserve">Prediksi Sampel 5</t>
  </si>
  <si>
    <t xml:space="preserve">Aktual (Jumlah Kasus Per Bulan)</t>
  </si>
  <si>
    <t xml:space="preserve">Sampel Pohon 6</t>
  </si>
  <si>
    <t xml:space="preserve">Prediksi Sampel 6</t>
  </si>
  <si>
    <t xml:space="preserve">Aktual ( Lama Rawat Inap)</t>
  </si>
  <si>
    <t xml:space="preserve">Sampel Pohon 7</t>
  </si>
  <si>
    <t xml:space="preserve">Prediksi Sampel 7</t>
  </si>
  <si>
    <t xml:space="preserve">Aktual (Jenis Kelamin)</t>
  </si>
  <si>
    <t xml:space="preserve">Sampel Pohon 8</t>
  </si>
  <si>
    <t xml:space="preserve">Prediksi Sampel 8</t>
  </si>
  <si>
    <t xml:space="preserve">Aktual</t>
  </si>
  <si>
    <t xml:space="preserve">(Usia) </t>
  </si>
  <si>
    <t xml:space="preserve">Sampel Pohon 9</t>
  </si>
  <si>
    <t xml:space="preserve">Prediksi Sampel 9</t>
  </si>
  <si>
    <t xml:space="preserve">(Jumlah Kasus Perbulan)</t>
  </si>
  <si>
    <t xml:space="preserve">Sampel Pohon 10</t>
  </si>
  <si>
    <t xml:space="preserve">Prediksi Sampel 10</t>
  </si>
  <si>
    <t xml:space="preserve">(Usia)</t>
  </si>
  <si>
    <t xml:space="preserve"> </t>
  </si>
  <si>
    <t xml:space="preserve">Sampel Pohon 11</t>
  </si>
  <si>
    <t xml:space="preserve">Prediksi Sampel 11</t>
  </si>
  <si>
    <t xml:space="preserve">(Lama Rawat Inap)</t>
  </si>
  <si>
    <t xml:space="preserve">Sampel Pohon 12</t>
  </si>
  <si>
    <t xml:space="preserve">Prediksi Sampel 12</t>
  </si>
  <si>
    <t xml:space="preserve">Sampel Pohon 13</t>
  </si>
  <si>
    <t xml:space="preserve">Prediksi Sampel 13</t>
  </si>
  <si>
    <t xml:space="preserve">Sampel Pohon 14</t>
  </si>
  <si>
    <t xml:space="preserve">Prediksi Sampel 14</t>
  </si>
  <si>
    <t xml:space="preserve">Aktual (Usia)</t>
  </si>
  <si>
    <t xml:space="preserve">Sampel Pohon 15</t>
  </si>
  <si>
    <t xml:space="preserve">Prediksi Sampel 15</t>
  </si>
  <si>
    <t xml:space="preserve">Aktual (Lama Rawat Inap)</t>
  </si>
  <si>
    <t xml:space="preserve">Sampel Pohon</t>
  </si>
  <si>
    <t xml:space="preserve">Sampel 1</t>
  </si>
  <si>
    <t xml:space="preserve">Sampel 2</t>
  </si>
  <si>
    <t xml:space="preserve">Sampel 3</t>
  </si>
  <si>
    <t xml:space="preserve">Sampel 4</t>
  </si>
  <si>
    <t xml:space="preserve">Sampel 5</t>
  </si>
  <si>
    <t xml:space="preserve">Sampel 6</t>
  </si>
  <si>
    <t xml:space="preserve">Sampel 7</t>
  </si>
  <si>
    <t xml:space="preserve">Sampel 8</t>
  </si>
  <si>
    <t xml:space="preserve">Sampel 9</t>
  </si>
  <si>
    <t xml:space="preserve">Sampel 10</t>
  </si>
  <si>
    <t xml:space="preserve">Sampel 11</t>
  </si>
  <si>
    <t xml:space="preserve">Sampel 12</t>
  </si>
  <si>
    <t xml:space="preserve">Sampel 13</t>
  </si>
  <si>
    <t xml:space="preserve">Sampel 14</t>
  </si>
  <si>
    <t xml:space="preserve">Sampel 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</si>
</sst>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Times New Roman"/>
      <family val="1"/>
      <charset val="1"/>
    </font>
    <font>
      <u val="singl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3998"/>
        <bgColor rgb="FF9DC3E6"/>
      </patternFill>
    </fill>
    <fill>
      <patternFill patternType="solid">
        <fgColor rgb="FFFFFF00"/>
        <bgColor rgb="FFFFFF00"/>
      </patternFill>
    </fill>
    <fill>
      <patternFill patternType="solid">
        <fgColor theme="8" tint="0.3998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4"/>
  <sheetViews>
    <sheetView showFormulas="false" showGridLines="true" showRowColHeaders="true" showZeros="true" rightToLeft="false" tabSelected="false" showOutlineSymbols="true" defaultGridColor="true" view="normal" topLeftCell="A54" colorId="64" zoomScale="100" zoomScaleNormal="100" zoomScalePageLayoutView="100" workbookViewId="0">
      <selection pane="topLeft" activeCell="B71" activeCellId="0" sqref="B71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20.72"/>
    <col collapsed="false" customWidth="true" hidden="false" outlineLevel="0" max="3" min="3" style="0" width="15.86"/>
    <col collapsed="false" customWidth="true" hidden="false" outlineLevel="0" max="4" min="4" style="0" width="21.57"/>
    <col collapsed="false" customWidth="true" hidden="false" outlineLevel="0" max="5" min="5" style="0" width="13.29"/>
    <col collapsed="false" customWidth="true" hidden="false" outlineLevel="0" max="6" min="6" style="0" width="13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n">
        <v>34</v>
      </c>
      <c r="C2" s="2" t="n">
        <v>3</v>
      </c>
      <c r="D2" s="2" t="n">
        <v>12</v>
      </c>
      <c r="E2" s="2" t="n">
        <v>0</v>
      </c>
      <c r="F2" s="2" t="s">
        <v>7</v>
      </c>
    </row>
    <row r="3" customFormat="false" ht="15" hidden="false" customHeight="false" outlineLevel="0" collapsed="false">
      <c r="A3" s="2" t="s">
        <v>8</v>
      </c>
      <c r="B3" s="2" t="n">
        <v>43</v>
      </c>
      <c r="C3" s="2" t="n">
        <v>3</v>
      </c>
      <c r="D3" s="2" t="n">
        <v>12</v>
      </c>
      <c r="E3" s="2" t="n">
        <v>1</v>
      </c>
      <c r="F3" s="2" t="s">
        <v>7</v>
      </c>
    </row>
    <row r="4" customFormat="false" ht="15" hidden="false" customHeight="false" outlineLevel="0" collapsed="false">
      <c r="A4" s="2" t="s">
        <v>9</v>
      </c>
      <c r="B4" s="2" t="n">
        <v>23</v>
      </c>
      <c r="C4" s="2" t="n">
        <v>5</v>
      </c>
      <c r="D4" s="2" t="n">
        <v>12</v>
      </c>
      <c r="E4" s="2" t="n">
        <v>0</v>
      </c>
      <c r="F4" s="2" t="s">
        <v>7</v>
      </c>
    </row>
    <row r="5" customFormat="false" ht="15" hidden="false" customHeight="false" outlineLevel="0" collapsed="false">
      <c r="A5" s="2" t="s">
        <v>10</v>
      </c>
      <c r="B5" s="2" t="n">
        <v>18</v>
      </c>
      <c r="C5" s="2" t="n">
        <v>2</v>
      </c>
      <c r="D5" s="2" t="n">
        <v>12</v>
      </c>
      <c r="E5" s="2" t="n">
        <v>1</v>
      </c>
      <c r="F5" s="2" t="s">
        <v>7</v>
      </c>
    </row>
    <row r="6" customFormat="false" ht="15" hidden="false" customHeight="false" outlineLevel="0" collapsed="false">
      <c r="A6" s="2" t="s">
        <v>11</v>
      </c>
      <c r="B6" s="2" t="n">
        <v>14</v>
      </c>
      <c r="C6" s="2" t="n">
        <v>4</v>
      </c>
      <c r="D6" s="2" t="n">
        <v>12</v>
      </c>
      <c r="E6" s="2" t="n">
        <v>0</v>
      </c>
      <c r="F6" s="2" t="s">
        <v>7</v>
      </c>
    </row>
    <row r="7" customFormat="false" ht="15" hidden="false" customHeight="false" outlineLevel="0" collapsed="false">
      <c r="A7" s="2" t="s">
        <v>12</v>
      </c>
      <c r="B7" s="2" t="n">
        <v>12</v>
      </c>
      <c r="C7" s="2" t="n">
        <v>1</v>
      </c>
      <c r="D7" s="2" t="n">
        <v>12</v>
      </c>
      <c r="E7" s="2" t="n">
        <v>1</v>
      </c>
      <c r="F7" s="2" t="s">
        <v>7</v>
      </c>
    </row>
    <row r="8" customFormat="false" ht="15" hidden="false" customHeight="false" outlineLevel="0" collapsed="false">
      <c r="A8" s="2" t="s">
        <v>13</v>
      </c>
      <c r="B8" s="2" t="n">
        <v>4</v>
      </c>
      <c r="C8" s="2" t="n">
        <v>2</v>
      </c>
      <c r="D8" s="2" t="n">
        <v>12</v>
      </c>
      <c r="E8" s="2" t="n">
        <v>0</v>
      </c>
      <c r="F8" s="2" t="s">
        <v>7</v>
      </c>
    </row>
    <row r="9" customFormat="false" ht="15" hidden="false" customHeight="false" outlineLevel="0" collapsed="false">
      <c r="A9" s="2" t="s">
        <v>14</v>
      </c>
      <c r="B9" s="2" t="n">
        <v>16</v>
      </c>
      <c r="C9" s="2" t="n">
        <v>6</v>
      </c>
      <c r="D9" s="2" t="n">
        <v>12</v>
      </c>
      <c r="E9" s="2" t="n">
        <v>1</v>
      </c>
      <c r="F9" s="2" t="s">
        <v>7</v>
      </c>
    </row>
    <row r="10" customFormat="false" ht="15" hidden="false" customHeight="false" outlineLevel="0" collapsed="false">
      <c r="A10" s="2" t="s">
        <v>15</v>
      </c>
      <c r="B10" s="2" t="n">
        <v>18</v>
      </c>
      <c r="C10" s="2" t="n">
        <v>5</v>
      </c>
      <c r="D10" s="2" t="n">
        <v>12</v>
      </c>
      <c r="E10" s="2" t="n">
        <v>0</v>
      </c>
      <c r="F10" s="2" t="s">
        <v>7</v>
      </c>
    </row>
    <row r="11" customFormat="false" ht="15" hidden="false" customHeight="false" outlineLevel="0" collapsed="false">
      <c r="A11" s="2" t="s">
        <v>16</v>
      </c>
      <c r="B11" s="2" t="n">
        <v>24</v>
      </c>
      <c r="C11" s="2" t="n">
        <v>5</v>
      </c>
      <c r="D11" s="2" t="n">
        <v>12</v>
      </c>
      <c r="E11" s="2" t="n">
        <v>1</v>
      </c>
      <c r="F11" s="2" t="s">
        <v>7</v>
      </c>
    </row>
    <row r="12" customFormat="false" ht="15" hidden="false" customHeight="false" outlineLevel="0" collapsed="false">
      <c r="A12" s="2" t="s">
        <v>17</v>
      </c>
      <c r="B12" s="2" t="n">
        <v>23</v>
      </c>
      <c r="C12" s="2" t="n">
        <v>3</v>
      </c>
      <c r="D12" s="2" t="n">
        <v>12</v>
      </c>
      <c r="E12" s="2" t="n">
        <v>0</v>
      </c>
      <c r="F12" s="2" t="s">
        <v>7</v>
      </c>
    </row>
    <row r="13" customFormat="false" ht="15" hidden="false" customHeight="false" outlineLevel="0" collapsed="false">
      <c r="A13" s="2" t="s">
        <v>18</v>
      </c>
      <c r="B13" s="2" t="n">
        <v>47</v>
      </c>
      <c r="C13" s="2" t="n">
        <v>2</v>
      </c>
      <c r="D13" s="2" t="n">
        <v>12</v>
      </c>
      <c r="E13" s="2" t="n">
        <v>0</v>
      </c>
      <c r="F13" s="2" t="s">
        <v>7</v>
      </c>
    </row>
    <row r="14" customFormat="false" ht="15" hidden="false" customHeight="false" outlineLevel="0" collapsed="false">
      <c r="A14" s="2" t="s">
        <v>19</v>
      </c>
      <c r="B14" s="2" t="n">
        <v>49</v>
      </c>
      <c r="C14" s="2" t="n">
        <v>4</v>
      </c>
      <c r="D14" s="2" t="n">
        <v>7</v>
      </c>
      <c r="E14" s="2" t="n">
        <v>1</v>
      </c>
      <c r="F14" s="2" t="s">
        <v>20</v>
      </c>
    </row>
    <row r="15" customFormat="false" ht="15" hidden="false" customHeight="false" outlineLevel="0" collapsed="false">
      <c r="A15" s="2" t="s">
        <v>21</v>
      </c>
      <c r="B15" s="2" t="n">
        <v>21</v>
      </c>
      <c r="C15" s="2" t="n">
        <v>2</v>
      </c>
      <c r="D15" s="2" t="n">
        <v>7</v>
      </c>
      <c r="E15" s="2" t="n">
        <v>0</v>
      </c>
      <c r="F15" s="2" t="s">
        <v>20</v>
      </c>
    </row>
    <row r="16" customFormat="false" ht="15" hidden="false" customHeight="false" outlineLevel="0" collapsed="false">
      <c r="A16" s="2" t="s">
        <v>22</v>
      </c>
      <c r="B16" s="2" t="n">
        <v>66</v>
      </c>
      <c r="C16" s="2" t="n">
        <v>5</v>
      </c>
      <c r="D16" s="2" t="n">
        <v>7</v>
      </c>
      <c r="E16" s="2" t="n">
        <v>1</v>
      </c>
      <c r="F16" s="2" t="s">
        <v>20</v>
      </c>
    </row>
    <row r="17" customFormat="false" ht="15" hidden="false" customHeight="false" outlineLevel="0" collapsed="false">
      <c r="A17" s="2" t="s">
        <v>23</v>
      </c>
      <c r="B17" s="2" t="n">
        <v>2</v>
      </c>
      <c r="C17" s="2" t="n">
        <v>3</v>
      </c>
      <c r="D17" s="2" t="n">
        <v>7</v>
      </c>
      <c r="E17" s="2" t="n">
        <v>0</v>
      </c>
      <c r="F17" s="2" t="s">
        <v>20</v>
      </c>
    </row>
    <row r="18" customFormat="false" ht="15" hidden="false" customHeight="false" outlineLevel="0" collapsed="false">
      <c r="A18" s="2" t="s">
        <v>24</v>
      </c>
      <c r="B18" s="2" t="n">
        <v>49</v>
      </c>
      <c r="C18" s="2" t="n">
        <v>4</v>
      </c>
      <c r="D18" s="2" t="n">
        <v>7</v>
      </c>
      <c r="E18" s="2" t="n">
        <v>1</v>
      </c>
      <c r="F18" s="2" t="s">
        <v>20</v>
      </c>
    </row>
    <row r="19" customFormat="false" ht="15" hidden="false" customHeight="false" outlineLevel="0" collapsed="false">
      <c r="A19" s="2" t="s">
        <v>25</v>
      </c>
      <c r="B19" s="2" t="n">
        <v>8</v>
      </c>
      <c r="C19" s="2" t="n">
        <v>4</v>
      </c>
      <c r="D19" s="2" t="n">
        <v>7</v>
      </c>
      <c r="E19" s="2" t="n">
        <v>0</v>
      </c>
      <c r="F19" s="2" t="s">
        <v>20</v>
      </c>
    </row>
    <row r="20" customFormat="false" ht="15" hidden="false" customHeight="false" outlineLevel="0" collapsed="false">
      <c r="A20" s="2" t="s">
        <v>26</v>
      </c>
      <c r="B20" s="2" t="n">
        <v>15</v>
      </c>
      <c r="C20" s="2" t="n">
        <v>5</v>
      </c>
      <c r="D20" s="2" t="n">
        <v>7</v>
      </c>
      <c r="E20" s="2" t="n">
        <v>0</v>
      </c>
      <c r="F20" s="2" t="s">
        <v>20</v>
      </c>
    </row>
    <row r="21" customFormat="false" ht="15" hidden="false" customHeight="false" outlineLevel="0" collapsed="false">
      <c r="A21" s="2" t="s">
        <v>27</v>
      </c>
      <c r="B21" s="2" t="n">
        <v>10</v>
      </c>
      <c r="C21" s="2" t="n">
        <v>5</v>
      </c>
      <c r="D21" s="2" t="n">
        <v>14</v>
      </c>
      <c r="E21" s="2" t="n">
        <v>1</v>
      </c>
      <c r="F21" s="2" t="s">
        <v>7</v>
      </c>
    </row>
    <row r="22" customFormat="false" ht="15" hidden="false" customHeight="false" outlineLevel="0" collapsed="false">
      <c r="A22" s="2" t="s">
        <v>28</v>
      </c>
      <c r="B22" s="2" t="n">
        <v>6</v>
      </c>
      <c r="C22" s="2" t="n">
        <v>3</v>
      </c>
      <c r="D22" s="2" t="n">
        <v>14</v>
      </c>
      <c r="E22" s="2" t="n">
        <v>0</v>
      </c>
      <c r="F22" s="2" t="s">
        <v>7</v>
      </c>
    </row>
    <row r="23" customFormat="false" ht="15" hidden="false" customHeight="false" outlineLevel="0" collapsed="false">
      <c r="A23" s="2" t="s">
        <v>29</v>
      </c>
      <c r="B23" s="2" t="n">
        <v>28</v>
      </c>
      <c r="C23" s="2" t="n">
        <v>4</v>
      </c>
      <c r="D23" s="2" t="n">
        <v>14</v>
      </c>
      <c r="E23" s="2" t="n">
        <v>1</v>
      </c>
      <c r="F23" s="2" t="s">
        <v>7</v>
      </c>
    </row>
    <row r="24" customFormat="false" ht="15" hidden="false" customHeight="false" outlineLevel="0" collapsed="false">
      <c r="A24" s="2" t="s">
        <v>30</v>
      </c>
      <c r="B24" s="2" t="n">
        <v>60</v>
      </c>
      <c r="C24" s="2" t="n">
        <v>4</v>
      </c>
      <c r="D24" s="2" t="n">
        <v>14</v>
      </c>
      <c r="E24" s="2" t="n">
        <v>0</v>
      </c>
      <c r="F24" s="2" t="s">
        <v>7</v>
      </c>
    </row>
    <row r="25" customFormat="false" ht="15" hidden="false" customHeight="false" outlineLevel="0" collapsed="false">
      <c r="A25" s="2" t="s">
        <v>31</v>
      </c>
      <c r="B25" s="2" t="n">
        <v>81</v>
      </c>
      <c r="C25" s="2" t="n">
        <v>5</v>
      </c>
      <c r="D25" s="2" t="n">
        <v>14</v>
      </c>
      <c r="E25" s="2" t="n">
        <v>0</v>
      </c>
      <c r="F25" s="2" t="s">
        <v>7</v>
      </c>
    </row>
    <row r="26" customFormat="false" ht="15" hidden="false" customHeight="false" outlineLevel="0" collapsed="false">
      <c r="A26" s="2" t="s">
        <v>32</v>
      </c>
      <c r="B26" s="2" t="n">
        <v>75</v>
      </c>
      <c r="C26" s="2" t="n">
        <v>4</v>
      </c>
      <c r="D26" s="2" t="n">
        <v>14</v>
      </c>
      <c r="E26" s="2" t="n">
        <v>1</v>
      </c>
      <c r="F26" s="2" t="s">
        <v>7</v>
      </c>
    </row>
    <row r="27" customFormat="false" ht="15" hidden="false" customHeight="false" outlineLevel="0" collapsed="false">
      <c r="A27" s="2" t="s">
        <v>33</v>
      </c>
      <c r="B27" s="2" t="n">
        <v>37</v>
      </c>
      <c r="C27" s="2" t="n">
        <v>4</v>
      </c>
      <c r="D27" s="2" t="n">
        <v>14</v>
      </c>
      <c r="E27" s="2" t="n">
        <v>1</v>
      </c>
      <c r="F27" s="2" t="s">
        <v>7</v>
      </c>
    </row>
    <row r="28" customFormat="false" ht="15" hidden="false" customHeight="false" outlineLevel="0" collapsed="false">
      <c r="A28" s="2" t="s">
        <v>34</v>
      </c>
      <c r="B28" s="2" t="n">
        <v>22</v>
      </c>
      <c r="C28" s="2" t="n">
        <v>2</v>
      </c>
      <c r="D28" s="2" t="n">
        <v>14</v>
      </c>
      <c r="E28" s="2" t="n">
        <v>1</v>
      </c>
      <c r="F28" s="2" t="s">
        <v>7</v>
      </c>
    </row>
    <row r="29" customFormat="false" ht="15" hidden="false" customHeight="false" outlineLevel="0" collapsed="false">
      <c r="A29" s="2" t="s">
        <v>35</v>
      </c>
      <c r="B29" s="2" t="n">
        <v>19</v>
      </c>
      <c r="C29" s="2" t="n">
        <v>2</v>
      </c>
      <c r="D29" s="2" t="n">
        <v>14</v>
      </c>
      <c r="E29" s="2" t="n">
        <v>1</v>
      </c>
      <c r="F29" s="2" t="s">
        <v>7</v>
      </c>
    </row>
    <row r="30" customFormat="false" ht="15" hidden="false" customHeight="false" outlineLevel="0" collapsed="false">
      <c r="A30" s="2" t="s">
        <v>36</v>
      </c>
      <c r="B30" s="2" t="n">
        <v>3</v>
      </c>
      <c r="C30" s="2" t="n">
        <v>2</v>
      </c>
      <c r="D30" s="2" t="n">
        <v>14</v>
      </c>
      <c r="E30" s="2" t="n">
        <v>1</v>
      </c>
      <c r="F30" s="2" t="s">
        <v>7</v>
      </c>
    </row>
    <row r="31" customFormat="false" ht="15" hidden="false" customHeight="false" outlineLevel="0" collapsed="false">
      <c r="A31" s="2" t="s">
        <v>37</v>
      </c>
      <c r="B31" s="2" t="n">
        <v>64</v>
      </c>
      <c r="C31" s="2" t="n">
        <v>4</v>
      </c>
      <c r="D31" s="2" t="n">
        <v>14</v>
      </c>
      <c r="E31" s="2" t="n">
        <v>1</v>
      </c>
      <c r="F31" s="2" t="s">
        <v>7</v>
      </c>
    </row>
    <row r="32" customFormat="false" ht="15" hidden="false" customHeight="false" outlineLevel="0" collapsed="false">
      <c r="A32" s="2" t="s">
        <v>38</v>
      </c>
      <c r="B32" s="2" t="n">
        <v>54</v>
      </c>
      <c r="C32" s="2" t="n">
        <v>4</v>
      </c>
      <c r="D32" s="2" t="n">
        <v>14</v>
      </c>
      <c r="E32" s="2" t="n">
        <v>0</v>
      </c>
      <c r="F32" s="2" t="s">
        <v>7</v>
      </c>
    </row>
    <row r="33" customFormat="false" ht="15" hidden="false" customHeight="false" outlineLevel="0" collapsed="false">
      <c r="A33" s="2" t="s">
        <v>39</v>
      </c>
      <c r="B33" s="2" t="n">
        <v>19</v>
      </c>
      <c r="C33" s="2" t="n">
        <v>4</v>
      </c>
      <c r="D33" s="2" t="n">
        <v>14</v>
      </c>
      <c r="E33" s="2" t="n">
        <v>1</v>
      </c>
      <c r="F33" s="2" t="s">
        <v>7</v>
      </c>
    </row>
    <row r="34" customFormat="false" ht="15" hidden="false" customHeight="false" outlineLevel="0" collapsed="false">
      <c r="A34" s="2" t="s">
        <v>40</v>
      </c>
      <c r="B34" s="2" t="n">
        <v>55</v>
      </c>
      <c r="C34" s="2" t="n">
        <v>3</v>
      </c>
      <c r="D34" s="2" t="n">
        <v>14</v>
      </c>
      <c r="E34" s="2" t="n">
        <v>0</v>
      </c>
      <c r="F34" s="2" t="s">
        <v>7</v>
      </c>
    </row>
    <row r="35" customFormat="false" ht="15" hidden="false" customHeight="false" outlineLevel="0" collapsed="false">
      <c r="A35" s="2" t="s">
        <v>41</v>
      </c>
      <c r="B35" s="2" t="n">
        <v>40</v>
      </c>
      <c r="C35" s="2" t="n">
        <v>3</v>
      </c>
      <c r="D35" s="2" t="n">
        <v>4</v>
      </c>
      <c r="E35" s="2" t="n">
        <v>1</v>
      </c>
      <c r="F35" s="2" t="s">
        <v>20</v>
      </c>
    </row>
    <row r="36" customFormat="false" ht="15" hidden="false" customHeight="false" outlineLevel="0" collapsed="false">
      <c r="A36" s="2" t="s">
        <v>42</v>
      </c>
      <c r="B36" s="2" t="n">
        <v>27</v>
      </c>
      <c r="C36" s="2" t="n">
        <v>1</v>
      </c>
      <c r="D36" s="2" t="n">
        <v>4</v>
      </c>
      <c r="E36" s="2" t="n">
        <v>1</v>
      </c>
      <c r="F36" s="2" t="s">
        <v>20</v>
      </c>
    </row>
    <row r="37" customFormat="false" ht="15" hidden="false" customHeight="false" outlineLevel="0" collapsed="false">
      <c r="A37" s="2" t="s">
        <v>43</v>
      </c>
      <c r="B37" s="2" t="n">
        <v>28</v>
      </c>
      <c r="C37" s="2" t="n">
        <v>4</v>
      </c>
      <c r="D37" s="2" t="n">
        <v>4</v>
      </c>
      <c r="E37" s="2" t="n">
        <v>1</v>
      </c>
      <c r="F37" s="2" t="s">
        <v>20</v>
      </c>
    </row>
    <row r="38" customFormat="false" ht="15" hidden="false" customHeight="false" outlineLevel="0" collapsed="false">
      <c r="A38" s="2" t="s">
        <v>44</v>
      </c>
      <c r="B38" s="2" t="n">
        <v>52</v>
      </c>
      <c r="C38" s="2" t="n">
        <v>3</v>
      </c>
      <c r="D38" s="2" t="n">
        <v>4</v>
      </c>
      <c r="E38" s="2" t="n">
        <v>1</v>
      </c>
      <c r="F38" s="2" t="s">
        <v>20</v>
      </c>
    </row>
    <row r="39" customFormat="false" ht="15" hidden="false" customHeight="false" outlineLevel="0" collapsed="false">
      <c r="A39" s="2" t="s">
        <v>45</v>
      </c>
      <c r="B39" s="2" t="n">
        <v>12</v>
      </c>
      <c r="C39" s="2" t="n">
        <v>5</v>
      </c>
      <c r="D39" s="2" t="n">
        <v>13</v>
      </c>
      <c r="E39" s="2" t="n">
        <v>1</v>
      </c>
      <c r="F39" s="2" t="s">
        <v>7</v>
      </c>
    </row>
    <row r="40" customFormat="false" ht="15" hidden="false" customHeight="false" outlineLevel="0" collapsed="false">
      <c r="A40" s="2" t="s">
        <v>46</v>
      </c>
      <c r="B40" s="2" t="n">
        <v>65</v>
      </c>
      <c r="C40" s="2" t="n">
        <v>3</v>
      </c>
      <c r="D40" s="2" t="n">
        <v>13</v>
      </c>
      <c r="E40" s="2" t="n">
        <v>1</v>
      </c>
      <c r="F40" s="2" t="s">
        <v>7</v>
      </c>
    </row>
    <row r="41" customFormat="false" ht="15" hidden="false" customHeight="false" outlineLevel="0" collapsed="false">
      <c r="A41" s="2" t="s">
        <v>47</v>
      </c>
      <c r="B41" s="2" t="n">
        <v>8</v>
      </c>
      <c r="C41" s="2" t="n">
        <v>4</v>
      </c>
      <c r="D41" s="2" t="n">
        <v>13</v>
      </c>
      <c r="E41" s="2" t="n">
        <v>0</v>
      </c>
      <c r="F41" s="2" t="s">
        <v>7</v>
      </c>
    </row>
    <row r="42" customFormat="false" ht="15" hidden="false" customHeight="false" outlineLevel="0" collapsed="false">
      <c r="A42" s="2" t="s">
        <v>48</v>
      </c>
      <c r="B42" s="2" t="n">
        <v>21</v>
      </c>
      <c r="C42" s="2" t="n">
        <v>5</v>
      </c>
      <c r="D42" s="2" t="n">
        <v>13</v>
      </c>
      <c r="E42" s="2" t="n">
        <v>1</v>
      </c>
      <c r="F42" s="2" t="s">
        <v>7</v>
      </c>
    </row>
    <row r="43" customFormat="false" ht="15" hidden="false" customHeight="false" outlineLevel="0" collapsed="false">
      <c r="A43" s="2" t="s">
        <v>49</v>
      </c>
      <c r="B43" s="2" t="n">
        <v>15</v>
      </c>
      <c r="C43" s="2" t="n">
        <v>4</v>
      </c>
      <c r="D43" s="2" t="n">
        <v>13</v>
      </c>
      <c r="E43" s="2" t="n">
        <v>0</v>
      </c>
      <c r="F43" s="2" t="s">
        <v>7</v>
      </c>
    </row>
    <row r="44" customFormat="false" ht="15" hidden="false" customHeight="false" outlineLevel="0" collapsed="false">
      <c r="A44" s="2" t="s">
        <v>50</v>
      </c>
      <c r="B44" s="2" t="n">
        <v>28</v>
      </c>
      <c r="C44" s="2" t="n">
        <v>5</v>
      </c>
      <c r="D44" s="2" t="n">
        <v>13</v>
      </c>
      <c r="E44" s="2" t="n">
        <v>1</v>
      </c>
      <c r="F44" s="2" t="s">
        <v>7</v>
      </c>
    </row>
    <row r="45" customFormat="false" ht="15" hidden="false" customHeight="false" outlineLevel="0" collapsed="false">
      <c r="A45" s="2" t="s">
        <v>51</v>
      </c>
      <c r="B45" s="2" t="n">
        <v>75</v>
      </c>
      <c r="C45" s="2" t="n">
        <v>3</v>
      </c>
      <c r="D45" s="2" t="n">
        <v>13</v>
      </c>
      <c r="E45" s="2" t="n">
        <v>1</v>
      </c>
      <c r="F45" s="2" t="s">
        <v>7</v>
      </c>
    </row>
    <row r="46" customFormat="false" ht="15" hidden="false" customHeight="false" outlineLevel="0" collapsed="false">
      <c r="A46" s="2" t="s">
        <v>52</v>
      </c>
      <c r="B46" s="2" t="n">
        <v>62</v>
      </c>
      <c r="C46" s="2" t="n">
        <v>2</v>
      </c>
      <c r="D46" s="2" t="n">
        <v>13</v>
      </c>
      <c r="E46" s="2" t="n">
        <v>0</v>
      </c>
      <c r="F46" s="2" t="s">
        <v>7</v>
      </c>
    </row>
    <row r="47" customFormat="false" ht="15" hidden="false" customHeight="false" outlineLevel="0" collapsed="false">
      <c r="A47" s="2" t="s">
        <v>53</v>
      </c>
      <c r="B47" s="2" t="n">
        <v>19</v>
      </c>
      <c r="C47" s="2" t="n">
        <v>2</v>
      </c>
      <c r="D47" s="2" t="n">
        <v>13</v>
      </c>
      <c r="E47" s="2" t="n">
        <v>0</v>
      </c>
      <c r="F47" s="2" t="s">
        <v>7</v>
      </c>
    </row>
    <row r="48" customFormat="false" ht="15" hidden="false" customHeight="false" outlineLevel="0" collapsed="false">
      <c r="A48" s="2" t="s">
        <v>54</v>
      </c>
      <c r="B48" s="2" t="n">
        <v>50</v>
      </c>
      <c r="C48" s="2" t="n">
        <v>5</v>
      </c>
      <c r="D48" s="2" t="n">
        <v>13</v>
      </c>
      <c r="E48" s="2" t="n">
        <v>1</v>
      </c>
      <c r="F48" s="2" t="s">
        <v>7</v>
      </c>
    </row>
    <row r="49" customFormat="false" ht="15" hidden="false" customHeight="false" outlineLevel="0" collapsed="false">
      <c r="A49" s="2" t="s">
        <v>55</v>
      </c>
      <c r="B49" s="2" t="n">
        <v>64</v>
      </c>
      <c r="C49" s="2" t="n">
        <v>5</v>
      </c>
      <c r="D49" s="2" t="n">
        <v>13</v>
      </c>
      <c r="E49" s="2" t="n">
        <v>0</v>
      </c>
      <c r="F49" s="2" t="s">
        <v>7</v>
      </c>
    </row>
    <row r="50" customFormat="false" ht="15" hidden="false" customHeight="false" outlineLevel="0" collapsed="false">
      <c r="A50" s="2" t="s">
        <v>56</v>
      </c>
      <c r="B50" s="2" t="n">
        <v>19</v>
      </c>
      <c r="C50" s="2" t="n">
        <v>5</v>
      </c>
      <c r="D50" s="2" t="n">
        <v>13</v>
      </c>
      <c r="E50" s="2" t="n">
        <v>0</v>
      </c>
      <c r="F50" s="2" t="s">
        <v>7</v>
      </c>
    </row>
    <row r="51" customFormat="false" ht="15" hidden="false" customHeight="false" outlineLevel="0" collapsed="false">
      <c r="A51" s="2" t="s">
        <v>57</v>
      </c>
      <c r="B51" s="2" t="n">
        <v>48</v>
      </c>
      <c r="C51" s="2" t="n">
        <v>4</v>
      </c>
      <c r="D51" s="2" t="n">
        <v>13</v>
      </c>
      <c r="E51" s="2" t="n">
        <v>0</v>
      </c>
      <c r="F51" s="2" t="s">
        <v>7</v>
      </c>
    </row>
    <row r="52" customFormat="false" ht="15" hidden="false" customHeight="false" outlineLevel="0" collapsed="false">
      <c r="A52" s="2" t="s">
        <v>58</v>
      </c>
      <c r="B52" s="2" t="n">
        <v>59</v>
      </c>
      <c r="C52" s="2" t="n">
        <v>4</v>
      </c>
      <c r="D52" s="2" t="n">
        <v>15</v>
      </c>
      <c r="E52" s="2" t="n">
        <v>1</v>
      </c>
      <c r="F52" s="2" t="s">
        <v>7</v>
      </c>
    </row>
    <row r="53" customFormat="false" ht="15" hidden="false" customHeight="false" outlineLevel="0" collapsed="false">
      <c r="A53" s="2" t="s">
        <v>59</v>
      </c>
      <c r="B53" s="2" t="n">
        <v>35</v>
      </c>
      <c r="C53" s="2" t="n">
        <v>4</v>
      </c>
      <c r="D53" s="2" t="n">
        <v>15</v>
      </c>
      <c r="E53" s="2" t="n">
        <v>1</v>
      </c>
      <c r="F53" s="2" t="s">
        <v>7</v>
      </c>
    </row>
    <row r="54" customFormat="false" ht="15" hidden="false" customHeight="false" outlineLevel="0" collapsed="false">
      <c r="A54" s="2" t="s">
        <v>60</v>
      </c>
      <c r="B54" s="2" t="n">
        <v>7</v>
      </c>
      <c r="C54" s="2" t="n">
        <v>3</v>
      </c>
      <c r="D54" s="2" t="n">
        <v>15</v>
      </c>
      <c r="E54" s="2" t="n">
        <v>0</v>
      </c>
      <c r="F54" s="2" t="s">
        <v>7</v>
      </c>
    </row>
    <row r="55" customFormat="false" ht="15" hidden="false" customHeight="false" outlineLevel="0" collapsed="false">
      <c r="A55" s="2" t="s">
        <v>61</v>
      </c>
      <c r="B55" s="2" t="n">
        <v>7</v>
      </c>
      <c r="C55" s="2" t="n">
        <v>4</v>
      </c>
      <c r="D55" s="2" t="n">
        <v>15</v>
      </c>
      <c r="E55" s="2" t="n">
        <v>1</v>
      </c>
      <c r="F55" s="2" t="s">
        <v>7</v>
      </c>
    </row>
    <row r="56" customFormat="false" ht="15" hidden="false" customHeight="false" outlineLevel="0" collapsed="false">
      <c r="A56" s="2" t="s">
        <v>62</v>
      </c>
      <c r="B56" s="2" t="n">
        <v>4</v>
      </c>
      <c r="C56" s="2" t="n">
        <v>3</v>
      </c>
      <c r="D56" s="2" t="n">
        <v>15</v>
      </c>
      <c r="E56" s="2" t="n">
        <v>0</v>
      </c>
      <c r="F56" s="2" t="s">
        <v>7</v>
      </c>
    </row>
    <row r="57" customFormat="false" ht="15" hidden="false" customHeight="false" outlineLevel="0" collapsed="false">
      <c r="A57" s="2" t="s">
        <v>63</v>
      </c>
      <c r="B57" s="2" t="n">
        <v>2</v>
      </c>
      <c r="C57" s="2" t="n">
        <v>2</v>
      </c>
      <c r="D57" s="2" t="n">
        <v>15</v>
      </c>
      <c r="E57" s="2" t="n">
        <v>1</v>
      </c>
      <c r="F57" s="2" t="s">
        <v>7</v>
      </c>
    </row>
    <row r="58" customFormat="false" ht="15" hidden="false" customHeight="false" outlineLevel="0" collapsed="false">
      <c r="A58" s="2" t="s">
        <v>64</v>
      </c>
      <c r="B58" s="2" t="n">
        <v>17</v>
      </c>
      <c r="C58" s="2" t="n">
        <v>3</v>
      </c>
      <c r="D58" s="2" t="n">
        <v>15</v>
      </c>
      <c r="E58" s="2" t="n">
        <v>0</v>
      </c>
      <c r="F58" s="2" t="s">
        <v>7</v>
      </c>
    </row>
    <row r="59" customFormat="false" ht="15" hidden="false" customHeight="false" outlineLevel="0" collapsed="false">
      <c r="A59" s="2" t="s">
        <v>65</v>
      </c>
      <c r="B59" s="2" t="n">
        <v>28</v>
      </c>
      <c r="C59" s="2" t="n">
        <v>4</v>
      </c>
      <c r="D59" s="2" t="n">
        <v>15</v>
      </c>
      <c r="E59" s="2" t="n">
        <v>0</v>
      </c>
      <c r="F59" s="2" t="s">
        <v>7</v>
      </c>
    </row>
    <row r="60" customFormat="false" ht="15" hidden="false" customHeight="false" outlineLevel="0" collapsed="false">
      <c r="A60" s="2" t="s">
        <v>66</v>
      </c>
      <c r="B60" s="2" t="n">
        <v>68</v>
      </c>
      <c r="C60" s="2" t="n">
        <v>4</v>
      </c>
      <c r="D60" s="2" t="n">
        <v>15</v>
      </c>
      <c r="E60" s="2" t="n">
        <v>0</v>
      </c>
      <c r="F60" s="2" t="s">
        <v>7</v>
      </c>
    </row>
    <row r="61" customFormat="false" ht="15" hidden="false" customHeight="false" outlineLevel="0" collapsed="false">
      <c r="A61" s="2" t="s">
        <v>67</v>
      </c>
      <c r="B61" s="2" t="n">
        <v>29</v>
      </c>
      <c r="C61" s="2" t="n">
        <v>3</v>
      </c>
      <c r="D61" s="2" t="n">
        <v>15</v>
      </c>
      <c r="E61" s="2" t="n">
        <v>1</v>
      </c>
      <c r="F61" s="2" t="s">
        <v>7</v>
      </c>
    </row>
    <row r="62" customFormat="false" ht="15" hidden="false" customHeight="false" outlineLevel="0" collapsed="false">
      <c r="A62" s="2" t="s">
        <v>68</v>
      </c>
      <c r="B62" s="2" t="n">
        <v>43</v>
      </c>
      <c r="C62" s="2" t="n">
        <v>4</v>
      </c>
      <c r="D62" s="2" t="n">
        <v>15</v>
      </c>
      <c r="E62" s="2" t="n">
        <v>1</v>
      </c>
      <c r="F62" s="2" t="s">
        <v>7</v>
      </c>
    </row>
    <row r="63" customFormat="false" ht="15" hidden="false" customHeight="false" outlineLevel="0" collapsed="false">
      <c r="A63" s="2" t="s">
        <v>69</v>
      </c>
      <c r="B63" s="2" t="n">
        <v>25</v>
      </c>
      <c r="C63" s="2" t="n">
        <v>3</v>
      </c>
      <c r="D63" s="2" t="n">
        <v>15</v>
      </c>
      <c r="E63" s="2" t="n">
        <v>0</v>
      </c>
      <c r="F63" s="2" t="s">
        <v>7</v>
      </c>
    </row>
    <row r="64" customFormat="false" ht="15" hidden="false" customHeight="false" outlineLevel="0" collapsed="false">
      <c r="A64" s="2" t="s">
        <v>70</v>
      </c>
      <c r="B64" s="2" t="n">
        <v>35</v>
      </c>
      <c r="C64" s="2" t="n">
        <v>1</v>
      </c>
      <c r="D64" s="2" t="n">
        <v>15</v>
      </c>
      <c r="E64" s="2" t="n">
        <v>0</v>
      </c>
      <c r="F64" s="2" t="s">
        <v>7</v>
      </c>
    </row>
    <row r="65" customFormat="false" ht="15" hidden="false" customHeight="false" outlineLevel="0" collapsed="false">
      <c r="A65" s="2" t="s">
        <v>71</v>
      </c>
      <c r="B65" s="2" t="n">
        <v>49</v>
      </c>
      <c r="C65" s="2" t="n">
        <v>3</v>
      </c>
      <c r="D65" s="2" t="n">
        <v>15</v>
      </c>
      <c r="E65" s="2" t="n">
        <v>0</v>
      </c>
      <c r="F65" s="2" t="s">
        <v>7</v>
      </c>
    </row>
    <row r="66" customFormat="false" ht="15" hidden="false" customHeight="false" outlineLevel="0" collapsed="false">
      <c r="A66" s="2" t="s">
        <v>72</v>
      </c>
      <c r="B66" s="2" t="n">
        <v>21</v>
      </c>
      <c r="C66" s="2" t="n">
        <v>5</v>
      </c>
      <c r="D66" s="2" t="n">
        <v>15</v>
      </c>
      <c r="E66" s="2" t="n">
        <v>1</v>
      </c>
      <c r="F66" s="2" t="s">
        <v>7</v>
      </c>
    </row>
    <row r="67" customFormat="false" ht="15" hidden="false" customHeight="false" outlineLevel="0" collapsed="false">
      <c r="A67" s="2" t="s">
        <v>73</v>
      </c>
      <c r="B67" s="2" t="n">
        <v>21</v>
      </c>
      <c r="C67" s="2" t="n">
        <v>3</v>
      </c>
      <c r="D67" s="2" t="n">
        <v>10</v>
      </c>
      <c r="E67" s="2" t="n">
        <v>1</v>
      </c>
      <c r="F67" s="2" t="s">
        <v>20</v>
      </c>
    </row>
    <row r="68" customFormat="false" ht="15" hidden="false" customHeight="false" outlineLevel="0" collapsed="false">
      <c r="A68" s="2" t="s">
        <v>74</v>
      </c>
      <c r="B68" s="2" t="n">
        <v>44</v>
      </c>
      <c r="C68" s="2" t="n">
        <v>5</v>
      </c>
      <c r="D68" s="2" t="n">
        <v>10</v>
      </c>
      <c r="E68" s="2" t="n">
        <v>0</v>
      </c>
      <c r="F68" s="2" t="s">
        <v>20</v>
      </c>
    </row>
    <row r="69" customFormat="false" ht="15" hidden="false" customHeight="false" outlineLevel="0" collapsed="false">
      <c r="A69" s="2" t="s">
        <v>75</v>
      </c>
      <c r="B69" s="2" t="n">
        <v>24</v>
      </c>
      <c r="C69" s="2" t="n">
        <v>4</v>
      </c>
      <c r="D69" s="2" t="n">
        <v>10</v>
      </c>
      <c r="E69" s="2" t="n">
        <v>1</v>
      </c>
      <c r="F69" s="2" t="s">
        <v>20</v>
      </c>
    </row>
    <row r="70" customFormat="false" ht="15" hidden="false" customHeight="false" outlineLevel="0" collapsed="false">
      <c r="A70" s="2" t="s">
        <v>76</v>
      </c>
      <c r="B70" s="2" t="n">
        <v>26</v>
      </c>
      <c r="C70" s="2" t="n">
        <v>3</v>
      </c>
      <c r="D70" s="2" t="n">
        <v>10</v>
      </c>
      <c r="E70" s="2" t="n">
        <v>1</v>
      </c>
      <c r="F70" s="2" t="s">
        <v>20</v>
      </c>
    </row>
    <row r="71" customFormat="false" ht="15" hidden="false" customHeight="false" outlineLevel="0" collapsed="false">
      <c r="A71" s="2" t="s">
        <v>77</v>
      </c>
      <c r="B71" s="2" t="n">
        <v>84</v>
      </c>
      <c r="C71" s="2" t="n">
        <v>3</v>
      </c>
      <c r="D71" s="2" t="n">
        <v>10</v>
      </c>
      <c r="E71" s="2" t="n">
        <v>0</v>
      </c>
      <c r="F71" s="2" t="s">
        <v>20</v>
      </c>
    </row>
    <row r="72" customFormat="false" ht="15" hidden="false" customHeight="false" outlineLevel="0" collapsed="false">
      <c r="A72" s="2" t="s">
        <v>78</v>
      </c>
      <c r="B72" s="2" t="n">
        <v>3</v>
      </c>
      <c r="C72" s="2" t="n">
        <v>5</v>
      </c>
      <c r="D72" s="2" t="n">
        <v>10</v>
      </c>
      <c r="E72" s="2" t="n">
        <v>1</v>
      </c>
      <c r="F72" s="2" t="s">
        <v>20</v>
      </c>
    </row>
    <row r="73" customFormat="false" ht="15" hidden="false" customHeight="false" outlineLevel="0" collapsed="false">
      <c r="A73" s="2" t="s">
        <v>79</v>
      </c>
      <c r="B73" s="2" t="n">
        <v>15</v>
      </c>
      <c r="C73" s="2" t="n">
        <v>3</v>
      </c>
      <c r="D73" s="2" t="n">
        <v>10</v>
      </c>
      <c r="E73" s="2" t="n">
        <v>1</v>
      </c>
      <c r="F73" s="2" t="s">
        <v>20</v>
      </c>
    </row>
    <row r="74" customFormat="false" ht="15" hidden="false" customHeight="false" outlineLevel="0" collapsed="false">
      <c r="A74" s="2" t="s">
        <v>80</v>
      </c>
      <c r="B74" s="2" t="n">
        <v>9</v>
      </c>
      <c r="C74" s="2" t="n">
        <v>4</v>
      </c>
      <c r="D74" s="2" t="n">
        <v>10</v>
      </c>
      <c r="E74" s="2" t="n">
        <v>0</v>
      </c>
      <c r="F74" s="2" t="s">
        <v>20</v>
      </c>
    </row>
    <row r="75" customFormat="false" ht="15" hidden="false" customHeight="false" outlineLevel="0" collapsed="false">
      <c r="A75" s="2" t="s">
        <v>81</v>
      </c>
      <c r="B75" s="2" t="n">
        <v>2</v>
      </c>
      <c r="C75" s="2" t="n">
        <v>2</v>
      </c>
      <c r="D75" s="2" t="n">
        <v>10</v>
      </c>
      <c r="E75" s="2" t="n">
        <v>1</v>
      </c>
      <c r="F75" s="2" t="s">
        <v>20</v>
      </c>
    </row>
    <row r="76" customFormat="false" ht="15" hidden="false" customHeight="false" outlineLevel="0" collapsed="false">
      <c r="A76" s="2" t="s">
        <v>82</v>
      </c>
      <c r="B76" s="2" t="n">
        <v>70</v>
      </c>
      <c r="C76" s="2" t="n">
        <v>2</v>
      </c>
      <c r="D76" s="2" t="n">
        <v>10</v>
      </c>
      <c r="E76" s="2" t="n">
        <v>0</v>
      </c>
      <c r="F76" s="2" t="s">
        <v>20</v>
      </c>
    </row>
    <row r="77" customFormat="false" ht="15" hidden="false" customHeight="false" outlineLevel="0" collapsed="false">
      <c r="A77" s="2" t="s">
        <v>83</v>
      </c>
      <c r="B77" s="2" t="n">
        <v>16</v>
      </c>
      <c r="C77" s="2" t="n">
        <v>4</v>
      </c>
      <c r="D77" s="2" t="n">
        <v>13</v>
      </c>
      <c r="E77" s="2" t="n">
        <v>1</v>
      </c>
      <c r="F77" s="2" t="s">
        <v>7</v>
      </c>
    </row>
    <row r="78" customFormat="false" ht="15" hidden="false" customHeight="false" outlineLevel="0" collapsed="false">
      <c r="A78" s="2" t="s">
        <v>84</v>
      </c>
      <c r="B78" s="2" t="n">
        <v>6</v>
      </c>
      <c r="C78" s="2" t="n">
        <v>3</v>
      </c>
      <c r="D78" s="2" t="n">
        <v>13</v>
      </c>
      <c r="E78" s="2" t="n">
        <v>0</v>
      </c>
      <c r="F78" s="2" t="s">
        <v>7</v>
      </c>
    </row>
    <row r="79" customFormat="false" ht="15" hidden="false" customHeight="false" outlineLevel="0" collapsed="false">
      <c r="A79" s="2" t="s">
        <v>85</v>
      </c>
      <c r="B79" s="2" t="n">
        <v>29</v>
      </c>
      <c r="C79" s="2" t="n">
        <v>3</v>
      </c>
      <c r="D79" s="2" t="n">
        <v>13</v>
      </c>
      <c r="E79" s="2" t="n">
        <v>0</v>
      </c>
      <c r="F79" s="2" t="s">
        <v>7</v>
      </c>
    </row>
    <row r="80" customFormat="false" ht="15" hidden="false" customHeight="false" outlineLevel="0" collapsed="false">
      <c r="A80" s="2" t="s">
        <v>86</v>
      </c>
      <c r="B80" s="2" t="n">
        <v>27</v>
      </c>
      <c r="C80" s="2" t="n">
        <v>3</v>
      </c>
      <c r="D80" s="2" t="n">
        <v>13</v>
      </c>
      <c r="E80" s="2" t="n">
        <v>1</v>
      </c>
      <c r="F80" s="2" t="s">
        <v>7</v>
      </c>
    </row>
    <row r="81" customFormat="false" ht="15" hidden="false" customHeight="false" outlineLevel="0" collapsed="false">
      <c r="A81" s="2" t="s">
        <v>87</v>
      </c>
      <c r="B81" s="2" t="n">
        <v>23</v>
      </c>
      <c r="C81" s="2" t="n">
        <v>5</v>
      </c>
      <c r="D81" s="2" t="n">
        <v>13</v>
      </c>
      <c r="E81" s="2" t="n">
        <v>1</v>
      </c>
      <c r="F81" s="2" t="s">
        <v>7</v>
      </c>
    </row>
    <row r="82" customFormat="false" ht="15" hidden="false" customHeight="false" outlineLevel="0" collapsed="false">
      <c r="A82" s="2" t="s">
        <v>88</v>
      </c>
      <c r="B82" s="2" t="n">
        <v>28</v>
      </c>
      <c r="C82" s="2" t="n">
        <v>3</v>
      </c>
      <c r="D82" s="2" t="n">
        <v>13</v>
      </c>
      <c r="E82" s="2" t="n">
        <v>1</v>
      </c>
      <c r="F82" s="2" t="s">
        <v>7</v>
      </c>
    </row>
    <row r="83" customFormat="false" ht="15" hidden="false" customHeight="false" outlineLevel="0" collapsed="false">
      <c r="A83" s="2" t="s">
        <v>89</v>
      </c>
      <c r="B83" s="2" t="n">
        <v>50</v>
      </c>
      <c r="C83" s="2" t="n">
        <v>3</v>
      </c>
      <c r="D83" s="2" t="n">
        <v>13</v>
      </c>
      <c r="E83" s="2" t="n">
        <v>0</v>
      </c>
      <c r="F83" s="2" t="s">
        <v>7</v>
      </c>
    </row>
    <row r="84" customFormat="false" ht="15" hidden="false" customHeight="false" outlineLevel="0" collapsed="false">
      <c r="A84" s="2" t="s">
        <v>90</v>
      </c>
      <c r="B84" s="2" t="n">
        <v>42</v>
      </c>
      <c r="C84" s="2" t="n">
        <v>4</v>
      </c>
      <c r="D84" s="2" t="n">
        <v>13</v>
      </c>
      <c r="E84" s="2" t="n">
        <v>1</v>
      </c>
      <c r="F84" s="2" t="s">
        <v>7</v>
      </c>
    </row>
    <row r="85" customFormat="false" ht="15" hidden="false" customHeight="false" outlineLevel="0" collapsed="false">
      <c r="A85" s="2" t="s">
        <v>91</v>
      </c>
      <c r="B85" s="2" t="n">
        <v>27</v>
      </c>
      <c r="C85" s="2" t="n">
        <v>9</v>
      </c>
      <c r="D85" s="2" t="n">
        <v>13</v>
      </c>
      <c r="E85" s="2" t="n">
        <v>0</v>
      </c>
      <c r="F85" s="2" t="s">
        <v>7</v>
      </c>
    </row>
    <row r="86" customFormat="false" ht="15" hidden="false" customHeight="false" outlineLevel="0" collapsed="false">
      <c r="A86" s="2" t="s">
        <v>92</v>
      </c>
      <c r="B86" s="2" t="n">
        <v>23</v>
      </c>
      <c r="C86" s="2" t="n">
        <v>3</v>
      </c>
      <c r="D86" s="2" t="n">
        <v>13</v>
      </c>
      <c r="E86" s="2" t="n">
        <v>0</v>
      </c>
      <c r="F86" s="2" t="s">
        <v>7</v>
      </c>
    </row>
    <row r="87" customFormat="false" ht="15" hidden="false" customHeight="false" outlineLevel="0" collapsed="false">
      <c r="A87" s="2" t="s">
        <v>93</v>
      </c>
      <c r="B87" s="2" t="n">
        <v>21</v>
      </c>
      <c r="C87" s="2" t="n">
        <v>3</v>
      </c>
      <c r="D87" s="2" t="n">
        <v>13</v>
      </c>
      <c r="E87" s="2" t="n">
        <v>0</v>
      </c>
      <c r="F87" s="2" t="s">
        <v>7</v>
      </c>
    </row>
    <row r="88" customFormat="false" ht="15" hidden="false" customHeight="false" outlineLevel="0" collapsed="false">
      <c r="A88" s="2" t="s">
        <v>94</v>
      </c>
      <c r="B88" s="2" t="n">
        <v>20</v>
      </c>
      <c r="C88" s="2" t="n">
        <v>4</v>
      </c>
      <c r="D88" s="2" t="n">
        <v>13</v>
      </c>
      <c r="E88" s="2" t="n">
        <v>1</v>
      </c>
      <c r="F88" s="2" t="s">
        <v>7</v>
      </c>
    </row>
    <row r="89" customFormat="false" ht="15" hidden="false" customHeight="false" outlineLevel="0" collapsed="false">
      <c r="A89" s="2" t="s">
        <v>95</v>
      </c>
      <c r="B89" s="2" t="n">
        <v>32</v>
      </c>
      <c r="C89" s="2" t="n">
        <v>4</v>
      </c>
      <c r="D89" s="2" t="n">
        <v>13</v>
      </c>
      <c r="E89" s="2" t="n">
        <v>0</v>
      </c>
      <c r="F89" s="2" t="s">
        <v>7</v>
      </c>
    </row>
    <row r="90" customFormat="false" ht="15" hidden="false" customHeight="false" outlineLevel="0" collapsed="false">
      <c r="A90" s="2" t="s">
        <v>96</v>
      </c>
      <c r="B90" s="2" t="n">
        <v>47</v>
      </c>
      <c r="C90" s="2" t="n">
        <v>3</v>
      </c>
      <c r="D90" s="2" t="n">
        <v>18</v>
      </c>
      <c r="E90" s="2" t="n">
        <v>0</v>
      </c>
      <c r="F90" s="2" t="s">
        <v>7</v>
      </c>
    </row>
    <row r="91" customFormat="false" ht="15" hidden="false" customHeight="false" outlineLevel="0" collapsed="false">
      <c r="A91" s="2" t="s">
        <v>97</v>
      </c>
      <c r="B91" s="2" t="n">
        <v>35</v>
      </c>
      <c r="C91" s="2" t="n">
        <v>1</v>
      </c>
      <c r="D91" s="2" t="n">
        <v>18</v>
      </c>
      <c r="E91" s="2" t="n">
        <v>1</v>
      </c>
      <c r="F91" s="2" t="s">
        <v>7</v>
      </c>
    </row>
    <row r="92" customFormat="false" ht="15" hidden="false" customHeight="false" outlineLevel="0" collapsed="false">
      <c r="A92" s="2" t="s">
        <v>98</v>
      </c>
      <c r="B92" s="2" t="n">
        <v>55</v>
      </c>
      <c r="C92" s="2" t="n">
        <v>7</v>
      </c>
      <c r="D92" s="2" t="n">
        <v>18</v>
      </c>
      <c r="E92" s="2" t="n">
        <v>0</v>
      </c>
      <c r="F92" s="2" t="s">
        <v>7</v>
      </c>
    </row>
    <row r="93" customFormat="false" ht="15" hidden="false" customHeight="false" outlineLevel="0" collapsed="false">
      <c r="A93" s="2" t="s">
        <v>99</v>
      </c>
      <c r="B93" s="2" t="n">
        <v>65</v>
      </c>
      <c r="C93" s="2" t="n">
        <v>4</v>
      </c>
      <c r="D93" s="2" t="n">
        <v>18</v>
      </c>
      <c r="E93" s="2" t="n">
        <v>0</v>
      </c>
      <c r="F93" s="2" t="s">
        <v>7</v>
      </c>
    </row>
    <row r="94" customFormat="false" ht="15" hidden="false" customHeight="false" outlineLevel="0" collapsed="false">
      <c r="A94" s="2" t="s">
        <v>100</v>
      </c>
      <c r="B94" s="2" t="n">
        <v>12</v>
      </c>
      <c r="C94" s="2" t="n">
        <v>4</v>
      </c>
      <c r="D94" s="2" t="n">
        <v>18</v>
      </c>
      <c r="E94" s="2" t="n">
        <v>0</v>
      </c>
      <c r="F94" s="2" t="s">
        <v>7</v>
      </c>
    </row>
    <row r="95" customFormat="false" ht="15" hidden="false" customHeight="false" outlineLevel="0" collapsed="false">
      <c r="A95" s="2" t="s">
        <v>101</v>
      </c>
      <c r="B95" s="2" t="n">
        <v>11</v>
      </c>
      <c r="C95" s="2" t="n">
        <v>3</v>
      </c>
      <c r="D95" s="2" t="n">
        <v>18</v>
      </c>
      <c r="E95" s="2" t="n">
        <v>1</v>
      </c>
      <c r="F95" s="2" t="s">
        <v>7</v>
      </c>
    </row>
    <row r="96" customFormat="false" ht="15" hidden="false" customHeight="false" outlineLevel="0" collapsed="false">
      <c r="A96" s="2" t="s">
        <v>102</v>
      </c>
      <c r="B96" s="2" t="n">
        <v>56</v>
      </c>
      <c r="C96" s="2" t="n">
        <v>4</v>
      </c>
      <c r="D96" s="2" t="n">
        <v>18</v>
      </c>
      <c r="E96" s="2" t="n">
        <v>0</v>
      </c>
      <c r="F96" s="2" t="s">
        <v>7</v>
      </c>
    </row>
    <row r="97" customFormat="false" ht="15" hidden="false" customHeight="false" outlineLevel="0" collapsed="false">
      <c r="A97" s="2" t="s">
        <v>103</v>
      </c>
      <c r="B97" s="2" t="n">
        <v>16</v>
      </c>
      <c r="C97" s="2" t="n">
        <v>2</v>
      </c>
      <c r="D97" s="2" t="n">
        <v>18</v>
      </c>
      <c r="E97" s="2" t="n">
        <v>1</v>
      </c>
      <c r="F97" s="2" t="s">
        <v>7</v>
      </c>
    </row>
    <row r="98" customFormat="false" ht="15" hidden="false" customHeight="false" outlineLevel="0" collapsed="false">
      <c r="A98" s="2" t="s">
        <v>104</v>
      </c>
      <c r="B98" s="2" t="n">
        <v>16</v>
      </c>
      <c r="C98" s="2" t="n">
        <v>2</v>
      </c>
      <c r="D98" s="2" t="n">
        <v>18</v>
      </c>
      <c r="E98" s="2" t="n">
        <v>1</v>
      </c>
      <c r="F98" s="2" t="s">
        <v>7</v>
      </c>
    </row>
    <row r="99" customFormat="false" ht="15" hidden="false" customHeight="false" outlineLevel="0" collapsed="false">
      <c r="A99" s="2" t="s">
        <v>105</v>
      </c>
      <c r="B99" s="2" t="n">
        <v>4</v>
      </c>
      <c r="C99" s="2" t="n">
        <v>2</v>
      </c>
      <c r="D99" s="2" t="n">
        <v>18</v>
      </c>
      <c r="E99" s="2" t="n">
        <v>1</v>
      </c>
      <c r="F99" s="2" t="s">
        <v>7</v>
      </c>
    </row>
    <row r="100" customFormat="false" ht="15" hidden="false" customHeight="false" outlineLevel="0" collapsed="false">
      <c r="A100" s="2" t="s">
        <v>106</v>
      </c>
      <c r="B100" s="2" t="n">
        <v>19</v>
      </c>
      <c r="C100" s="2" t="n">
        <v>6</v>
      </c>
      <c r="D100" s="2" t="n">
        <v>18</v>
      </c>
      <c r="E100" s="2" t="n">
        <v>0</v>
      </c>
      <c r="F100" s="2" t="s">
        <v>7</v>
      </c>
    </row>
    <row r="101" customFormat="false" ht="15" hidden="false" customHeight="false" outlineLevel="0" collapsed="false">
      <c r="A101" s="2" t="s">
        <v>107</v>
      </c>
      <c r="B101" s="2" t="n">
        <v>42</v>
      </c>
      <c r="C101" s="2" t="n">
        <v>5</v>
      </c>
      <c r="D101" s="2" t="n">
        <v>18</v>
      </c>
      <c r="E101" s="2" t="n">
        <v>0</v>
      </c>
      <c r="F101" s="2" t="s">
        <v>7</v>
      </c>
    </row>
    <row r="102" customFormat="false" ht="15" hidden="false" customHeight="false" outlineLevel="0" collapsed="false">
      <c r="A102" s="2" t="s">
        <v>108</v>
      </c>
      <c r="B102" s="2" t="n">
        <v>41</v>
      </c>
      <c r="C102" s="2" t="n">
        <v>4</v>
      </c>
      <c r="D102" s="2" t="n">
        <v>18</v>
      </c>
      <c r="E102" s="2" t="n">
        <v>0</v>
      </c>
      <c r="F102" s="2" t="s">
        <v>7</v>
      </c>
    </row>
    <row r="103" customFormat="false" ht="15" hidden="false" customHeight="false" outlineLevel="0" collapsed="false">
      <c r="A103" s="2" t="s">
        <v>109</v>
      </c>
      <c r="B103" s="2" t="n">
        <v>22</v>
      </c>
      <c r="C103" s="2" t="n">
        <v>5</v>
      </c>
      <c r="D103" s="2" t="n">
        <v>18</v>
      </c>
      <c r="E103" s="2" t="n">
        <v>0</v>
      </c>
      <c r="F103" s="2" t="s">
        <v>7</v>
      </c>
    </row>
    <row r="104" customFormat="false" ht="15" hidden="false" customHeight="false" outlineLevel="0" collapsed="false">
      <c r="A104" s="2" t="s">
        <v>110</v>
      </c>
      <c r="B104" s="2" t="n">
        <v>37</v>
      </c>
      <c r="C104" s="2" t="n">
        <v>4</v>
      </c>
      <c r="D104" s="2" t="n">
        <v>18</v>
      </c>
      <c r="E104" s="2" t="n">
        <v>1</v>
      </c>
      <c r="F104" s="2" t="s">
        <v>7</v>
      </c>
    </row>
    <row r="105" customFormat="false" ht="15" hidden="false" customHeight="false" outlineLevel="0" collapsed="false">
      <c r="A105" s="2" t="s">
        <v>111</v>
      </c>
      <c r="B105" s="2" t="n">
        <v>61</v>
      </c>
      <c r="C105" s="2" t="n">
        <v>3</v>
      </c>
      <c r="D105" s="2" t="n">
        <v>18</v>
      </c>
      <c r="E105" s="2" t="n">
        <v>1</v>
      </c>
      <c r="F105" s="2" t="s">
        <v>7</v>
      </c>
    </row>
    <row r="106" customFormat="false" ht="15" hidden="false" customHeight="false" outlineLevel="0" collapsed="false">
      <c r="A106" s="2" t="s">
        <v>112</v>
      </c>
      <c r="B106" s="2" t="n">
        <v>23</v>
      </c>
      <c r="C106" s="2" t="n">
        <v>3</v>
      </c>
      <c r="D106" s="2" t="n">
        <v>18</v>
      </c>
      <c r="E106" s="2" t="n">
        <v>1</v>
      </c>
      <c r="F106" s="2" t="s">
        <v>7</v>
      </c>
    </row>
    <row r="107" customFormat="false" ht="15" hidden="false" customHeight="false" outlineLevel="0" collapsed="false">
      <c r="A107" s="2" t="s">
        <v>113</v>
      </c>
      <c r="B107" s="2" t="n">
        <v>48</v>
      </c>
      <c r="C107" s="2" t="n">
        <v>5</v>
      </c>
      <c r="D107" s="2" t="n">
        <v>18</v>
      </c>
      <c r="E107" s="2" t="n">
        <v>0</v>
      </c>
      <c r="F107" s="2" t="s">
        <v>7</v>
      </c>
    </row>
    <row r="108" customFormat="false" ht="15" hidden="false" customHeight="false" outlineLevel="0" collapsed="false">
      <c r="A108" s="2" t="s">
        <v>114</v>
      </c>
      <c r="B108" s="2" t="n">
        <v>69</v>
      </c>
      <c r="C108" s="2" t="n">
        <v>7</v>
      </c>
      <c r="D108" s="2" t="n">
        <v>33</v>
      </c>
      <c r="E108" s="2" t="n">
        <v>1</v>
      </c>
      <c r="F108" s="2" t="s">
        <v>115</v>
      </c>
    </row>
    <row r="109" customFormat="false" ht="15" hidden="false" customHeight="false" outlineLevel="0" collapsed="false">
      <c r="A109" s="2" t="s">
        <v>116</v>
      </c>
      <c r="B109" s="2" t="n">
        <v>40</v>
      </c>
      <c r="C109" s="2" t="n">
        <v>3</v>
      </c>
      <c r="D109" s="2" t="n">
        <v>33</v>
      </c>
      <c r="E109" s="2" t="n">
        <v>1</v>
      </c>
      <c r="F109" s="2" t="s">
        <v>115</v>
      </c>
    </row>
    <row r="110" customFormat="false" ht="15" hidden="false" customHeight="false" outlineLevel="0" collapsed="false">
      <c r="A110" s="2" t="s">
        <v>117</v>
      </c>
      <c r="B110" s="2" t="n">
        <v>42</v>
      </c>
      <c r="C110" s="2" t="n">
        <v>2</v>
      </c>
      <c r="D110" s="2" t="n">
        <v>33</v>
      </c>
      <c r="E110" s="2" t="n">
        <v>1</v>
      </c>
      <c r="F110" s="2" t="s">
        <v>115</v>
      </c>
    </row>
    <row r="111" customFormat="false" ht="15" hidden="false" customHeight="false" outlineLevel="0" collapsed="false">
      <c r="A111" s="2" t="s">
        <v>118</v>
      </c>
      <c r="B111" s="2" t="n">
        <v>25</v>
      </c>
      <c r="C111" s="2" t="n">
        <v>4</v>
      </c>
      <c r="D111" s="2" t="n">
        <v>33</v>
      </c>
      <c r="E111" s="2" t="n">
        <v>0</v>
      </c>
      <c r="F111" s="2" t="s">
        <v>115</v>
      </c>
    </row>
    <row r="112" customFormat="false" ht="15" hidden="false" customHeight="false" outlineLevel="0" collapsed="false">
      <c r="A112" s="2" t="s">
        <v>119</v>
      </c>
      <c r="B112" s="2" t="n">
        <v>61</v>
      </c>
      <c r="C112" s="2" t="n">
        <v>3</v>
      </c>
      <c r="D112" s="2" t="n">
        <v>33</v>
      </c>
      <c r="E112" s="2" t="n">
        <v>1</v>
      </c>
      <c r="F112" s="2" t="s">
        <v>115</v>
      </c>
    </row>
    <row r="113" customFormat="false" ht="15" hidden="false" customHeight="false" outlineLevel="0" collapsed="false">
      <c r="A113" s="2" t="s">
        <v>120</v>
      </c>
      <c r="B113" s="2" t="n">
        <v>69</v>
      </c>
      <c r="C113" s="2" t="n">
        <v>1</v>
      </c>
      <c r="D113" s="2" t="n">
        <v>33</v>
      </c>
      <c r="E113" s="2" t="n">
        <v>1</v>
      </c>
      <c r="F113" s="2" t="s">
        <v>115</v>
      </c>
    </row>
    <row r="114" customFormat="false" ht="15" hidden="false" customHeight="false" outlineLevel="0" collapsed="false">
      <c r="A114" s="2" t="s">
        <v>121</v>
      </c>
      <c r="B114" s="2" t="n">
        <v>14</v>
      </c>
      <c r="C114" s="2" t="n">
        <v>2</v>
      </c>
      <c r="D114" s="2" t="n">
        <v>33</v>
      </c>
      <c r="E114" s="2" t="n">
        <v>1</v>
      </c>
      <c r="F114" s="2" t="s">
        <v>115</v>
      </c>
    </row>
    <row r="115" customFormat="false" ht="15" hidden="false" customHeight="false" outlineLevel="0" collapsed="false">
      <c r="A115" s="2" t="s">
        <v>122</v>
      </c>
      <c r="B115" s="2" t="n">
        <v>52</v>
      </c>
      <c r="C115" s="2" t="n">
        <v>3</v>
      </c>
      <c r="D115" s="2" t="n">
        <v>33</v>
      </c>
      <c r="E115" s="2" t="n">
        <v>1</v>
      </c>
      <c r="F115" s="2" t="s">
        <v>115</v>
      </c>
    </row>
    <row r="116" customFormat="false" ht="15" hidden="false" customHeight="false" outlineLevel="0" collapsed="false">
      <c r="A116" s="2" t="s">
        <v>123</v>
      </c>
      <c r="B116" s="2" t="n">
        <v>32</v>
      </c>
      <c r="C116" s="2" t="n">
        <v>4</v>
      </c>
      <c r="D116" s="2" t="n">
        <v>33</v>
      </c>
      <c r="E116" s="2" t="n">
        <v>1</v>
      </c>
      <c r="F116" s="2" t="s">
        <v>115</v>
      </c>
    </row>
    <row r="117" customFormat="false" ht="15" hidden="false" customHeight="false" outlineLevel="0" collapsed="false">
      <c r="A117" s="2" t="s">
        <v>124</v>
      </c>
      <c r="B117" s="2" t="n">
        <v>49</v>
      </c>
      <c r="C117" s="2" t="n">
        <v>4</v>
      </c>
      <c r="D117" s="2" t="n">
        <v>33</v>
      </c>
      <c r="E117" s="2" t="n">
        <v>1</v>
      </c>
      <c r="F117" s="2" t="s">
        <v>115</v>
      </c>
    </row>
    <row r="118" customFormat="false" ht="15" hidden="false" customHeight="false" outlineLevel="0" collapsed="false">
      <c r="A118" s="2" t="s">
        <v>125</v>
      </c>
      <c r="B118" s="2" t="n">
        <v>67</v>
      </c>
      <c r="C118" s="2" t="n">
        <v>4</v>
      </c>
      <c r="D118" s="2" t="n">
        <v>33</v>
      </c>
      <c r="E118" s="2" t="n">
        <v>1</v>
      </c>
      <c r="F118" s="2" t="s">
        <v>115</v>
      </c>
    </row>
    <row r="119" customFormat="false" ht="15" hidden="false" customHeight="false" outlineLevel="0" collapsed="false">
      <c r="A119" s="2" t="s">
        <v>126</v>
      </c>
      <c r="B119" s="2" t="n">
        <v>30</v>
      </c>
      <c r="C119" s="2" t="n">
        <v>7</v>
      </c>
      <c r="D119" s="2" t="n">
        <v>33</v>
      </c>
      <c r="E119" s="2" t="n">
        <v>0</v>
      </c>
      <c r="F119" s="2" t="s">
        <v>115</v>
      </c>
    </row>
    <row r="120" customFormat="false" ht="15" hidden="false" customHeight="false" outlineLevel="0" collapsed="false">
      <c r="A120" s="2" t="s">
        <v>127</v>
      </c>
      <c r="B120" s="2" t="n">
        <v>26</v>
      </c>
      <c r="C120" s="2" t="n">
        <v>4</v>
      </c>
      <c r="D120" s="2" t="n">
        <v>33</v>
      </c>
      <c r="E120" s="2" t="n">
        <v>1</v>
      </c>
      <c r="F120" s="2" t="s">
        <v>115</v>
      </c>
    </row>
    <row r="121" customFormat="false" ht="15" hidden="false" customHeight="false" outlineLevel="0" collapsed="false">
      <c r="A121" s="2" t="s">
        <v>128</v>
      </c>
      <c r="B121" s="2" t="n">
        <v>82</v>
      </c>
      <c r="C121" s="2" t="n">
        <v>5</v>
      </c>
      <c r="D121" s="2" t="n">
        <v>33</v>
      </c>
      <c r="E121" s="2" t="n">
        <v>1</v>
      </c>
      <c r="F121" s="2" t="s">
        <v>115</v>
      </c>
    </row>
    <row r="122" customFormat="false" ht="15" hidden="false" customHeight="false" outlineLevel="0" collapsed="false">
      <c r="A122" s="2" t="s">
        <v>129</v>
      </c>
      <c r="B122" s="2" t="n">
        <v>28</v>
      </c>
      <c r="C122" s="2" t="n">
        <v>3</v>
      </c>
      <c r="D122" s="2" t="n">
        <v>33</v>
      </c>
      <c r="E122" s="2" t="n">
        <v>1</v>
      </c>
      <c r="F122" s="2" t="s">
        <v>115</v>
      </c>
    </row>
    <row r="123" customFormat="false" ht="15" hidden="false" customHeight="false" outlineLevel="0" collapsed="false">
      <c r="A123" s="2" t="s">
        <v>130</v>
      </c>
      <c r="B123" s="2" t="n">
        <v>22</v>
      </c>
      <c r="C123" s="2" t="n">
        <v>4</v>
      </c>
      <c r="D123" s="2" t="n">
        <v>33</v>
      </c>
      <c r="E123" s="2" t="n">
        <v>0</v>
      </c>
      <c r="F123" s="2" t="s">
        <v>115</v>
      </c>
    </row>
    <row r="124" customFormat="false" ht="15" hidden="false" customHeight="false" outlineLevel="0" collapsed="false">
      <c r="A124" s="2" t="s">
        <v>131</v>
      </c>
      <c r="B124" s="2" t="n">
        <v>24</v>
      </c>
      <c r="C124" s="2" t="n">
        <v>3</v>
      </c>
      <c r="D124" s="2" t="n">
        <v>33</v>
      </c>
      <c r="E124" s="2" t="n">
        <v>1</v>
      </c>
      <c r="F124" s="2" t="s">
        <v>115</v>
      </c>
    </row>
    <row r="125" customFormat="false" ht="15" hidden="false" customHeight="false" outlineLevel="0" collapsed="false">
      <c r="A125" s="2" t="s">
        <v>132</v>
      </c>
      <c r="B125" s="2" t="n">
        <v>39</v>
      </c>
      <c r="C125" s="2" t="n">
        <v>4</v>
      </c>
      <c r="D125" s="2" t="n">
        <v>33</v>
      </c>
      <c r="E125" s="2" t="n">
        <v>0</v>
      </c>
      <c r="F125" s="2" t="s">
        <v>115</v>
      </c>
    </row>
    <row r="126" customFormat="false" ht="15" hidden="false" customHeight="false" outlineLevel="0" collapsed="false">
      <c r="A126" s="2" t="s">
        <v>133</v>
      </c>
      <c r="B126" s="2" t="n">
        <v>51</v>
      </c>
      <c r="C126" s="2" t="n">
        <v>3</v>
      </c>
      <c r="D126" s="2" t="n">
        <v>33</v>
      </c>
      <c r="E126" s="2" t="n">
        <v>1</v>
      </c>
      <c r="F126" s="2" t="s">
        <v>115</v>
      </c>
    </row>
    <row r="127" customFormat="false" ht="15" hidden="false" customHeight="false" outlineLevel="0" collapsed="false">
      <c r="A127" s="2" t="s">
        <v>134</v>
      </c>
      <c r="B127" s="2" t="n">
        <v>21</v>
      </c>
      <c r="C127" s="2" t="n">
        <v>2</v>
      </c>
      <c r="D127" s="2" t="n">
        <v>33</v>
      </c>
      <c r="E127" s="2" t="n">
        <v>0</v>
      </c>
      <c r="F127" s="2" t="s">
        <v>115</v>
      </c>
    </row>
    <row r="128" customFormat="false" ht="15" hidden="false" customHeight="false" outlineLevel="0" collapsed="false">
      <c r="A128" s="2" t="s">
        <v>135</v>
      </c>
      <c r="B128" s="2" t="n">
        <v>38</v>
      </c>
      <c r="C128" s="2" t="n">
        <v>2</v>
      </c>
      <c r="D128" s="2" t="n">
        <v>33</v>
      </c>
      <c r="E128" s="2" t="n">
        <v>0</v>
      </c>
      <c r="F128" s="2" t="s">
        <v>115</v>
      </c>
    </row>
    <row r="129" customFormat="false" ht="15" hidden="false" customHeight="false" outlineLevel="0" collapsed="false">
      <c r="A129" s="2" t="s">
        <v>136</v>
      </c>
      <c r="B129" s="2" t="n">
        <v>4</v>
      </c>
      <c r="C129" s="2" t="n">
        <v>3</v>
      </c>
      <c r="D129" s="2" t="n">
        <v>33</v>
      </c>
      <c r="E129" s="2" t="n">
        <v>0</v>
      </c>
      <c r="F129" s="2" t="s">
        <v>115</v>
      </c>
    </row>
    <row r="130" customFormat="false" ht="15" hidden="false" customHeight="false" outlineLevel="0" collapsed="false">
      <c r="A130" s="2" t="s">
        <v>137</v>
      </c>
      <c r="B130" s="2" t="n">
        <v>12</v>
      </c>
      <c r="C130" s="2" t="n">
        <v>4</v>
      </c>
      <c r="D130" s="2" t="n">
        <v>33</v>
      </c>
      <c r="E130" s="2" t="n">
        <v>0</v>
      </c>
      <c r="F130" s="2" t="s">
        <v>115</v>
      </c>
    </row>
    <row r="131" customFormat="false" ht="15" hidden="false" customHeight="false" outlineLevel="0" collapsed="false">
      <c r="A131" s="2" t="s">
        <v>138</v>
      </c>
      <c r="B131" s="2" t="n">
        <v>10</v>
      </c>
      <c r="C131" s="2" t="n">
        <v>2</v>
      </c>
      <c r="D131" s="2" t="n">
        <v>33</v>
      </c>
      <c r="E131" s="2" t="n">
        <v>0</v>
      </c>
      <c r="F131" s="2" t="s">
        <v>115</v>
      </c>
    </row>
    <row r="132" customFormat="false" ht="15" hidden="false" customHeight="false" outlineLevel="0" collapsed="false">
      <c r="A132" s="2" t="s">
        <v>139</v>
      </c>
      <c r="B132" s="2" t="n">
        <v>10</v>
      </c>
      <c r="C132" s="2" t="n">
        <v>3</v>
      </c>
      <c r="D132" s="2" t="n">
        <v>33</v>
      </c>
      <c r="E132" s="2" t="n">
        <v>1</v>
      </c>
      <c r="F132" s="2" t="s">
        <v>115</v>
      </c>
    </row>
    <row r="133" customFormat="false" ht="15" hidden="false" customHeight="false" outlineLevel="0" collapsed="false">
      <c r="A133" s="2" t="s">
        <v>140</v>
      </c>
      <c r="B133" s="2" t="n">
        <v>6</v>
      </c>
      <c r="C133" s="2" t="n">
        <v>4</v>
      </c>
      <c r="D133" s="2" t="n">
        <v>33</v>
      </c>
      <c r="E133" s="2" t="n">
        <v>0</v>
      </c>
      <c r="F133" s="2" t="s">
        <v>115</v>
      </c>
    </row>
    <row r="134" customFormat="false" ht="15" hidden="false" customHeight="false" outlineLevel="0" collapsed="false">
      <c r="A134" s="2" t="s">
        <v>141</v>
      </c>
      <c r="B134" s="2" t="n">
        <v>4</v>
      </c>
      <c r="C134" s="2" t="n">
        <v>2</v>
      </c>
      <c r="D134" s="2" t="n">
        <v>33</v>
      </c>
      <c r="E134" s="2" t="n">
        <v>1</v>
      </c>
      <c r="F134" s="2" t="s">
        <v>115</v>
      </c>
    </row>
    <row r="135" customFormat="false" ht="15" hidden="false" customHeight="false" outlineLevel="0" collapsed="false">
      <c r="A135" s="2" t="s">
        <v>142</v>
      </c>
      <c r="B135" s="2" t="n">
        <v>10</v>
      </c>
      <c r="C135" s="2" t="n">
        <v>2</v>
      </c>
      <c r="D135" s="2" t="n">
        <v>33</v>
      </c>
      <c r="E135" s="2" t="n">
        <v>0</v>
      </c>
      <c r="F135" s="2" t="s">
        <v>115</v>
      </c>
    </row>
    <row r="136" customFormat="false" ht="15" hidden="false" customHeight="false" outlineLevel="0" collapsed="false">
      <c r="A136" s="2" t="s">
        <v>143</v>
      </c>
      <c r="B136" s="2" t="n">
        <v>6</v>
      </c>
      <c r="C136" s="2" t="n">
        <v>2</v>
      </c>
      <c r="D136" s="2" t="n">
        <v>33</v>
      </c>
      <c r="E136" s="2" t="n">
        <v>0</v>
      </c>
      <c r="F136" s="2" t="s">
        <v>115</v>
      </c>
    </row>
    <row r="137" customFormat="false" ht="15" hidden="false" customHeight="false" outlineLevel="0" collapsed="false">
      <c r="A137" s="2" t="s">
        <v>144</v>
      </c>
      <c r="B137" s="2" t="n">
        <v>3</v>
      </c>
      <c r="C137" s="2" t="n">
        <v>1</v>
      </c>
      <c r="D137" s="2" t="n">
        <v>33</v>
      </c>
      <c r="E137" s="2" t="n">
        <v>1</v>
      </c>
      <c r="F137" s="2" t="s">
        <v>115</v>
      </c>
    </row>
    <row r="138" customFormat="false" ht="15" hidden="false" customHeight="false" outlineLevel="0" collapsed="false">
      <c r="A138" s="2" t="s">
        <v>145</v>
      </c>
      <c r="B138" s="2" t="n">
        <v>13</v>
      </c>
      <c r="C138" s="2" t="n">
        <v>3</v>
      </c>
      <c r="D138" s="2" t="n">
        <v>33</v>
      </c>
      <c r="E138" s="2" t="n">
        <v>1</v>
      </c>
      <c r="F138" s="2" t="s">
        <v>115</v>
      </c>
    </row>
    <row r="139" customFormat="false" ht="15" hidden="false" customHeight="false" outlineLevel="0" collapsed="false">
      <c r="A139" s="2" t="s">
        <v>146</v>
      </c>
      <c r="B139" s="2" t="n">
        <v>52</v>
      </c>
      <c r="C139" s="2" t="n">
        <v>7</v>
      </c>
      <c r="D139" s="2" t="n">
        <v>21</v>
      </c>
      <c r="E139" s="2" t="n">
        <v>0</v>
      </c>
      <c r="F139" s="2" t="s">
        <v>115</v>
      </c>
    </row>
    <row r="140" customFormat="false" ht="15" hidden="false" customHeight="false" outlineLevel="0" collapsed="false">
      <c r="A140" s="2" t="s">
        <v>147</v>
      </c>
      <c r="B140" s="2" t="n">
        <v>74</v>
      </c>
      <c r="C140" s="2" t="n">
        <v>5</v>
      </c>
      <c r="D140" s="2" t="n">
        <v>21</v>
      </c>
      <c r="E140" s="2" t="n">
        <v>1</v>
      </c>
      <c r="F140" s="2" t="s">
        <v>115</v>
      </c>
    </row>
    <row r="141" customFormat="false" ht="15" hidden="false" customHeight="false" outlineLevel="0" collapsed="false">
      <c r="A141" s="2" t="s">
        <v>148</v>
      </c>
      <c r="B141" s="2" t="n">
        <v>36</v>
      </c>
      <c r="C141" s="2" t="n">
        <v>2</v>
      </c>
      <c r="D141" s="2" t="n">
        <v>21</v>
      </c>
      <c r="E141" s="2" t="n">
        <v>0</v>
      </c>
      <c r="F141" s="2" t="s">
        <v>115</v>
      </c>
    </row>
    <row r="142" customFormat="false" ht="15" hidden="false" customHeight="false" outlineLevel="0" collapsed="false">
      <c r="A142" s="2" t="s">
        <v>149</v>
      </c>
      <c r="B142" s="2" t="n">
        <v>39</v>
      </c>
      <c r="C142" s="2" t="n">
        <v>2</v>
      </c>
      <c r="D142" s="2" t="n">
        <v>21</v>
      </c>
      <c r="E142" s="2" t="n">
        <v>1</v>
      </c>
      <c r="F142" s="2" t="s">
        <v>115</v>
      </c>
    </row>
    <row r="143" customFormat="false" ht="15" hidden="false" customHeight="false" outlineLevel="0" collapsed="false">
      <c r="A143" s="2" t="s">
        <v>150</v>
      </c>
      <c r="B143" s="2" t="n">
        <v>20</v>
      </c>
      <c r="C143" s="2" t="n">
        <v>4</v>
      </c>
      <c r="D143" s="2" t="n">
        <v>21</v>
      </c>
      <c r="E143" s="2" t="n">
        <v>1</v>
      </c>
      <c r="F143" s="2" t="s">
        <v>115</v>
      </c>
    </row>
    <row r="144" customFormat="false" ht="15" hidden="false" customHeight="false" outlineLevel="0" collapsed="false">
      <c r="A144" s="2" t="s">
        <v>119</v>
      </c>
      <c r="B144" s="2" t="n">
        <v>61</v>
      </c>
      <c r="C144" s="2" t="n">
        <v>4</v>
      </c>
      <c r="D144" s="2" t="n">
        <v>21</v>
      </c>
      <c r="E144" s="2" t="n">
        <v>1</v>
      </c>
      <c r="F144" s="2" t="s">
        <v>115</v>
      </c>
    </row>
    <row r="145" customFormat="false" ht="15" hidden="false" customHeight="false" outlineLevel="0" collapsed="false">
      <c r="A145" s="2" t="s">
        <v>151</v>
      </c>
      <c r="B145" s="2" t="n">
        <v>28</v>
      </c>
      <c r="C145" s="2" t="n">
        <v>4</v>
      </c>
      <c r="D145" s="2" t="n">
        <v>21</v>
      </c>
      <c r="E145" s="2" t="n">
        <v>1</v>
      </c>
      <c r="F145" s="2" t="s">
        <v>115</v>
      </c>
    </row>
    <row r="146" customFormat="false" ht="15" hidden="false" customHeight="false" outlineLevel="0" collapsed="false">
      <c r="A146" s="2" t="s">
        <v>152</v>
      </c>
      <c r="B146" s="2" t="n">
        <v>34</v>
      </c>
      <c r="C146" s="2" t="n">
        <v>2</v>
      </c>
      <c r="D146" s="2" t="n">
        <v>21</v>
      </c>
      <c r="E146" s="2" t="n">
        <v>1</v>
      </c>
      <c r="F146" s="2" t="s">
        <v>115</v>
      </c>
    </row>
    <row r="147" customFormat="false" ht="15" hidden="false" customHeight="false" outlineLevel="0" collapsed="false">
      <c r="A147" s="2" t="s">
        <v>153</v>
      </c>
      <c r="B147" s="2" t="n">
        <v>66</v>
      </c>
      <c r="C147" s="2" t="n">
        <v>10</v>
      </c>
      <c r="D147" s="2" t="n">
        <v>21</v>
      </c>
      <c r="E147" s="2" t="n">
        <v>1</v>
      </c>
      <c r="F147" s="2" t="s">
        <v>115</v>
      </c>
    </row>
    <row r="148" customFormat="false" ht="15" hidden="false" customHeight="false" outlineLevel="0" collapsed="false">
      <c r="A148" s="2" t="s">
        <v>154</v>
      </c>
      <c r="B148" s="2" t="n">
        <v>55</v>
      </c>
      <c r="C148" s="2" t="n">
        <v>3</v>
      </c>
      <c r="D148" s="2" t="n">
        <v>21</v>
      </c>
      <c r="E148" s="2" t="n">
        <v>1</v>
      </c>
      <c r="F148" s="2" t="s">
        <v>115</v>
      </c>
    </row>
    <row r="149" customFormat="false" ht="15" hidden="false" customHeight="false" outlineLevel="0" collapsed="false">
      <c r="A149" s="2" t="s">
        <v>155</v>
      </c>
      <c r="B149" s="2" t="n">
        <v>19</v>
      </c>
      <c r="C149" s="2" t="n">
        <v>5</v>
      </c>
      <c r="D149" s="2" t="n">
        <v>21</v>
      </c>
      <c r="E149" s="2" t="n">
        <v>0</v>
      </c>
      <c r="F149" s="2" t="s">
        <v>115</v>
      </c>
    </row>
    <row r="150" customFormat="false" ht="15" hidden="false" customHeight="false" outlineLevel="0" collapsed="false">
      <c r="A150" s="2" t="s">
        <v>156</v>
      </c>
      <c r="B150" s="2" t="n">
        <v>61</v>
      </c>
      <c r="C150" s="2" t="n">
        <v>5</v>
      </c>
      <c r="D150" s="2" t="n">
        <v>21</v>
      </c>
      <c r="E150" s="2" t="n">
        <v>1</v>
      </c>
      <c r="F150" s="2" t="s">
        <v>115</v>
      </c>
    </row>
    <row r="151" customFormat="false" ht="15" hidden="false" customHeight="false" outlineLevel="0" collapsed="false">
      <c r="A151" s="2" t="s">
        <v>157</v>
      </c>
      <c r="B151" s="2" t="n">
        <v>24</v>
      </c>
      <c r="C151" s="2" t="n">
        <v>3</v>
      </c>
      <c r="D151" s="2" t="n">
        <v>21</v>
      </c>
      <c r="E151" s="2" t="n">
        <v>0</v>
      </c>
      <c r="F151" s="2" t="s">
        <v>115</v>
      </c>
    </row>
    <row r="152" customFormat="false" ht="15" hidden="false" customHeight="false" outlineLevel="0" collapsed="false">
      <c r="A152" s="2" t="s">
        <v>158</v>
      </c>
      <c r="B152" s="2" t="n">
        <v>47</v>
      </c>
      <c r="C152" s="2" t="n">
        <v>3</v>
      </c>
      <c r="D152" s="2" t="n">
        <v>21</v>
      </c>
      <c r="E152" s="2" t="n">
        <v>1</v>
      </c>
      <c r="F152" s="2" t="s">
        <v>115</v>
      </c>
    </row>
    <row r="153" customFormat="false" ht="15" hidden="false" customHeight="false" outlineLevel="0" collapsed="false">
      <c r="A153" s="2" t="s">
        <v>159</v>
      </c>
      <c r="B153" s="2" t="n">
        <v>73</v>
      </c>
      <c r="C153" s="2" t="n">
        <v>7</v>
      </c>
      <c r="D153" s="2" t="n">
        <v>21</v>
      </c>
      <c r="E153" s="2" t="n">
        <v>1</v>
      </c>
      <c r="F153" s="2" t="s">
        <v>115</v>
      </c>
    </row>
    <row r="154" customFormat="false" ht="15" hidden="false" customHeight="false" outlineLevel="0" collapsed="false">
      <c r="A154" s="2" t="s">
        <v>160</v>
      </c>
      <c r="B154" s="2" t="n">
        <v>18</v>
      </c>
      <c r="C154" s="2" t="n">
        <v>5</v>
      </c>
      <c r="D154" s="2" t="n">
        <v>21</v>
      </c>
      <c r="E154" s="2" t="n">
        <v>1</v>
      </c>
      <c r="F154" s="2" t="s">
        <v>115</v>
      </c>
    </row>
    <row r="155" customFormat="false" ht="15" hidden="false" customHeight="false" outlineLevel="0" collapsed="false">
      <c r="A155" s="2" t="s">
        <v>161</v>
      </c>
      <c r="B155" s="2" t="n">
        <v>19</v>
      </c>
      <c r="C155" s="2" t="n">
        <v>5</v>
      </c>
      <c r="D155" s="2" t="n">
        <v>21</v>
      </c>
      <c r="E155" s="2" t="n">
        <v>1</v>
      </c>
      <c r="F155" s="2" t="s">
        <v>115</v>
      </c>
    </row>
    <row r="156" customFormat="false" ht="15" hidden="false" customHeight="false" outlineLevel="0" collapsed="false">
      <c r="A156" s="2" t="s">
        <v>162</v>
      </c>
      <c r="B156" s="2" t="n">
        <v>5</v>
      </c>
      <c r="C156" s="2" t="n">
        <v>2</v>
      </c>
      <c r="D156" s="2" t="n">
        <v>21</v>
      </c>
      <c r="E156" s="2" t="n">
        <v>0</v>
      </c>
      <c r="F156" s="2" t="s">
        <v>115</v>
      </c>
    </row>
    <row r="157" customFormat="false" ht="15" hidden="false" customHeight="false" outlineLevel="0" collapsed="false">
      <c r="A157" s="2" t="s">
        <v>163</v>
      </c>
      <c r="B157" s="2" t="n">
        <v>15</v>
      </c>
      <c r="C157" s="2" t="n">
        <v>4</v>
      </c>
      <c r="D157" s="2" t="n">
        <v>21</v>
      </c>
      <c r="E157" s="2" t="n">
        <v>1</v>
      </c>
      <c r="F157" s="2" t="s">
        <v>115</v>
      </c>
    </row>
    <row r="158" customFormat="false" ht="15" hidden="false" customHeight="false" outlineLevel="0" collapsed="false">
      <c r="A158" s="2" t="s">
        <v>164</v>
      </c>
      <c r="B158" s="2" t="n">
        <v>5</v>
      </c>
      <c r="C158" s="2" t="n">
        <v>2</v>
      </c>
      <c r="D158" s="2" t="n">
        <v>21</v>
      </c>
      <c r="E158" s="2" t="n">
        <v>0</v>
      </c>
      <c r="F158" s="2" t="s">
        <v>115</v>
      </c>
    </row>
    <row r="159" customFormat="false" ht="15" hidden="false" customHeight="false" outlineLevel="0" collapsed="false">
      <c r="A159" s="2" t="s">
        <v>165</v>
      </c>
      <c r="B159" s="2" t="n">
        <v>17</v>
      </c>
      <c r="C159" s="2" t="n">
        <v>2</v>
      </c>
      <c r="D159" s="2" t="n">
        <v>21</v>
      </c>
      <c r="E159" s="2" t="n">
        <v>0</v>
      </c>
      <c r="F159" s="2" t="s">
        <v>115</v>
      </c>
    </row>
    <row r="160" customFormat="false" ht="15" hidden="false" customHeight="false" outlineLevel="0" collapsed="false">
      <c r="A160" s="2" t="s">
        <v>166</v>
      </c>
      <c r="B160" s="2" t="n">
        <v>16</v>
      </c>
      <c r="C160" s="2" t="n">
        <v>3</v>
      </c>
      <c r="D160" s="2" t="n">
        <v>21</v>
      </c>
      <c r="E160" s="2" t="n">
        <v>0</v>
      </c>
      <c r="F160" s="2" t="s">
        <v>115</v>
      </c>
    </row>
    <row r="161" customFormat="false" ht="15" hidden="false" customHeight="false" outlineLevel="0" collapsed="false">
      <c r="A161" s="2" t="s">
        <v>167</v>
      </c>
      <c r="B161" s="2" t="n">
        <v>12</v>
      </c>
      <c r="C161" s="2" t="n">
        <v>3</v>
      </c>
      <c r="D161" s="2" t="n">
        <v>21</v>
      </c>
      <c r="E161" s="2" t="n">
        <v>1</v>
      </c>
      <c r="F161" s="2" t="s">
        <v>115</v>
      </c>
    </row>
    <row r="162" customFormat="false" ht="15" hidden="false" customHeight="false" outlineLevel="0" collapsed="false">
      <c r="A162" s="2" t="s">
        <v>168</v>
      </c>
      <c r="B162" s="2" t="n">
        <v>22</v>
      </c>
      <c r="C162" s="2" t="n">
        <v>3</v>
      </c>
      <c r="D162" s="2" t="n">
        <v>3</v>
      </c>
      <c r="E162" s="2" t="n">
        <v>1</v>
      </c>
      <c r="F162" s="2" t="s">
        <v>20</v>
      </c>
    </row>
    <row r="163" customFormat="false" ht="15" hidden="false" customHeight="false" outlineLevel="0" collapsed="false">
      <c r="A163" s="2" t="s">
        <v>169</v>
      </c>
      <c r="B163" s="2" t="n">
        <v>34</v>
      </c>
      <c r="C163" s="2" t="n">
        <v>4</v>
      </c>
      <c r="D163" s="2" t="n">
        <v>3</v>
      </c>
      <c r="E163" s="2" t="n">
        <v>1</v>
      </c>
      <c r="F163" s="2" t="s">
        <v>20</v>
      </c>
    </row>
    <row r="164" customFormat="false" ht="15" hidden="false" customHeight="false" outlineLevel="0" collapsed="false">
      <c r="A164" s="2" t="s">
        <v>170</v>
      </c>
      <c r="B164" s="2" t="n">
        <v>10</v>
      </c>
      <c r="C164" s="2" t="n">
        <v>6</v>
      </c>
      <c r="D164" s="2" t="n">
        <v>3</v>
      </c>
      <c r="E164" s="2" t="n">
        <v>0</v>
      </c>
      <c r="F164" s="2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20.43"/>
  </cols>
  <sheetData>
    <row r="1" customFormat="false" ht="15" hidden="false" customHeight="false" outlineLevel="0" collapsed="false">
      <c r="A1" s="0" t="s">
        <v>171</v>
      </c>
    </row>
    <row r="3" customFormat="false" ht="15" hidden="false" customHeight="false" outlineLevel="0" collapsed="false">
      <c r="A3" s="3" t="s">
        <v>1</v>
      </c>
      <c r="B3" s="3" t="n">
        <f aca="true">RAND()</f>
        <v>0.57234716055506</v>
      </c>
    </row>
    <row r="4" customFormat="false" ht="15" hidden="false" customHeight="false" outlineLevel="0" collapsed="false">
      <c r="A4" s="3" t="s">
        <v>2</v>
      </c>
      <c r="B4" s="3" t="n">
        <f aca="true">RAND()</f>
        <v>0.886117387870916</v>
      </c>
    </row>
    <row r="5" customFormat="false" ht="15" hidden="false" customHeight="false" outlineLevel="0" collapsed="false">
      <c r="A5" s="3" t="s">
        <v>4</v>
      </c>
      <c r="B5" s="3" t="n">
        <f aca="true">RAND()</f>
        <v>0.55737233297333</v>
      </c>
    </row>
    <row r="6" customFormat="false" ht="15" hidden="false" customHeight="false" outlineLevel="0" collapsed="false">
      <c r="A6" s="3" t="s">
        <v>172</v>
      </c>
      <c r="B6" s="3" t="n">
        <f aca="true">RAND()</f>
        <v>0.631699253112371</v>
      </c>
      <c r="D6" s="0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2"/>
  <sheetViews>
    <sheetView showFormulas="false" showGridLines="true" showRowColHeaders="true" showZeros="true" rightToLeft="false" tabSelected="false" showOutlineSymbols="true" defaultGridColor="true" view="normal" topLeftCell="N62" colorId="64" zoomScale="93" zoomScaleNormal="93" zoomScalePageLayoutView="100" workbookViewId="0">
      <selection pane="topLeft" activeCell="T76" activeCellId="0" sqref="T76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0" width="8.72"/>
    <col collapsed="false" customWidth="true" hidden="false" outlineLevel="0" max="3" min="3" style="0" width="15.86"/>
    <col collapsed="false" customWidth="true" hidden="false" outlineLevel="0" max="4" min="4" style="0" width="22"/>
    <col collapsed="false" customWidth="true" hidden="false" outlineLevel="0" max="5" min="5" style="0" width="13.29"/>
    <col collapsed="false" customWidth="true" hidden="false" outlineLevel="0" max="6" min="6" style="0" width="13.86"/>
    <col collapsed="false" customWidth="true" hidden="false" outlineLevel="0" max="7" min="7" style="0" width="12.43"/>
    <col collapsed="false" customWidth="true" hidden="false" outlineLevel="0" max="11" min="10" style="0" width="22.43"/>
    <col collapsed="false" customWidth="true" hidden="false" outlineLevel="0" max="12" min="12" style="0" width="16.14"/>
    <col collapsed="false" customWidth="true" hidden="false" outlineLevel="0" max="13" min="13" style="0" width="19.28"/>
    <col collapsed="false" customWidth="true" hidden="false" outlineLevel="0" max="15" min="15" style="0" width="26.43"/>
    <col collapsed="false" customWidth="true" hidden="false" outlineLevel="0" max="16" min="16" style="0" width="12.72"/>
    <col collapsed="false" customWidth="true" hidden="false" outlineLevel="0" max="17" min="17" style="0" width="17.71"/>
    <col collapsed="false" customWidth="true" hidden="false" outlineLevel="0" max="20" min="20" style="0" width="24.86"/>
    <col collapsed="false" customWidth="true" hidden="false" outlineLevel="0" max="21" min="21" style="0" width="12.72"/>
    <col collapsed="false" customWidth="true" hidden="false" outlineLevel="0" max="22" min="22" style="0" width="12"/>
  </cols>
  <sheetData>
    <row r="1" customFormat="false" ht="15" hidden="false" customHeight="false" outlineLevel="0" collapsed="false">
      <c r="A1" s="4" t="s">
        <v>173</v>
      </c>
      <c r="B1" s="4" t="s">
        <v>1</v>
      </c>
      <c r="C1" s="4" t="s">
        <v>2</v>
      </c>
      <c r="D1" s="4" t="s">
        <v>172</v>
      </c>
      <c r="E1" s="4" t="s">
        <v>4</v>
      </c>
      <c r="F1" s="4" t="s">
        <v>5</v>
      </c>
      <c r="H1" s="4" t="s">
        <v>173</v>
      </c>
      <c r="I1" s="4" t="s">
        <v>1</v>
      </c>
      <c r="J1" s="4" t="s">
        <v>2</v>
      </c>
      <c r="K1" s="4" t="s">
        <v>172</v>
      </c>
      <c r="L1" s="4" t="s">
        <v>4</v>
      </c>
      <c r="M1" s="4" t="s">
        <v>5</v>
      </c>
      <c r="O1" s="4" t="s">
        <v>174</v>
      </c>
      <c r="P1" s="3"/>
      <c r="Q1" s="3"/>
    </row>
    <row r="2" customFormat="false" ht="15" hidden="false" customHeight="false" outlineLevel="0" collapsed="false">
      <c r="A2" s="5" t="n">
        <f aca="false">RANDBETWEEN(2,164)</f>
        <v>112</v>
      </c>
      <c r="B2" s="5" t="n">
        <f aca="false" t="array" ref="B2:B2">INDEX(Data_DBD!$B:$B,$A2)</f>
        <v>61</v>
      </c>
      <c r="C2" s="5" t="n">
        <f aca="false" t="array" ref="C2:C2">INDEX(Data_DBD!$C:$C,$A2)</f>
        <v>3</v>
      </c>
      <c r="D2" s="5" t="n">
        <f aca="false" t="array" ref="D2:D2">INDEX(Data_DBD!$D:$D,$A2)</f>
        <v>33</v>
      </c>
      <c r="E2" s="5" t="n">
        <f aca="false" t="array" ref="E2:E2">INDEX(Data_DBD!$E:$E,$A2)</f>
        <v>1</v>
      </c>
      <c r="F2" s="5" t="str">
        <f aca="false" t="array" ref="F2:F2">INDEX(Data_DBD!$F:$F,$A2)</f>
        <v>Tinggi</v>
      </c>
      <c r="H2" s="5" t="n">
        <v>42</v>
      </c>
      <c r="I2" s="5" t="n">
        <v>21</v>
      </c>
      <c r="J2" s="5" t="n">
        <v>5</v>
      </c>
      <c r="K2" s="5" t="n">
        <v>13</v>
      </c>
      <c r="L2" s="5" t="n">
        <v>1</v>
      </c>
      <c r="M2" s="5" t="s">
        <v>7</v>
      </c>
      <c r="O2" s="3" t="s">
        <v>115</v>
      </c>
      <c r="P2" s="3" t="n">
        <f aca="false">COUNTIF(M2:M164,"Tinggi")</f>
        <v>53</v>
      </c>
      <c r="Q2" s="3" t="n">
        <f aca="false">P2/163</f>
        <v>0.325153374233129</v>
      </c>
    </row>
    <row r="3" customFormat="false" ht="15" hidden="false" customHeight="false" outlineLevel="0" collapsed="false">
      <c r="A3" s="5" t="n">
        <f aca="false">RANDBETWEEN(2,164)</f>
        <v>153</v>
      </c>
      <c r="B3" s="5" t="n">
        <f aca="false" t="array" ref="B3:B3">INDEX(Data_DBD!$B:$B,$A3)</f>
        <v>73</v>
      </c>
      <c r="C3" s="5" t="n">
        <f aca="false" t="array" ref="C3:C3">INDEX(Data_DBD!$C:$C,$A3)</f>
        <v>7</v>
      </c>
      <c r="D3" s="5" t="n">
        <f aca="false" t="array" ref="D3:D3">INDEX(Data_DBD!$D:$D,$A3)</f>
        <v>21</v>
      </c>
      <c r="E3" s="5" t="n">
        <f aca="false" t="array" ref="E3:E3">INDEX(Data_DBD!$E:$E,$A3)</f>
        <v>1</v>
      </c>
      <c r="F3" s="5" t="str">
        <f aca="false" t="array" ref="F3:F3">INDEX(Data_DBD!$F:$F,$A3)</f>
        <v>Tinggi</v>
      </c>
      <c r="H3" s="5" t="n">
        <v>47</v>
      </c>
      <c r="I3" s="5" t="n">
        <v>19</v>
      </c>
      <c r="J3" s="5" t="n">
        <v>2</v>
      </c>
      <c r="K3" s="5" t="n">
        <v>13</v>
      </c>
      <c r="L3" s="5" t="n">
        <v>0</v>
      </c>
      <c r="M3" s="5" t="s">
        <v>7</v>
      </c>
      <c r="O3" s="3" t="s">
        <v>7</v>
      </c>
      <c r="P3" s="3" t="n">
        <f aca="false">COUNTIF(M2:M164,"Sedang")</f>
        <v>93</v>
      </c>
      <c r="Q3" s="3" t="n">
        <f aca="false">P3/163</f>
        <v>0.570552147239264</v>
      </c>
    </row>
    <row r="4" customFormat="false" ht="15" hidden="false" customHeight="false" outlineLevel="0" collapsed="false">
      <c r="A4" s="5" t="n">
        <f aca="false">RANDBETWEEN(2,164)</f>
        <v>79</v>
      </c>
      <c r="B4" s="5" t="n">
        <f aca="false" t="array" ref="B4:B4">INDEX(Data_DBD!$B:$B,$A4)</f>
        <v>29</v>
      </c>
      <c r="C4" s="5" t="n">
        <f aca="false" t="array" ref="C4:C4">INDEX(Data_DBD!$C:$C,$A4)</f>
        <v>3</v>
      </c>
      <c r="D4" s="5" t="n">
        <f aca="false" t="array" ref="D4:D4">INDEX(Data_DBD!$D:$D,$A4)</f>
        <v>13</v>
      </c>
      <c r="E4" s="5" t="n">
        <f aca="false" t="array" ref="E4:E4">INDEX(Data_DBD!$E:$E,$A4)</f>
        <v>0</v>
      </c>
      <c r="F4" s="5" t="str">
        <f aca="false" t="array" ref="F4:F4">INDEX(Data_DBD!$F:$F,$A4)</f>
        <v>Sedang</v>
      </c>
      <c r="H4" s="5" t="n">
        <v>123</v>
      </c>
      <c r="I4" s="5" t="n">
        <v>22</v>
      </c>
      <c r="J4" s="5" t="n">
        <v>4</v>
      </c>
      <c r="K4" s="5" t="n">
        <v>33</v>
      </c>
      <c r="L4" s="5" t="n">
        <v>0</v>
      </c>
      <c r="M4" s="5" t="s">
        <v>115</v>
      </c>
      <c r="O4" s="3" t="s">
        <v>20</v>
      </c>
      <c r="P4" s="3" t="n">
        <f aca="false">COUNTIF(M2:M164,"Rendah")</f>
        <v>17</v>
      </c>
      <c r="Q4" s="3" t="n">
        <f aca="false">P4/163</f>
        <v>0.104294478527607</v>
      </c>
    </row>
    <row r="5" customFormat="false" ht="15" hidden="false" customHeight="false" outlineLevel="0" collapsed="false">
      <c r="A5" s="5" t="n">
        <f aca="false">RANDBETWEEN(2,164)</f>
        <v>147</v>
      </c>
      <c r="B5" s="5" t="n">
        <f aca="false" t="array" ref="B5:B5">INDEX(Data_DBD!$B:$B,$A5)</f>
        <v>66</v>
      </c>
      <c r="C5" s="5" t="n">
        <f aca="false" t="array" ref="C5:C5">INDEX(Data_DBD!$C:$C,$A5)</f>
        <v>10</v>
      </c>
      <c r="D5" s="5" t="n">
        <f aca="false" t="array" ref="D5:D5">INDEX(Data_DBD!$D:$D,$A5)</f>
        <v>21</v>
      </c>
      <c r="E5" s="5" t="n">
        <f aca="false" t="array" ref="E5:E5">INDEX(Data_DBD!$E:$E,$A5)</f>
        <v>1</v>
      </c>
      <c r="F5" s="5" t="str">
        <f aca="false" t="array" ref="F5:F5">INDEX(Data_DBD!$F:$F,$A5)</f>
        <v>Tinggi</v>
      </c>
      <c r="H5" s="5" t="n">
        <v>52</v>
      </c>
      <c r="I5" s="5" t="n">
        <v>59</v>
      </c>
      <c r="J5" s="5" t="n">
        <v>4</v>
      </c>
      <c r="K5" s="5" t="n">
        <v>15</v>
      </c>
      <c r="L5" s="5" t="n">
        <v>1</v>
      </c>
      <c r="M5" s="5" t="s">
        <v>7</v>
      </c>
      <c r="O5" s="6" t="s">
        <v>175</v>
      </c>
      <c r="P5" s="0" t="n">
        <f aca="false">-(IFERROR(Q2*LOG(Q2,2),0)+IFERROR(Q3*LOG(Q3,2),0)+IFERROR(Q4*LOG(Q4,2),0))</f>
        <v>1.32904458474548</v>
      </c>
    </row>
    <row r="6" customFormat="false" ht="15" hidden="false" customHeight="false" outlineLevel="0" collapsed="false">
      <c r="A6" s="5" t="n">
        <f aca="false">RANDBETWEEN(2,164)</f>
        <v>90</v>
      </c>
      <c r="B6" s="5" t="n">
        <f aca="false" t="array" ref="B6:B6">INDEX(Data_DBD!$B:$B,$A6)</f>
        <v>47</v>
      </c>
      <c r="C6" s="5" t="n">
        <f aca="false" t="array" ref="C6:C6">INDEX(Data_DBD!$C:$C,$A6)</f>
        <v>3</v>
      </c>
      <c r="D6" s="5" t="n">
        <f aca="false" t="array" ref="D6:D6">INDEX(Data_DBD!$D:$D,$A6)</f>
        <v>18</v>
      </c>
      <c r="E6" s="5" t="n">
        <f aca="false" t="array" ref="E6:E6">INDEX(Data_DBD!$E:$E,$A6)</f>
        <v>0</v>
      </c>
      <c r="F6" s="5" t="str">
        <f aca="false" t="array" ref="F6:F6">INDEX(Data_DBD!$F:$F,$A6)</f>
        <v>Sedang</v>
      </c>
      <c r="H6" s="5" t="n">
        <v>111</v>
      </c>
      <c r="I6" s="5" t="n">
        <v>25</v>
      </c>
      <c r="J6" s="5" t="n">
        <v>4</v>
      </c>
      <c r="K6" s="5" t="n">
        <v>33</v>
      </c>
      <c r="L6" s="5" t="n">
        <v>0</v>
      </c>
      <c r="M6" s="5" t="s">
        <v>115</v>
      </c>
    </row>
    <row r="7" customFormat="false" ht="15" hidden="false" customHeight="false" outlineLevel="0" collapsed="false">
      <c r="A7" s="5" t="n">
        <f aca="false">RANDBETWEEN(2,164)</f>
        <v>59</v>
      </c>
      <c r="B7" s="5" t="n">
        <f aca="false" t="array" ref="B7:B7">INDEX(Data_DBD!$B:$B,$A7)</f>
        <v>28</v>
      </c>
      <c r="C7" s="5" t="n">
        <f aca="false" t="array" ref="C7:C7">INDEX(Data_DBD!$C:$C,$A7)</f>
        <v>4</v>
      </c>
      <c r="D7" s="5" t="n">
        <f aca="false" t="array" ref="D7:D7">INDEX(Data_DBD!$D:$D,$A7)</f>
        <v>15</v>
      </c>
      <c r="E7" s="5" t="n">
        <f aca="false" t="array" ref="E7:E7">INDEX(Data_DBD!$E:$E,$A7)</f>
        <v>0</v>
      </c>
      <c r="F7" s="5" t="str">
        <f aca="false" t="array" ref="F7:F7">INDEX(Data_DBD!$F:$F,$A7)</f>
        <v>Sedang</v>
      </c>
      <c r="H7" s="5" t="n">
        <v>156</v>
      </c>
      <c r="I7" s="5" t="n">
        <v>5</v>
      </c>
      <c r="J7" s="5" t="n">
        <v>2</v>
      </c>
      <c r="K7" s="5" t="n">
        <v>21</v>
      </c>
      <c r="L7" s="5" t="n">
        <v>0</v>
      </c>
      <c r="M7" s="5" t="s">
        <v>115</v>
      </c>
    </row>
    <row r="8" customFormat="false" ht="15" hidden="false" customHeight="false" outlineLevel="0" collapsed="false">
      <c r="A8" s="5" t="n">
        <f aca="false">RANDBETWEEN(2,164)</f>
        <v>86</v>
      </c>
      <c r="B8" s="5" t="n">
        <f aca="false" t="array" ref="B8:B8">INDEX(Data_DBD!$B:$B,$A8)</f>
        <v>23</v>
      </c>
      <c r="C8" s="5" t="n">
        <f aca="false" t="array" ref="C8:C8">INDEX(Data_DBD!$C:$C,$A8)</f>
        <v>3</v>
      </c>
      <c r="D8" s="5" t="n">
        <f aca="false" t="array" ref="D8:D8">INDEX(Data_DBD!$D:$D,$A8)</f>
        <v>13</v>
      </c>
      <c r="E8" s="5" t="n">
        <f aca="false" t="array" ref="E8:E8">INDEX(Data_DBD!$E:$E,$A8)</f>
        <v>0</v>
      </c>
      <c r="F8" s="5" t="str">
        <f aca="false" t="array" ref="F8:F8">INDEX(Data_DBD!$F:$F,$A8)</f>
        <v>Sedang</v>
      </c>
      <c r="H8" s="5" t="n">
        <v>64</v>
      </c>
      <c r="I8" s="5" t="n">
        <v>35</v>
      </c>
      <c r="J8" s="5" t="n">
        <v>1</v>
      </c>
      <c r="K8" s="5" t="n">
        <v>15</v>
      </c>
      <c r="L8" s="5" t="n">
        <v>0</v>
      </c>
      <c r="M8" s="5" t="s">
        <v>7</v>
      </c>
    </row>
    <row r="9" customFormat="false" ht="15" hidden="false" customHeight="false" outlineLevel="0" collapsed="false">
      <c r="A9" s="5" t="n">
        <f aca="false">RANDBETWEEN(2,164)</f>
        <v>22</v>
      </c>
      <c r="B9" s="5" t="n">
        <f aca="false" t="array" ref="B9:B9">INDEX(Data_DBD!$B:$B,$A9)</f>
        <v>6</v>
      </c>
      <c r="C9" s="5" t="n">
        <f aca="false" t="array" ref="C9:C9">INDEX(Data_DBD!$C:$C,$A9)</f>
        <v>3</v>
      </c>
      <c r="D9" s="5" t="n">
        <f aca="false" t="array" ref="D9:D9">INDEX(Data_DBD!$D:$D,$A9)</f>
        <v>14</v>
      </c>
      <c r="E9" s="5" t="n">
        <f aca="false" t="array" ref="E9:E9">INDEX(Data_DBD!$E:$E,$A9)</f>
        <v>0</v>
      </c>
      <c r="F9" s="5" t="str">
        <f aca="false" t="array" ref="F9:F9">INDEX(Data_DBD!$F:$F,$A9)</f>
        <v>Sedang</v>
      </c>
      <c r="H9" s="5" t="n">
        <v>160</v>
      </c>
      <c r="I9" s="5" t="n">
        <v>16</v>
      </c>
      <c r="J9" s="5" t="n">
        <v>3</v>
      </c>
      <c r="K9" s="5" t="n">
        <v>21</v>
      </c>
      <c r="L9" s="5" t="n">
        <v>0</v>
      </c>
      <c r="M9" s="5" t="s">
        <v>115</v>
      </c>
    </row>
    <row r="10" customFormat="false" ht="15" hidden="false" customHeight="false" outlineLevel="0" collapsed="false">
      <c r="A10" s="5" t="n">
        <f aca="false">RANDBETWEEN(2,164)</f>
        <v>75</v>
      </c>
      <c r="B10" s="5" t="n">
        <f aca="false" t="array" ref="B10:B10">INDEX(Data_DBD!$B:$B,$A10)</f>
        <v>2</v>
      </c>
      <c r="C10" s="5" t="n">
        <f aca="false" t="array" ref="C10:C10">INDEX(Data_DBD!$C:$C,$A10)</f>
        <v>2</v>
      </c>
      <c r="D10" s="5" t="n">
        <f aca="false" t="array" ref="D10:D10">INDEX(Data_DBD!$D:$D,$A10)</f>
        <v>10</v>
      </c>
      <c r="E10" s="5" t="n">
        <f aca="false" t="array" ref="E10:E10">INDEX(Data_DBD!$E:$E,$A10)</f>
        <v>1</v>
      </c>
      <c r="F10" s="5" t="str">
        <f aca="false" t="array" ref="F10:F10">INDEX(Data_DBD!$F:$F,$A10)</f>
        <v>Rendah</v>
      </c>
      <c r="H10" s="5" t="n">
        <v>82</v>
      </c>
      <c r="I10" s="5" t="n">
        <v>28</v>
      </c>
      <c r="J10" s="5" t="n">
        <v>3</v>
      </c>
      <c r="K10" s="5" t="n">
        <v>13</v>
      </c>
      <c r="L10" s="5" t="n">
        <v>1</v>
      </c>
      <c r="M10" s="5" t="s">
        <v>7</v>
      </c>
    </row>
    <row r="11" customFormat="false" ht="15" hidden="false" customHeight="false" outlineLevel="0" collapsed="false">
      <c r="A11" s="5" t="n">
        <f aca="false">RANDBETWEEN(2,164)</f>
        <v>74</v>
      </c>
      <c r="B11" s="5" t="n">
        <f aca="false" t="array" ref="B11:B11">INDEX(Data_DBD!$B:$B,$A11)</f>
        <v>9</v>
      </c>
      <c r="C11" s="5" t="n">
        <f aca="false" t="array" ref="C11:C11">INDEX(Data_DBD!$C:$C,$A11)</f>
        <v>4</v>
      </c>
      <c r="D11" s="5" t="n">
        <f aca="false" t="array" ref="D11:D11">INDEX(Data_DBD!$D:$D,$A11)</f>
        <v>10</v>
      </c>
      <c r="E11" s="5" t="n">
        <f aca="false" t="array" ref="E11:E11">INDEX(Data_DBD!$E:$E,$A11)</f>
        <v>0</v>
      </c>
      <c r="F11" s="5" t="str">
        <f aca="false" t="array" ref="F11:F11">INDEX(Data_DBD!$F:$F,$A11)</f>
        <v>Rendah</v>
      </c>
      <c r="H11" s="5" t="n">
        <v>6</v>
      </c>
      <c r="I11" s="5" t="n">
        <v>14</v>
      </c>
      <c r="J11" s="5" t="n">
        <v>4</v>
      </c>
      <c r="K11" s="5" t="n">
        <v>12</v>
      </c>
      <c r="L11" s="5" t="n">
        <v>0</v>
      </c>
      <c r="M11" s="5" t="s">
        <v>7</v>
      </c>
    </row>
    <row r="12" customFormat="false" ht="15" hidden="false" customHeight="false" outlineLevel="0" collapsed="false">
      <c r="A12" s="5" t="n">
        <f aca="false">RANDBETWEEN(2,164)</f>
        <v>152</v>
      </c>
      <c r="B12" s="5" t="n">
        <f aca="false" t="array" ref="B12:B12">INDEX(Data_DBD!$B:$B,$A12)</f>
        <v>47</v>
      </c>
      <c r="C12" s="5" t="n">
        <f aca="false" t="array" ref="C12:C12">INDEX(Data_DBD!$C:$C,$A12)</f>
        <v>3</v>
      </c>
      <c r="D12" s="5" t="n">
        <f aca="false" t="array" ref="D12:D12">INDEX(Data_DBD!$D:$D,$A12)</f>
        <v>21</v>
      </c>
      <c r="E12" s="5" t="n">
        <f aca="false" t="array" ref="E12:E12">INDEX(Data_DBD!$E:$E,$A12)</f>
        <v>1</v>
      </c>
      <c r="F12" s="5" t="str">
        <f aca="false" t="array" ref="F12:F12">INDEX(Data_DBD!$F:$F,$A12)</f>
        <v>Tinggi</v>
      </c>
      <c r="H12" s="5" t="n">
        <v>121</v>
      </c>
      <c r="I12" s="5" t="n">
        <v>82</v>
      </c>
      <c r="J12" s="5" t="n">
        <v>5</v>
      </c>
      <c r="K12" s="5" t="n">
        <v>33</v>
      </c>
      <c r="L12" s="5" t="n">
        <v>1</v>
      </c>
      <c r="M12" s="5" t="s">
        <v>115</v>
      </c>
    </row>
    <row r="13" customFormat="false" ht="15" hidden="false" customHeight="false" outlineLevel="0" collapsed="false">
      <c r="A13" s="5" t="n">
        <f aca="false">RANDBETWEEN(2,164)</f>
        <v>121</v>
      </c>
      <c r="B13" s="5" t="n">
        <f aca="false" t="array" ref="B13:B13">INDEX(Data_DBD!$B:$B,$A13)</f>
        <v>82</v>
      </c>
      <c r="C13" s="5" t="n">
        <f aca="false" t="array" ref="C13:C13">INDEX(Data_DBD!$C:$C,$A13)</f>
        <v>5</v>
      </c>
      <c r="D13" s="5" t="n">
        <f aca="false" t="array" ref="D13:D13">INDEX(Data_DBD!$D:$D,$A13)</f>
        <v>33</v>
      </c>
      <c r="E13" s="5" t="n">
        <f aca="false" t="array" ref="E13:E13">INDEX(Data_DBD!$E:$E,$A13)</f>
        <v>1</v>
      </c>
      <c r="F13" s="5" t="str">
        <f aca="false" t="array" ref="F13:F13">INDEX(Data_DBD!$F:$F,$A13)</f>
        <v>Tinggi</v>
      </c>
      <c r="H13" s="5" t="n">
        <v>138</v>
      </c>
      <c r="I13" s="5" t="n">
        <v>13</v>
      </c>
      <c r="J13" s="5" t="n">
        <v>3</v>
      </c>
      <c r="K13" s="5" t="n">
        <v>33</v>
      </c>
      <c r="L13" s="5" t="n">
        <v>1</v>
      </c>
      <c r="M13" s="5" t="s">
        <v>115</v>
      </c>
    </row>
    <row r="14" customFormat="false" ht="15" hidden="false" customHeight="false" outlineLevel="0" collapsed="false">
      <c r="A14" s="5" t="n">
        <f aca="false">RANDBETWEEN(2,164)</f>
        <v>106</v>
      </c>
      <c r="B14" s="5" t="n">
        <f aca="false" t="array" ref="B14:B14">INDEX(Data_DBD!$B:$B,$A14)</f>
        <v>23</v>
      </c>
      <c r="C14" s="5" t="n">
        <f aca="false" t="array" ref="C14:C14">INDEX(Data_DBD!$C:$C,$A14)</f>
        <v>3</v>
      </c>
      <c r="D14" s="5" t="n">
        <f aca="false" t="array" ref="D14:D14">INDEX(Data_DBD!$D:$D,$A14)</f>
        <v>18</v>
      </c>
      <c r="E14" s="5" t="n">
        <f aca="false" t="array" ref="E14:E14">INDEX(Data_DBD!$E:$E,$A14)</f>
        <v>1</v>
      </c>
      <c r="F14" s="5" t="str">
        <f aca="false" t="array" ref="F14:F14">INDEX(Data_DBD!$F:$F,$A14)</f>
        <v>Sedang</v>
      </c>
      <c r="H14" s="5" t="n">
        <v>122</v>
      </c>
      <c r="I14" s="5" t="n">
        <v>28</v>
      </c>
      <c r="J14" s="5" t="n">
        <v>3</v>
      </c>
      <c r="K14" s="5" t="n">
        <v>33</v>
      </c>
      <c r="L14" s="5" t="n">
        <v>1</v>
      </c>
      <c r="M14" s="5" t="s">
        <v>115</v>
      </c>
    </row>
    <row r="15" customFormat="false" ht="15" hidden="false" customHeight="false" outlineLevel="0" collapsed="false">
      <c r="A15" s="5" t="n">
        <f aca="false">RANDBETWEEN(2,164)</f>
        <v>93</v>
      </c>
      <c r="B15" s="5" t="n">
        <f aca="false" t="array" ref="B15:B15">INDEX(Data_DBD!$B:$B,$A15)</f>
        <v>65</v>
      </c>
      <c r="C15" s="5" t="n">
        <f aca="false" t="array" ref="C15:C15">INDEX(Data_DBD!$C:$C,$A15)</f>
        <v>4</v>
      </c>
      <c r="D15" s="5" t="n">
        <f aca="false" t="array" ref="D15:D15">INDEX(Data_DBD!$D:$D,$A15)</f>
        <v>18</v>
      </c>
      <c r="E15" s="5" t="n">
        <f aca="false" t="array" ref="E15:E15">INDEX(Data_DBD!$E:$E,$A15)</f>
        <v>0</v>
      </c>
      <c r="F15" s="5" t="str">
        <f aca="false" t="array" ref="F15:F15">INDEX(Data_DBD!$F:$F,$A15)</f>
        <v>Sedang</v>
      </c>
      <c r="H15" s="5" t="n">
        <v>10</v>
      </c>
      <c r="I15" s="5" t="n">
        <v>18</v>
      </c>
      <c r="J15" s="5" t="n">
        <v>5</v>
      </c>
      <c r="K15" s="5" t="n">
        <v>12</v>
      </c>
      <c r="L15" s="5" t="n">
        <v>0</v>
      </c>
      <c r="M15" s="5" t="s">
        <v>7</v>
      </c>
    </row>
    <row r="16" customFormat="false" ht="15" hidden="false" customHeight="false" outlineLevel="0" collapsed="false">
      <c r="A16" s="5" t="n">
        <f aca="false">RANDBETWEEN(2,164)</f>
        <v>24</v>
      </c>
      <c r="B16" s="5" t="n">
        <f aca="false" t="array" ref="B16:B16">INDEX(Data_DBD!$B:$B,$A16)</f>
        <v>60</v>
      </c>
      <c r="C16" s="5" t="n">
        <f aca="false" t="array" ref="C16:C16">INDEX(Data_DBD!$C:$C,$A16)</f>
        <v>4</v>
      </c>
      <c r="D16" s="5" t="n">
        <f aca="false" t="array" ref="D16:D16">INDEX(Data_DBD!$D:$D,$A16)</f>
        <v>14</v>
      </c>
      <c r="E16" s="5" t="n">
        <f aca="false" t="array" ref="E16:E16">INDEX(Data_DBD!$E:$E,$A16)</f>
        <v>0</v>
      </c>
      <c r="F16" s="5" t="str">
        <f aca="false" t="array" ref="F16:F16">INDEX(Data_DBD!$F:$F,$A16)</f>
        <v>Sedang</v>
      </c>
      <c r="H16" s="5" t="n">
        <v>71</v>
      </c>
      <c r="I16" s="5" t="n">
        <v>84</v>
      </c>
      <c r="J16" s="5" t="n">
        <v>3</v>
      </c>
      <c r="K16" s="5" t="n">
        <v>10</v>
      </c>
      <c r="L16" s="5" t="n">
        <v>0</v>
      </c>
      <c r="M16" s="5" t="s">
        <v>20</v>
      </c>
    </row>
    <row r="17" customFormat="false" ht="15" hidden="false" customHeight="false" outlineLevel="0" collapsed="false">
      <c r="A17" s="5" t="n">
        <f aca="false">RANDBETWEEN(2,164)</f>
        <v>83</v>
      </c>
      <c r="B17" s="5" t="n">
        <f aca="false" t="array" ref="B17:B17">INDEX(Data_DBD!$B:$B,$A17)</f>
        <v>50</v>
      </c>
      <c r="C17" s="5" t="n">
        <f aca="false" t="array" ref="C17:C17">INDEX(Data_DBD!$C:$C,$A17)</f>
        <v>3</v>
      </c>
      <c r="D17" s="5" t="n">
        <f aca="false" t="array" ref="D17:D17">INDEX(Data_DBD!$D:$D,$A17)</f>
        <v>13</v>
      </c>
      <c r="E17" s="5" t="n">
        <f aca="false" t="array" ref="E17:E17">INDEX(Data_DBD!$E:$E,$A17)</f>
        <v>0</v>
      </c>
      <c r="F17" s="5" t="str">
        <f aca="false" t="array" ref="F17:F17">INDEX(Data_DBD!$F:$F,$A17)</f>
        <v>Sedang</v>
      </c>
      <c r="H17" s="5" t="n">
        <v>128</v>
      </c>
      <c r="I17" s="5" t="n">
        <v>38</v>
      </c>
      <c r="J17" s="5" t="n">
        <v>2</v>
      </c>
      <c r="K17" s="5" t="n">
        <v>33</v>
      </c>
      <c r="L17" s="5" t="n">
        <v>0</v>
      </c>
      <c r="M17" s="5" t="s">
        <v>115</v>
      </c>
    </row>
    <row r="18" customFormat="false" ht="15" hidden="false" customHeight="false" outlineLevel="0" collapsed="false">
      <c r="A18" s="5" t="n">
        <f aca="false">RANDBETWEEN(2,164)</f>
        <v>20</v>
      </c>
      <c r="B18" s="5" t="n">
        <f aca="false" t="array" ref="B18:B18">INDEX(Data_DBD!$B:$B,$A18)</f>
        <v>15</v>
      </c>
      <c r="C18" s="5" t="n">
        <f aca="false" t="array" ref="C18:C18">INDEX(Data_DBD!$C:$C,$A18)</f>
        <v>5</v>
      </c>
      <c r="D18" s="5" t="n">
        <f aca="false" t="array" ref="D18:D18">INDEX(Data_DBD!$D:$D,$A18)</f>
        <v>7</v>
      </c>
      <c r="E18" s="5" t="n">
        <f aca="false" t="array" ref="E18:E18">INDEX(Data_DBD!$E:$E,$A18)</f>
        <v>0</v>
      </c>
      <c r="F18" s="5" t="str">
        <f aca="false" t="array" ref="F18:F18">INDEX(Data_DBD!$F:$F,$A18)</f>
        <v>Rendah</v>
      </c>
      <c r="H18" s="5" t="n">
        <v>147</v>
      </c>
      <c r="I18" s="5" t="n">
        <v>66</v>
      </c>
      <c r="J18" s="5" t="n">
        <v>10</v>
      </c>
      <c r="K18" s="5" t="n">
        <v>21</v>
      </c>
      <c r="L18" s="5" t="n">
        <v>1</v>
      </c>
      <c r="M18" s="5" t="s">
        <v>115</v>
      </c>
    </row>
    <row r="19" customFormat="false" ht="15" hidden="false" customHeight="false" outlineLevel="0" collapsed="false">
      <c r="A19" s="5" t="n">
        <f aca="false">RANDBETWEEN(2,164)</f>
        <v>105</v>
      </c>
      <c r="B19" s="5" t="n">
        <f aca="false" t="array" ref="B19:B19">INDEX(Data_DBD!$B:$B,$A19)</f>
        <v>61</v>
      </c>
      <c r="C19" s="5" t="n">
        <f aca="false" t="array" ref="C19:C19">INDEX(Data_DBD!$C:$C,$A19)</f>
        <v>3</v>
      </c>
      <c r="D19" s="5" t="n">
        <f aca="false" t="array" ref="D19:D19">INDEX(Data_DBD!$D:$D,$A19)</f>
        <v>18</v>
      </c>
      <c r="E19" s="5" t="n">
        <f aca="false" t="array" ref="E19:E19">INDEX(Data_DBD!$E:$E,$A19)</f>
        <v>1</v>
      </c>
      <c r="F19" s="5" t="str">
        <f aca="false" t="array" ref="F19:F19">INDEX(Data_DBD!$F:$F,$A19)</f>
        <v>Sedang</v>
      </c>
      <c r="H19" s="5" t="n">
        <v>15</v>
      </c>
      <c r="I19" s="5" t="n">
        <v>21</v>
      </c>
      <c r="J19" s="5" t="n">
        <v>2</v>
      </c>
      <c r="K19" s="5" t="n">
        <v>7</v>
      </c>
      <c r="L19" s="5" t="n">
        <v>0</v>
      </c>
      <c r="M19" s="5" t="s">
        <v>20</v>
      </c>
    </row>
    <row r="20" customFormat="false" ht="15" hidden="false" customHeight="false" outlineLevel="0" collapsed="false">
      <c r="A20" s="5" t="n">
        <f aca="false">RANDBETWEEN(2,164)</f>
        <v>56</v>
      </c>
      <c r="B20" s="5" t="n">
        <f aca="false" t="array" ref="B20:B20">INDEX(Data_DBD!$B:$B,$A20)</f>
        <v>4</v>
      </c>
      <c r="C20" s="5" t="n">
        <f aca="false" t="array" ref="C20:C20">INDEX(Data_DBD!$C:$C,$A20)</f>
        <v>3</v>
      </c>
      <c r="D20" s="5" t="n">
        <f aca="false" t="array" ref="D20:D20">INDEX(Data_DBD!$D:$D,$A20)</f>
        <v>15</v>
      </c>
      <c r="E20" s="5" t="n">
        <f aca="false" t="array" ref="E20:E20">INDEX(Data_DBD!$E:$E,$A20)</f>
        <v>0</v>
      </c>
      <c r="F20" s="5" t="str">
        <f aca="false" t="array" ref="F20:F20">INDEX(Data_DBD!$F:$F,$A20)</f>
        <v>Sedang</v>
      </c>
      <c r="H20" s="5" t="n">
        <v>151</v>
      </c>
      <c r="I20" s="5" t="n">
        <v>24</v>
      </c>
      <c r="J20" s="5" t="n">
        <v>3</v>
      </c>
      <c r="K20" s="5" t="n">
        <v>21</v>
      </c>
      <c r="L20" s="5" t="n">
        <v>0</v>
      </c>
      <c r="M20" s="5" t="s">
        <v>115</v>
      </c>
    </row>
    <row r="21" customFormat="false" ht="15" hidden="false" customHeight="false" outlineLevel="0" collapsed="false">
      <c r="A21" s="5" t="n">
        <f aca="false">RANDBETWEEN(2,164)</f>
        <v>124</v>
      </c>
      <c r="B21" s="5" t="n">
        <f aca="false" t="array" ref="B21:B21">INDEX(Data_DBD!$B:$B,$A21)</f>
        <v>24</v>
      </c>
      <c r="C21" s="5" t="n">
        <f aca="false" t="array" ref="C21:C21">INDEX(Data_DBD!$C:$C,$A21)</f>
        <v>3</v>
      </c>
      <c r="D21" s="5" t="n">
        <f aca="false" t="array" ref="D21:D21">INDEX(Data_DBD!$D:$D,$A21)</f>
        <v>33</v>
      </c>
      <c r="E21" s="5" t="n">
        <f aca="false" t="array" ref="E21:E21">INDEX(Data_DBD!$E:$E,$A21)</f>
        <v>1</v>
      </c>
      <c r="F21" s="5" t="str">
        <f aca="false" t="array" ref="F21:F21">INDEX(Data_DBD!$F:$F,$A21)</f>
        <v>Tinggi</v>
      </c>
      <c r="H21" s="5" t="n">
        <v>37</v>
      </c>
      <c r="I21" s="5" t="n">
        <v>28</v>
      </c>
      <c r="J21" s="5" t="n">
        <v>4</v>
      </c>
      <c r="K21" s="5" t="n">
        <v>4</v>
      </c>
      <c r="L21" s="5" t="n">
        <v>1</v>
      </c>
      <c r="M21" s="5" t="s">
        <v>20</v>
      </c>
    </row>
    <row r="22" customFormat="false" ht="15" hidden="false" customHeight="false" outlineLevel="0" collapsed="false">
      <c r="A22" s="5" t="n">
        <f aca="false">RANDBETWEEN(2,164)</f>
        <v>40</v>
      </c>
      <c r="B22" s="5" t="n">
        <f aca="false" t="array" ref="B22:B22">INDEX(Data_DBD!$B:$B,$A22)</f>
        <v>65</v>
      </c>
      <c r="C22" s="5" t="n">
        <f aca="false" t="array" ref="C22:C22">INDEX(Data_DBD!$C:$C,$A22)</f>
        <v>3</v>
      </c>
      <c r="D22" s="5" t="n">
        <f aca="false" t="array" ref="D22:D22">INDEX(Data_DBD!$D:$D,$A22)</f>
        <v>13</v>
      </c>
      <c r="E22" s="5" t="n">
        <f aca="false" t="array" ref="E22:E22">INDEX(Data_DBD!$E:$E,$A22)</f>
        <v>1</v>
      </c>
      <c r="F22" s="5" t="str">
        <f aca="false" t="array" ref="F22:F22">INDEX(Data_DBD!$F:$F,$A22)</f>
        <v>Sedang</v>
      </c>
      <c r="H22" s="5" t="n">
        <v>106</v>
      </c>
      <c r="I22" s="5" t="n">
        <v>23</v>
      </c>
      <c r="J22" s="5" t="n">
        <v>3</v>
      </c>
      <c r="K22" s="5" t="n">
        <v>18</v>
      </c>
      <c r="L22" s="5" t="n">
        <v>1</v>
      </c>
      <c r="M22" s="5" t="s">
        <v>7</v>
      </c>
    </row>
    <row r="23" customFormat="false" ht="15" hidden="false" customHeight="false" outlineLevel="0" collapsed="false">
      <c r="A23" s="5" t="n">
        <f aca="false">RANDBETWEEN(2,164)</f>
        <v>134</v>
      </c>
      <c r="B23" s="5" t="n">
        <f aca="false" t="array" ref="B23:B23">INDEX(Data_DBD!$B:$B,$A23)</f>
        <v>4</v>
      </c>
      <c r="C23" s="5" t="n">
        <f aca="false" t="array" ref="C23:C23">INDEX(Data_DBD!$C:$C,$A23)</f>
        <v>2</v>
      </c>
      <c r="D23" s="5" t="n">
        <f aca="false" t="array" ref="D23:D23">INDEX(Data_DBD!$D:$D,$A23)</f>
        <v>33</v>
      </c>
      <c r="E23" s="5" t="n">
        <f aca="false" t="array" ref="E23:E23">INDEX(Data_DBD!$E:$E,$A23)</f>
        <v>1</v>
      </c>
      <c r="F23" s="5" t="str">
        <f aca="false" t="array" ref="F23:F23">INDEX(Data_DBD!$F:$F,$A23)</f>
        <v>Tinggi</v>
      </c>
      <c r="H23" s="5" t="n">
        <v>60</v>
      </c>
      <c r="I23" s="5" t="n">
        <v>68</v>
      </c>
      <c r="J23" s="5" t="n">
        <v>4</v>
      </c>
      <c r="K23" s="5" t="n">
        <v>15</v>
      </c>
      <c r="L23" s="5" t="n">
        <v>0</v>
      </c>
      <c r="M23" s="5" t="s">
        <v>7</v>
      </c>
    </row>
    <row r="24" customFormat="false" ht="15" hidden="false" customHeight="false" outlineLevel="0" collapsed="false">
      <c r="A24" s="5" t="n">
        <f aca="false">RANDBETWEEN(2,164)</f>
        <v>124</v>
      </c>
      <c r="B24" s="5" t="n">
        <f aca="false" t="array" ref="B24:B24">INDEX(Data_DBD!$B:$B,$A24)</f>
        <v>24</v>
      </c>
      <c r="C24" s="5" t="n">
        <f aca="false" t="array" ref="C24:C24">INDEX(Data_DBD!$C:$C,$A24)</f>
        <v>3</v>
      </c>
      <c r="D24" s="5" t="n">
        <f aca="false" t="array" ref="D24:D24">INDEX(Data_DBD!$D:$D,$A24)</f>
        <v>33</v>
      </c>
      <c r="E24" s="5" t="n">
        <f aca="false" t="array" ref="E24:E24">INDEX(Data_DBD!$E:$E,$A24)</f>
        <v>1</v>
      </c>
      <c r="F24" s="5" t="str">
        <f aca="false" t="array" ref="F24:F24">INDEX(Data_DBD!$F:$F,$A24)</f>
        <v>Tinggi</v>
      </c>
      <c r="H24" s="5" t="n">
        <v>41</v>
      </c>
      <c r="I24" s="5" t="n">
        <v>8</v>
      </c>
      <c r="J24" s="5" t="n">
        <v>4</v>
      </c>
      <c r="K24" s="5" t="n">
        <v>13</v>
      </c>
      <c r="L24" s="5" t="n">
        <v>0</v>
      </c>
      <c r="M24" s="5" t="s">
        <v>7</v>
      </c>
    </row>
    <row r="25" customFormat="false" ht="15" hidden="false" customHeight="false" outlineLevel="0" collapsed="false">
      <c r="A25" s="5" t="n">
        <f aca="false">RANDBETWEEN(2,164)</f>
        <v>136</v>
      </c>
      <c r="B25" s="5" t="n">
        <f aca="false" t="array" ref="B25:B25">INDEX(Data_DBD!$B:$B,$A25)</f>
        <v>6</v>
      </c>
      <c r="C25" s="5" t="n">
        <f aca="false" t="array" ref="C25:C25">INDEX(Data_DBD!$C:$C,$A25)</f>
        <v>2</v>
      </c>
      <c r="D25" s="5" t="n">
        <f aca="false" t="array" ref="D25:D25">INDEX(Data_DBD!$D:$D,$A25)</f>
        <v>33</v>
      </c>
      <c r="E25" s="5" t="n">
        <f aca="false" t="array" ref="E25:E25">INDEX(Data_DBD!$E:$E,$A25)</f>
        <v>0</v>
      </c>
      <c r="F25" s="5" t="str">
        <f aca="false" t="array" ref="F25:F25">INDEX(Data_DBD!$F:$F,$A25)</f>
        <v>Tinggi</v>
      </c>
      <c r="H25" s="5" t="n">
        <v>127</v>
      </c>
      <c r="I25" s="5" t="n">
        <v>21</v>
      </c>
      <c r="J25" s="5" t="n">
        <v>2</v>
      </c>
      <c r="K25" s="5" t="n">
        <v>33</v>
      </c>
      <c r="L25" s="5" t="n">
        <v>0</v>
      </c>
      <c r="M25" s="5" t="s">
        <v>115</v>
      </c>
    </row>
    <row r="26" customFormat="false" ht="15" hidden="false" customHeight="false" outlineLevel="0" collapsed="false">
      <c r="A26" s="5" t="n">
        <f aca="false">RANDBETWEEN(2,164)</f>
        <v>122</v>
      </c>
      <c r="B26" s="5" t="n">
        <f aca="false" t="array" ref="B26:B26">INDEX(Data_DBD!$B:$B,$A26)</f>
        <v>28</v>
      </c>
      <c r="C26" s="5" t="n">
        <f aca="false" t="array" ref="C26:C26">INDEX(Data_DBD!$C:$C,$A26)</f>
        <v>3</v>
      </c>
      <c r="D26" s="5" t="n">
        <f aca="false" t="array" ref="D26:D26">INDEX(Data_DBD!$D:$D,$A26)</f>
        <v>33</v>
      </c>
      <c r="E26" s="5" t="n">
        <f aca="false" t="array" ref="E26:E26">INDEX(Data_DBD!$E:$E,$A26)</f>
        <v>1</v>
      </c>
      <c r="F26" s="5" t="str">
        <f aca="false" t="array" ref="F26:F26">INDEX(Data_DBD!$F:$F,$A26)</f>
        <v>Tinggi</v>
      </c>
      <c r="H26" s="5" t="n">
        <v>105</v>
      </c>
      <c r="I26" s="5" t="n">
        <v>61</v>
      </c>
      <c r="J26" s="5" t="n">
        <v>3</v>
      </c>
      <c r="K26" s="5" t="n">
        <v>18</v>
      </c>
      <c r="L26" s="5" t="n">
        <v>1</v>
      </c>
      <c r="M26" s="5" t="s">
        <v>7</v>
      </c>
    </row>
    <row r="27" customFormat="false" ht="15" hidden="false" customHeight="false" outlineLevel="0" collapsed="false">
      <c r="A27" s="5" t="n">
        <f aca="false">RANDBETWEEN(2,164)</f>
        <v>46</v>
      </c>
      <c r="B27" s="5" t="n">
        <f aca="false" t="array" ref="B27:B27">INDEX(Data_DBD!$B:$B,$A27)</f>
        <v>62</v>
      </c>
      <c r="C27" s="5" t="n">
        <f aca="false" t="array" ref="C27:C27">INDEX(Data_DBD!$C:$C,$A27)</f>
        <v>2</v>
      </c>
      <c r="D27" s="5" t="n">
        <f aca="false" t="array" ref="D27:D27">INDEX(Data_DBD!$D:$D,$A27)</f>
        <v>13</v>
      </c>
      <c r="E27" s="5" t="n">
        <f aca="false" t="array" ref="E27:E27">INDEX(Data_DBD!$E:$E,$A27)</f>
        <v>0</v>
      </c>
      <c r="F27" s="5" t="str">
        <f aca="false" t="array" ref="F27:F27">INDEX(Data_DBD!$F:$F,$A27)</f>
        <v>Sedang</v>
      </c>
      <c r="H27" s="5" t="n">
        <v>32</v>
      </c>
      <c r="I27" s="5" t="n">
        <v>54</v>
      </c>
      <c r="J27" s="5" t="n">
        <v>4</v>
      </c>
      <c r="K27" s="5" t="n">
        <v>14</v>
      </c>
      <c r="L27" s="5" t="n">
        <v>0</v>
      </c>
      <c r="M27" s="5" t="s">
        <v>7</v>
      </c>
    </row>
    <row r="28" customFormat="false" ht="15" hidden="false" customHeight="false" outlineLevel="0" collapsed="false">
      <c r="A28" s="5" t="n">
        <f aca="false">RANDBETWEEN(2,164)</f>
        <v>115</v>
      </c>
      <c r="B28" s="5" t="n">
        <f aca="false" t="array" ref="B28:B28">INDEX(Data_DBD!$B:$B,$A28)</f>
        <v>52</v>
      </c>
      <c r="C28" s="5" t="n">
        <f aca="false" t="array" ref="C28:C28">INDEX(Data_DBD!$C:$C,$A28)</f>
        <v>3</v>
      </c>
      <c r="D28" s="5" t="n">
        <f aca="false" t="array" ref="D28:D28">INDEX(Data_DBD!$D:$D,$A28)</f>
        <v>33</v>
      </c>
      <c r="E28" s="5" t="n">
        <f aca="false" t="array" ref="E28:E28">INDEX(Data_DBD!$E:$E,$A28)</f>
        <v>1</v>
      </c>
      <c r="F28" s="5" t="str">
        <f aca="false" t="array" ref="F28:F28">INDEX(Data_DBD!$F:$F,$A28)</f>
        <v>Tinggi</v>
      </c>
      <c r="H28" s="5" t="n">
        <v>56</v>
      </c>
      <c r="I28" s="5" t="n">
        <v>4</v>
      </c>
      <c r="J28" s="5" t="n">
        <v>3</v>
      </c>
      <c r="K28" s="5" t="n">
        <v>15</v>
      </c>
      <c r="L28" s="5" t="n">
        <v>0</v>
      </c>
      <c r="M28" s="5" t="s">
        <v>7</v>
      </c>
    </row>
    <row r="29" customFormat="false" ht="15" hidden="false" customHeight="false" outlineLevel="0" collapsed="false">
      <c r="A29" s="5" t="n">
        <f aca="false">RANDBETWEEN(2,164)</f>
        <v>97</v>
      </c>
      <c r="B29" s="5" t="n">
        <f aca="false" t="array" ref="B29:B29">INDEX(Data_DBD!$B:$B,$A29)</f>
        <v>16</v>
      </c>
      <c r="C29" s="5" t="n">
        <f aca="false" t="array" ref="C29:C29">INDEX(Data_DBD!$C:$C,$A29)</f>
        <v>2</v>
      </c>
      <c r="D29" s="5" t="n">
        <f aca="false" t="array" ref="D29:D29">INDEX(Data_DBD!$D:$D,$A29)</f>
        <v>18</v>
      </c>
      <c r="E29" s="5" t="n">
        <f aca="false" t="array" ref="E29:E29">INDEX(Data_DBD!$E:$E,$A29)</f>
        <v>1</v>
      </c>
      <c r="F29" s="5" t="str">
        <f aca="false" t="array" ref="F29:F29">INDEX(Data_DBD!$F:$F,$A29)</f>
        <v>Sedang</v>
      </c>
      <c r="H29" s="5" t="n">
        <v>139</v>
      </c>
      <c r="I29" s="5" t="n">
        <v>52</v>
      </c>
      <c r="J29" s="5" t="n">
        <v>7</v>
      </c>
      <c r="K29" s="5" t="n">
        <v>21</v>
      </c>
      <c r="L29" s="5" t="n">
        <v>0</v>
      </c>
      <c r="M29" s="5" t="s">
        <v>115</v>
      </c>
    </row>
    <row r="30" customFormat="false" ht="15" hidden="false" customHeight="false" outlineLevel="0" collapsed="false">
      <c r="A30" s="5" t="n">
        <f aca="false">RANDBETWEEN(2,164)</f>
        <v>112</v>
      </c>
      <c r="B30" s="5" t="n">
        <f aca="false" t="array" ref="B30:B30">INDEX(Data_DBD!$B:$B,$A30)</f>
        <v>61</v>
      </c>
      <c r="C30" s="5" t="n">
        <f aca="false" t="array" ref="C30:C30">INDEX(Data_DBD!$C:$C,$A30)</f>
        <v>3</v>
      </c>
      <c r="D30" s="5" t="n">
        <f aca="false" t="array" ref="D30:D30">INDEX(Data_DBD!$D:$D,$A30)</f>
        <v>33</v>
      </c>
      <c r="E30" s="5" t="n">
        <f aca="false" t="array" ref="E30:E30">INDEX(Data_DBD!$E:$E,$A30)</f>
        <v>1</v>
      </c>
      <c r="F30" s="5" t="str">
        <f aca="false" t="array" ref="F30:F30">INDEX(Data_DBD!$F:$F,$A30)</f>
        <v>Tinggi</v>
      </c>
      <c r="H30" s="5" t="n">
        <v>106</v>
      </c>
      <c r="I30" s="5" t="n">
        <v>23</v>
      </c>
      <c r="J30" s="5" t="n">
        <v>3</v>
      </c>
      <c r="K30" s="5" t="n">
        <v>18</v>
      </c>
      <c r="L30" s="5" t="n">
        <v>1</v>
      </c>
      <c r="M30" s="5" t="s">
        <v>7</v>
      </c>
    </row>
    <row r="31" customFormat="false" ht="15" hidden="false" customHeight="false" outlineLevel="0" collapsed="false">
      <c r="A31" s="5" t="n">
        <f aca="false">RANDBETWEEN(2,164)</f>
        <v>151</v>
      </c>
      <c r="B31" s="5" t="n">
        <f aca="false" t="array" ref="B31:B31">INDEX(Data_DBD!$B:$B,$A31)</f>
        <v>24</v>
      </c>
      <c r="C31" s="5" t="n">
        <f aca="false" t="array" ref="C31:C31">INDEX(Data_DBD!$C:$C,$A31)</f>
        <v>3</v>
      </c>
      <c r="D31" s="5" t="n">
        <f aca="false" t="array" ref="D31:D31">INDEX(Data_DBD!$D:$D,$A31)</f>
        <v>21</v>
      </c>
      <c r="E31" s="5" t="n">
        <f aca="false" t="array" ref="E31:E31">INDEX(Data_DBD!$E:$E,$A31)</f>
        <v>0</v>
      </c>
      <c r="F31" s="5" t="str">
        <f aca="false" t="array" ref="F31:F31">INDEX(Data_DBD!$F:$F,$A31)</f>
        <v>Tinggi</v>
      </c>
      <c r="H31" s="5" t="n">
        <v>108</v>
      </c>
      <c r="I31" s="5" t="n">
        <v>69</v>
      </c>
      <c r="J31" s="5" t="n">
        <v>7</v>
      </c>
      <c r="K31" s="5" t="n">
        <v>33</v>
      </c>
      <c r="L31" s="5" t="n">
        <v>1</v>
      </c>
      <c r="M31" s="5" t="s">
        <v>115</v>
      </c>
    </row>
    <row r="32" customFormat="false" ht="15" hidden="false" customHeight="false" outlineLevel="0" collapsed="false">
      <c r="A32" s="5" t="n">
        <f aca="false">RANDBETWEEN(2,164)</f>
        <v>153</v>
      </c>
      <c r="B32" s="5" t="n">
        <f aca="false" t="array" ref="B32:B32">INDEX(Data_DBD!$B:$B,$A32)</f>
        <v>73</v>
      </c>
      <c r="C32" s="5" t="n">
        <f aca="false" t="array" ref="C32:C32">INDEX(Data_DBD!$C:$C,$A32)</f>
        <v>7</v>
      </c>
      <c r="D32" s="5" t="n">
        <f aca="false" t="array" ref="D32:D32">INDEX(Data_DBD!$D:$D,$A32)</f>
        <v>21</v>
      </c>
      <c r="E32" s="5" t="n">
        <f aca="false" t="array" ref="E32:E32">INDEX(Data_DBD!$E:$E,$A32)</f>
        <v>1</v>
      </c>
      <c r="F32" s="5" t="str">
        <f aca="false" t="array" ref="F32:F32">INDEX(Data_DBD!$F:$F,$A32)</f>
        <v>Tinggi</v>
      </c>
      <c r="H32" s="5" t="n">
        <v>58</v>
      </c>
      <c r="I32" s="5" t="n">
        <v>17</v>
      </c>
      <c r="J32" s="5" t="n">
        <v>3</v>
      </c>
      <c r="K32" s="5" t="n">
        <v>15</v>
      </c>
      <c r="L32" s="5" t="n">
        <v>0</v>
      </c>
      <c r="M32" s="5" t="s">
        <v>7</v>
      </c>
    </row>
    <row r="33" customFormat="false" ht="15" hidden="false" customHeight="false" outlineLevel="0" collapsed="false">
      <c r="A33" s="5" t="n">
        <f aca="false">RANDBETWEEN(2,164)</f>
        <v>157</v>
      </c>
      <c r="B33" s="5" t="n">
        <f aca="false" t="array" ref="B33:B33">INDEX(Data_DBD!$B:$B,$A33)</f>
        <v>15</v>
      </c>
      <c r="C33" s="5" t="n">
        <f aca="false" t="array" ref="C33:C33">INDEX(Data_DBD!$C:$C,$A33)</f>
        <v>4</v>
      </c>
      <c r="D33" s="5" t="n">
        <f aca="false" t="array" ref="D33:D33">INDEX(Data_DBD!$D:$D,$A33)</f>
        <v>21</v>
      </c>
      <c r="E33" s="5" t="n">
        <f aca="false" t="array" ref="E33:E33">INDEX(Data_DBD!$E:$E,$A33)</f>
        <v>1</v>
      </c>
      <c r="F33" s="5" t="str">
        <f aca="false" t="array" ref="F33:F33">INDEX(Data_DBD!$F:$F,$A33)</f>
        <v>Tinggi</v>
      </c>
      <c r="H33" s="5" t="n">
        <v>21</v>
      </c>
      <c r="I33" s="5" t="n">
        <v>10</v>
      </c>
      <c r="J33" s="5" t="n">
        <v>5</v>
      </c>
      <c r="K33" s="5" t="n">
        <v>14</v>
      </c>
      <c r="L33" s="5" t="n">
        <v>1</v>
      </c>
      <c r="M33" s="5" t="s">
        <v>7</v>
      </c>
    </row>
    <row r="34" customFormat="false" ht="15" hidden="false" customHeight="false" outlineLevel="0" collapsed="false">
      <c r="A34" s="5" t="n">
        <f aca="false">RANDBETWEEN(2,164)</f>
        <v>142</v>
      </c>
      <c r="B34" s="5" t="n">
        <f aca="false" t="array" ref="B34:B34">INDEX(Data_DBD!$B:$B,$A34)</f>
        <v>39</v>
      </c>
      <c r="C34" s="5" t="n">
        <f aca="false" t="array" ref="C34:C34">INDEX(Data_DBD!$C:$C,$A34)</f>
        <v>2</v>
      </c>
      <c r="D34" s="5" t="n">
        <f aca="false" t="array" ref="D34:D34">INDEX(Data_DBD!$D:$D,$A34)</f>
        <v>21</v>
      </c>
      <c r="E34" s="5" t="n">
        <f aca="false" t="array" ref="E34:E34">INDEX(Data_DBD!$E:$E,$A34)</f>
        <v>1</v>
      </c>
      <c r="F34" s="5" t="str">
        <f aca="false" t="array" ref="F34:F34">INDEX(Data_DBD!$F:$F,$A34)</f>
        <v>Tinggi</v>
      </c>
      <c r="H34" s="5" t="n">
        <v>106</v>
      </c>
      <c r="I34" s="5" t="n">
        <v>23</v>
      </c>
      <c r="J34" s="5" t="n">
        <v>3</v>
      </c>
      <c r="K34" s="5" t="n">
        <v>18</v>
      </c>
      <c r="L34" s="5" t="n">
        <v>1</v>
      </c>
      <c r="M34" s="5" t="s">
        <v>7</v>
      </c>
    </row>
    <row r="35" customFormat="false" ht="15" hidden="false" customHeight="false" outlineLevel="0" collapsed="false">
      <c r="A35" s="5" t="n">
        <f aca="false">RANDBETWEEN(2,164)</f>
        <v>84</v>
      </c>
      <c r="B35" s="5" t="n">
        <f aca="false" t="array" ref="B35:B35">INDEX(Data_DBD!$B:$B,$A35)</f>
        <v>42</v>
      </c>
      <c r="C35" s="5" t="n">
        <f aca="false" t="array" ref="C35:C35">INDEX(Data_DBD!$C:$C,$A35)</f>
        <v>4</v>
      </c>
      <c r="D35" s="5" t="n">
        <f aca="false" t="array" ref="D35:D35">INDEX(Data_DBD!$D:$D,$A35)</f>
        <v>13</v>
      </c>
      <c r="E35" s="5" t="n">
        <f aca="false" t="array" ref="E35:E35">INDEX(Data_DBD!$E:$E,$A35)</f>
        <v>1</v>
      </c>
      <c r="F35" s="5" t="str">
        <f aca="false" t="array" ref="F35:F35">INDEX(Data_DBD!$F:$F,$A35)</f>
        <v>Sedang</v>
      </c>
      <c r="H35" s="5" t="n">
        <v>84</v>
      </c>
      <c r="I35" s="5" t="n">
        <v>42</v>
      </c>
      <c r="J35" s="5" t="n">
        <v>4</v>
      </c>
      <c r="K35" s="5" t="n">
        <v>13</v>
      </c>
      <c r="L35" s="5" t="n">
        <v>1</v>
      </c>
      <c r="M35" s="5" t="s">
        <v>7</v>
      </c>
    </row>
    <row r="36" customFormat="false" ht="15" hidden="false" customHeight="false" outlineLevel="0" collapsed="false">
      <c r="A36" s="5" t="n">
        <f aca="false">RANDBETWEEN(2,164)</f>
        <v>143</v>
      </c>
      <c r="B36" s="5" t="n">
        <f aca="false" t="array" ref="B36:B36">INDEX(Data_DBD!$B:$B,$A36)</f>
        <v>20</v>
      </c>
      <c r="C36" s="5" t="n">
        <f aca="false" t="array" ref="C36:C36">INDEX(Data_DBD!$C:$C,$A36)</f>
        <v>4</v>
      </c>
      <c r="D36" s="5" t="n">
        <f aca="false" t="array" ref="D36:D36">INDEX(Data_DBD!$D:$D,$A36)</f>
        <v>21</v>
      </c>
      <c r="E36" s="5" t="n">
        <f aca="false" t="array" ref="E36:E36">INDEX(Data_DBD!$E:$E,$A36)</f>
        <v>1</v>
      </c>
      <c r="F36" s="5" t="str">
        <f aca="false" t="array" ref="F36:F36">INDEX(Data_DBD!$F:$F,$A36)</f>
        <v>Tinggi</v>
      </c>
      <c r="H36" s="5" t="n">
        <v>83</v>
      </c>
      <c r="I36" s="5" t="n">
        <v>50</v>
      </c>
      <c r="J36" s="5" t="n">
        <v>3</v>
      </c>
      <c r="K36" s="5" t="n">
        <v>13</v>
      </c>
      <c r="L36" s="5" t="n">
        <v>0</v>
      </c>
      <c r="M36" s="5" t="s">
        <v>7</v>
      </c>
    </row>
    <row r="37" customFormat="false" ht="15" hidden="false" customHeight="false" outlineLevel="0" collapsed="false">
      <c r="A37" s="5" t="n">
        <f aca="false">RANDBETWEEN(2,164)</f>
        <v>144</v>
      </c>
      <c r="B37" s="5" t="n">
        <f aca="false" t="array" ref="B37:B37">INDEX(Data_DBD!$B:$B,$A37)</f>
        <v>61</v>
      </c>
      <c r="C37" s="5" t="n">
        <f aca="false" t="array" ref="C37:C37">INDEX(Data_DBD!$C:$C,$A37)</f>
        <v>4</v>
      </c>
      <c r="D37" s="5" t="n">
        <f aca="false" t="array" ref="D37:D37">INDEX(Data_DBD!$D:$D,$A37)</f>
        <v>21</v>
      </c>
      <c r="E37" s="5" t="n">
        <f aca="false" t="array" ref="E37:E37">INDEX(Data_DBD!$E:$E,$A37)</f>
        <v>1</v>
      </c>
      <c r="F37" s="5" t="str">
        <f aca="false" t="array" ref="F37:F37">INDEX(Data_DBD!$F:$F,$A37)</f>
        <v>Tinggi</v>
      </c>
      <c r="H37" s="5" t="n">
        <v>148</v>
      </c>
      <c r="I37" s="5" t="n">
        <v>55</v>
      </c>
      <c r="J37" s="5" t="n">
        <v>3</v>
      </c>
      <c r="K37" s="5" t="n">
        <v>21</v>
      </c>
      <c r="L37" s="5" t="n">
        <v>1</v>
      </c>
      <c r="M37" s="5" t="s">
        <v>115</v>
      </c>
    </row>
    <row r="38" customFormat="false" ht="15" hidden="false" customHeight="false" outlineLevel="0" collapsed="false">
      <c r="A38" s="5" t="n">
        <f aca="false">RANDBETWEEN(2,164)</f>
        <v>10</v>
      </c>
      <c r="B38" s="5" t="n">
        <f aca="false" t="array" ref="B38:B38">INDEX(Data_DBD!$B:$B,$A38)</f>
        <v>18</v>
      </c>
      <c r="C38" s="5" t="n">
        <f aca="false" t="array" ref="C38:C38">INDEX(Data_DBD!$C:$C,$A38)</f>
        <v>5</v>
      </c>
      <c r="D38" s="5" t="n">
        <f aca="false" t="array" ref="D38:D38">INDEX(Data_DBD!$D:$D,$A38)</f>
        <v>12</v>
      </c>
      <c r="E38" s="5" t="n">
        <f aca="false" t="array" ref="E38:E38">INDEX(Data_DBD!$E:$E,$A38)</f>
        <v>0</v>
      </c>
      <c r="F38" s="5" t="str">
        <f aca="false" t="array" ref="F38:F38">INDEX(Data_DBD!$F:$F,$A38)</f>
        <v>Sedang</v>
      </c>
      <c r="H38" s="5" t="n">
        <v>20</v>
      </c>
      <c r="I38" s="5" t="n">
        <v>15</v>
      </c>
      <c r="J38" s="5" t="n">
        <v>5</v>
      </c>
      <c r="K38" s="5" t="n">
        <v>7</v>
      </c>
      <c r="L38" s="5" t="n">
        <v>0</v>
      </c>
      <c r="M38" s="5" t="s">
        <v>20</v>
      </c>
    </row>
    <row r="39" customFormat="false" ht="15" hidden="false" customHeight="false" outlineLevel="0" collapsed="false">
      <c r="A39" s="5" t="n">
        <f aca="false">RANDBETWEEN(2,164)</f>
        <v>21</v>
      </c>
      <c r="B39" s="5" t="n">
        <f aca="false" t="array" ref="B39:B39">INDEX(Data_DBD!$B:$B,$A39)</f>
        <v>10</v>
      </c>
      <c r="C39" s="5" t="n">
        <f aca="false" t="array" ref="C39:C39">INDEX(Data_DBD!$C:$C,$A39)</f>
        <v>5</v>
      </c>
      <c r="D39" s="5" t="n">
        <f aca="false" t="array" ref="D39:D39">INDEX(Data_DBD!$D:$D,$A39)</f>
        <v>14</v>
      </c>
      <c r="E39" s="5" t="n">
        <f aca="false" t="array" ref="E39:E39">INDEX(Data_DBD!$E:$E,$A39)</f>
        <v>1</v>
      </c>
      <c r="F39" s="5" t="str">
        <f aca="false" t="array" ref="F39:F39">INDEX(Data_DBD!$F:$F,$A39)</f>
        <v>Sedang</v>
      </c>
      <c r="H39" s="5" t="n">
        <v>56</v>
      </c>
      <c r="I39" s="5" t="n">
        <v>4</v>
      </c>
      <c r="J39" s="5" t="n">
        <v>3</v>
      </c>
      <c r="K39" s="5" t="n">
        <v>15</v>
      </c>
      <c r="L39" s="5" t="n">
        <v>0</v>
      </c>
      <c r="M39" s="5" t="s">
        <v>7</v>
      </c>
    </row>
    <row r="40" customFormat="false" ht="15" hidden="false" customHeight="false" outlineLevel="0" collapsed="false">
      <c r="A40" s="5" t="n">
        <f aca="false">RANDBETWEEN(2,164)</f>
        <v>64</v>
      </c>
      <c r="B40" s="5" t="n">
        <f aca="false" t="array" ref="B40:B40">INDEX(Data_DBD!$B:$B,$A40)</f>
        <v>35</v>
      </c>
      <c r="C40" s="5" t="n">
        <f aca="false" t="array" ref="C40:C40">INDEX(Data_DBD!$C:$C,$A40)</f>
        <v>1</v>
      </c>
      <c r="D40" s="5" t="n">
        <f aca="false" t="array" ref="D40:D40">INDEX(Data_DBD!$D:$D,$A40)</f>
        <v>15</v>
      </c>
      <c r="E40" s="5" t="n">
        <f aca="false" t="array" ref="E40:E40">INDEX(Data_DBD!$E:$E,$A40)</f>
        <v>0</v>
      </c>
      <c r="F40" s="5" t="str">
        <f aca="false" t="array" ref="F40:F40">INDEX(Data_DBD!$F:$F,$A40)</f>
        <v>Sedang</v>
      </c>
      <c r="H40" s="5" t="n">
        <v>144</v>
      </c>
      <c r="I40" s="5" t="n">
        <v>61</v>
      </c>
      <c r="J40" s="5" t="n">
        <v>4</v>
      </c>
      <c r="K40" s="5" t="n">
        <v>21</v>
      </c>
      <c r="L40" s="5" t="n">
        <v>1</v>
      </c>
      <c r="M40" s="5" t="s">
        <v>115</v>
      </c>
    </row>
    <row r="41" customFormat="false" ht="15" hidden="false" customHeight="false" outlineLevel="0" collapsed="false">
      <c r="A41" s="5" t="n">
        <f aca="false">RANDBETWEEN(2,164)</f>
        <v>79</v>
      </c>
      <c r="B41" s="5" t="n">
        <f aca="false" t="array" ref="B41:B41">INDEX(Data_DBD!$B:$B,$A41)</f>
        <v>29</v>
      </c>
      <c r="C41" s="5" t="n">
        <f aca="false" t="array" ref="C41:C41">INDEX(Data_DBD!$C:$C,$A41)</f>
        <v>3</v>
      </c>
      <c r="D41" s="5" t="n">
        <f aca="false" t="array" ref="D41:D41">INDEX(Data_DBD!$D:$D,$A41)</f>
        <v>13</v>
      </c>
      <c r="E41" s="5" t="n">
        <f aca="false" t="array" ref="E41:E41">INDEX(Data_DBD!$E:$E,$A41)</f>
        <v>0</v>
      </c>
      <c r="F41" s="5" t="str">
        <f aca="false" t="array" ref="F41:F41">INDEX(Data_DBD!$F:$F,$A41)</f>
        <v>Sedang</v>
      </c>
      <c r="H41" s="5" t="n">
        <v>135</v>
      </c>
      <c r="I41" s="5" t="n">
        <v>10</v>
      </c>
      <c r="J41" s="5" t="n">
        <v>2</v>
      </c>
      <c r="K41" s="5" t="n">
        <v>33</v>
      </c>
      <c r="L41" s="5" t="n">
        <v>0</v>
      </c>
      <c r="M41" s="5" t="s">
        <v>115</v>
      </c>
    </row>
    <row r="42" customFormat="false" ht="15" hidden="false" customHeight="false" outlineLevel="0" collapsed="false">
      <c r="A42" s="5" t="n">
        <f aca="false">RANDBETWEEN(2,164)</f>
        <v>36</v>
      </c>
      <c r="B42" s="5" t="n">
        <f aca="false" t="array" ref="B42:B42">INDEX(Data_DBD!$B:$B,$A42)</f>
        <v>27</v>
      </c>
      <c r="C42" s="5" t="n">
        <f aca="false" t="array" ref="C42:C42">INDEX(Data_DBD!$C:$C,$A42)</f>
        <v>1</v>
      </c>
      <c r="D42" s="5" t="n">
        <f aca="false" t="array" ref="D42:D42">INDEX(Data_DBD!$D:$D,$A42)</f>
        <v>4</v>
      </c>
      <c r="E42" s="5" t="n">
        <f aca="false" t="array" ref="E42:E42">INDEX(Data_DBD!$E:$E,$A42)</f>
        <v>1</v>
      </c>
      <c r="F42" s="5" t="str">
        <f aca="false" t="array" ref="F42:F42">INDEX(Data_DBD!$F:$F,$A42)</f>
        <v>Rendah</v>
      </c>
      <c r="H42" s="5" t="n">
        <v>112</v>
      </c>
      <c r="I42" s="5" t="n">
        <v>61</v>
      </c>
      <c r="J42" s="5" t="n">
        <v>3</v>
      </c>
      <c r="K42" s="5" t="n">
        <v>33</v>
      </c>
      <c r="L42" s="5" t="n">
        <v>1</v>
      </c>
      <c r="M42" s="5" t="s">
        <v>115</v>
      </c>
    </row>
    <row r="43" customFormat="false" ht="15" hidden="false" customHeight="false" outlineLevel="0" collapsed="false">
      <c r="A43" s="5" t="n">
        <f aca="false">RANDBETWEEN(2,164)</f>
        <v>124</v>
      </c>
      <c r="B43" s="5" t="n">
        <f aca="false" t="array" ref="B43:B43">INDEX(Data_DBD!$B:$B,$A43)</f>
        <v>24</v>
      </c>
      <c r="C43" s="5" t="n">
        <f aca="false" t="array" ref="C43:C43">INDEX(Data_DBD!$C:$C,$A43)</f>
        <v>3</v>
      </c>
      <c r="D43" s="5" t="n">
        <f aca="false" t="array" ref="D43:D43">INDEX(Data_DBD!$D:$D,$A43)</f>
        <v>33</v>
      </c>
      <c r="E43" s="5" t="n">
        <f aca="false" t="array" ref="E43:E43">INDEX(Data_DBD!$E:$E,$A43)</f>
        <v>1</v>
      </c>
      <c r="F43" s="5" t="str">
        <f aca="false" t="array" ref="F43:F43">INDEX(Data_DBD!$F:$F,$A43)</f>
        <v>Tinggi</v>
      </c>
      <c r="H43" s="5" t="n">
        <v>61</v>
      </c>
      <c r="I43" s="5" t="n">
        <v>29</v>
      </c>
      <c r="J43" s="5" t="n">
        <v>3</v>
      </c>
      <c r="K43" s="5" t="n">
        <v>15</v>
      </c>
      <c r="L43" s="5" t="n">
        <v>1</v>
      </c>
      <c r="M43" s="5" t="s">
        <v>7</v>
      </c>
    </row>
    <row r="44" customFormat="false" ht="15" hidden="false" customHeight="false" outlineLevel="0" collapsed="false">
      <c r="A44" s="5" t="n">
        <f aca="false">RANDBETWEEN(2,164)</f>
        <v>112</v>
      </c>
      <c r="B44" s="5" t="n">
        <f aca="false" t="array" ref="B44:B44">INDEX(Data_DBD!$B:$B,$A44)</f>
        <v>61</v>
      </c>
      <c r="C44" s="5" t="n">
        <f aca="false" t="array" ref="C44:C44">INDEX(Data_DBD!$C:$C,$A44)</f>
        <v>3</v>
      </c>
      <c r="D44" s="5" t="n">
        <f aca="false" t="array" ref="D44:D44">INDEX(Data_DBD!$D:$D,$A44)</f>
        <v>33</v>
      </c>
      <c r="E44" s="5" t="n">
        <f aca="false" t="array" ref="E44:E44">INDEX(Data_DBD!$E:$E,$A44)</f>
        <v>1</v>
      </c>
      <c r="F44" s="5" t="str">
        <f aca="false" t="array" ref="F44:F44">INDEX(Data_DBD!$F:$F,$A44)</f>
        <v>Tinggi</v>
      </c>
      <c r="H44" s="5" t="n">
        <v>93</v>
      </c>
      <c r="I44" s="5" t="n">
        <v>65</v>
      </c>
      <c r="J44" s="5" t="n">
        <v>4</v>
      </c>
      <c r="K44" s="5" t="n">
        <v>18</v>
      </c>
      <c r="L44" s="5" t="n">
        <v>0</v>
      </c>
      <c r="M44" s="5" t="s">
        <v>7</v>
      </c>
    </row>
    <row r="45" customFormat="false" ht="15" hidden="false" customHeight="false" outlineLevel="0" collapsed="false">
      <c r="A45" s="5" t="n">
        <f aca="false">RANDBETWEEN(2,164)</f>
        <v>105</v>
      </c>
      <c r="B45" s="5" t="n">
        <f aca="false" t="array" ref="B45:B45">INDEX(Data_DBD!$B:$B,$A45)</f>
        <v>61</v>
      </c>
      <c r="C45" s="5" t="n">
        <f aca="false" t="array" ref="C45:C45">INDEX(Data_DBD!$C:$C,$A45)</f>
        <v>3</v>
      </c>
      <c r="D45" s="5" t="n">
        <f aca="false" t="array" ref="D45:D45">INDEX(Data_DBD!$D:$D,$A45)</f>
        <v>18</v>
      </c>
      <c r="E45" s="5" t="n">
        <f aca="false" t="array" ref="E45:E45">INDEX(Data_DBD!$E:$E,$A45)</f>
        <v>1</v>
      </c>
      <c r="F45" s="5" t="str">
        <f aca="false" t="array" ref="F45:F45">INDEX(Data_DBD!$F:$F,$A45)</f>
        <v>Sedang</v>
      </c>
      <c r="H45" s="5" t="n">
        <v>158</v>
      </c>
      <c r="I45" s="5" t="n">
        <v>5</v>
      </c>
      <c r="J45" s="5" t="n">
        <v>2</v>
      </c>
      <c r="K45" s="5" t="n">
        <v>21</v>
      </c>
      <c r="L45" s="5" t="n">
        <v>0</v>
      </c>
      <c r="M45" s="5" t="s">
        <v>115</v>
      </c>
    </row>
    <row r="46" customFormat="false" ht="15" hidden="false" customHeight="false" outlineLevel="0" collapsed="false">
      <c r="A46" s="5" t="n">
        <f aca="false">RANDBETWEEN(2,164)</f>
        <v>66</v>
      </c>
      <c r="B46" s="5" t="n">
        <f aca="false" t="array" ref="B46:B46">INDEX(Data_DBD!$B:$B,$A46)</f>
        <v>21</v>
      </c>
      <c r="C46" s="5" t="n">
        <f aca="false" t="array" ref="C46:C46">INDEX(Data_DBD!$C:$C,$A46)</f>
        <v>5</v>
      </c>
      <c r="D46" s="5" t="n">
        <f aca="false" t="array" ref="D46:D46">INDEX(Data_DBD!$D:$D,$A46)</f>
        <v>15</v>
      </c>
      <c r="E46" s="5" t="n">
        <f aca="false" t="array" ref="E46:E46">INDEX(Data_DBD!$E:$E,$A46)</f>
        <v>1</v>
      </c>
      <c r="F46" s="5" t="str">
        <f aca="false" t="array" ref="F46:F46">INDEX(Data_DBD!$F:$F,$A46)</f>
        <v>Sedang</v>
      </c>
      <c r="H46" s="5" t="n">
        <v>119</v>
      </c>
      <c r="I46" s="5" t="n">
        <v>30</v>
      </c>
      <c r="J46" s="5" t="n">
        <v>7</v>
      </c>
      <c r="K46" s="5" t="n">
        <v>33</v>
      </c>
      <c r="L46" s="5" t="n">
        <v>0</v>
      </c>
      <c r="M46" s="5" t="s">
        <v>115</v>
      </c>
    </row>
    <row r="47" customFormat="false" ht="15" hidden="false" customHeight="false" outlineLevel="0" collapsed="false">
      <c r="A47" s="5" t="n">
        <f aca="false">RANDBETWEEN(2,164)</f>
        <v>8</v>
      </c>
      <c r="B47" s="5" t="n">
        <f aca="false" t="array" ref="B47:B47">INDEX(Data_DBD!$B:$B,$A47)</f>
        <v>4</v>
      </c>
      <c r="C47" s="5" t="n">
        <f aca="false" t="array" ref="C47:C47">INDEX(Data_DBD!$C:$C,$A47)</f>
        <v>2</v>
      </c>
      <c r="D47" s="5" t="n">
        <f aca="false" t="array" ref="D47:D47">INDEX(Data_DBD!$D:$D,$A47)</f>
        <v>12</v>
      </c>
      <c r="E47" s="5" t="n">
        <f aca="false" t="array" ref="E47:E47">INDEX(Data_DBD!$E:$E,$A47)</f>
        <v>0</v>
      </c>
      <c r="F47" s="5" t="str">
        <f aca="false" t="array" ref="F47:F47">INDEX(Data_DBD!$F:$F,$A47)</f>
        <v>Sedang</v>
      </c>
      <c r="H47" s="5" t="n">
        <v>105</v>
      </c>
      <c r="I47" s="5" t="n">
        <v>61</v>
      </c>
      <c r="J47" s="5" t="n">
        <v>3</v>
      </c>
      <c r="K47" s="5" t="n">
        <v>18</v>
      </c>
      <c r="L47" s="5" t="n">
        <v>1</v>
      </c>
      <c r="M47" s="5" t="s">
        <v>7</v>
      </c>
    </row>
    <row r="48" customFormat="false" ht="15" hidden="false" customHeight="false" outlineLevel="0" collapsed="false">
      <c r="A48" s="5" t="n">
        <f aca="false">RANDBETWEEN(2,164)</f>
        <v>25</v>
      </c>
      <c r="B48" s="5" t="n">
        <f aca="false" t="array" ref="B48:B48">INDEX(Data_DBD!$B:$B,$A48)</f>
        <v>81</v>
      </c>
      <c r="C48" s="5" t="n">
        <f aca="false" t="array" ref="C48:C48">INDEX(Data_DBD!$C:$C,$A48)</f>
        <v>5</v>
      </c>
      <c r="D48" s="5" t="n">
        <f aca="false" t="array" ref="D48:D48">INDEX(Data_DBD!$D:$D,$A48)</f>
        <v>14</v>
      </c>
      <c r="E48" s="5" t="n">
        <f aca="false" t="array" ref="E48:E48">INDEX(Data_DBD!$E:$E,$A48)</f>
        <v>0</v>
      </c>
      <c r="F48" s="5" t="str">
        <f aca="false" t="array" ref="F48:F48">INDEX(Data_DBD!$F:$F,$A48)</f>
        <v>Sedang</v>
      </c>
      <c r="H48" s="5" t="n">
        <v>26</v>
      </c>
      <c r="I48" s="5" t="n">
        <v>75</v>
      </c>
      <c r="J48" s="5" t="n">
        <v>4</v>
      </c>
      <c r="K48" s="5" t="n">
        <v>14</v>
      </c>
      <c r="L48" s="5" t="n">
        <v>1</v>
      </c>
      <c r="M48" s="5" t="s">
        <v>7</v>
      </c>
    </row>
    <row r="49" customFormat="false" ht="15" hidden="false" customHeight="false" outlineLevel="0" collapsed="false">
      <c r="A49" s="5" t="n">
        <f aca="false">RANDBETWEEN(2,164)</f>
        <v>4</v>
      </c>
      <c r="B49" s="5" t="n">
        <f aca="false" t="array" ref="B49:B49">INDEX(Data_DBD!$B:$B,$A49)</f>
        <v>23</v>
      </c>
      <c r="C49" s="5" t="n">
        <f aca="false" t="array" ref="C49:C49">INDEX(Data_DBD!$C:$C,$A49)</f>
        <v>5</v>
      </c>
      <c r="D49" s="5" t="n">
        <f aca="false" t="array" ref="D49:D49">INDEX(Data_DBD!$D:$D,$A49)</f>
        <v>12</v>
      </c>
      <c r="E49" s="5" t="n">
        <f aca="false" t="array" ref="E49:E49">INDEX(Data_DBD!$E:$E,$A49)</f>
        <v>0</v>
      </c>
      <c r="F49" s="5" t="str">
        <f aca="false" t="array" ref="F49:F49">INDEX(Data_DBD!$F:$F,$A49)</f>
        <v>Sedang</v>
      </c>
      <c r="H49" s="5" t="n">
        <v>124</v>
      </c>
      <c r="I49" s="5" t="n">
        <v>24</v>
      </c>
      <c r="J49" s="5" t="n">
        <v>3</v>
      </c>
      <c r="K49" s="5" t="n">
        <v>33</v>
      </c>
      <c r="L49" s="5" t="n">
        <v>1</v>
      </c>
      <c r="M49" s="5" t="s">
        <v>115</v>
      </c>
    </row>
    <row r="50" customFormat="false" ht="15" hidden="false" customHeight="false" outlineLevel="0" collapsed="false">
      <c r="A50" s="5" t="n">
        <f aca="false">RANDBETWEEN(2,164)</f>
        <v>159</v>
      </c>
      <c r="B50" s="5" t="n">
        <f aca="false" t="array" ref="B50:B50">INDEX(Data_DBD!$B:$B,$A50)</f>
        <v>17</v>
      </c>
      <c r="C50" s="5" t="n">
        <f aca="false" t="array" ref="C50:C50">INDEX(Data_DBD!$C:$C,$A50)</f>
        <v>2</v>
      </c>
      <c r="D50" s="5" t="n">
        <f aca="false" t="array" ref="D50:D50">INDEX(Data_DBD!$D:$D,$A50)</f>
        <v>21</v>
      </c>
      <c r="E50" s="5" t="n">
        <f aca="false" t="array" ref="E50:E50">INDEX(Data_DBD!$E:$E,$A50)</f>
        <v>0</v>
      </c>
      <c r="F50" s="5" t="str">
        <f aca="false" t="array" ref="F50:F50">INDEX(Data_DBD!$F:$F,$A50)</f>
        <v>Tinggi</v>
      </c>
      <c r="H50" s="5" t="n">
        <v>15</v>
      </c>
      <c r="I50" s="5" t="n">
        <v>21</v>
      </c>
      <c r="J50" s="5" t="n">
        <v>2</v>
      </c>
      <c r="K50" s="5" t="n">
        <v>7</v>
      </c>
      <c r="L50" s="5" t="n">
        <v>0</v>
      </c>
      <c r="M50" s="5" t="s">
        <v>20</v>
      </c>
    </row>
    <row r="51" customFormat="false" ht="15" hidden="false" customHeight="false" outlineLevel="0" collapsed="false">
      <c r="A51" s="5" t="n">
        <f aca="false">RANDBETWEEN(2,164)</f>
        <v>129</v>
      </c>
      <c r="B51" s="5" t="n">
        <f aca="false" t="array" ref="B51:B51">INDEX(Data_DBD!$B:$B,$A51)</f>
        <v>4</v>
      </c>
      <c r="C51" s="5" t="n">
        <f aca="false" t="array" ref="C51:C51">INDEX(Data_DBD!$C:$C,$A51)</f>
        <v>3</v>
      </c>
      <c r="D51" s="5" t="n">
        <f aca="false" t="array" ref="D51:D51">INDEX(Data_DBD!$D:$D,$A51)</f>
        <v>33</v>
      </c>
      <c r="E51" s="5" t="n">
        <f aca="false" t="array" ref="E51:E51">INDEX(Data_DBD!$E:$E,$A51)</f>
        <v>0</v>
      </c>
      <c r="F51" s="5" t="str">
        <f aca="false" t="array" ref="F51:F51">INDEX(Data_DBD!$F:$F,$A51)</f>
        <v>Tinggi</v>
      </c>
      <c r="H51" s="5" t="n">
        <v>3</v>
      </c>
      <c r="I51" s="5" t="n">
        <v>43</v>
      </c>
      <c r="J51" s="5" t="n">
        <v>3</v>
      </c>
      <c r="K51" s="5" t="n">
        <v>12</v>
      </c>
      <c r="L51" s="5" t="n">
        <v>1</v>
      </c>
      <c r="M51" s="5" t="s">
        <v>7</v>
      </c>
    </row>
    <row r="52" customFormat="false" ht="15" hidden="false" customHeight="false" outlineLevel="0" collapsed="false">
      <c r="A52" s="5" t="n">
        <f aca="false">RANDBETWEEN(2,164)</f>
        <v>22</v>
      </c>
      <c r="B52" s="5" t="n">
        <f aca="false" t="array" ref="B52:B52">INDEX(Data_DBD!$B:$B,$A52)</f>
        <v>6</v>
      </c>
      <c r="C52" s="5" t="n">
        <f aca="false" t="array" ref="C52:C52">INDEX(Data_DBD!$C:$C,$A52)</f>
        <v>3</v>
      </c>
      <c r="D52" s="5" t="n">
        <f aca="false" t="array" ref="D52:D52">INDEX(Data_DBD!$D:$D,$A52)</f>
        <v>14</v>
      </c>
      <c r="E52" s="5" t="n">
        <f aca="false" t="array" ref="E52:E52">INDEX(Data_DBD!$E:$E,$A52)</f>
        <v>0</v>
      </c>
      <c r="F52" s="5" t="str">
        <f aca="false" t="array" ref="F52:F52">INDEX(Data_DBD!$F:$F,$A52)</f>
        <v>Sedang</v>
      </c>
      <c r="H52" s="5" t="n">
        <v>10</v>
      </c>
      <c r="I52" s="5" t="n">
        <v>18</v>
      </c>
      <c r="J52" s="5" t="n">
        <v>5</v>
      </c>
      <c r="K52" s="5" t="n">
        <v>12</v>
      </c>
      <c r="L52" s="5" t="n">
        <v>0</v>
      </c>
      <c r="M52" s="5" t="s">
        <v>7</v>
      </c>
    </row>
    <row r="53" customFormat="false" ht="15" hidden="false" customHeight="false" outlineLevel="0" collapsed="false">
      <c r="A53" s="5" t="n">
        <f aca="false">RANDBETWEEN(2,164)</f>
        <v>23</v>
      </c>
      <c r="B53" s="5" t="n">
        <f aca="false" t="array" ref="B53:B53">INDEX(Data_DBD!$B:$B,$A53)</f>
        <v>28</v>
      </c>
      <c r="C53" s="5" t="n">
        <f aca="false" t="array" ref="C53:C53">INDEX(Data_DBD!$C:$C,$A53)</f>
        <v>4</v>
      </c>
      <c r="D53" s="5" t="n">
        <f aca="false" t="array" ref="D53:D53">INDEX(Data_DBD!$D:$D,$A53)</f>
        <v>14</v>
      </c>
      <c r="E53" s="5" t="n">
        <f aca="false" t="array" ref="E53:E53">INDEX(Data_DBD!$E:$E,$A53)</f>
        <v>1</v>
      </c>
      <c r="F53" s="5" t="str">
        <f aca="false" t="array" ref="F53:F53">INDEX(Data_DBD!$F:$F,$A53)</f>
        <v>Sedang</v>
      </c>
      <c r="H53" s="5" t="n">
        <v>37</v>
      </c>
      <c r="I53" s="5" t="n">
        <v>28</v>
      </c>
      <c r="J53" s="5" t="n">
        <v>4</v>
      </c>
      <c r="K53" s="5" t="n">
        <v>4</v>
      </c>
      <c r="L53" s="5" t="n">
        <v>1</v>
      </c>
      <c r="M53" s="5" t="s">
        <v>20</v>
      </c>
    </row>
    <row r="54" customFormat="false" ht="15" hidden="false" customHeight="false" outlineLevel="0" collapsed="false">
      <c r="A54" s="5" t="n">
        <f aca="false">RANDBETWEEN(2,164)</f>
        <v>10</v>
      </c>
      <c r="B54" s="5" t="n">
        <f aca="false" t="array" ref="B54:B54">INDEX(Data_DBD!$B:$B,$A54)</f>
        <v>18</v>
      </c>
      <c r="C54" s="5" t="n">
        <f aca="false" t="array" ref="C54:C54">INDEX(Data_DBD!$C:$C,$A54)</f>
        <v>5</v>
      </c>
      <c r="D54" s="5" t="n">
        <f aca="false" t="array" ref="D54:D54">INDEX(Data_DBD!$D:$D,$A54)</f>
        <v>12</v>
      </c>
      <c r="E54" s="5" t="n">
        <f aca="false" t="array" ref="E54:E54">INDEX(Data_DBD!$E:$E,$A54)</f>
        <v>0</v>
      </c>
      <c r="F54" s="5" t="str">
        <f aca="false" t="array" ref="F54:F54">INDEX(Data_DBD!$F:$F,$A54)</f>
        <v>Sedang</v>
      </c>
      <c r="H54" s="5" t="n">
        <v>161</v>
      </c>
      <c r="I54" s="5" t="n">
        <v>12</v>
      </c>
      <c r="J54" s="5" t="n">
        <v>3</v>
      </c>
      <c r="K54" s="5" t="n">
        <v>21</v>
      </c>
      <c r="L54" s="5" t="n">
        <v>1</v>
      </c>
      <c r="M54" s="5" t="s">
        <v>115</v>
      </c>
    </row>
    <row r="55" customFormat="false" ht="15" hidden="false" customHeight="false" outlineLevel="0" collapsed="false">
      <c r="A55" s="5" t="n">
        <f aca="false">RANDBETWEEN(2,164)</f>
        <v>163</v>
      </c>
      <c r="B55" s="5" t="n">
        <f aca="false" t="array" ref="B55:B55">INDEX(Data_DBD!$B:$B,$A55)</f>
        <v>34</v>
      </c>
      <c r="C55" s="5" t="n">
        <f aca="false" t="array" ref="C55:C55">INDEX(Data_DBD!$C:$C,$A55)</f>
        <v>4</v>
      </c>
      <c r="D55" s="5" t="n">
        <f aca="false" t="array" ref="D55:D55">INDEX(Data_DBD!$D:$D,$A55)</f>
        <v>3</v>
      </c>
      <c r="E55" s="5" t="n">
        <f aca="false" t="array" ref="E55:E55">INDEX(Data_DBD!$E:$E,$A55)</f>
        <v>1</v>
      </c>
      <c r="F55" s="5" t="str">
        <f aca="false" t="array" ref="F55:F55">INDEX(Data_DBD!$F:$F,$A55)</f>
        <v>Rendah</v>
      </c>
      <c r="H55" s="5" t="n">
        <v>45</v>
      </c>
      <c r="I55" s="5" t="n">
        <v>75</v>
      </c>
      <c r="J55" s="5" t="n">
        <v>3</v>
      </c>
      <c r="K55" s="5" t="n">
        <v>13</v>
      </c>
      <c r="L55" s="5" t="n">
        <v>1</v>
      </c>
      <c r="M55" s="5" t="s">
        <v>7</v>
      </c>
    </row>
    <row r="56" customFormat="false" ht="15" hidden="false" customHeight="false" outlineLevel="0" collapsed="false">
      <c r="A56" s="5" t="n">
        <f aca="false">RANDBETWEEN(2,164)</f>
        <v>85</v>
      </c>
      <c r="B56" s="5" t="n">
        <f aca="false" t="array" ref="B56:B56">INDEX(Data_DBD!$B:$B,$A56)</f>
        <v>27</v>
      </c>
      <c r="C56" s="5" t="n">
        <f aca="false" t="array" ref="C56:C56">INDEX(Data_DBD!$C:$C,$A56)</f>
        <v>9</v>
      </c>
      <c r="D56" s="5" t="n">
        <f aca="false" t="array" ref="D56:D56">INDEX(Data_DBD!$D:$D,$A56)</f>
        <v>13</v>
      </c>
      <c r="E56" s="5" t="n">
        <f aca="false" t="array" ref="E56:E56">INDEX(Data_DBD!$E:$E,$A56)</f>
        <v>0</v>
      </c>
      <c r="F56" s="5" t="str">
        <f aca="false" t="array" ref="F56:F56">INDEX(Data_DBD!$F:$F,$A56)</f>
        <v>Sedang</v>
      </c>
      <c r="H56" s="5" t="n">
        <v>151</v>
      </c>
      <c r="I56" s="5" t="n">
        <v>24</v>
      </c>
      <c r="J56" s="5" t="n">
        <v>3</v>
      </c>
      <c r="K56" s="5" t="n">
        <v>21</v>
      </c>
      <c r="L56" s="5" t="n">
        <v>0</v>
      </c>
      <c r="M56" s="5" t="s">
        <v>115</v>
      </c>
    </row>
    <row r="57" customFormat="false" ht="15" hidden="false" customHeight="false" outlineLevel="0" collapsed="false">
      <c r="A57" s="5" t="n">
        <f aca="false">RANDBETWEEN(2,164)</f>
        <v>84</v>
      </c>
      <c r="B57" s="5" t="n">
        <f aca="false" t="array" ref="B57:B57">INDEX(Data_DBD!$B:$B,$A57)</f>
        <v>42</v>
      </c>
      <c r="C57" s="5" t="n">
        <f aca="false" t="array" ref="C57:C57">INDEX(Data_DBD!$C:$C,$A57)</f>
        <v>4</v>
      </c>
      <c r="D57" s="5" t="n">
        <f aca="false" t="array" ref="D57:D57">INDEX(Data_DBD!$D:$D,$A57)</f>
        <v>13</v>
      </c>
      <c r="E57" s="5" t="n">
        <f aca="false" t="array" ref="E57:E57">INDEX(Data_DBD!$E:$E,$A57)</f>
        <v>1</v>
      </c>
      <c r="F57" s="5" t="str">
        <f aca="false" t="array" ref="F57:F57">INDEX(Data_DBD!$F:$F,$A57)</f>
        <v>Sedang</v>
      </c>
      <c r="H57" s="5" t="n">
        <v>56</v>
      </c>
      <c r="I57" s="5" t="n">
        <v>4</v>
      </c>
      <c r="J57" s="5" t="n">
        <v>3</v>
      </c>
      <c r="K57" s="5" t="n">
        <v>15</v>
      </c>
      <c r="L57" s="5" t="n">
        <v>0</v>
      </c>
      <c r="M57" s="5" t="s">
        <v>7</v>
      </c>
    </row>
    <row r="58" customFormat="false" ht="15" hidden="false" customHeight="false" outlineLevel="0" collapsed="false">
      <c r="A58" s="5" t="n">
        <f aca="false">RANDBETWEEN(2,164)</f>
        <v>15</v>
      </c>
      <c r="B58" s="5" t="n">
        <f aca="false" t="array" ref="B58:B58">INDEX(Data_DBD!$B:$B,$A58)</f>
        <v>21</v>
      </c>
      <c r="C58" s="5" t="n">
        <f aca="false" t="array" ref="C58:C58">INDEX(Data_DBD!$C:$C,$A58)</f>
        <v>2</v>
      </c>
      <c r="D58" s="5" t="n">
        <f aca="false" t="array" ref="D58:D58">INDEX(Data_DBD!$D:$D,$A58)</f>
        <v>7</v>
      </c>
      <c r="E58" s="5" t="n">
        <f aca="false" t="array" ref="E58:E58">INDEX(Data_DBD!$E:$E,$A58)</f>
        <v>0</v>
      </c>
      <c r="F58" s="5" t="str">
        <f aca="false" t="array" ref="F58:F58">INDEX(Data_DBD!$F:$F,$A58)</f>
        <v>Rendah</v>
      </c>
      <c r="H58" s="5" t="n">
        <v>32</v>
      </c>
      <c r="I58" s="5" t="n">
        <v>54</v>
      </c>
      <c r="J58" s="5" t="n">
        <v>4</v>
      </c>
      <c r="K58" s="5" t="n">
        <v>14</v>
      </c>
      <c r="L58" s="5" t="n">
        <v>0</v>
      </c>
      <c r="M58" s="5" t="s">
        <v>7</v>
      </c>
    </row>
    <row r="59" customFormat="false" ht="15" hidden="false" customHeight="false" outlineLevel="0" collapsed="false">
      <c r="A59" s="5" t="n">
        <f aca="false">RANDBETWEEN(2,164)</f>
        <v>29</v>
      </c>
      <c r="B59" s="5" t="n">
        <f aca="false" t="array" ref="B59:B59">INDEX(Data_DBD!$B:$B,$A59)</f>
        <v>19</v>
      </c>
      <c r="C59" s="5" t="n">
        <f aca="false" t="array" ref="C59:C59">INDEX(Data_DBD!$C:$C,$A59)</f>
        <v>2</v>
      </c>
      <c r="D59" s="5" t="n">
        <f aca="false" t="array" ref="D59:D59">INDEX(Data_DBD!$D:$D,$A59)</f>
        <v>14</v>
      </c>
      <c r="E59" s="5" t="n">
        <f aca="false" t="array" ref="E59:E59">INDEX(Data_DBD!$E:$E,$A59)</f>
        <v>1</v>
      </c>
      <c r="F59" s="5" t="str">
        <f aca="false" t="array" ref="F59:F59">INDEX(Data_DBD!$F:$F,$A59)</f>
        <v>Sedang</v>
      </c>
      <c r="H59" s="5" t="n">
        <v>23</v>
      </c>
      <c r="I59" s="5" t="n">
        <v>28</v>
      </c>
      <c r="J59" s="5" t="n">
        <v>4</v>
      </c>
      <c r="K59" s="5" t="n">
        <v>14</v>
      </c>
      <c r="L59" s="5" t="n">
        <v>1</v>
      </c>
      <c r="M59" s="5" t="s">
        <v>7</v>
      </c>
    </row>
    <row r="60" customFormat="false" ht="15" hidden="false" customHeight="false" outlineLevel="0" collapsed="false">
      <c r="A60" s="5" t="n">
        <f aca="false">RANDBETWEEN(2,164)</f>
        <v>163</v>
      </c>
      <c r="B60" s="5" t="n">
        <f aca="false" t="array" ref="B60:B60">INDEX(Data_DBD!$B:$B,$A60)</f>
        <v>34</v>
      </c>
      <c r="C60" s="5" t="n">
        <f aca="false" t="array" ref="C60:C60">INDEX(Data_DBD!$C:$C,$A60)</f>
        <v>4</v>
      </c>
      <c r="D60" s="5" t="n">
        <f aca="false" t="array" ref="D60:D60">INDEX(Data_DBD!$D:$D,$A60)</f>
        <v>3</v>
      </c>
      <c r="E60" s="5" t="n">
        <f aca="false" t="array" ref="E60:E60">INDEX(Data_DBD!$E:$E,$A60)</f>
        <v>1</v>
      </c>
      <c r="F60" s="5" t="str">
        <f aca="false" t="array" ref="F60:F60">INDEX(Data_DBD!$F:$F,$A60)</f>
        <v>Rendah</v>
      </c>
      <c r="H60" s="5" t="n">
        <v>66</v>
      </c>
      <c r="I60" s="5" t="n">
        <v>21</v>
      </c>
      <c r="J60" s="5" t="n">
        <v>5</v>
      </c>
      <c r="K60" s="5" t="n">
        <v>15</v>
      </c>
      <c r="L60" s="5" t="n">
        <v>1</v>
      </c>
      <c r="M60" s="5" t="s">
        <v>7</v>
      </c>
    </row>
    <row r="61" customFormat="false" ht="15" hidden="false" customHeight="false" outlineLevel="0" collapsed="false">
      <c r="A61" s="5" t="n">
        <f aca="false">RANDBETWEEN(2,164)</f>
        <v>108</v>
      </c>
      <c r="B61" s="5" t="n">
        <f aca="false" t="array" ref="B61:B61">INDEX(Data_DBD!$B:$B,$A61)</f>
        <v>69</v>
      </c>
      <c r="C61" s="5" t="n">
        <f aca="false" t="array" ref="C61:C61">INDEX(Data_DBD!$C:$C,$A61)</f>
        <v>7</v>
      </c>
      <c r="D61" s="5" t="n">
        <f aca="false" t="array" ref="D61:D61">INDEX(Data_DBD!$D:$D,$A61)</f>
        <v>33</v>
      </c>
      <c r="E61" s="5" t="n">
        <f aca="false" t="array" ref="E61:E61">INDEX(Data_DBD!$E:$E,$A61)</f>
        <v>1</v>
      </c>
      <c r="F61" s="5" t="str">
        <f aca="false" t="array" ref="F61:F61">INDEX(Data_DBD!$F:$F,$A61)</f>
        <v>Tinggi</v>
      </c>
      <c r="H61" s="5" t="n">
        <v>105</v>
      </c>
      <c r="I61" s="5" t="n">
        <v>61</v>
      </c>
      <c r="J61" s="5" t="n">
        <v>3</v>
      </c>
      <c r="K61" s="5" t="n">
        <v>18</v>
      </c>
      <c r="L61" s="5" t="n">
        <v>1</v>
      </c>
      <c r="M61" s="5" t="s">
        <v>7</v>
      </c>
    </row>
    <row r="62" customFormat="false" ht="15" hidden="false" customHeight="false" outlineLevel="0" collapsed="false">
      <c r="A62" s="5" t="n">
        <f aca="false">RANDBETWEEN(2,164)</f>
        <v>139</v>
      </c>
      <c r="B62" s="5" t="n">
        <f aca="false" t="array" ref="B62:B62">INDEX(Data_DBD!$B:$B,$A62)</f>
        <v>52</v>
      </c>
      <c r="C62" s="5" t="n">
        <f aca="false" t="array" ref="C62:C62">INDEX(Data_DBD!$C:$C,$A62)</f>
        <v>7</v>
      </c>
      <c r="D62" s="5" t="n">
        <f aca="false" t="array" ref="D62:D62">INDEX(Data_DBD!$D:$D,$A62)</f>
        <v>21</v>
      </c>
      <c r="E62" s="5" t="n">
        <f aca="false" t="array" ref="E62:E62">INDEX(Data_DBD!$E:$E,$A62)</f>
        <v>0</v>
      </c>
      <c r="F62" s="5" t="str">
        <f aca="false" t="array" ref="F62:F62">INDEX(Data_DBD!$F:$F,$A62)</f>
        <v>Tinggi</v>
      </c>
      <c r="H62" s="5" t="n">
        <v>157</v>
      </c>
      <c r="I62" s="5" t="n">
        <v>15</v>
      </c>
      <c r="J62" s="5" t="n">
        <v>4</v>
      </c>
      <c r="K62" s="5" t="n">
        <v>21</v>
      </c>
      <c r="L62" s="5" t="n">
        <v>1</v>
      </c>
      <c r="M62" s="5" t="s">
        <v>115</v>
      </c>
    </row>
    <row r="63" customFormat="false" ht="15" hidden="false" customHeight="false" outlineLevel="0" collapsed="false">
      <c r="A63" s="5" t="n">
        <f aca="false">RANDBETWEEN(2,164)</f>
        <v>51</v>
      </c>
      <c r="B63" s="5" t="n">
        <f aca="false" t="array" ref="B63:B63">INDEX(Data_DBD!$B:$B,$A63)</f>
        <v>48</v>
      </c>
      <c r="C63" s="5" t="n">
        <f aca="false" t="array" ref="C63:C63">INDEX(Data_DBD!$C:$C,$A63)</f>
        <v>4</v>
      </c>
      <c r="D63" s="5" t="n">
        <f aca="false" t="array" ref="D63:D63">INDEX(Data_DBD!$D:$D,$A63)</f>
        <v>13</v>
      </c>
      <c r="E63" s="5" t="n">
        <f aca="false" t="array" ref="E63:E63">INDEX(Data_DBD!$E:$E,$A63)</f>
        <v>0</v>
      </c>
      <c r="F63" s="5" t="str">
        <f aca="false" t="array" ref="F63:F63">INDEX(Data_DBD!$F:$F,$A63)</f>
        <v>Sedang</v>
      </c>
      <c r="H63" s="5" t="n">
        <v>99</v>
      </c>
      <c r="I63" s="5" t="n">
        <v>4</v>
      </c>
      <c r="J63" s="5" t="n">
        <v>2</v>
      </c>
      <c r="K63" s="5" t="n">
        <v>18</v>
      </c>
      <c r="L63" s="5" t="n">
        <v>1</v>
      </c>
      <c r="M63" s="5" t="s">
        <v>7</v>
      </c>
    </row>
    <row r="64" customFormat="false" ht="15" hidden="false" customHeight="false" outlineLevel="0" collapsed="false">
      <c r="A64" s="5" t="n">
        <f aca="false">RANDBETWEEN(2,164)</f>
        <v>52</v>
      </c>
      <c r="B64" s="5" t="n">
        <f aca="false" t="array" ref="B64:B64">INDEX(Data_DBD!$B:$B,$A64)</f>
        <v>59</v>
      </c>
      <c r="C64" s="5" t="n">
        <f aca="false" t="array" ref="C64:C64">INDEX(Data_DBD!$C:$C,$A64)</f>
        <v>4</v>
      </c>
      <c r="D64" s="5" t="n">
        <f aca="false" t="array" ref="D64:D64">INDEX(Data_DBD!$D:$D,$A64)</f>
        <v>15</v>
      </c>
      <c r="E64" s="5" t="n">
        <f aca="false" t="array" ref="E64:E64">INDEX(Data_DBD!$E:$E,$A64)</f>
        <v>1</v>
      </c>
      <c r="F64" s="5" t="str">
        <f aca="false" t="array" ref="F64:F64">INDEX(Data_DBD!$F:$F,$A64)</f>
        <v>Sedang</v>
      </c>
      <c r="H64" s="5" t="n">
        <v>60</v>
      </c>
      <c r="I64" s="5" t="n">
        <v>68</v>
      </c>
      <c r="J64" s="5" t="n">
        <v>4</v>
      </c>
      <c r="K64" s="5" t="n">
        <v>15</v>
      </c>
      <c r="L64" s="5" t="n">
        <v>0</v>
      </c>
      <c r="M64" s="5" t="s">
        <v>7</v>
      </c>
    </row>
    <row r="65" customFormat="false" ht="15" hidden="false" customHeight="false" outlineLevel="0" collapsed="false">
      <c r="A65" s="5" t="n">
        <f aca="false">RANDBETWEEN(2,164)</f>
        <v>49</v>
      </c>
      <c r="B65" s="5" t="n">
        <f aca="false" t="array" ref="B65:B65">INDEX(Data_DBD!$B:$B,$A65)</f>
        <v>64</v>
      </c>
      <c r="C65" s="5" t="n">
        <f aca="false" t="array" ref="C65:C65">INDEX(Data_DBD!$C:$C,$A65)</f>
        <v>5</v>
      </c>
      <c r="D65" s="5" t="n">
        <f aca="false" t="array" ref="D65:D65">INDEX(Data_DBD!$D:$D,$A65)</f>
        <v>13</v>
      </c>
      <c r="E65" s="5" t="n">
        <f aca="false" t="array" ref="E65:E65">INDEX(Data_DBD!$E:$E,$A65)</f>
        <v>0</v>
      </c>
      <c r="F65" s="5" t="str">
        <f aca="false" t="array" ref="F65:F65">INDEX(Data_DBD!$F:$F,$A65)</f>
        <v>Sedang</v>
      </c>
      <c r="H65" s="5" t="n">
        <v>141</v>
      </c>
      <c r="I65" s="5" t="n">
        <v>36</v>
      </c>
      <c r="J65" s="5" t="n">
        <v>2</v>
      </c>
      <c r="K65" s="5" t="n">
        <v>21</v>
      </c>
      <c r="L65" s="5" t="n">
        <v>0</v>
      </c>
      <c r="M65" s="5" t="s">
        <v>115</v>
      </c>
    </row>
    <row r="66" customFormat="false" ht="15.75" hidden="false" customHeight="true" outlineLevel="0" collapsed="false">
      <c r="A66" s="5" t="n">
        <f aca="false">RANDBETWEEN(2,164)</f>
        <v>113</v>
      </c>
      <c r="B66" s="5" t="n">
        <f aca="false" t="array" ref="B66:B66">INDEX(Data_DBD!$B:$B,$A66)</f>
        <v>69</v>
      </c>
      <c r="C66" s="5" t="n">
        <f aca="false" t="array" ref="C66:C66">INDEX(Data_DBD!$C:$C,$A66)</f>
        <v>1</v>
      </c>
      <c r="D66" s="5" t="n">
        <f aca="false" t="array" ref="D66:D66">INDEX(Data_DBD!$D:$D,$A66)</f>
        <v>33</v>
      </c>
      <c r="E66" s="5" t="n">
        <f aca="false" t="array" ref="E66:E66">INDEX(Data_DBD!$E:$E,$A66)</f>
        <v>1</v>
      </c>
      <c r="F66" s="5" t="str">
        <f aca="false" t="array" ref="F66:F66">INDEX(Data_DBD!$F:$F,$A66)</f>
        <v>Tinggi</v>
      </c>
      <c r="H66" s="5" t="n">
        <v>128</v>
      </c>
      <c r="I66" s="5" t="n">
        <v>38</v>
      </c>
      <c r="J66" s="5" t="n">
        <v>2</v>
      </c>
      <c r="K66" s="5" t="n">
        <v>33</v>
      </c>
      <c r="L66" s="5" t="n">
        <v>0</v>
      </c>
      <c r="M66" s="5" t="s">
        <v>115</v>
      </c>
      <c r="U66" s="7" t="s">
        <v>176</v>
      </c>
    </row>
    <row r="67" customFormat="false" ht="15.75" hidden="false" customHeight="true" outlineLevel="0" collapsed="false">
      <c r="A67" s="5" t="n">
        <f aca="false">RANDBETWEEN(2,164)</f>
        <v>109</v>
      </c>
      <c r="B67" s="5" t="n">
        <f aca="false" t="array" ref="B67:B67">INDEX(Data_DBD!$B:$B,$A67)</f>
        <v>40</v>
      </c>
      <c r="C67" s="5" t="n">
        <f aca="false" t="array" ref="C67:C67">INDEX(Data_DBD!$C:$C,$A67)</f>
        <v>3</v>
      </c>
      <c r="D67" s="5" t="n">
        <f aca="false" t="array" ref="D67:D67">INDEX(Data_DBD!$D:$D,$A67)</f>
        <v>33</v>
      </c>
      <c r="E67" s="5" t="n">
        <f aca="false" t="array" ref="E67:E67">INDEX(Data_DBD!$E:$E,$A67)</f>
        <v>1</v>
      </c>
      <c r="F67" s="5" t="str">
        <f aca="false" t="array" ref="F67:F67">INDEX(Data_DBD!$F:$F,$A67)</f>
        <v>Tinggi</v>
      </c>
      <c r="H67" s="5" t="n">
        <v>89</v>
      </c>
      <c r="I67" s="5" t="n">
        <v>32</v>
      </c>
      <c r="J67" s="5" t="n">
        <v>4</v>
      </c>
      <c r="K67" s="5" t="n">
        <v>13</v>
      </c>
      <c r="L67" s="5" t="n">
        <v>0</v>
      </c>
      <c r="M67" s="5" t="s">
        <v>7</v>
      </c>
      <c r="U67" s="8" t="s">
        <v>177</v>
      </c>
    </row>
    <row r="68" customFormat="false" ht="15.75" hidden="false" customHeight="true" outlineLevel="0" collapsed="false">
      <c r="A68" s="5" t="n">
        <f aca="false">RANDBETWEEN(2,164)</f>
        <v>35</v>
      </c>
      <c r="B68" s="5" t="n">
        <f aca="false" t="array" ref="B68:B68">INDEX(Data_DBD!$B:$B,$A68)</f>
        <v>40</v>
      </c>
      <c r="C68" s="5" t="n">
        <f aca="false" t="array" ref="C68:C68">INDEX(Data_DBD!$C:$C,$A68)</f>
        <v>3</v>
      </c>
      <c r="D68" s="5" t="n">
        <f aca="false" t="array" ref="D68:D68">INDEX(Data_DBD!$D:$D,$A68)</f>
        <v>4</v>
      </c>
      <c r="E68" s="5" t="n">
        <f aca="false" t="array" ref="E68:E68">INDEX(Data_DBD!$E:$E,$A68)</f>
        <v>1</v>
      </c>
      <c r="F68" s="5" t="str">
        <f aca="false" t="array" ref="F68:F68">INDEX(Data_DBD!$F:$F,$A68)</f>
        <v>Rendah</v>
      </c>
      <c r="H68" s="5" t="n">
        <v>11</v>
      </c>
      <c r="I68" s="5" t="n">
        <v>24</v>
      </c>
      <c r="J68" s="5" t="n">
        <v>5</v>
      </c>
      <c r="K68" s="5" t="n">
        <v>12</v>
      </c>
      <c r="L68" s="5" t="n">
        <v>1</v>
      </c>
      <c r="M68" s="5" t="s">
        <v>7</v>
      </c>
      <c r="U68" s="9" t="s">
        <v>178</v>
      </c>
    </row>
    <row r="69" customFormat="false" ht="15.75" hidden="false" customHeight="true" outlineLevel="0" collapsed="false">
      <c r="A69" s="5" t="n">
        <f aca="false">RANDBETWEEN(2,164)</f>
        <v>116</v>
      </c>
      <c r="B69" s="5" t="n">
        <f aca="false" t="array" ref="B69:B69">INDEX(Data_DBD!$B:$B,$A69)</f>
        <v>32</v>
      </c>
      <c r="C69" s="5" t="n">
        <f aca="false" t="array" ref="C69:C69">INDEX(Data_DBD!$C:$C,$A69)</f>
        <v>4</v>
      </c>
      <c r="D69" s="5" t="n">
        <f aca="false" t="array" ref="D69:D69">INDEX(Data_DBD!$D:$D,$A69)</f>
        <v>33</v>
      </c>
      <c r="E69" s="5" t="n">
        <f aca="false" t="array" ref="E69:E69">INDEX(Data_DBD!$E:$E,$A69)</f>
        <v>1</v>
      </c>
      <c r="F69" s="5" t="str">
        <f aca="false" t="array" ref="F69:F69">INDEX(Data_DBD!$F:$F,$A69)</f>
        <v>Tinggi</v>
      </c>
      <c r="H69" s="5" t="n">
        <v>79</v>
      </c>
      <c r="I69" s="5" t="n">
        <v>29</v>
      </c>
      <c r="J69" s="5" t="n">
        <v>3</v>
      </c>
      <c r="K69" s="5" t="n">
        <v>13</v>
      </c>
      <c r="L69" s="5" t="n">
        <v>0</v>
      </c>
      <c r="M69" s="5" t="s">
        <v>7</v>
      </c>
      <c r="U69" s="9" t="s">
        <v>179</v>
      </c>
    </row>
    <row r="70" customFormat="false" ht="15.75" hidden="false" customHeight="true" outlineLevel="0" collapsed="false">
      <c r="A70" s="5" t="n">
        <f aca="false">RANDBETWEEN(2,164)</f>
        <v>142</v>
      </c>
      <c r="B70" s="5" t="n">
        <f aca="false" t="array" ref="B70:B70">INDEX(Data_DBD!$B:$B,$A70)</f>
        <v>39</v>
      </c>
      <c r="C70" s="5" t="n">
        <f aca="false" t="array" ref="C70:C70">INDEX(Data_DBD!$C:$C,$A70)</f>
        <v>2</v>
      </c>
      <c r="D70" s="5" t="n">
        <f aca="false" t="array" ref="D70:D70">INDEX(Data_DBD!$D:$D,$A70)</f>
        <v>21</v>
      </c>
      <c r="E70" s="5" t="n">
        <f aca="false" t="array" ref="E70:E70">INDEX(Data_DBD!$E:$E,$A70)</f>
        <v>1</v>
      </c>
      <c r="F70" s="5" t="str">
        <f aca="false" t="array" ref="F70:F70">INDEX(Data_DBD!$F:$F,$A70)</f>
        <v>Tinggi</v>
      </c>
      <c r="H70" s="5" t="n">
        <v>133</v>
      </c>
      <c r="I70" s="5" t="n">
        <v>6</v>
      </c>
      <c r="J70" s="5" t="n">
        <v>4</v>
      </c>
      <c r="K70" s="5" t="n">
        <v>33</v>
      </c>
      <c r="L70" s="5" t="n">
        <v>0</v>
      </c>
      <c r="M70" s="5" t="s">
        <v>115</v>
      </c>
      <c r="U70" s="8" t="s">
        <v>180</v>
      </c>
    </row>
    <row r="71" customFormat="false" ht="15.75" hidden="false" customHeight="true" outlineLevel="0" collapsed="false">
      <c r="A71" s="5" t="n">
        <f aca="false">RANDBETWEEN(2,164)</f>
        <v>64</v>
      </c>
      <c r="B71" s="5" t="n">
        <f aca="false" t="array" ref="B71:B71">INDEX(Data_DBD!$B:$B,$A71)</f>
        <v>35</v>
      </c>
      <c r="C71" s="5" t="n">
        <f aca="false" t="array" ref="C71:C71">INDEX(Data_DBD!$C:$C,$A71)</f>
        <v>1</v>
      </c>
      <c r="D71" s="5" t="n">
        <f aca="false" t="array" ref="D71:D71">INDEX(Data_DBD!$D:$D,$A71)</f>
        <v>15</v>
      </c>
      <c r="E71" s="5" t="n">
        <f aca="false" t="array" ref="E71:E71">INDEX(Data_DBD!$E:$E,$A71)</f>
        <v>0</v>
      </c>
      <c r="F71" s="5" t="str">
        <f aca="false" t="array" ref="F71:F71">INDEX(Data_DBD!$F:$F,$A71)</f>
        <v>Sedang</v>
      </c>
      <c r="H71" s="5" t="n">
        <v>133</v>
      </c>
      <c r="I71" s="5" t="n">
        <v>6</v>
      </c>
      <c r="J71" s="5" t="n">
        <v>4</v>
      </c>
      <c r="K71" s="5" t="n">
        <v>33</v>
      </c>
      <c r="L71" s="5" t="n">
        <v>0</v>
      </c>
      <c r="M71" s="5" t="s">
        <v>115</v>
      </c>
      <c r="U71" s="9" t="s">
        <v>181</v>
      </c>
    </row>
    <row r="72" customFormat="false" ht="15.75" hidden="false" customHeight="true" outlineLevel="0" collapsed="false">
      <c r="A72" s="5" t="n">
        <f aca="false">RANDBETWEEN(2,164)</f>
        <v>49</v>
      </c>
      <c r="B72" s="5" t="n">
        <f aca="false" t="array" ref="B72:B72">INDEX(Data_DBD!$B:$B,$A72)</f>
        <v>64</v>
      </c>
      <c r="C72" s="5" t="n">
        <f aca="false" t="array" ref="C72:C72">INDEX(Data_DBD!$C:$C,$A72)</f>
        <v>5</v>
      </c>
      <c r="D72" s="5" t="n">
        <f aca="false" t="array" ref="D72:D72">INDEX(Data_DBD!$D:$D,$A72)</f>
        <v>13</v>
      </c>
      <c r="E72" s="5" t="n">
        <f aca="false" t="array" ref="E72:E72">INDEX(Data_DBD!$E:$E,$A72)</f>
        <v>0</v>
      </c>
      <c r="F72" s="5" t="str">
        <f aca="false" t="array" ref="F72:F72">INDEX(Data_DBD!$F:$F,$A72)</f>
        <v>Sedang</v>
      </c>
      <c r="H72" s="5" t="n">
        <v>94</v>
      </c>
      <c r="I72" s="5" t="n">
        <v>12</v>
      </c>
      <c r="J72" s="5" t="n">
        <v>4</v>
      </c>
      <c r="K72" s="5" t="n">
        <v>18</v>
      </c>
      <c r="L72" s="5" t="n">
        <v>0</v>
      </c>
      <c r="M72" s="5" t="s">
        <v>7</v>
      </c>
      <c r="U72" s="9" t="s">
        <v>182</v>
      </c>
    </row>
    <row r="73" customFormat="false" ht="15.75" hidden="false" customHeight="true" outlineLevel="0" collapsed="false">
      <c r="A73" s="5" t="n">
        <f aca="false">RANDBETWEEN(2,164)</f>
        <v>101</v>
      </c>
      <c r="B73" s="5" t="n">
        <f aca="false" t="array" ref="B73:B73">INDEX(Data_DBD!$B:$B,$A73)</f>
        <v>42</v>
      </c>
      <c r="C73" s="5" t="n">
        <f aca="false" t="array" ref="C73:C73">INDEX(Data_DBD!$C:$C,$A73)</f>
        <v>5</v>
      </c>
      <c r="D73" s="5" t="n">
        <f aca="false" t="array" ref="D73:D73">INDEX(Data_DBD!$D:$D,$A73)</f>
        <v>18</v>
      </c>
      <c r="E73" s="5" t="n">
        <f aca="false" t="array" ref="E73:E73">INDEX(Data_DBD!$E:$E,$A73)</f>
        <v>0</v>
      </c>
      <c r="F73" s="5" t="str">
        <f aca="false" t="array" ref="F73:F73">INDEX(Data_DBD!$F:$F,$A73)</f>
        <v>Sedang</v>
      </c>
      <c r="H73" s="5" t="n">
        <v>84</v>
      </c>
      <c r="I73" s="5" t="n">
        <v>42</v>
      </c>
      <c r="J73" s="5" t="n">
        <v>4</v>
      </c>
      <c r="K73" s="5" t="n">
        <v>13</v>
      </c>
      <c r="L73" s="5" t="n">
        <v>1</v>
      </c>
      <c r="M73" s="5" t="s">
        <v>7</v>
      </c>
      <c r="U73" s="8" t="s">
        <v>183</v>
      </c>
    </row>
    <row r="74" customFormat="false" ht="15.75" hidden="false" customHeight="true" outlineLevel="0" collapsed="false">
      <c r="A74" s="5" t="n">
        <f aca="false">RANDBETWEEN(2,164)</f>
        <v>115</v>
      </c>
      <c r="B74" s="5" t="n">
        <f aca="false" t="array" ref="B74:B74">INDEX(Data_DBD!$B:$B,$A74)</f>
        <v>52</v>
      </c>
      <c r="C74" s="5" t="n">
        <f aca="false" t="array" ref="C74:C74">INDEX(Data_DBD!$C:$C,$A74)</f>
        <v>3</v>
      </c>
      <c r="D74" s="5" t="n">
        <f aca="false" t="array" ref="D74:D74">INDEX(Data_DBD!$D:$D,$A74)</f>
        <v>33</v>
      </c>
      <c r="E74" s="5" t="n">
        <f aca="false" t="array" ref="E74:E74">INDEX(Data_DBD!$E:$E,$A74)</f>
        <v>1</v>
      </c>
      <c r="F74" s="5" t="str">
        <f aca="false" t="array" ref="F74:F74">INDEX(Data_DBD!$F:$F,$A74)</f>
        <v>Tinggi</v>
      </c>
      <c r="H74" s="5" t="n">
        <v>33</v>
      </c>
      <c r="I74" s="5" t="n">
        <v>19</v>
      </c>
      <c r="J74" s="5" t="n">
        <v>4</v>
      </c>
      <c r="K74" s="5" t="n">
        <v>14</v>
      </c>
      <c r="L74" s="5" t="n">
        <v>1</v>
      </c>
      <c r="M74" s="5" t="s">
        <v>7</v>
      </c>
      <c r="U74" s="9" t="s">
        <v>184</v>
      </c>
    </row>
    <row r="75" customFormat="false" ht="15" hidden="false" customHeight="false" outlineLevel="0" collapsed="false">
      <c r="A75" s="5" t="n">
        <f aca="false">RANDBETWEEN(2,164)</f>
        <v>128</v>
      </c>
      <c r="B75" s="5" t="n">
        <f aca="false" t="array" ref="B75:B75">INDEX(Data_DBD!$B:$B,$A75)</f>
        <v>38</v>
      </c>
      <c r="C75" s="5" t="n">
        <f aca="false" t="array" ref="C75:C75">INDEX(Data_DBD!$C:$C,$A75)</f>
        <v>2</v>
      </c>
      <c r="D75" s="5" t="n">
        <f aca="false" t="array" ref="D75:D75">INDEX(Data_DBD!$D:$D,$A75)</f>
        <v>33</v>
      </c>
      <c r="E75" s="5" t="n">
        <f aca="false" t="array" ref="E75:E75">INDEX(Data_DBD!$E:$E,$A75)</f>
        <v>0</v>
      </c>
      <c r="F75" s="5" t="str">
        <f aca="false" t="array" ref="F75:F75">INDEX(Data_DBD!$F:$F,$A75)</f>
        <v>Tinggi</v>
      </c>
      <c r="H75" s="5" t="n">
        <v>114</v>
      </c>
      <c r="I75" s="5" t="n">
        <v>14</v>
      </c>
      <c r="J75" s="5" t="n">
        <v>2</v>
      </c>
      <c r="K75" s="5" t="n">
        <v>33</v>
      </c>
      <c r="L75" s="5" t="n">
        <v>1</v>
      </c>
      <c r="M75" s="5" t="s">
        <v>115</v>
      </c>
    </row>
    <row r="76" customFormat="false" ht="15" hidden="false" customHeight="false" outlineLevel="0" collapsed="false">
      <c r="A76" s="5" t="n">
        <f aca="false">RANDBETWEEN(2,164)</f>
        <v>42</v>
      </c>
      <c r="B76" s="5" t="n">
        <f aca="false" t="array" ref="B76:B76">INDEX(Data_DBD!$B:$B,$A76)</f>
        <v>21</v>
      </c>
      <c r="C76" s="5" t="n">
        <f aca="false" t="array" ref="C76:C76">INDEX(Data_DBD!$C:$C,$A76)</f>
        <v>5</v>
      </c>
      <c r="D76" s="5" t="n">
        <f aca="false" t="array" ref="D76:D76">INDEX(Data_DBD!$D:$D,$A76)</f>
        <v>13</v>
      </c>
      <c r="E76" s="5" t="n">
        <f aca="false" t="array" ref="E76:E76">INDEX(Data_DBD!$E:$E,$A76)</f>
        <v>1</v>
      </c>
      <c r="F76" s="5" t="str">
        <f aca="false" t="array" ref="F76:F76">INDEX(Data_DBD!$F:$F,$A76)</f>
        <v>Sedang</v>
      </c>
      <c r="H76" s="5" t="n">
        <v>77</v>
      </c>
      <c r="I76" s="5" t="n">
        <v>16</v>
      </c>
      <c r="J76" s="5" t="n">
        <v>4</v>
      </c>
      <c r="K76" s="5" t="n">
        <v>13</v>
      </c>
      <c r="L76" s="5" t="n">
        <v>1</v>
      </c>
      <c r="M76" s="5" t="s">
        <v>7</v>
      </c>
    </row>
    <row r="77" customFormat="false" ht="15" hidden="false" customHeight="false" outlineLevel="0" collapsed="false">
      <c r="A77" s="5" t="n">
        <f aca="false">RANDBETWEEN(2,164)</f>
        <v>77</v>
      </c>
      <c r="B77" s="5" t="n">
        <f aca="false" t="array" ref="B77:B77">INDEX(Data_DBD!$B:$B,$A77)</f>
        <v>16</v>
      </c>
      <c r="C77" s="5" t="n">
        <f aca="false" t="array" ref="C77:C77">INDEX(Data_DBD!$C:$C,$A77)</f>
        <v>4</v>
      </c>
      <c r="D77" s="5" t="n">
        <f aca="false" t="array" ref="D77:D77">INDEX(Data_DBD!$D:$D,$A77)</f>
        <v>13</v>
      </c>
      <c r="E77" s="5" t="n">
        <f aca="false" t="array" ref="E77:E77">INDEX(Data_DBD!$E:$E,$A77)</f>
        <v>1</v>
      </c>
      <c r="F77" s="5" t="str">
        <f aca="false" t="array" ref="F77:F77">INDEX(Data_DBD!$F:$F,$A77)</f>
        <v>Sedang</v>
      </c>
      <c r="H77" s="5" t="n">
        <v>114</v>
      </c>
      <c r="I77" s="5" t="n">
        <v>14</v>
      </c>
      <c r="J77" s="5" t="n">
        <v>2</v>
      </c>
      <c r="K77" s="5" t="n">
        <v>33</v>
      </c>
      <c r="L77" s="5" t="n">
        <v>1</v>
      </c>
      <c r="M77" s="5" t="s">
        <v>115</v>
      </c>
    </row>
    <row r="78" customFormat="false" ht="15" hidden="false" customHeight="false" outlineLevel="0" collapsed="false">
      <c r="A78" s="5" t="n">
        <f aca="false">RANDBETWEEN(2,164)</f>
        <v>109</v>
      </c>
      <c r="B78" s="5" t="n">
        <f aca="false" t="array" ref="B78:B78">INDEX(Data_DBD!$B:$B,$A78)</f>
        <v>40</v>
      </c>
      <c r="C78" s="5" t="n">
        <f aca="false" t="array" ref="C78:C78">INDEX(Data_DBD!$C:$C,$A78)</f>
        <v>3</v>
      </c>
      <c r="D78" s="5" t="n">
        <f aca="false" t="array" ref="D78:D78">INDEX(Data_DBD!$D:$D,$A78)</f>
        <v>33</v>
      </c>
      <c r="E78" s="5" t="n">
        <f aca="false" t="array" ref="E78:E78">INDEX(Data_DBD!$E:$E,$A78)</f>
        <v>1</v>
      </c>
      <c r="F78" s="5" t="str">
        <f aca="false" t="array" ref="F78:F78">INDEX(Data_DBD!$F:$F,$A78)</f>
        <v>Tinggi</v>
      </c>
      <c r="H78" s="5" t="n">
        <v>102</v>
      </c>
      <c r="I78" s="5" t="n">
        <v>41</v>
      </c>
      <c r="J78" s="5" t="n">
        <v>4</v>
      </c>
      <c r="K78" s="5" t="n">
        <v>18</v>
      </c>
      <c r="L78" s="5" t="n">
        <v>0</v>
      </c>
      <c r="M78" s="5" t="s">
        <v>7</v>
      </c>
    </row>
    <row r="79" customFormat="false" ht="15" hidden="false" customHeight="false" outlineLevel="0" collapsed="false">
      <c r="A79" s="5" t="n">
        <f aca="false">RANDBETWEEN(2,164)</f>
        <v>79</v>
      </c>
      <c r="B79" s="5" t="n">
        <f aca="false" t="array" ref="B79:B79">INDEX(Data_DBD!$B:$B,$A79)</f>
        <v>29</v>
      </c>
      <c r="C79" s="5" t="n">
        <f aca="false" t="array" ref="C79:C79">INDEX(Data_DBD!$C:$C,$A79)</f>
        <v>3</v>
      </c>
      <c r="D79" s="5" t="n">
        <f aca="false" t="array" ref="D79:D79">INDEX(Data_DBD!$D:$D,$A79)</f>
        <v>13</v>
      </c>
      <c r="E79" s="5" t="n">
        <f aca="false" t="array" ref="E79:E79">INDEX(Data_DBD!$E:$E,$A79)</f>
        <v>0</v>
      </c>
      <c r="F79" s="5" t="str">
        <f aca="false" t="array" ref="F79:F79">INDEX(Data_DBD!$F:$F,$A79)</f>
        <v>Sedang</v>
      </c>
      <c r="H79" s="5" t="n">
        <v>3</v>
      </c>
      <c r="I79" s="5" t="n">
        <v>43</v>
      </c>
      <c r="J79" s="5" t="n">
        <v>3</v>
      </c>
      <c r="K79" s="5" t="n">
        <v>12</v>
      </c>
      <c r="L79" s="5" t="n">
        <v>1</v>
      </c>
      <c r="M79" s="5" t="s">
        <v>7</v>
      </c>
    </row>
    <row r="80" customFormat="false" ht="15" hidden="false" customHeight="false" outlineLevel="0" collapsed="false">
      <c r="A80" s="5" t="n">
        <f aca="false">RANDBETWEEN(2,164)</f>
        <v>10</v>
      </c>
      <c r="B80" s="5" t="n">
        <f aca="false" t="array" ref="B80:B80">INDEX(Data_DBD!$B:$B,$A80)</f>
        <v>18</v>
      </c>
      <c r="C80" s="5" t="n">
        <f aca="false" t="array" ref="C80:C80">INDEX(Data_DBD!$C:$C,$A80)</f>
        <v>5</v>
      </c>
      <c r="D80" s="5" t="n">
        <f aca="false" t="array" ref="D80:D80">INDEX(Data_DBD!$D:$D,$A80)</f>
        <v>12</v>
      </c>
      <c r="E80" s="5" t="n">
        <f aca="false" t="array" ref="E80:E80">INDEX(Data_DBD!$E:$E,$A80)</f>
        <v>0</v>
      </c>
      <c r="F80" s="5" t="str">
        <f aca="false" t="array" ref="F80:F80">INDEX(Data_DBD!$F:$F,$A80)</f>
        <v>Sedang</v>
      </c>
      <c r="H80" s="5" t="n">
        <v>72</v>
      </c>
      <c r="I80" s="5" t="n">
        <v>3</v>
      </c>
      <c r="J80" s="5" t="n">
        <v>5</v>
      </c>
      <c r="K80" s="5" t="n">
        <v>10</v>
      </c>
      <c r="L80" s="5" t="n">
        <v>1</v>
      </c>
      <c r="M80" s="5" t="s">
        <v>20</v>
      </c>
    </row>
    <row r="81" customFormat="false" ht="15" hidden="false" customHeight="false" outlineLevel="0" collapsed="false">
      <c r="A81" s="5" t="n">
        <f aca="false">RANDBETWEEN(2,164)</f>
        <v>23</v>
      </c>
      <c r="B81" s="5" t="n">
        <f aca="false" t="array" ref="B81:B81">INDEX(Data_DBD!$B:$B,$A81)</f>
        <v>28</v>
      </c>
      <c r="C81" s="5" t="n">
        <f aca="false" t="array" ref="C81:C81">INDEX(Data_DBD!$C:$C,$A81)</f>
        <v>4</v>
      </c>
      <c r="D81" s="5" t="n">
        <f aca="false" t="array" ref="D81:D81">INDEX(Data_DBD!$D:$D,$A81)</f>
        <v>14</v>
      </c>
      <c r="E81" s="5" t="n">
        <f aca="false" t="array" ref="E81:E81">INDEX(Data_DBD!$E:$E,$A81)</f>
        <v>1</v>
      </c>
      <c r="F81" s="5" t="str">
        <f aca="false" t="array" ref="F81:F81">INDEX(Data_DBD!$F:$F,$A81)</f>
        <v>Sedang</v>
      </c>
      <c r="H81" s="5" t="n">
        <v>92</v>
      </c>
      <c r="I81" s="5" t="n">
        <v>55</v>
      </c>
      <c r="J81" s="5" t="n">
        <v>7</v>
      </c>
      <c r="K81" s="5" t="n">
        <v>18</v>
      </c>
      <c r="L81" s="5" t="n">
        <v>0</v>
      </c>
      <c r="M81" s="5" t="s">
        <v>7</v>
      </c>
    </row>
    <row r="82" customFormat="false" ht="15" hidden="false" customHeight="false" outlineLevel="0" collapsed="false">
      <c r="A82" s="5" t="n">
        <f aca="false">RANDBETWEEN(2,164)</f>
        <v>54</v>
      </c>
      <c r="B82" s="5" t="n">
        <f aca="false" t="array" ref="B82:B82">INDEX(Data_DBD!$B:$B,$A82)</f>
        <v>7</v>
      </c>
      <c r="C82" s="5" t="n">
        <f aca="false" t="array" ref="C82:C82">INDEX(Data_DBD!$C:$C,$A82)</f>
        <v>3</v>
      </c>
      <c r="D82" s="5" t="n">
        <f aca="false" t="array" ref="D82:D82">INDEX(Data_DBD!$D:$D,$A82)</f>
        <v>15</v>
      </c>
      <c r="E82" s="5" t="n">
        <f aca="false" t="array" ref="E82:E82">INDEX(Data_DBD!$E:$E,$A82)</f>
        <v>0</v>
      </c>
      <c r="F82" s="5" t="str">
        <f aca="false" t="array" ref="F82:F82">INDEX(Data_DBD!$F:$F,$A82)</f>
        <v>Sedang</v>
      </c>
      <c r="H82" s="5" t="n">
        <v>65</v>
      </c>
      <c r="I82" s="5" t="n">
        <v>49</v>
      </c>
      <c r="J82" s="5" t="n">
        <v>3</v>
      </c>
      <c r="K82" s="5" t="n">
        <v>15</v>
      </c>
      <c r="L82" s="5" t="n">
        <v>0</v>
      </c>
      <c r="M82" s="5" t="s">
        <v>7</v>
      </c>
    </row>
    <row r="83" customFormat="false" ht="15" hidden="false" customHeight="false" outlineLevel="0" collapsed="false">
      <c r="A83" s="5" t="n">
        <f aca="false">RANDBETWEEN(2,164)</f>
        <v>124</v>
      </c>
      <c r="B83" s="5" t="n">
        <f aca="false" t="array" ref="B83:B83">INDEX(Data_DBD!$B:$B,$A83)</f>
        <v>24</v>
      </c>
      <c r="C83" s="5" t="n">
        <f aca="false" t="array" ref="C83:C83">INDEX(Data_DBD!$C:$C,$A83)</f>
        <v>3</v>
      </c>
      <c r="D83" s="5" t="n">
        <f aca="false" t="array" ref="D83:D83">INDEX(Data_DBD!$D:$D,$A83)</f>
        <v>33</v>
      </c>
      <c r="E83" s="5" t="n">
        <f aca="false" t="array" ref="E83:E83">INDEX(Data_DBD!$E:$E,$A83)</f>
        <v>1</v>
      </c>
      <c r="F83" s="5" t="str">
        <f aca="false" t="array" ref="F83:F83">INDEX(Data_DBD!$F:$F,$A83)</f>
        <v>Tinggi</v>
      </c>
      <c r="H83" s="5" t="n">
        <v>90</v>
      </c>
      <c r="I83" s="5" t="n">
        <v>47</v>
      </c>
      <c r="J83" s="5" t="n">
        <v>3</v>
      </c>
      <c r="K83" s="5" t="n">
        <v>18</v>
      </c>
      <c r="L83" s="5" t="n">
        <v>0</v>
      </c>
      <c r="M83" s="5" t="s">
        <v>7</v>
      </c>
    </row>
    <row r="84" customFormat="false" ht="15" hidden="false" customHeight="false" outlineLevel="0" collapsed="false">
      <c r="A84" s="5" t="n">
        <f aca="false">RANDBETWEEN(2,164)</f>
        <v>100</v>
      </c>
      <c r="B84" s="5" t="n">
        <f aca="false" t="array" ref="B84:B84">INDEX(Data_DBD!$B:$B,$A84)</f>
        <v>19</v>
      </c>
      <c r="C84" s="5" t="n">
        <f aca="false" t="array" ref="C84:C84">INDEX(Data_DBD!$C:$C,$A84)</f>
        <v>6</v>
      </c>
      <c r="D84" s="5" t="n">
        <f aca="false" t="array" ref="D84:D84">INDEX(Data_DBD!$D:$D,$A84)</f>
        <v>18</v>
      </c>
      <c r="E84" s="5" t="n">
        <f aca="false" t="array" ref="E84:E84">INDEX(Data_DBD!$E:$E,$A84)</f>
        <v>0</v>
      </c>
      <c r="F84" s="5" t="str">
        <f aca="false" t="array" ref="F84:F84">INDEX(Data_DBD!$F:$F,$A84)</f>
        <v>Sedang</v>
      </c>
      <c r="H84" s="5" t="n">
        <v>93</v>
      </c>
      <c r="I84" s="5" t="n">
        <v>65</v>
      </c>
      <c r="J84" s="5" t="n">
        <v>4</v>
      </c>
      <c r="K84" s="5" t="n">
        <v>18</v>
      </c>
      <c r="L84" s="5" t="n">
        <v>0</v>
      </c>
      <c r="M84" s="5" t="s">
        <v>7</v>
      </c>
    </row>
    <row r="85" customFormat="false" ht="15" hidden="false" customHeight="false" outlineLevel="0" collapsed="false">
      <c r="A85" s="5" t="n">
        <f aca="false">RANDBETWEEN(2,164)</f>
        <v>48</v>
      </c>
      <c r="B85" s="5" t="n">
        <f aca="false" t="array" ref="B85:B85">INDEX(Data_DBD!$B:$B,$A85)</f>
        <v>50</v>
      </c>
      <c r="C85" s="5" t="n">
        <f aca="false" t="array" ref="C85:C85">INDEX(Data_DBD!$C:$C,$A85)</f>
        <v>5</v>
      </c>
      <c r="D85" s="5" t="n">
        <f aca="false" t="array" ref="D85:D85">INDEX(Data_DBD!$D:$D,$A85)</f>
        <v>13</v>
      </c>
      <c r="E85" s="5" t="n">
        <f aca="false" t="array" ref="E85:E85">INDEX(Data_DBD!$E:$E,$A85)</f>
        <v>1</v>
      </c>
      <c r="F85" s="5" t="str">
        <f aca="false" t="array" ref="F85:F85">INDEX(Data_DBD!$F:$F,$A85)</f>
        <v>Sedang</v>
      </c>
      <c r="H85" s="5" t="n">
        <v>16</v>
      </c>
      <c r="I85" s="5" t="n">
        <v>66</v>
      </c>
      <c r="J85" s="5" t="n">
        <v>5</v>
      </c>
      <c r="K85" s="5" t="n">
        <v>7</v>
      </c>
      <c r="L85" s="5" t="n">
        <v>1</v>
      </c>
      <c r="M85" s="5" t="s">
        <v>20</v>
      </c>
    </row>
    <row r="86" customFormat="false" ht="15" hidden="false" customHeight="false" outlineLevel="0" collapsed="false">
      <c r="A86" s="5" t="n">
        <f aca="false">RANDBETWEEN(2,164)</f>
        <v>16</v>
      </c>
      <c r="B86" s="5" t="n">
        <f aca="false" t="array" ref="B86:B86">INDEX(Data_DBD!$B:$B,$A86)</f>
        <v>66</v>
      </c>
      <c r="C86" s="5" t="n">
        <f aca="false" t="array" ref="C86:C86">INDEX(Data_DBD!$C:$C,$A86)</f>
        <v>5</v>
      </c>
      <c r="D86" s="5" t="n">
        <f aca="false" t="array" ref="D86:D86">INDEX(Data_DBD!$D:$D,$A86)</f>
        <v>7</v>
      </c>
      <c r="E86" s="5" t="n">
        <f aca="false" t="array" ref="E86:E86">INDEX(Data_DBD!$E:$E,$A86)</f>
        <v>1</v>
      </c>
      <c r="F86" s="5" t="str">
        <f aca="false" t="array" ref="F86:F86">INDEX(Data_DBD!$F:$F,$A86)</f>
        <v>Rendah</v>
      </c>
      <c r="H86" s="5" t="n">
        <v>146</v>
      </c>
      <c r="I86" s="5" t="n">
        <v>34</v>
      </c>
      <c r="J86" s="5" t="n">
        <v>2</v>
      </c>
      <c r="K86" s="5" t="n">
        <v>21</v>
      </c>
      <c r="L86" s="5" t="n">
        <v>1</v>
      </c>
      <c r="M86" s="5" t="s">
        <v>115</v>
      </c>
    </row>
    <row r="87" customFormat="false" ht="15" hidden="false" customHeight="false" outlineLevel="0" collapsed="false">
      <c r="A87" s="5" t="n">
        <f aca="false">RANDBETWEEN(2,164)</f>
        <v>154</v>
      </c>
      <c r="B87" s="5" t="n">
        <f aca="false" t="array" ref="B87:B87">INDEX(Data_DBD!$B:$B,$A87)</f>
        <v>18</v>
      </c>
      <c r="C87" s="5" t="n">
        <f aca="false" t="array" ref="C87:C87">INDEX(Data_DBD!$C:$C,$A87)</f>
        <v>5</v>
      </c>
      <c r="D87" s="5" t="n">
        <f aca="false" t="array" ref="D87:D87">INDEX(Data_DBD!$D:$D,$A87)</f>
        <v>21</v>
      </c>
      <c r="E87" s="5" t="n">
        <f aca="false" t="array" ref="E87:E87">INDEX(Data_DBD!$E:$E,$A87)</f>
        <v>1</v>
      </c>
      <c r="F87" s="5" t="str">
        <f aca="false" t="array" ref="F87:F87">INDEX(Data_DBD!$F:$F,$A87)</f>
        <v>Tinggi</v>
      </c>
      <c r="H87" s="5" t="n">
        <v>10</v>
      </c>
      <c r="I87" s="5" t="n">
        <v>18</v>
      </c>
      <c r="J87" s="5" t="n">
        <v>5</v>
      </c>
      <c r="K87" s="5" t="n">
        <v>12</v>
      </c>
      <c r="L87" s="5" t="n">
        <v>0</v>
      </c>
      <c r="M87" s="5" t="s">
        <v>7</v>
      </c>
    </row>
    <row r="88" customFormat="false" ht="15" hidden="false" customHeight="false" outlineLevel="0" collapsed="false">
      <c r="A88" s="5" t="n">
        <f aca="false">RANDBETWEEN(2,164)</f>
        <v>21</v>
      </c>
      <c r="B88" s="5" t="n">
        <f aca="false" t="array" ref="B88:B88">INDEX(Data_DBD!$B:$B,$A88)</f>
        <v>10</v>
      </c>
      <c r="C88" s="5" t="n">
        <f aca="false" t="array" ref="C88:C88">INDEX(Data_DBD!$C:$C,$A88)</f>
        <v>5</v>
      </c>
      <c r="D88" s="5" t="n">
        <f aca="false" t="array" ref="D88:D88">INDEX(Data_DBD!$D:$D,$A88)</f>
        <v>14</v>
      </c>
      <c r="E88" s="5" t="n">
        <f aca="false" t="array" ref="E88:E88">INDEX(Data_DBD!$E:$E,$A88)</f>
        <v>1</v>
      </c>
      <c r="F88" s="5" t="str">
        <f aca="false" t="array" ref="F88:F88">INDEX(Data_DBD!$F:$F,$A88)</f>
        <v>Sedang</v>
      </c>
      <c r="H88" s="5" t="n">
        <v>116</v>
      </c>
      <c r="I88" s="5" t="n">
        <v>32</v>
      </c>
      <c r="J88" s="5" t="n">
        <v>4</v>
      </c>
      <c r="K88" s="5" t="n">
        <v>33</v>
      </c>
      <c r="L88" s="5" t="n">
        <v>1</v>
      </c>
      <c r="M88" s="5" t="s">
        <v>115</v>
      </c>
    </row>
    <row r="89" customFormat="false" ht="15" hidden="false" customHeight="false" outlineLevel="0" collapsed="false">
      <c r="A89" s="5" t="n">
        <f aca="false">RANDBETWEEN(2,164)</f>
        <v>59</v>
      </c>
      <c r="B89" s="5" t="n">
        <f aca="false" t="array" ref="B89:B89">INDEX(Data_DBD!$B:$B,$A89)</f>
        <v>28</v>
      </c>
      <c r="C89" s="5" t="n">
        <f aca="false" t="array" ref="C89:C89">INDEX(Data_DBD!$C:$C,$A89)</f>
        <v>4</v>
      </c>
      <c r="D89" s="5" t="n">
        <f aca="false" t="array" ref="D89:D89">INDEX(Data_DBD!$D:$D,$A89)</f>
        <v>15</v>
      </c>
      <c r="E89" s="5" t="n">
        <f aca="false" t="array" ref="E89:E89">INDEX(Data_DBD!$E:$E,$A89)</f>
        <v>0</v>
      </c>
      <c r="F89" s="5" t="str">
        <f aca="false" t="array" ref="F89:F89">INDEX(Data_DBD!$F:$F,$A89)</f>
        <v>Sedang</v>
      </c>
      <c r="H89" s="5" t="n">
        <v>144</v>
      </c>
      <c r="I89" s="5" t="n">
        <v>61</v>
      </c>
      <c r="J89" s="5" t="n">
        <v>4</v>
      </c>
      <c r="K89" s="5" t="n">
        <v>21</v>
      </c>
      <c r="L89" s="5" t="n">
        <v>1</v>
      </c>
      <c r="M89" s="5" t="s">
        <v>115</v>
      </c>
    </row>
    <row r="90" customFormat="false" ht="15" hidden="false" customHeight="false" outlineLevel="0" collapsed="false">
      <c r="A90" s="5" t="n">
        <f aca="false">RANDBETWEEN(2,164)</f>
        <v>65</v>
      </c>
      <c r="B90" s="5" t="n">
        <f aca="false" t="array" ref="B90:B90">INDEX(Data_DBD!$B:$B,$A90)</f>
        <v>49</v>
      </c>
      <c r="C90" s="5" t="n">
        <f aca="false" t="array" ref="C90:C90">INDEX(Data_DBD!$C:$C,$A90)</f>
        <v>3</v>
      </c>
      <c r="D90" s="5" t="n">
        <f aca="false" t="array" ref="D90:D90">INDEX(Data_DBD!$D:$D,$A90)</f>
        <v>15</v>
      </c>
      <c r="E90" s="5" t="n">
        <f aca="false" t="array" ref="E90:E90">INDEX(Data_DBD!$E:$E,$A90)</f>
        <v>0</v>
      </c>
      <c r="F90" s="5" t="str">
        <f aca="false" t="array" ref="F90:F90">INDEX(Data_DBD!$F:$F,$A90)</f>
        <v>Sedang</v>
      </c>
      <c r="H90" s="5" t="n">
        <v>45</v>
      </c>
      <c r="I90" s="5" t="n">
        <v>75</v>
      </c>
      <c r="J90" s="5" t="n">
        <v>3</v>
      </c>
      <c r="K90" s="5" t="n">
        <v>13</v>
      </c>
      <c r="L90" s="5" t="n">
        <v>1</v>
      </c>
      <c r="M90" s="5" t="s">
        <v>7</v>
      </c>
    </row>
    <row r="91" customFormat="false" ht="15" hidden="false" customHeight="false" outlineLevel="0" collapsed="false">
      <c r="A91" s="5" t="n">
        <f aca="false">RANDBETWEEN(2,164)</f>
        <v>21</v>
      </c>
      <c r="B91" s="5" t="n">
        <f aca="false" t="array" ref="B91:B91">INDEX(Data_DBD!$B:$B,$A91)</f>
        <v>10</v>
      </c>
      <c r="C91" s="5" t="n">
        <f aca="false" t="array" ref="C91:C91">INDEX(Data_DBD!$C:$C,$A91)</f>
        <v>5</v>
      </c>
      <c r="D91" s="5" t="n">
        <f aca="false" t="array" ref="D91:D91">INDEX(Data_DBD!$D:$D,$A91)</f>
        <v>14</v>
      </c>
      <c r="E91" s="5" t="n">
        <f aca="false" t="array" ref="E91:E91">INDEX(Data_DBD!$E:$E,$A91)</f>
        <v>1</v>
      </c>
      <c r="F91" s="5" t="str">
        <f aca="false" t="array" ref="F91:F91">INDEX(Data_DBD!$F:$F,$A91)</f>
        <v>Sedang</v>
      </c>
      <c r="H91" s="5" t="n">
        <v>66</v>
      </c>
      <c r="I91" s="5" t="n">
        <v>21</v>
      </c>
      <c r="J91" s="5" t="n">
        <v>5</v>
      </c>
      <c r="K91" s="5" t="n">
        <v>15</v>
      </c>
      <c r="L91" s="5" t="n">
        <v>1</v>
      </c>
      <c r="M91" s="5" t="s">
        <v>7</v>
      </c>
    </row>
    <row r="92" customFormat="false" ht="15" hidden="false" customHeight="false" outlineLevel="0" collapsed="false">
      <c r="A92" s="5" t="n">
        <f aca="false">RANDBETWEEN(2,164)</f>
        <v>143</v>
      </c>
      <c r="B92" s="5" t="n">
        <f aca="false" t="array" ref="B92:B92">INDEX(Data_DBD!$B:$B,$A92)</f>
        <v>20</v>
      </c>
      <c r="C92" s="5" t="n">
        <f aca="false" t="array" ref="C92:C92">INDEX(Data_DBD!$C:$C,$A92)</f>
        <v>4</v>
      </c>
      <c r="D92" s="5" t="n">
        <f aca="false" t="array" ref="D92:D92">INDEX(Data_DBD!$D:$D,$A92)</f>
        <v>21</v>
      </c>
      <c r="E92" s="5" t="n">
        <f aca="false" t="array" ref="E92:E92">INDEX(Data_DBD!$E:$E,$A92)</f>
        <v>1</v>
      </c>
      <c r="F92" s="5" t="str">
        <f aca="false" t="array" ref="F92:F92">INDEX(Data_DBD!$F:$F,$A92)</f>
        <v>Tinggi</v>
      </c>
      <c r="H92" s="5" t="n">
        <v>41</v>
      </c>
      <c r="I92" s="5" t="n">
        <v>8</v>
      </c>
      <c r="J92" s="5" t="n">
        <v>4</v>
      </c>
      <c r="K92" s="5" t="n">
        <v>13</v>
      </c>
      <c r="L92" s="5" t="n">
        <v>0</v>
      </c>
      <c r="M92" s="5" t="s">
        <v>7</v>
      </c>
    </row>
    <row r="93" customFormat="false" ht="15" hidden="false" customHeight="false" outlineLevel="0" collapsed="false">
      <c r="A93" s="5" t="n">
        <f aca="false">RANDBETWEEN(2,164)</f>
        <v>12</v>
      </c>
      <c r="B93" s="5" t="n">
        <f aca="false" t="array" ref="B93:B93">INDEX(Data_DBD!$B:$B,$A93)</f>
        <v>23</v>
      </c>
      <c r="C93" s="5" t="n">
        <f aca="false" t="array" ref="C93:C93">INDEX(Data_DBD!$C:$C,$A93)</f>
        <v>3</v>
      </c>
      <c r="D93" s="5" t="n">
        <f aca="false" t="array" ref="D93:D93">INDEX(Data_DBD!$D:$D,$A93)</f>
        <v>12</v>
      </c>
      <c r="E93" s="5" t="n">
        <f aca="false" t="array" ref="E93:E93">INDEX(Data_DBD!$E:$E,$A93)</f>
        <v>0</v>
      </c>
      <c r="F93" s="5" t="str">
        <f aca="false" t="array" ref="F93:F93">INDEX(Data_DBD!$F:$F,$A93)</f>
        <v>Sedang</v>
      </c>
      <c r="H93" s="5" t="n">
        <v>83</v>
      </c>
      <c r="I93" s="5" t="n">
        <v>50</v>
      </c>
      <c r="J93" s="5" t="n">
        <v>3</v>
      </c>
      <c r="K93" s="5" t="n">
        <v>13</v>
      </c>
      <c r="L93" s="5" t="n">
        <v>0</v>
      </c>
      <c r="M93" s="5" t="s">
        <v>7</v>
      </c>
    </row>
    <row r="94" customFormat="false" ht="15" hidden="false" customHeight="false" outlineLevel="0" collapsed="false">
      <c r="A94" s="5" t="n">
        <f aca="false">RANDBETWEEN(2,164)</f>
        <v>42</v>
      </c>
      <c r="B94" s="5" t="n">
        <f aca="false" t="array" ref="B94:B94">INDEX(Data_DBD!$B:$B,$A94)</f>
        <v>21</v>
      </c>
      <c r="C94" s="5" t="n">
        <f aca="false" t="array" ref="C94:C94">INDEX(Data_DBD!$C:$C,$A94)</f>
        <v>5</v>
      </c>
      <c r="D94" s="5" t="n">
        <f aca="false" t="array" ref="D94:D94">INDEX(Data_DBD!$D:$D,$A94)</f>
        <v>13</v>
      </c>
      <c r="E94" s="5" t="n">
        <f aca="false" t="array" ref="E94:E94">INDEX(Data_DBD!$E:$E,$A94)</f>
        <v>1</v>
      </c>
      <c r="F94" s="5" t="str">
        <f aca="false" t="array" ref="F94:F94">INDEX(Data_DBD!$F:$F,$A94)</f>
        <v>Sedang</v>
      </c>
      <c r="H94" s="5" t="n">
        <v>82</v>
      </c>
      <c r="I94" s="5" t="n">
        <v>28</v>
      </c>
      <c r="J94" s="5" t="n">
        <v>3</v>
      </c>
      <c r="K94" s="5" t="n">
        <v>13</v>
      </c>
      <c r="L94" s="5" t="n">
        <v>1</v>
      </c>
      <c r="M94" s="5" t="s">
        <v>7</v>
      </c>
    </row>
    <row r="95" customFormat="false" ht="15" hidden="false" customHeight="false" outlineLevel="0" collapsed="false">
      <c r="A95" s="5" t="n">
        <f aca="false">RANDBETWEEN(2,164)</f>
        <v>64</v>
      </c>
      <c r="B95" s="5" t="n">
        <f aca="false" t="array" ref="B95:B95">INDEX(Data_DBD!$B:$B,$A95)</f>
        <v>35</v>
      </c>
      <c r="C95" s="5" t="n">
        <f aca="false" t="array" ref="C95:C95">INDEX(Data_DBD!$C:$C,$A95)</f>
        <v>1</v>
      </c>
      <c r="D95" s="5" t="n">
        <f aca="false" t="array" ref="D95:D95">INDEX(Data_DBD!$D:$D,$A95)</f>
        <v>15</v>
      </c>
      <c r="E95" s="5" t="n">
        <f aca="false" t="array" ref="E95:E95">INDEX(Data_DBD!$E:$E,$A95)</f>
        <v>0</v>
      </c>
      <c r="F95" s="5" t="str">
        <f aca="false" t="array" ref="F95:F95">INDEX(Data_DBD!$F:$F,$A95)</f>
        <v>Sedang</v>
      </c>
      <c r="H95" s="5" t="n">
        <v>121</v>
      </c>
      <c r="I95" s="5" t="n">
        <v>82</v>
      </c>
      <c r="J95" s="5" t="n">
        <v>5</v>
      </c>
      <c r="K95" s="5" t="n">
        <v>33</v>
      </c>
      <c r="L95" s="5" t="n">
        <v>1</v>
      </c>
      <c r="M95" s="5" t="s">
        <v>115</v>
      </c>
    </row>
    <row r="96" customFormat="false" ht="15" hidden="false" customHeight="false" outlineLevel="0" collapsed="false">
      <c r="A96" s="5" t="n">
        <f aca="false">RANDBETWEEN(2,164)</f>
        <v>110</v>
      </c>
      <c r="B96" s="5" t="n">
        <f aca="false" t="array" ref="B96:B96">INDEX(Data_DBD!$B:$B,$A96)</f>
        <v>42</v>
      </c>
      <c r="C96" s="5" t="n">
        <f aca="false" t="array" ref="C96:C96">INDEX(Data_DBD!$C:$C,$A96)</f>
        <v>2</v>
      </c>
      <c r="D96" s="5" t="n">
        <f aca="false" t="array" ref="D96:D96">INDEX(Data_DBD!$D:$D,$A96)</f>
        <v>33</v>
      </c>
      <c r="E96" s="5" t="n">
        <f aca="false" t="array" ref="E96:E96">INDEX(Data_DBD!$E:$E,$A96)</f>
        <v>1</v>
      </c>
      <c r="F96" s="5" t="str">
        <f aca="false" t="array" ref="F96:F96">INDEX(Data_DBD!$F:$F,$A96)</f>
        <v>Tinggi</v>
      </c>
      <c r="H96" s="5" t="n">
        <v>51</v>
      </c>
      <c r="I96" s="5" t="n">
        <v>48</v>
      </c>
      <c r="J96" s="5" t="n">
        <v>4</v>
      </c>
      <c r="K96" s="5" t="n">
        <v>13</v>
      </c>
      <c r="L96" s="5" t="n">
        <v>0</v>
      </c>
      <c r="M96" s="5" t="s">
        <v>7</v>
      </c>
    </row>
    <row r="97" customFormat="false" ht="15" hidden="false" customHeight="false" outlineLevel="0" collapsed="false">
      <c r="A97" s="5" t="n">
        <f aca="false">RANDBETWEEN(2,164)</f>
        <v>30</v>
      </c>
      <c r="B97" s="5" t="n">
        <f aca="false" t="array" ref="B97:B97">INDEX(Data_DBD!$B:$B,$A97)</f>
        <v>3</v>
      </c>
      <c r="C97" s="5" t="n">
        <f aca="false" t="array" ref="C97:C97">INDEX(Data_DBD!$C:$C,$A97)</f>
        <v>2</v>
      </c>
      <c r="D97" s="5" t="n">
        <f aca="false" t="array" ref="D97:D97">INDEX(Data_DBD!$D:$D,$A97)</f>
        <v>14</v>
      </c>
      <c r="E97" s="5" t="n">
        <f aca="false" t="array" ref="E97:E97">INDEX(Data_DBD!$E:$E,$A97)</f>
        <v>1</v>
      </c>
      <c r="F97" s="5" t="str">
        <f aca="false" t="array" ref="F97:F97">INDEX(Data_DBD!$F:$F,$A97)</f>
        <v>Sedang</v>
      </c>
      <c r="H97" s="5" t="n">
        <v>126</v>
      </c>
      <c r="I97" s="5" t="n">
        <v>51</v>
      </c>
      <c r="J97" s="5" t="n">
        <v>3</v>
      </c>
      <c r="K97" s="5" t="n">
        <v>33</v>
      </c>
      <c r="L97" s="5" t="n">
        <v>1</v>
      </c>
      <c r="M97" s="5" t="s">
        <v>115</v>
      </c>
    </row>
    <row r="98" customFormat="false" ht="15" hidden="false" customHeight="false" outlineLevel="0" collapsed="false">
      <c r="A98" s="5" t="n">
        <f aca="false">RANDBETWEEN(2,164)</f>
        <v>86</v>
      </c>
      <c r="B98" s="5" t="n">
        <f aca="false" t="array" ref="B98:B98">INDEX(Data_DBD!$B:$B,$A98)</f>
        <v>23</v>
      </c>
      <c r="C98" s="5" t="n">
        <f aca="false" t="array" ref="C98:C98">INDEX(Data_DBD!$C:$C,$A98)</f>
        <v>3</v>
      </c>
      <c r="D98" s="5" t="n">
        <f aca="false" t="array" ref="D98:D98">INDEX(Data_DBD!$D:$D,$A98)</f>
        <v>13</v>
      </c>
      <c r="E98" s="5" t="n">
        <f aca="false" t="array" ref="E98:E98">INDEX(Data_DBD!$E:$E,$A98)</f>
        <v>0</v>
      </c>
      <c r="F98" s="5" t="str">
        <f aca="false" t="array" ref="F98:F98">INDEX(Data_DBD!$F:$F,$A98)</f>
        <v>Sedang</v>
      </c>
      <c r="H98" s="5" t="n">
        <v>125</v>
      </c>
      <c r="I98" s="5" t="n">
        <v>39</v>
      </c>
      <c r="J98" s="5" t="n">
        <v>4</v>
      </c>
      <c r="K98" s="5" t="n">
        <v>33</v>
      </c>
      <c r="L98" s="5" t="n">
        <v>0</v>
      </c>
      <c r="M98" s="5" t="s">
        <v>115</v>
      </c>
    </row>
    <row r="99" customFormat="false" ht="15" hidden="false" customHeight="false" outlineLevel="0" collapsed="false">
      <c r="A99" s="5" t="n">
        <f aca="false">RANDBETWEEN(2,164)</f>
        <v>3</v>
      </c>
      <c r="B99" s="5" t="n">
        <f aca="false" t="array" ref="B99:B99">INDEX(Data_DBD!$B:$B,$A99)</f>
        <v>43</v>
      </c>
      <c r="C99" s="5" t="n">
        <f aca="false" t="array" ref="C99:C99">INDEX(Data_DBD!$C:$C,$A99)</f>
        <v>3</v>
      </c>
      <c r="D99" s="5" t="n">
        <f aca="false" t="array" ref="D99:D99">INDEX(Data_DBD!$D:$D,$A99)</f>
        <v>12</v>
      </c>
      <c r="E99" s="5" t="n">
        <f aca="false" t="array" ref="E99:E99">INDEX(Data_DBD!$E:$E,$A99)</f>
        <v>1</v>
      </c>
      <c r="F99" s="5" t="str">
        <f aca="false" t="array" ref="F99:F99">INDEX(Data_DBD!$F:$F,$A99)</f>
        <v>Sedang</v>
      </c>
      <c r="H99" s="5" t="n">
        <v>39</v>
      </c>
      <c r="I99" s="5" t="n">
        <v>12</v>
      </c>
      <c r="J99" s="5" t="n">
        <v>5</v>
      </c>
      <c r="K99" s="5" t="n">
        <v>13</v>
      </c>
      <c r="L99" s="5" t="n">
        <v>1</v>
      </c>
      <c r="M99" s="5" t="s">
        <v>7</v>
      </c>
    </row>
    <row r="100" customFormat="false" ht="15" hidden="false" customHeight="false" outlineLevel="0" collapsed="false">
      <c r="A100" s="5" t="n">
        <f aca="false">RANDBETWEEN(2,164)</f>
        <v>82</v>
      </c>
      <c r="B100" s="5" t="n">
        <f aca="false" t="array" ref="B100:B100">INDEX(Data_DBD!$B:$B,$A100)</f>
        <v>28</v>
      </c>
      <c r="C100" s="5" t="n">
        <f aca="false" t="array" ref="C100:C100">INDEX(Data_DBD!$C:$C,$A100)</f>
        <v>3</v>
      </c>
      <c r="D100" s="5" t="n">
        <f aca="false" t="array" ref="D100:D100">INDEX(Data_DBD!$D:$D,$A100)</f>
        <v>13</v>
      </c>
      <c r="E100" s="5" t="n">
        <f aca="false" t="array" ref="E100:E100">INDEX(Data_DBD!$E:$E,$A100)</f>
        <v>1</v>
      </c>
      <c r="F100" s="5" t="str">
        <f aca="false" t="array" ref="F100:F100">INDEX(Data_DBD!$F:$F,$A100)</f>
        <v>Sedang</v>
      </c>
      <c r="H100" s="5" t="n">
        <v>8</v>
      </c>
      <c r="I100" s="5" t="n">
        <v>4</v>
      </c>
      <c r="J100" s="5" t="n">
        <v>2</v>
      </c>
      <c r="K100" s="5" t="n">
        <v>12</v>
      </c>
      <c r="L100" s="5" t="n">
        <v>0</v>
      </c>
      <c r="M100" s="5" t="s">
        <v>7</v>
      </c>
    </row>
    <row r="101" customFormat="false" ht="15" hidden="false" customHeight="false" outlineLevel="0" collapsed="false">
      <c r="A101" s="5" t="n">
        <f aca="false">RANDBETWEEN(2,164)</f>
        <v>122</v>
      </c>
      <c r="B101" s="5" t="n">
        <f aca="false" t="array" ref="B101:B101">INDEX(Data_DBD!$B:$B,$A101)</f>
        <v>28</v>
      </c>
      <c r="C101" s="5" t="n">
        <f aca="false" t="array" ref="C101:C101">INDEX(Data_DBD!$C:$C,$A101)</f>
        <v>3</v>
      </c>
      <c r="D101" s="5" t="n">
        <f aca="false" t="array" ref="D101:D101">INDEX(Data_DBD!$D:$D,$A101)</f>
        <v>33</v>
      </c>
      <c r="E101" s="5" t="n">
        <f aca="false" t="array" ref="E101:E101">INDEX(Data_DBD!$E:$E,$A101)</f>
        <v>1</v>
      </c>
      <c r="F101" s="5" t="str">
        <f aca="false" t="array" ref="F101:F101">INDEX(Data_DBD!$F:$F,$A101)</f>
        <v>Tinggi</v>
      </c>
      <c r="H101" s="5" t="n">
        <v>14</v>
      </c>
      <c r="I101" s="5" t="n">
        <v>49</v>
      </c>
      <c r="J101" s="5" t="n">
        <v>4</v>
      </c>
      <c r="K101" s="5" t="n">
        <v>7</v>
      </c>
      <c r="L101" s="5" t="n">
        <v>1</v>
      </c>
      <c r="M101" s="5" t="s">
        <v>20</v>
      </c>
    </row>
    <row r="102" customFormat="false" ht="15" hidden="false" customHeight="false" outlineLevel="0" collapsed="false">
      <c r="A102" s="5" t="n">
        <f aca="false">RANDBETWEEN(2,164)</f>
        <v>39</v>
      </c>
      <c r="B102" s="5" t="n">
        <f aca="false" t="array" ref="B102:B102">INDEX(Data_DBD!$B:$B,$A102)</f>
        <v>12</v>
      </c>
      <c r="C102" s="5" t="n">
        <f aca="false" t="array" ref="C102:C102">INDEX(Data_DBD!$C:$C,$A102)</f>
        <v>5</v>
      </c>
      <c r="D102" s="5" t="n">
        <f aca="false" t="array" ref="D102:D102">INDEX(Data_DBD!$D:$D,$A102)</f>
        <v>13</v>
      </c>
      <c r="E102" s="5" t="n">
        <f aca="false" t="array" ref="E102:E102">INDEX(Data_DBD!$E:$E,$A102)</f>
        <v>1</v>
      </c>
      <c r="F102" s="5" t="str">
        <f aca="false" t="array" ref="F102:F102">INDEX(Data_DBD!$F:$F,$A102)</f>
        <v>Sedang</v>
      </c>
      <c r="H102" s="5" t="n">
        <v>135</v>
      </c>
      <c r="I102" s="5" t="n">
        <v>10</v>
      </c>
      <c r="J102" s="5" t="n">
        <v>2</v>
      </c>
      <c r="K102" s="5" t="n">
        <v>33</v>
      </c>
      <c r="L102" s="5" t="n">
        <v>0</v>
      </c>
      <c r="M102" s="5" t="s">
        <v>115</v>
      </c>
    </row>
    <row r="103" customFormat="false" ht="15" hidden="false" customHeight="false" outlineLevel="0" collapsed="false">
      <c r="A103" s="5" t="n">
        <f aca="false">RANDBETWEEN(2,164)</f>
        <v>149</v>
      </c>
      <c r="B103" s="5" t="n">
        <f aca="false" t="array" ref="B103:B103">INDEX(Data_DBD!$B:$B,$A103)</f>
        <v>19</v>
      </c>
      <c r="C103" s="5" t="n">
        <f aca="false" t="array" ref="C103:C103">INDEX(Data_DBD!$C:$C,$A103)</f>
        <v>5</v>
      </c>
      <c r="D103" s="5" t="n">
        <f aca="false" t="array" ref="D103:D103">INDEX(Data_DBD!$D:$D,$A103)</f>
        <v>21</v>
      </c>
      <c r="E103" s="5" t="n">
        <f aca="false" t="array" ref="E103:E103">INDEX(Data_DBD!$E:$E,$A103)</f>
        <v>0</v>
      </c>
      <c r="F103" s="5" t="str">
        <f aca="false" t="array" ref="F103:F103">INDEX(Data_DBD!$F:$F,$A103)</f>
        <v>Tinggi</v>
      </c>
      <c r="H103" s="5" t="n">
        <v>80</v>
      </c>
      <c r="I103" s="5" t="n">
        <v>27</v>
      </c>
      <c r="J103" s="5" t="n">
        <v>3</v>
      </c>
      <c r="K103" s="5" t="n">
        <v>13</v>
      </c>
      <c r="L103" s="5" t="n">
        <v>1</v>
      </c>
      <c r="M103" s="5" t="s">
        <v>7</v>
      </c>
    </row>
    <row r="104" customFormat="false" ht="15" hidden="false" customHeight="false" outlineLevel="0" collapsed="false">
      <c r="A104" s="5" t="n">
        <f aca="false">RANDBETWEEN(2,164)</f>
        <v>159</v>
      </c>
      <c r="B104" s="5" t="n">
        <f aca="false" t="array" ref="B104:B104">INDEX(Data_DBD!$B:$B,$A104)</f>
        <v>17</v>
      </c>
      <c r="C104" s="5" t="n">
        <f aca="false" t="array" ref="C104:C104">INDEX(Data_DBD!$C:$C,$A104)</f>
        <v>2</v>
      </c>
      <c r="D104" s="5" t="n">
        <f aca="false" t="array" ref="D104:D104">INDEX(Data_DBD!$D:$D,$A104)</f>
        <v>21</v>
      </c>
      <c r="E104" s="5" t="n">
        <f aca="false" t="array" ref="E104:E104">INDEX(Data_DBD!$E:$E,$A104)</f>
        <v>0</v>
      </c>
      <c r="F104" s="5" t="str">
        <f aca="false" t="array" ref="F104:F104">INDEX(Data_DBD!$F:$F,$A104)</f>
        <v>Tinggi</v>
      </c>
      <c r="H104" s="5" t="n">
        <v>53</v>
      </c>
      <c r="I104" s="5" t="n">
        <v>35</v>
      </c>
      <c r="J104" s="5" t="n">
        <v>4</v>
      </c>
      <c r="K104" s="5" t="n">
        <v>15</v>
      </c>
      <c r="L104" s="5" t="n">
        <v>1</v>
      </c>
      <c r="M104" s="5" t="s">
        <v>7</v>
      </c>
    </row>
    <row r="105" customFormat="false" ht="15" hidden="false" customHeight="false" outlineLevel="0" collapsed="false">
      <c r="A105" s="5" t="n">
        <f aca="false">RANDBETWEEN(2,164)</f>
        <v>91</v>
      </c>
      <c r="B105" s="5" t="n">
        <f aca="false" t="array" ref="B105:B105">INDEX(Data_DBD!$B:$B,$A105)</f>
        <v>35</v>
      </c>
      <c r="C105" s="5" t="n">
        <f aca="false" t="array" ref="C105:C105">INDEX(Data_DBD!$C:$C,$A105)</f>
        <v>1</v>
      </c>
      <c r="D105" s="5" t="n">
        <f aca="false" t="array" ref="D105:D105">INDEX(Data_DBD!$D:$D,$A105)</f>
        <v>18</v>
      </c>
      <c r="E105" s="5" t="n">
        <f aca="false" t="array" ref="E105:E105">INDEX(Data_DBD!$E:$E,$A105)</f>
        <v>1</v>
      </c>
      <c r="F105" s="5" t="str">
        <f aca="false" t="array" ref="F105:F105">INDEX(Data_DBD!$F:$F,$A105)</f>
        <v>Sedang</v>
      </c>
      <c r="H105" s="5" t="n">
        <v>84</v>
      </c>
      <c r="I105" s="5" t="n">
        <v>42</v>
      </c>
      <c r="J105" s="5" t="n">
        <v>4</v>
      </c>
      <c r="K105" s="5" t="n">
        <v>13</v>
      </c>
      <c r="L105" s="5" t="n">
        <v>1</v>
      </c>
      <c r="M105" s="5" t="s">
        <v>7</v>
      </c>
    </row>
    <row r="106" customFormat="false" ht="15" hidden="false" customHeight="false" outlineLevel="0" collapsed="false">
      <c r="A106" s="5" t="n">
        <f aca="false">RANDBETWEEN(2,164)</f>
        <v>25</v>
      </c>
      <c r="B106" s="5" t="n">
        <f aca="false" t="array" ref="B106:B106">INDEX(Data_DBD!$B:$B,$A106)</f>
        <v>81</v>
      </c>
      <c r="C106" s="5" t="n">
        <f aca="false" t="array" ref="C106:C106">INDEX(Data_DBD!$C:$C,$A106)</f>
        <v>5</v>
      </c>
      <c r="D106" s="5" t="n">
        <f aca="false" t="array" ref="D106:D106">INDEX(Data_DBD!$D:$D,$A106)</f>
        <v>14</v>
      </c>
      <c r="E106" s="5" t="n">
        <f aca="false" t="array" ref="E106:E106">INDEX(Data_DBD!$E:$E,$A106)</f>
        <v>0</v>
      </c>
      <c r="F106" s="5" t="str">
        <f aca="false" t="array" ref="F106:F106">INDEX(Data_DBD!$F:$F,$A106)</f>
        <v>Sedang</v>
      </c>
      <c r="H106" s="5" t="n">
        <v>81</v>
      </c>
      <c r="I106" s="5" t="n">
        <v>23</v>
      </c>
      <c r="J106" s="5" t="n">
        <v>5</v>
      </c>
      <c r="K106" s="5" t="n">
        <v>13</v>
      </c>
      <c r="L106" s="5" t="n">
        <v>1</v>
      </c>
      <c r="M106" s="5" t="s">
        <v>7</v>
      </c>
    </row>
    <row r="107" customFormat="false" ht="15" hidden="false" customHeight="false" outlineLevel="0" collapsed="false">
      <c r="A107" s="5" t="n">
        <f aca="false">RANDBETWEEN(2,164)</f>
        <v>67</v>
      </c>
      <c r="B107" s="5" t="n">
        <f aca="false" t="array" ref="B107:B107">INDEX(Data_DBD!$B:$B,$A107)</f>
        <v>21</v>
      </c>
      <c r="C107" s="5" t="n">
        <f aca="false" t="array" ref="C107:C107">INDEX(Data_DBD!$C:$C,$A107)</f>
        <v>3</v>
      </c>
      <c r="D107" s="5" t="n">
        <f aca="false" t="array" ref="D107:D107">INDEX(Data_DBD!$D:$D,$A107)</f>
        <v>10</v>
      </c>
      <c r="E107" s="5" t="n">
        <f aca="false" t="array" ref="E107:E107">INDEX(Data_DBD!$E:$E,$A107)</f>
        <v>1</v>
      </c>
      <c r="F107" s="5" t="str">
        <f aca="false" t="array" ref="F107:F107">INDEX(Data_DBD!$F:$F,$A107)</f>
        <v>Rendah</v>
      </c>
      <c r="H107" s="5" t="n">
        <v>12</v>
      </c>
      <c r="I107" s="5" t="n">
        <v>23</v>
      </c>
      <c r="J107" s="5" t="n">
        <v>3</v>
      </c>
      <c r="K107" s="5" t="n">
        <v>12</v>
      </c>
      <c r="L107" s="5" t="n">
        <v>0</v>
      </c>
      <c r="M107" s="5" t="s">
        <v>7</v>
      </c>
    </row>
    <row r="108" customFormat="false" ht="15" hidden="false" customHeight="false" outlineLevel="0" collapsed="false">
      <c r="A108" s="5" t="n">
        <f aca="false">RANDBETWEEN(2,164)</f>
        <v>61</v>
      </c>
      <c r="B108" s="5" t="n">
        <f aca="false" t="array" ref="B108:B108">INDEX(Data_DBD!$B:$B,$A108)</f>
        <v>29</v>
      </c>
      <c r="C108" s="5" t="n">
        <f aca="false" t="array" ref="C108:C108">INDEX(Data_DBD!$C:$C,$A108)</f>
        <v>3</v>
      </c>
      <c r="D108" s="5" t="n">
        <f aca="false" t="array" ref="D108:D108">INDEX(Data_DBD!$D:$D,$A108)</f>
        <v>15</v>
      </c>
      <c r="E108" s="5" t="n">
        <f aca="false" t="array" ref="E108:E108">INDEX(Data_DBD!$E:$E,$A108)</f>
        <v>1</v>
      </c>
      <c r="F108" s="5" t="str">
        <f aca="false" t="array" ref="F108:F108">INDEX(Data_DBD!$F:$F,$A108)</f>
        <v>Sedang</v>
      </c>
      <c r="H108" s="5" t="n">
        <v>115</v>
      </c>
      <c r="I108" s="5" t="n">
        <v>52</v>
      </c>
      <c r="J108" s="5" t="n">
        <v>3</v>
      </c>
      <c r="K108" s="5" t="n">
        <v>33</v>
      </c>
      <c r="L108" s="5" t="n">
        <v>1</v>
      </c>
      <c r="M108" s="5" t="s">
        <v>115</v>
      </c>
    </row>
    <row r="109" customFormat="false" ht="15" hidden="false" customHeight="false" outlineLevel="0" collapsed="false">
      <c r="A109" s="5" t="n">
        <f aca="false">RANDBETWEEN(2,164)</f>
        <v>85</v>
      </c>
      <c r="B109" s="5" t="n">
        <f aca="false" t="array" ref="B109:B109">INDEX(Data_DBD!$B:$B,$A109)</f>
        <v>27</v>
      </c>
      <c r="C109" s="5" t="n">
        <f aca="false" t="array" ref="C109:C109">INDEX(Data_DBD!$C:$C,$A109)</f>
        <v>9</v>
      </c>
      <c r="D109" s="5" t="n">
        <f aca="false" t="array" ref="D109:D109">INDEX(Data_DBD!$D:$D,$A109)</f>
        <v>13</v>
      </c>
      <c r="E109" s="5" t="n">
        <f aca="false" t="array" ref="E109:E109">INDEX(Data_DBD!$E:$E,$A109)</f>
        <v>0</v>
      </c>
      <c r="F109" s="5" t="str">
        <f aca="false" t="array" ref="F109:F109">INDEX(Data_DBD!$F:$F,$A109)</f>
        <v>Sedang</v>
      </c>
      <c r="H109" s="5" t="n">
        <v>107</v>
      </c>
      <c r="I109" s="5" t="n">
        <v>48</v>
      </c>
      <c r="J109" s="5" t="n">
        <v>5</v>
      </c>
      <c r="K109" s="5" t="n">
        <v>18</v>
      </c>
      <c r="L109" s="5" t="n">
        <v>0</v>
      </c>
      <c r="M109" s="5" t="s">
        <v>7</v>
      </c>
    </row>
    <row r="110" customFormat="false" ht="15" hidden="false" customHeight="false" outlineLevel="0" collapsed="false">
      <c r="A110" s="5" t="n">
        <f aca="false">RANDBETWEEN(2,164)</f>
        <v>111</v>
      </c>
      <c r="B110" s="5" t="n">
        <f aca="false" t="array" ref="B110:B110">INDEX(Data_DBD!$B:$B,$A110)</f>
        <v>25</v>
      </c>
      <c r="C110" s="5" t="n">
        <f aca="false" t="array" ref="C110:C110">INDEX(Data_DBD!$C:$C,$A110)</f>
        <v>4</v>
      </c>
      <c r="D110" s="5" t="n">
        <f aca="false" t="array" ref="D110:D110">INDEX(Data_DBD!$D:$D,$A110)</f>
        <v>33</v>
      </c>
      <c r="E110" s="5" t="n">
        <f aca="false" t="array" ref="E110:E110">INDEX(Data_DBD!$E:$E,$A110)</f>
        <v>0</v>
      </c>
      <c r="F110" s="5" t="str">
        <f aca="false" t="array" ref="F110:F110">INDEX(Data_DBD!$F:$F,$A110)</f>
        <v>Tinggi</v>
      </c>
      <c r="H110" s="5" t="n">
        <v>76</v>
      </c>
      <c r="I110" s="5" t="n">
        <v>70</v>
      </c>
      <c r="J110" s="5" t="n">
        <v>2</v>
      </c>
      <c r="K110" s="5" t="n">
        <v>10</v>
      </c>
      <c r="L110" s="5" t="n">
        <v>0</v>
      </c>
      <c r="M110" s="5" t="s">
        <v>20</v>
      </c>
    </row>
    <row r="111" customFormat="false" ht="15" hidden="false" customHeight="false" outlineLevel="0" collapsed="false">
      <c r="A111" s="5" t="n">
        <f aca="false">RANDBETWEEN(2,164)</f>
        <v>43</v>
      </c>
      <c r="B111" s="5" t="n">
        <f aca="false" t="array" ref="B111:B111">INDEX(Data_DBD!$B:$B,$A111)</f>
        <v>15</v>
      </c>
      <c r="C111" s="5" t="n">
        <f aca="false" t="array" ref="C111:C111">INDEX(Data_DBD!$C:$C,$A111)</f>
        <v>4</v>
      </c>
      <c r="D111" s="5" t="n">
        <f aca="false" t="array" ref="D111:D111">INDEX(Data_DBD!$D:$D,$A111)</f>
        <v>13</v>
      </c>
      <c r="E111" s="5" t="n">
        <f aca="false" t="array" ref="E111:E111">INDEX(Data_DBD!$E:$E,$A111)</f>
        <v>0</v>
      </c>
      <c r="F111" s="5" t="str">
        <f aca="false" t="array" ref="F111:F111">INDEX(Data_DBD!$F:$F,$A111)</f>
        <v>Sedang</v>
      </c>
      <c r="H111" s="5" t="n">
        <v>84</v>
      </c>
      <c r="I111" s="5" t="n">
        <v>42</v>
      </c>
      <c r="J111" s="5" t="n">
        <v>4</v>
      </c>
      <c r="K111" s="5" t="n">
        <v>13</v>
      </c>
      <c r="L111" s="5" t="n">
        <v>1</v>
      </c>
      <c r="M111" s="5" t="s">
        <v>7</v>
      </c>
    </row>
    <row r="112" customFormat="false" ht="15" hidden="false" customHeight="false" outlineLevel="0" collapsed="false">
      <c r="A112" s="5" t="n">
        <f aca="false">RANDBETWEEN(2,164)</f>
        <v>93</v>
      </c>
      <c r="B112" s="5" t="n">
        <f aca="false" t="array" ref="B112:B112">INDEX(Data_DBD!$B:$B,$A112)</f>
        <v>65</v>
      </c>
      <c r="C112" s="5" t="n">
        <f aca="false" t="array" ref="C112:C112">INDEX(Data_DBD!$C:$C,$A112)</f>
        <v>4</v>
      </c>
      <c r="D112" s="5" t="n">
        <f aca="false" t="array" ref="D112:D112">INDEX(Data_DBD!$D:$D,$A112)</f>
        <v>18</v>
      </c>
      <c r="E112" s="5" t="n">
        <f aca="false" t="array" ref="E112:E112">INDEX(Data_DBD!$E:$E,$A112)</f>
        <v>0</v>
      </c>
      <c r="F112" s="5" t="str">
        <f aca="false" t="array" ref="F112:F112">INDEX(Data_DBD!$F:$F,$A112)</f>
        <v>Sedang</v>
      </c>
      <c r="H112" s="5" t="n">
        <v>60</v>
      </c>
      <c r="I112" s="5" t="n">
        <v>68</v>
      </c>
      <c r="J112" s="5" t="n">
        <v>4</v>
      </c>
      <c r="K112" s="5" t="n">
        <v>15</v>
      </c>
      <c r="L112" s="5" t="n">
        <v>0</v>
      </c>
      <c r="M112" s="5" t="s">
        <v>7</v>
      </c>
    </row>
    <row r="113" customFormat="false" ht="15" hidden="false" customHeight="false" outlineLevel="0" collapsed="false">
      <c r="A113" s="5" t="n">
        <f aca="false">RANDBETWEEN(2,164)</f>
        <v>138</v>
      </c>
      <c r="B113" s="5" t="n">
        <f aca="false" t="array" ref="B113:B113">INDEX(Data_DBD!$B:$B,$A113)</f>
        <v>13</v>
      </c>
      <c r="C113" s="5" t="n">
        <f aca="false" t="array" ref="C113:C113">INDEX(Data_DBD!$C:$C,$A113)</f>
        <v>3</v>
      </c>
      <c r="D113" s="5" t="n">
        <f aca="false" t="array" ref="D113:D113">INDEX(Data_DBD!$D:$D,$A113)</f>
        <v>33</v>
      </c>
      <c r="E113" s="5" t="n">
        <f aca="false" t="array" ref="E113:E113">INDEX(Data_DBD!$E:$E,$A113)</f>
        <v>1</v>
      </c>
      <c r="F113" s="5" t="str">
        <f aca="false" t="array" ref="F113:F113">INDEX(Data_DBD!$F:$F,$A113)</f>
        <v>Tinggi</v>
      </c>
      <c r="H113" s="5" t="n">
        <v>86</v>
      </c>
      <c r="I113" s="5" t="n">
        <v>23</v>
      </c>
      <c r="J113" s="5" t="n">
        <v>3</v>
      </c>
      <c r="K113" s="5" t="n">
        <v>13</v>
      </c>
      <c r="L113" s="5" t="n">
        <v>0</v>
      </c>
      <c r="M113" s="5" t="s">
        <v>7</v>
      </c>
    </row>
    <row r="114" customFormat="false" ht="15" hidden="false" customHeight="false" outlineLevel="0" collapsed="false">
      <c r="A114" s="5" t="n">
        <f aca="false">RANDBETWEEN(2,164)</f>
        <v>102</v>
      </c>
      <c r="B114" s="5" t="n">
        <f aca="false" t="array" ref="B114:B114">INDEX(Data_DBD!$B:$B,$A114)</f>
        <v>41</v>
      </c>
      <c r="C114" s="5" t="n">
        <f aca="false" t="array" ref="C114:C114">INDEX(Data_DBD!$C:$C,$A114)</f>
        <v>4</v>
      </c>
      <c r="D114" s="5" t="n">
        <f aca="false" t="array" ref="D114:D114">INDEX(Data_DBD!$D:$D,$A114)</f>
        <v>18</v>
      </c>
      <c r="E114" s="5" t="n">
        <f aca="false" t="array" ref="E114:E114">INDEX(Data_DBD!$E:$E,$A114)</f>
        <v>0</v>
      </c>
      <c r="F114" s="5" t="str">
        <f aca="false" t="array" ref="F114:F114">INDEX(Data_DBD!$F:$F,$A114)</f>
        <v>Sedang</v>
      </c>
      <c r="H114" s="5" t="n">
        <v>134</v>
      </c>
      <c r="I114" s="5" t="n">
        <v>4</v>
      </c>
      <c r="J114" s="5" t="n">
        <v>2</v>
      </c>
      <c r="K114" s="5" t="n">
        <v>33</v>
      </c>
      <c r="L114" s="5" t="n">
        <v>1</v>
      </c>
      <c r="M114" s="5" t="s">
        <v>115</v>
      </c>
    </row>
    <row r="115" customFormat="false" ht="15" hidden="false" customHeight="false" outlineLevel="0" collapsed="false">
      <c r="A115" s="5" t="n">
        <f aca="false">RANDBETWEEN(2,164)</f>
        <v>7</v>
      </c>
      <c r="B115" s="5" t="n">
        <f aca="false" t="array" ref="B115:B115">INDEX(Data_DBD!$B:$B,$A115)</f>
        <v>12</v>
      </c>
      <c r="C115" s="5" t="n">
        <f aca="false" t="array" ref="C115:C115">INDEX(Data_DBD!$C:$C,$A115)</f>
        <v>1</v>
      </c>
      <c r="D115" s="5" t="n">
        <f aca="false" t="array" ref="D115:D115">INDEX(Data_DBD!$D:$D,$A115)</f>
        <v>12</v>
      </c>
      <c r="E115" s="5" t="n">
        <f aca="false" t="array" ref="E115:E115">INDEX(Data_DBD!$E:$E,$A115)</f>
        <v>1</v>
      </c>
      <c r="F115" s="5" t="str">
        <f aca="false" t="array" ref="F115:F115">INDEX(Data_DBD!$F:$F,$A115)</f>
        <v>Sedang</v>
      </c>
      <c r="H115" s="5" t="n">
        <v>163</v>
      </c>
      <c r="I115" s="5" t="n">
        <v>34</v>
      </c>
      <c r="J115" s="5" t="n">
        <v>4</v>
      </c>
      <c r="K115" s="5" t="n">
        <v>3</v>
      </c>
      <c r="L115" s="5" t="n">
        <v>1</v>
      </c>
      <c r="M115" s="5" t="s">
        <v>20</v>
      </c>
    </row>
    <row r="116" customFormat="false" ht="15" hidden="false" customHeight="false" outlineLevel="0" collapsed="false">
      <c r="A116" s="5" t="n">
        <f aca="false">RANDBETWEEN(2,164)</f>
        <v>52</v>
      </c>
      <c r="B116" s="5" t="n">
        <f aca="false" t="array" ref="B116:B116">INDEX(Data_DBD!$B:$B,$A116)</f>
        <v>59</v>
      </c>
      <c r="C116" s="5" t="n">
        <f aca="false" t="array" ref="C116:C116">INDEX(Data_DBD!$C:$C,$A116)</f>
        <v>4</v>
      </c>
      <c r="D116" s="5" t="n">
        <f aca="false" t="array" ref="D116:D116">INDEX(Data_DBD!$D:$D,$A116)</f>
        <v>15</v>
      </c>
      <c r="E116" s="5" t="n">
        <f aca="false" t="array" ref="E116:E116">INDEX(Data_DBD!$E:$E,$A116)</f>
        <v>1</v>
      </c>
      <c r="F116" s="5" t="str">
        <f aca="false" t="array" ref="F116:F116">INDEX(Data_DBD!$F:$F,$A116)</f>
        <v>Sedang</v>
      </c>
      <c r="H116" s="5" t="n">
        <v>115</v>
      </c>
      <c r="I116" s="5" t="n">
        <v>52</v>
      </c>
      <c r="J116" s="5" t="n">
        <v>3</v>
      </c>
      <c r="K116" s="5" t="n">
        <v>33</v>
      </c>
      <c r="L116" s="5" t="n">
        <v>1</v>
      </c>
      <c r="M116" s="5" t="s">
        <v>115</v>
      </c>
    </row>
    <row r="117" customFormat="false" ht="15" hidden="false" customHeight="false" outlineLevel="0" collapsed="false">
      <c r="A117" s="5" t="n">
        <f aca="false">RANDBETWEEN(2,164)</f>
        <v>39</v>
      </c>
      <c r="B117" s="5" t="n">
        <f aca="false" t="array" ref="B117:B117">INDEX(Data_DBD!$B:$B,$A117)</f>
        <v>12</v>
      </c>
      <c r="C117" s="5" t="n">
        <f aca="false" t="array" ref="C117:C117">INDEX(Data_DBD!$C:$C,$A117)</f>
        <v>5</v>
      </c>
      <c r="D117" s="5" t="n">
        <f aca="false" t="array" ref="D117:D117">INDEX(Data_DBD!$D:$D,$A117)</f>
        <v>13</v>
      </c>
      <c r="E117" s="5" t="n">
        <f aca="false" t="array" ref="E117:E117">INDEX(Data_DBD!$E:$E,$A117)</f>
        <v>1</v>
      </c>
      <c r="F117" s="5" t="str">
        <f aca="false" t="array" ref="F117:F117">INDEX(Data_DBD!$F:$F,$A117)</f>
        <v>Sedang</v>
      </c>
      <c r="H117" s="5" t="n">
        <v>21</v>
      </c>
      <c r="I117" s="5" t="n">
        <v>10</v>
      </c>
      <c r="J117" s="5" t="n">
        <v>5</v>
      </c>
      <c r="K117" s="5" t="n">
        <v>14</v>
      </c>
      <c r="L117" s="5" t="n">
        <v>1</v>
      </c>
      <c r="M117" s="5" t="s">
        <v>7</v>
      </c>
    </row>
    <row r="118" customFormat="false" ht="15" hidden="false" customHeight="false" outlineLevel="0" collapsed="false">
      <c r="A118" s="5" t="n">
        <f aca="false">RANDBETWEEN(2,164)</f>
        <v>72</v>
      </c>
      <c r="B118" s="5" t="n">
        <f aca="false" t="array" ref="B118:B118">INDEX(Data_DBD!$B:$B,$A118)</f>
        <v>3</v>
      </c>
      <c r="C118" s="5" t="n">
        <f aca="false" t="array" ref="C118:C118">INDEX(Data_DBD!$C:$C,$A118)</f>
        <v>5</v>
      </c>
      <c r="D118" s="5" t="n">
        <f aca="false" t="array" ref="D118:D118">INDEX(Data_DBD!$D:$D,$A118)</f>
        <v>10</v>
      </c>
      <c r="E118" s="5" t="n">
        <f aca="false" t="array" ref="E118:E118">INDEX(Data_DBD!$E:$E,$A118)</f>
        <v>1</v>
      </c>
      <c r="F118" s="5" t="str">
        <f aca="false" t="array" ref="F118:F118">INDEX(Data_DBD!$F:$F,$A118)</f>
        <v>Rendah</v>
      </c>
      <c r="H118" s="5" t="n">
        <v>145</v>
      </c>
      <c r="I118" s="5" t="n">
        <v>28</v>
      </c>
      <c r="J118" s="5" t="n">
        <v>4</v>
      </c>
      <c r="K118" s="5" t="n">
        <v>21</v>
      </c>
      <c r="L118" s="5" t="n">
        <v>1</v>
      </c>
      <c r="M118" s="5" t="s">
        <v>115</v>
      </c>
    </row>
    <row r="119" customFormat="false" ht="15" hidden="false" customHeight="false" outlineLevel="0" collapsed="false">
      <c r="A119" s="5" t="n">
        <f aca="false">RANDBETWEEN(2,164)</f>
        <v>101</v>
      </c>
      <c r="B119" s="5" t="n">
        <f aca="false" t="array" ref="B119:B119">INDEX(Data_DBD!$B:$B,$A119)</f>
        <v>42</v>
      </c>
      <c r="C119" s="5" t="n">
        <f aca="false" t="array" ref="C119:C119">INDEX(Data_DBD!$C:$C,$A119)</f>
        <v>5</v>
      </c>
      <c r="D119" s="5" t="n">
        <f aca="false" t="array" ref="D119:D119">INDEX(Data_DBD!$D:$D,$A119)</f>
        <v>18</v>
      </c>
      <c r="E119" s="5" t="n">
        <f aca="false" t="array" ref="E119:E119">INDEX(Data_DBD!$E:$E,$A119)</f>
        <v>0</v>
      </c>
      <c r="F119" s="5" t="str">
        <f aca="false" t="array" ref="F119:F119">INDEX(Data_DBD!$F:$F,$A119)</f>
        <v>Sedang</v>
      </c>
      <c r="H119" s="5" t="n">
        <v>117</v>
      </c>
      <c r="I119" s="5" t="n">
        <v>49</v>
      </c>
      <c r="J119" s="5" t="n">
        <v>4</v>
      </c>
      <c r="K119" s="5" t="n">
        <v>33</v>
      </c>
      <c r="L119" s="5" t="n">
        <v>1</v>
      </c>
      <c r="M119" s="5" t="s">
        <v>115</v>
      </c>
    </row>
    <row r="120" customFormat="false" ht="15" hidden="false" customHeight="false" outlineLevel="0" collapsed="false">
      <c r="A120" s="5" t="n">
        <f aca="false">RANDBETWEEN(2,164)</f>
        <v>72</v>
      </c>
      <c r="B120" s="5" t="n">
        <f aca="false" t="array" ref="B120:B120">INDEX(Data_DBD!$B:$B,$A120)</f>
        <v>3</v>
      </c>
      <c r="C120" s="5" t="n">
        <f aca="false" t="array" ref="C120:C120">INDEX(Data_DBD!$C:$C,$A120)</f>
        <v>5</v>
      </c>
      <c r="D120" s="5" t="n">
        <f aca="false" t="array" ref="D120:D120">INDEX(Data_DBD!$D:$D,$A120)</f>
        <v>10</v>
      </c>
      <c r="E120" s="5" t="n">
        <f aca="false" t="array" ref="E120:E120">INDEX(Data_DBD!$E:$E,$A120)</f>
        <v>1</v>
      </c>
      <c r="F120" s="5" t="str">
        <f aca="false" t="array" ref="F120:F120">INDEX(Data_DBD!$F:$F,$A120)</f>
        <v>Rendah</v>
      </c>
      <c r="H120" s="5" t="n">
        <v>93</v>
      </c>
      <c r="I120" s="5" t="n">
        <v>65</v>
      </c>
      <c r="J120" s="5" t="n">
        <v>4</v>
      </c>
      <c r="K120" s="5" t="n">
        <v>18</v>
      </c>
      <c r="L120" s="5" t="n">
        <v>0</v>
      </c>
      <c r="M120" s="5" t="s">
        <v>7</v>
      </c>
    </row>
    <row r="121" customFormat="false" ht="15" hidden="false" customHeight="false" outlineLevel="0" collapsed="false">
      <c r="A121" s="5" t="n">
        <f aca="false">RANDBETWEEN(2,164)</f>
        <v>47</v>
      </c>
      <c r="B121" s="5" t="n">
        <f aca="false" t="array" ref="B121:B121">INDEX(Data_DBD!$B:$B,$A121)</f>
        <v>19</v>
      </c>
      <c r="C121" s="5" t="n">
        <f aca="false" t="array" ref="C121:C121">INDEX(Data_DBD!$C:$C,$A121)</f>
        <v>2</v>
      </c>
      <c r="D121" s="5" t="n">
        <f aca="false" t="array" ref="D121:D121">INDEX(Data_DBD!$D:$D,$A121)</f>
        <v>13</v>
      </c>
      <c r="E121" s="5" t="n">
        <f aca="false" t="array" ref="E121:E121">INDEX(Data_DBD!$E:$E,$A121)</f>
        <v>0</v>
      </c>
      <c r="F121" s="5" t="str">
        <f aca="false" t="array" ref="F121:F121">INDEX(Data_DBD!$F:$F,$A121)</f>
        <v>Sedang</v>
      </c>
      <c r="H121" s="5" t="n">
        <v>78</v>
      </c>
      <c r="I121" s="5" t="n">
        <v>6</v>
      </c>
      <c r="J121" s="5" t="n">
        <v>3</v>
      </c>
      <c r="K121" s="5" t="n">
        <v>13</v>
      </c>
      <c r="L121" s="5" t="n">
        <v>0</v>
      </c>
      <c r="M121" s="5" t="s">
        <v>7</v>
      </c>
    </row>
    <row r="122" customFormat="false" ht="15" hidden="false" customHeight="false" outlineLevel="0" collapsed="false">
      <c r="A122" s="5" t="n">
        <f aca="false">RANDBETWEEN(2,164)</f>
        <v>70</v>
      </c>
      <c r="B122" s="5" t="n">
        <f aca="false" t="array" ref="B122:B122">INDEX(Data_DBD!$B:$B,$A122)</f>
        <v>26</v>
      </c>
      <c r="C122" s="5" t="n">
        <f aca="false" t="array" ref="C122:C122">INDEX(Data_DBD!$C:$C,$A122)</f>
        <v>3</v>
      </c>
      <c r="D122" s="5" t="n">
        <f aca="false" t="array" ref="D122:D122">INDEX(Data_DBD!$D:$D,$A122)</f>
        <v>10</v>
      </c>
      <c r="E122" s="5" t="n">
        <f aca="false" t="array" ref="E122:E122">INDEX(Data_DBD!$E:$E,$A122)</f>
        <v>1</v>
      </c>
      <c r="F122" s="5" t="str">
        <f aca="false" t="array" ref="F122:F122">INDEX(Data_DBD!$F:$F,$A122)</f>
        <v>Rendah</v>
      </c>
      <c r="H122" s="5" t="n">
        <v>27</v>
      </c>
      <c r="I122" s="5" t="n">
        <v>37</v>
      </c>
      <c r="J122" s="5" t="n">
        <v>4</v>
      </c>
      <c r="K122" s="5" t="n">
        <v>14</v>
      </c>
      <c r="L122" s="5" t="n">
        <v>1</v>
      </c>
      <c r="M122" s="5" t="s">
        <v>7</v>
      </c>
    </row>
    <row r="123" customFormat="false" ht="15" hidden="false" customHeight="false" outlineLevel="0" collapsed="false">
      <c r="A123" s="5" t="n">
        <f aca="false">RANDBETWEEN(2,164)</f>
        <v>127</v>
      </c>
      <c r="B123" s="5" t="n">
        <f aca="false" t="array" ref="B123:B123">INDEX(Data_DBD!$B:$B,$A123)</f>
        <v>21</v>
      </c>
      <c r="C123" s="5" t="n">
        <f aca="false" t="array" ref="C123:C123">INDEX(Data_DBD!$C:$C,$A123)</f>
        <v>2</v>
      </c>
      <c r="D123" s="5" t="n">
        <f aca="false" t="array" ref="D123:D123">INDEX(Data_DBD!$D:$D,$A123)</f>
        <v>33</v>
      </c>
      <c r="E123" s="5" t="n">
        <f aca="false" t="array" ref="E123:E123">INDEX(Data_DBD!$E:$E,$A123)</f>
        <v>0</v>
      </c>
      <c r="F123" s="5" t="str">
        <f aca="false" t="array" ref="F123:F123">INDEX(Data_DBD!$F:$F,$A123)</f>
        <v>Tinggi</v>
      </c>
      <c r="H123" s="5" t="n">
        <v>79</v>
      </c>
      <c r="I123" s="5" t="n">
        <v>29</v>
      </c>
      <c r="J123" s="5" t="n">
        <v>3</v>
      </c>
      <c r="K123" s="5" t="n">
        <v>13</v>
      </c>
      <c r="L123" s="5" t="n">
        <v>0</v>
      </c>
      <c r="M123" s="5" t="s">
        <v>7</v>
      </c>
    </row>
    <row r="124" customFormat="false" ht="15" hidden="false" customHeight="false" outlineLevel="0" collapsed="false">
      <c r="A124" s="5" t="n">
        <f aca="false">RANDBETWEEN(2,164)</f>
        <v>158</v>
      </c>
      <c r="B124" s="5" t="n">
        <f aca="false" t="array" ref="B124:B124">INDEX(Data_DBD!$B:$B,$A124)</f>
        <v>5</v>
      </c>
      <c r="C124" s="5" t="n">
        <f aca="false" t="array" ref="C124:C124">INDEX(Data_DBD!$C:$C,$A124)</f>
        <v>2</v>
      </c>
      <c r="D124" s="5" t="n">
        <f aca="false" t="array" ref="D124:D124">INDEX(Data_DBD!$D:$D,$A124)</f>
        <v>21</v>
      </c>
      <c r="E124" s="5" t="n">
        <f aca="false" t="array" ref="E124:E124">INDEX(Data_DBD!$E:$E,$A124)</f>
        <v>0</v>
      </c>
      <c r="F124" s="5" t="str">
        <f aca="false" t="array" ref="F124:F124">INDEX(Data_DBD!$F:$F,$A124)</f>
        <v>Tinggi</v>
      </c>
      <c r="H124" s="5" t="n">
        <v>2</v>
      </c>
      <c r="I124" s="5" t="n">
        <v>34</v>
      </c>
      <c r="J124" s="5" t="n">
        <v>3</v>
      </c>
      <c r="K124" s="5" t="n">
        <v>12</v>
      </c>
      <c r="L124" s="5" t="n">
        <v>0</v>
      </c>
      <c r="M124" s="5" t="s">
        <v>7</v>
      </c>
    </row>
    <row r="125" customFormat="false" ht="15" hidden="false" customHeight="false" outlineLevel="0" collapsed="false">
      <c r="A125" s="5" t="n">
        <f aca="false">RANDBETWEEN(2,164)</f>
        <v>75</v>
      </c>
      <c r="B125" s="5" t="n">
        <f aca="false" t="array" ref="B125:B125">INDEX(Data_DBD!$B:$B,$A125)</f>
        <v>2</v>
      </c>
      <c r="C125" s="5" t="n">
        <f aca="false" t="array" ref="C125:C125">INDEX(Data_DBD!$C:$C,$A125)</f>
        <v>2</v>
      </c>
      <c r="D125" s="5" t="n">
        <f aca="false" t="array" ref="D125:D125">INDEX(Data_DBD!$D:$D,$A125)</f>
        <v>10</v>
      </c>
      <c r="E125" s="5" t="n">
        <f aca="false" t="array" ref="E125:E125">INDEX(Data_DBD!$E:$E,$A125)</f>
        <v>1</v>
      </c>
      <c r="F125" s="5" t="str">
        <f aca="false" t="array" ref="F125:F125">INDEX(Data_DBD!$F:$F,$A125)</f>
        <v>Rendah</v>
      </c>
      <c r="H125" s="5" t="n">
        <v>112</v>
      </c>
      <c r="I125" s="5" t="n">
        <v>61</v>
      </c>
      <c r="J125" s="5" t="n">
        <v>3</v>
      </c>
      <c r="K125" s="5" t="n">
        <v>33</v>
      </c>
      <c r="L125" s="5" t="n">
        <v>1</v>
      </c>
      <c r="M125" s="5" t="s">
        <v>115</v>
      </c>
    </row>
    <row r="126" customFormat="false" ht="15" hidden="false" customHeight="false" outlineLevel="0" collapsed="false">
      <c r="A126" s="5" t="n">
        <f aca="false">RANDBETWEEN(2,164)</f>
        <v>90</v>
      </c>
      <c r="B126" s="5" t="n">
        <f aca="false" t="array" ref="B126:B126">INDEX(Data_DBD!$B:$B,$A126)</f>
        <v>47</v>
      </c>
      <c r="C126" s="5" t="n">
        <f aca="false" t="array" ref="C126:C126">INDEX(Data_DBD!$C:$C,$A126)</f>
        <v>3</v>
      </c>
      <c r="D126" s="5" t="n">
        <f aca="false" t="array" ref="D126:D126">INDEX(Data_DBD!$D:$D,$A126)</f>
        <v>18</v>
      </c>
      <c r="E126" s="5" t="n">
        <f aca="false" t="array" ref="E126:E126">INDEX(Data_DBD!$E:$E,$A126)</f>
        <v>0</v>
      </c>
      <c r="F126" s="5" t="str">
        <f aca="false" t="array" ref="F126:F126">INDEX(Data_DBD!$F:$F,$A126)</f>
        <v>Sedang</v>
      </c>
      <c r="H126" s="5" t="n">
        <v>86</v>
      </c>
      <c r="I126" s="5" t="n">
        <v>23</v>
      </c>
      <c r="J126" s="5" t="n">
        <v>3</v>
      </c>
      <c r="K126" s="5" t="n">
        <v>13</v>
      </c>
      <c r="L126" s="5" t="n">
        <v>0</v>
      </c>
      <c r="M126" s="5" t="s">
        <v>7</v>
      </c>
    </row>
    <row r="127" customFormat="false" ht="15" hidden="false" customHeight="false" outlineLevel="0" collapsed="false">
      <c r="A127" s="5" t="n">
        <f aca="false">RANDBETWEEN(2,164)</f>
        <v>132</v>
      </c>
      <c r="B127" s="5" t="n">
        <f aca="false" t="array" ref="B127:B127">INDEX(Data_DBD!$B:$B,$A127)</f>
        <v>10</v>
      </c>
      <c r="C127" s="5" t="n">
        <f aca="false" t="array" ref="C127:C127">INDEX(Data_DBD!$C:$C,$A127)</f>
        <v>3</v>
      </c>
      <c r="D127" s="5" t="n">
        <f aca="false" t="array" ref="D127:D127">INDEX(Data_DBD!$D:$D,$A127)</f>
        <v>33</v>
      </c>
      <c r="E127" s="5" t="n">
        <f aca="false" t="array" ref="E127:E127">INDEX(Data_DBD!$E:$E,$A127)</f>
        <v>1</v>
      </c>
      <c r="F127" s="5" t="str">
        <f aca="false" t="array" ref="F127:F127">INDEX(Data_DBD!$F:$F,$A127)</f>
        <v>Tinggi</v>
      </c>
      <c r="H127" s="5" t="n">
        <v>71</v>
      </c>
      <c r="I127" s="5" t="n">
        <v>84</v>
      </c>
      <c r="J127" s="5" t="n">
        <v>3</v>
      </c>
      <c r="K127" s="5" t="n">
        <v>10</v>
      </c>
      <c r="L127" s="5" t="n">
        <v>0</v>
      </c>
      <c r="M127" s="5" t="s">
        <v>20</v>
      </c>
    </row>
    <row r="128" customFormat="false" ht="15" hidden="false" customHeight="false" outlineLevel="0" collapsed="false">
      <c r="A128" s="5" t="n">
        <f aca="false">RANDBETWEEN(2,164)</f>
        <v>19</v>
      </c>
      <c r="B128" s="5" t="n">
        <f aca="false" t="array" ref="B128:B128">INDEX(Data_DBD!$B:$B,$A128)</f>
        <v>8</v>
      </c>
      <c r="C128" s="5" t="n">
        <f aca="false" t="array" ref="C128:C128">INDEX(Data_DBD!$C:$C,$A128)</f>
        <v>4</v>
      </c>
      <c r="D128" s="5" t="n">
        <f aca="false" t="array" ref="D128:D128">INDEX(Data_DBD!$D:$D,$A128)</f>
        <v>7</v>
      </c>
      <c r="E128" s="5" t="n">
        <f aca="false" t="array" ref="E128:E128">INDEX(Data_DBD!$E:$E,$A128)</f>
        <v>0</v>
      </c>
      <c r="F128" s="5" t="str">
        <f aca="false" t="array" ref="F128:F128">INDEX(Data_DBD!$F:$F,$A128)</f>
        <v>Rendah</v>
      </c>
      <c r="H128" s="5" t="n">
        <v>148</v>
      </c>
      <c r="I128" s="5" t="n">
        <v>55</v>
      </c>
      <c r="J128" s="5" t="n">
        <v>3</v>
      </c>
      <c r="K128" s="5" t="n">
        <v>21</v>
      </c>
      <c r="L128" s="5" t="n">
        <v>1</v>
      </c>
      <c r="M128" s="5" t="s">
        <v>115</v>
      </c>
    </row>
    <row r="129" customFormat="false" ht="15" hidden="false" customHeight="false" outlineLevel="0" collapsed="false">
      <c r="A129" s="5" t="n">
        <f aca="false">RANDBETWEEN(2,164)</f>
        <v>139</v>
      </c>
      <c r="B129" s="5" t="n">
        <f aca="false" t="array" ref="B129:B129">INDEX(Data_DBD!$B:$B,$A129)</f>
        <v>52</v>
      </c>
      <c r="C129" s="5" t="n">
        <f aca="false" t="array" ref="C129:C129">INDEX(Data_DBD!$C:$C,$A129)</f>
        <v>7</v>
      </c>
      <c r="D129" s="5" t="n">
        <f aca="false" t="array" ref="D129:D129">INDEX(Data_DBD!$D:$D,$A129)</f>
        <v>21</v>
      </c>
      <c r="E129" s="5" t="n">
        <f aca="false" t="array" ref="E129:E129">INDEX(Data_DBD!$E:$E,$A129)</f>
        <v>0</v>
      </c>
      <c r="F129" s="5" t="str">
        <f aca="false" t="array" ref="F129:F129">INDEX(Data_DBD!$F:$F,$A129)</f>
        <v>Tinggi</v>
      </c>
      <c r="H129" s="5" t="n">
        <v>110</v>
      </c>
      <c r="I129" s="5" t="n">
        <v>42</v>
      </c>
      <c r="J129" s="5" t="n">
        <v>2</v>
      </c>
      <c r="K129" s="5" t="n">
        <v>33</v>
      </c>
      <c r="L129" s="5" t="n">
        <v>1</v>
      </c>
      <c r="M129" s="5" t="s">
        <v>115</v>
      </c>
    </row>
    <row r="130" customFormat="false" ht="15" hidden="false" customHeight="false" outlineLevel="0" collapsed="false">
      <c r="A130" s="5" t="n">
        <f aca="false">RANDBETWEEN(2,164)</f>
        <v>85</v>
      </c>
      <c r="B130" s="5" t="n">
        <f aca="false" t="array" ref="B130:B130">INDEX(Data_DBD!$B:$B,$A130)</f>
        <v>27</v>
      </c>
      <c r="C130" s="5" t="n">
        <f aca="false" t="array" ref="C130:C130">INDEX(Data_DBD!$C:$C,$A130)</f>
        <v>9</v>
      </c>
      <c r="D130" s="5" t="n">
        <f aca="false" t="array" ref="D130:D130">INDEX(Data_DBD!$D:$D,$A130)</f>
        <v>13</v>
      </c>
      <c r="E130" s="5" t="n">
        <f aca="false" t="array" ref="E130:E130">INDEX(Data_DBD!$E:$E,$A130)</f>
        <v>0</v>
      </c>
      <c r="F130" s="5" t="str">
        <f aca="false" t="array" ref="F130:F130">INDEX(Data_DBD!$F:$F,$A130)</f>
        <v>Sedang</v>
      </c>
      <c r="H130" s="5" t="n">
        <v>98</v>
      </c>
      <c r="I130" s="5" t="n">
        <v>16</v>
      </c>
      <c r="J130" s="5" t="n">
        <v>2</v>
      </c>
      <c r="K130" s="5" t="n">
        <v>18</v>
      </c>
      <c r="L130" s="5" t="n">
        <v>1</v>
      </c>
      <c r="M130" s="5" t="s">
        <v>7</v>
      </c>
    </row>
    <row r="131" customFormat="false" ht="15" hidden="false" customHeight="false" outlineLevel="0" collapsed="false">
      <c r="A131" s="5" t="n">
        <f aca="false">RANDBETWEEN(2,164)</f>
        <v>26</v>
      </c>
      <c r="B131" s="5" t="n">
        <f aca="false" t="array" ref="B131:B131">INDEX(Data_DBD!$B:$B,$A131)</f>
        <v>75</v>
      </c>
      <c r="C131" s="5" t="n">
        <f aca="false" t="array" ref="C131:C131">INDEX(Data_DBD!$C:$C,$A131)</f>
        <v>4</v>
      </c>
      <c r="D131" s="5" t="n">
        <f aca="false" t="array" ref="D131:D131">INDEX(Data_DBD!$D:$D,$A131)</f>
        <v>14</v>
      </c>
      <c r="E131" s="5" t="n">
        <f aca="false" t="array" ref="E131:E131">INDEX(Data_DBD!$E:$E,$A131)</f>
        <v>1</v>
      </c>
      <c r="F131" s="5" t="str">
        <f aca="false" t="array" ref="F131:F131">INDEX(Data_DBD!$F:$F,$A131)</f>
        <v>Sedang</v>
      </c>
      <c r="H131" s="5" t="n">
        <v>116</v>
      </c>
      <c r="I131" s="5" t="n">
        <v>32</v>
      </c>
      <c r="J131" s="5" t="n">
        <v>4</v>
      </c>
      <c r="K131" s="5" t="n">
        <v>33</v>
      </c>
      <c r="L131" s="5" t="n">
        <v>1</v>
      </c>
      <c r="M131" s="5" t="s">
        <v>115</v>
      </c>
    </row>
    <row r="132" customFormat="false" ht="15" hidden="false" customHeight="false" outlineLevel="0" collapsed="false">
      <c r="A132" s="5" t="n">
        <f aca="false">RANDBETWEEN(2,164)</f>
        <v>129</v>
      </c>
      <c r="B132" s="5" t="n">
        <f aca="false" t="array" ref="B132:B132">INDEX(Data_DBD!$B:$B,$A132)</f>
        <v>4</v>
      </c>
      <c r="C132" s="5" t="n">
        <f aca="false" t="array" ref="C132:C132">INDEX(Data_DBD!$C:$C,$A132)</f>
        <v>3</v>
      </c>
      <c r="D132" s="5" t="n">
        <f aca="false" t="array" ref="D132:D132">INDEX(Data_DBD!$D:$D,$A132)</f>
        <v>33</v>
      </c>
      <c r="E132" s="5" t="n">
        <f aca="false" t="array" ref="E132:E132">INDEX(Data_DBD!$E:$E,$A132)</f>
        <v>0</v>
      </c>
      <c r="F132" s="5" t="str">
        <f aca="false" t="array" ref="F132:F132">INDEX(Data_DBD!$F:$F,$A132)</f>
        <v>Tinggi</v>
      </c>
      <c r="H132" s="5" t="n">
        <v>56</v>
      </c>
      <c r="I132" s="5" t="n">
        <v>4</v>
      </c>
      <c r="J132" s="5" t="n">
        <v>3</v>
      </c>
      <c r="K132" s="5" t="n">
        <v>15</v>
      </c>
      <c r="L132" s="5" t="n">
        <v>0</v>
      </c>
      <c r="M132" s="5" t="s">
        <v>7</v>
      </c>
    </row>
    <row r="133" customFormat="false" ht="15" hidden="false" customHeight="false" outlineLevel="0" collapsed="false">
      <c r="A133" s="5" t="n">
        <f aca="false">RANDBETWEEN(2,164)</f>
        <v>37</v>
      </c>
      <c r="B133" s="5" t="n">
        <f aca="false" t="array" ref="B133:B133">INDEX(Data_DBD!$B:$B,$A133)</f>
        <v>28</v>
      </c>
      <c r="C133" s="5" t="n">
        <f aca="false" t="array" ref="C133:C133">INDEX(Data_DBD!$C:$C,$A133)</f>
        <v>4</v>
      </c>
      <c r="D133" s="5" t="n">
        <f aca="false" t="array" ref="D133:D133">INDEX(Data_DBD!$D:$D,$A133)</f>
        <v>4</v>
      </c>
      <c r="E133" s="5" t="n">
        <f aca="false" t="array" ref="E133:E133">INDEX(Data_DBD!$E:$E,$A133)</f>
        <v>1</v>
      </c>
      <c r="F133" s="5" t="str">
        <f aca="false" t="array" ref="F133:F133">INDEX(Data_DBD!$F:$F,$A133)</f>
        <v>Rendah</v>
      </c>
      <c r="H133" s="5" t="n">
        <v>22</v>
      </c>
      <c r="I133" s="5" t="n">
        <v>6</v>
      </c>
      <c r="J133" s="5" t="n">
        <v>3</v>
      </c>
      <c r="K133" s="5" t="n">
        <v>14</v>
      </c>
      <c r="L133" s="5" t="n">
        <v>0</v>
      </c>
      <c r="M133" s="5" t="s">
        <v>7</v>
      </c>
    </row>
    <row r="134" customFormat="false" ht="15" hidden="false" customHeight="false" outlineLevel="0" collapsed="false">
      <c r="A134" s="5" t="n">
        <f aca="false">RANDBETWEEN(2,164)</f>
        <v>141</v>
      </c>
      <c r="B134" s="5" t="n">
        <f aca="false" t="array" ref="B134:B134">INDEX(Data_DBD!$B:$B,$A134)</f>
        <v>36</v>
      </c>
      <c r="C134" s="5" t="n">
        <f aca="false" t="array" ref="C134:C134">INDEX(Data_DBD!$C:$C,$A134)</f>
        <v>2</v>
      </c>
      <c r="D134" s="5" t="n">
        <f aca="false" t="array" ref="D134:D134">INDEX(Data_DBD!$D:$D,$A134)</f>
        <v>21</v>
      </c>
      <c r="E134" s="5" t="n">
        <f aca="false" t="array" ref="E134:E134">INDEX(Data_DBD!$E:$E,$A134)</f>
        <v>0</v>
      </c>
      <c r="F134" s="5" t="str">
        <f aca="false" t="array" ref="F134:F134">INDEX(Data_DBD!$F:$F,$A134)</f>
        <v>Tinggi</v>
      </c>
      <c r="H134" s="5" t="n">
        <v>62</v>
      </c>
      <c r="I134" s="5" t="n">
        <v>43</v>
      </c>
      <c r="J134" s="5" t="n">
        <v>4</v>
      </c>
      <c r="K134" s="5" t="n">
        <v>15</v>
      </c>
      <c r="L134" s="5" t="n">
        <v>1</v>
      </c>
      <c r="M134" s="5" t="s">
        <v>7</v>
      </c>
    </row>
    <row r="135" customFormat="false" ht="15" hidden="false" customHeight="false" outlineLevel="0" collapsed="false">
      <c r="A135" s="5" t="n">
        <f aca="false">RANDBETWEEN(2,164)</f>
        <v>40</v>
      </c>
      <c r="B135" s="5" t="n">
        <f aca="false" t="array" ref="B135:B135">INDEX(Data_DBD!$B:$B,$A135)</f>
        <v>65</v>
      </c>
      <c r="C135" s="5" t="n">
        <f aca="false" t="array" ref="C135:C135">INDEX(Data_DBD!$C:$C,$A135)</f>
        <v>3</v>
      </c>
      <c r="D135" s="5" t="n">
        <f aca="false" t="array" ref="D135:D135">INDEX(Data_DBD!$D:$D,$A135)</f>
        <v>13</v>
      </c>
      <c r="E135" s="5" t="n">
        <f aca="false" t="array" ref="E135:E135">INDEX(Data_DBD!$E:$E,$A135)</f>
        <v>1</v>
      </c>
      <c r="F135" s="5" t="str">
        <f aca="false" t="array" ref="F135:F135">INDEX(Data_DBD!$F:$F,$A135)</f>
        <v>Sedang</v>
      </c>
      <c r="H135" s="5" t="n">
        <v>89</v>
      </c>
      <c r="I135" s="5" t="n">
        <v>32</v>
      </c>
      <c r="J135" s="5" t="n">
        <v>4</v>
      </c>
      <c r="K135" s="5" t="n">
        <v>13</v>
      </c>
      <c r="L135" s="5" t="n">
        <v>0</v>
      </c>
      <c r="M135" s="5" t="s">
        <v>7</v>
      </c>
    </row>
    <row r="136" customFormat="false" ht="15" hidden="false" customHeight="false" outlineLevel="0" collapsed="false">
      <c r="A136" s="5" t="n">
        <f aca="false">RANDBETWEEN(2,164)</f>
        <v>36</v>
      </c>
      <c r="B136" s="5" t="n">
        <f aca="false" t="array" ref="B136:B136">INDEX(Data_DBD!$B:$B,$A136)</f>
        <v>27</v>
      </c>
      <c r="C136" s="5" t="n">
        <f aca="false" t="array" ref="C136:C136">INDEX(Data_DBD!$C:$C,$A136)</f>
        <v>1</v>
      </c>
      <c r="D136" s="5" t="n">
        <f aca="false" t="array" ref="D136:D136">INDEX(Data_DBD!$D:$D,$A136)</f>
        <v>4</v>
      </c>
      <c r="E136" s="5" t="n">
        <f aca="false" t="array" ref="E136:E136">INDEX(Data_DBD!$E:$E,$A136)</f>
        <v>1</v>
      </c>
      <c r="F136" s="5" t="str">
        <f aca="false" t="array" ref="F136:F136">INDEX(Data_DBD!$F:$F,$A136)</f>
        <v>Rendah</v>
      </c>
      <c r="H136" s="5" t="n">
        <v>31</v>
      </c>
      <c r="I136" s="5" t="n">
        <v>64</v>
      </c>
      <c r="J136" s="5" t="n">
        <v>4</v>
      </c>
      <c r="K136" s="5" t="n">
        <v>14</v>
      </c>
      <c r="L136" s="5" t="n">
        <v>1</v>
      </c>
      <c r="M136" s="5" t="s">
        <v>7</v>
      </c>
    </row>
    <row r="137" customFormat="false" ht="15" hidden="false" customHeight="false" outlineLevel="0" collapsed="false">
      <c r="A137" s="5" t="n">
        <f aca="false">RANDBETWEEN(2,164)</f>
        <v>2</v>
      </c>
      <c r="B137" s="5" t="n">
        <f aca="false" t="array" ref="B137:B137">INDEX(Data_DBD!$B:$B,$A137)</f>
        <v>34</v>
      </c>
      <c r="C137" s="5" t="n">
        <f aca="false" t="array" ref="C137:C137">INDEX(Data_DBD!$C:$C,$A137)</f>
        <v>3</v>
      </c>
      <c r="D137" s="5" t="n">
        <f aca="false" t="array" ref="D137:D137">INDEX(Data_DBD!$D:$D,$A137)</f>
        <v>12</v>
      </c>
      <c r="E137" s="5" t="n">
        <f aca="false" t="array" ref="E137:E137">INDEX(Data_DBD!$E:$E,$A137)</f>
        <v>0</v>
      </c>
      <c r="F137" s="5" t="str">
        <f aca="false" t="array" ref="F137:F137">INDEX(Data_DBD!$F:$F,$A137)</f>
        <v>Sedang</v>
      </c>
      <c r="H137" s="5" t="n">
        <v>112</v>
      </c>
      <c r="I137" s="5" t="n">
        <v>61</v>
      </c>
      <c r="J137" s="5" t="n">
        <v>3</v>
      </c>
      <c r="K137" s="5" t="n">
        <v>33</v>
      </c>
      <c r="L137" s="5" t="n">
        <v>1</v>
      </c>
      <c r="M137" s="5" t="s">
        <v>115</v>
      </c>
    </row>
    <row r="138" customFormat="false" ht="15" hidden="false" customHeight="false" outlineLevel="0" collapsed="false">
      <c r="A138" s="5" t="n">
        <f aca="false">RANDBETWEEN(2,164)</f>
        <v>140</v>
      </c>
      <c r="B138" s="5" t="n">
        <f aca="false" t="array" ref="B138:B138">INDEX(Data_DBD!$B:$B,$A138)</f>
        <v>74</v>
      </c>
      <c r="C138" s="5" t="n">
        <f aca="false" t="array" ref="C138:C138">INDEX(Data_DBD!$C:$C,$A138)</f>
        <v>5</v>
      </c>
      <c r="D138" s="5" t="n">
        <f aca="false" t="array" ref="D138:D138">INDEX(Data_DBD!$D:$D,$A138)</f>
        <v>21</v>
      </c>
      <c r="E138" s="5" t="n">
        <f aca="false" t="array" ref="E138:E138">INDEX(Data_DBD!$E:$E,$A138)</f>
        <v>1</v>
      </c>
      <c r="F138" s="5" t="str">
        <f aca="false" t="array" ref="F138:F138">INDEX(Data_DBD!$F:$F,$A138)</f>
        <v>Tinggi</v>
      </c>
      <c r="H138" s="5" t="n">
        <v>152</v>
      </c>
      <c r="I138" s="5" t="n">
        <v>47</v>
      </c>
      <c r="J138" s="5" t="n">
        <v>3</v>
      </c>
      <c r="K138" s="5" t="n">
        <v>21</v>
      </c>
      <c r="L138" s="5" t="n">
        <v>1</v>
      </c>
      <c r="M138" s="5" t="s">
        <v>115</v>
      </c>
    </row>
    <row r="139" customFormat="false" ht="15" hidden="false" customHeight="false" outlineLevel="0" collapsed="false">
      <c r="A139" s="5" t="n">
        <f aca="false">RANDBETWEEN(2,164)</f>
        <v>21</v>
      </c>
      <c r="B139" s="5" t="n">
        <f aca="false" t="array" ref="B139:B139">INDEX(Data_DBD!$B:$B,$A139)</f>
        <v>10</v>
      </c>
      <c r="C139" s="5" t="n">
        <f aca="false" t="array" ref="C139:C139">INDEX(Data_DBD!$C:$C,$A139)</f>
        <v>5</v>
      </c>
      <c r="D139" s="5" t="n">
        <f aca="false" t="array" ref="D139:D139">INDEX(Data_DBD!$D:$D,$A139)</f>
        <v>14</v>
      </c>
      <c r="E139" s="5" t="n">
        <f aca="false" t="array" ref="E139:E139">INDEX(Data_DBD!$E:$E,$A139)</f>
        <v>1</v>
      </c>
      <c r="F139" s="5" t="str">
        <f aca="false" t="array" ref="F139:F139">INDEX(Data_DBD!$F:$F,$A139)</f>
        <v>Sedang</v>
      </c>
      <c r="H139" s="5" t="n">
        <v>32</v>
      </c>
      <c r="I139" s="5" t="n">
        <v>54</v>
      </c>
      <c r="J139" s="5" t="n">
        <v>4</v>
      </c>
      <c r="K139" s="5" t="n">
        <v>14</v>
      </c>
      <c r="L139" s="5" t="n">
        <v>0</v>
      </c>
      <c r="M139" s="5" t="s">
        <v>7</v>
      </c>
    </row>
    <row r="140" customFormat="false" ht="15" hidden="false" customHeight="false" outlineLevel="0" collapsed="false">
      <c r="A140" s="5" t="n">
        <f aca="false">RANDBETWEEN(2,164)</f>
        <v>83</v>
      </c>
      <c r="B140" s="5" t="n">
        <f aca="false" t="array" ref="B140:B140">INDEX(Data_DBD!$B:$B,$A140)</f>
        <v>50</v>
      </c>
      <c r="C140" s="5" t="n">
        <f aca="false" t="array" ref="C140:C140">INDEX(Data_DBD!$C:$C,$A140)</f>
        <v>3</v>
      </c>
      <c r="D140" s="5" t="n">
        <f aca="false" t="array" ref="D140:D140">INDEX(Data_DBD!$D:$D,$A140)</f>
        <v>13</v>
      </c>
      <c r="E140" s="5" t="n">
        <f aca="false" t="array" ref="E140:E140">INDEX(Data_DBD!$E:$E,$A140)</f>
        <v>0</v>
      </c>
      <c r="F140" s="5" t="str">
        <f aca="false" t="array" ref="F140:F140">INDEX(Data_DBD!$F:$F,$A140)</f>
        <v>Sedang</v>
      </c>
      <c r="H140" s="5" t="n">
        <v>17</v>
      </c>
      <c r="I140" s="5" t="n">
        <v>2</v>
      </c>
      <c r="J140" s="5" t="n">
        <v>3</v>
      </c>
      <c r="K140" s="5" t="n">
        <v>7</v>
      </c>
      <c r="L140" s="5" t="n">
        <v>0</v>
      </c>
      <c r="M140" s="5" t="s">
        <v>20</v>
      </c>
    </row>
    <row r="141" customFormat="false" ht="15" hidden="false" customHeight="false" outlineLevel="0" collapsed="false">
      <c r="A141" s="5" t="n">
        <f aca="false">RANDBETWEEN(2,164)</f>
        <v>29</v>
      </c>
      <c r="B141" s="5" t="n">
        <f aca="false" t="array" ref="B141:B141">INDEX(Data_DBD!$B:$B,$A141)</f>
        <v>19</v>
      </c>
      <c r="C141" s="5" t="n">
        <f aca="false" t="array" ref="C141:C141">INDEX(Data_DBD!$C:$C,$A141)</f>
        <v>2</v>
      </c>
      <c r="D141" s="5" t="n">
        <f aca="false" t="array" ref="D141:D141">INDEX(Data_DBD!$D:$D,$A141)</f>
        <v>14</v>
      </c>
      <c r="E141" s="5" t="n">
        <f aca="false" t="array" ref="E141:E141">INDEX(Data_DBD!$E:$E,$A141)</f>
        <v>1</v>
      </c>
      <c r="F141" s="5" t="str">
        <f aca="false" t="array" ref="F141:F141">INDEX(Data_DBD!$F:$F,$A141)</f>
        <v>Sedang</v>
      </c>
      <c r="H141" s="5" t="n">
        <v>75</v>
      </c>
      <c r="I141" s="5" t="n">
        <v>2</v>
      </c>
      <c r="J141" s="5" t="n">
        <v>2</v>
      </c>
      <c r="K141" s="5" t="n">
        <v>10</v>
      </c>
      <c r="L141" s="5" t="n">
        <v>1</v>
      </c>
      <c r="M141" s="5" t="s">
        <v>20</v>
      </c>
    </row>
    <row r="142" customFormat="false" ht="15" hidden="false" customHeight="false" outlineLevel="0" collapsed="false">
      <c r="A142" s="5" t="n">
        <f aca="false">RANDBETWEEN(2,164)</f>
        <v>68</v>
      </c>
      <c r="B142" s="5" t="n">
        <f aca="false" t="array" ref="B142:B142">INDEX(Data_DBD!$B:$B,$A142)</f>
        <v>44</v>
      </c>
      <c r="C142" s="5" t="n">
        <f aca="false" t="array" ref="C142:C142">INDEX(Data_DBD!$C:$C,$A142)</f>
        <v>5</v>
      </c>
      <c r="D142" s="5" t="n">
        <f aca="false" t="array" ref="D142:D142">INDEX(Data_DBD!$D:$D,$A142)</f>
        <v>10</v>
      </c>
      <c r="E142" s="5" t="n">
        <f aca="false" t="array" ref="E142:E142">INDEX(Data_DBD!$E:$E,$A142)</f>
        <v>0</v>
      </c>
      <c r="F142" s="5" t="str">
        <f aca="false" t="array" ref="F142:F142">INDEX(Data_DBD!$F:$F,$A142)</f>
        <v>Rendah</v>
      </c>
      <c r="H142" s="5" t="n">
        <v>36</v>
      </c>
      <c r="I142" s="5" t="n">
        <v>27</v>
      </c>
      <c r="J142" s="5" t="n">
        <v>1</v>
      </c>
      <c r="K142" s="5" t="n">
        <v>4</v>
      </c>
      <c r="L142" s="5" t="n">
        <v>1</v>
      </c>
      <c r="M142" s="5" t="s">
        <v>20</v>
      </c>
    </row>
    <row r="143" customFormat="false" ht="15" hidden="false" customHeight="false" outlineLevel="0" collapsed="false">
      <c r="A143" s="5" t="n">
        <f aca="false">RANDBETWEEN(2,164)</f>
        <v>109</v>
      </c>
      <c r="B143" s="5" t="n">
        <f aca="false" t="array" ref="B143:B143">INDEX(Data_DBD!$B:$B,$A143)</f>
        <v>40</v>
      </c>
      <c r="C143" s="5" t="n">
        <f aca="false" t="array" ref="C143:C143">INDEX(Data_DBD!$C:$C,$A143)</f>
        <v>3</v>
      </c>
      <c r="D143" s="5" t="n">
        <f aca="false" t="array" ref="D143:D143">INDEX(Data_DBD!$D:$D,$A143)</f>
        <v>33</v>
      </c>
      <c r="E143" s="5" t="n">
        <f aca="false" t="array" ref="E143:E143">INDEX(Data_DBD!$E:$E,$A143)</f>
        <v>1</v>
      </c>
      <c r="F143" s="5" t="str">
        <f aca="false" t="array" ref="F143:F143">INDEX(Data_DBD!$F:$F,$A143)</f>
        <v>Tinggi</v>
      </c>
      <c r="H143" s="5" t="n">
        <v>162</v>
      </c>
      <c r="I143" s="5" t="n">
        <v>22</v>
      </c>
      <c r="J143" s="5" t="n">
        <v>3</v>
      </c>
      <c r="K143" s="5" t="n">
        <v>3</v>
      </c>
      <c r="L143" s="5" t="n">
        <v>1</v>
      </c>
      <c r="M143" s="5" t="s">
        <v>20</v>
      </c>
    </row>
    <row r="144" customFormat="false" ht="15" hidden="false" customHeight="false" outlineLevel="0" collapsed="false">
      <c r="A144" s="5" t="n">
        <f aca="false">RANDBETWEEN(2,164)</f>
        <v>64</v>
      </c>
      <c r="B144" s="5" t="n">
        <f aca="false" t="array" ref="B144:B144">INDEX(Data_DBD!$B:$B,$A144)</f>
        <v>35</v>
      </c>
      <c r="C144" s="5" t="n">
        <f aca="false" t="array" ref="C144:C144">INDEX(Data_DBD!$C:$C,$A144)</f>
        <v>1</v>
      </c>
      <c r="D144" s="5" t="n">
        <f aca="false" t="array" ref="D144:D144">INDEX(Data_DBD!$D:$D,$A144)</f>
        <v>15</v>
      </c>
      <c r="E144" s="5" t="n">
        <f aca="false" t="array" ref="E144:E144">INDEX(Data_DBD!$E:$E,$A144)</f>
        <v>0</v>
      </c>
      <c r="F144" s="5" t="str">
        <f aca="false" t="array" ref="F144:F144">INDEX(Data_DBD!$F:$F,$A144)</f>
        <v>Sedang</v>
      </c>
      <c r="H144" s="5" t="n">
        <v>101</v>
      </c>
      <c r="I144" s="5" t="n">
        <v>42</v>
      </c>
      <c r="J144" s="5" t="n">
        <v>5</v>
      </c>
      <c r="K144" s="5" t="n">
        <v>18</v>
      </c>
      <c r="L144" s="5" t="n">
        <v>0</v>
      </c>
      <c r="M144" s="5" t="s">
        <v>7</v>
      </c>
    </row>
    <row r="145" customFormat="false" ht="15" hidden="false" customHeight="false" outlineLevel="0" collapsed="false">
      <c r="A145" s="5" t="n">
        <f aca="false">RANDBETWEEN(2,164)</f>
        <v>103</v>
      </c>
      <c r="B145" s="5" t="n">
        <f aca="false" t="array" ref="B145:B145">INDEX(Data_DBD!$B:$B,$A145)</f>
        <v>22</v>
      </c>
      <c r="C145" s="5" t="n">
        <f aca="false" t="array" ref="C145:C145">INDEX(Data_DBD!$C:$C,$A145)</f>
        <v>5</v>
      </c>
      <c r="D145" s="5" t="n">
        <f aca="false" t="array" ref="D145:D145">INDEX(Data_DBD!$D:$D,$A145)</f>
        <v>18</v>
      </c>
      <c r="E145" s="5" t="n">
        <f aca="false" t="array" ref="E145:E145">INDEX(Data_DBD!$E:$E,$A145)</f>
        <v>0</v>
      </c>
      <c r="F145" s="5" t="str">
        <f aca="false" t="array" ref="F145:F145">INDEX(Data_DBD!$F:$F,$A145)</f>
        <v>Sedang</v>
      </c>
      <c r="H145" s="5" t="n">
        <v>144</v>
      </c>
      <c r="I145" s="5" t="n">
        <v>61</v>
      </c>
      <c r="J145" s="5" t="n">
        <v>4</v>
      </c>
      <c r="K145" s="5" t="n">
        <v>21</v>
      </c>
      <c r="L145" s="5" t="n">
        <v>1</v>
      </c>
      <c r="M145" s="5" t="s">
        <v>115</v>
      </c>
    </row>
    <row r="146" customFormat="false" ht="15" hidden="false" customHeight="false" outlineLevel="0" collapsed="false">
      <c r="A146" s="5" t="n">
        <f aca="false">RANDBETWEEN(2,164)</f>
        <v>84</v>
      </c>
      <c r="B146" s="5" t="n">
        <f aca="false" t="array" ref="B146:B146">INDEX(Data_DBD!$B:$B,$A146)</f>
        <v>42</v>
      </c>
      <c r="C146" s="5" t="n">
        <f aca="false" t="array" ref="C146:C146">INDEX(Data_DBD!$C:$C,$A146)</f>
        <v>4</v>
      </c>
      <c r="D146" s="5" t="n">
        <f aca="false" t="array" ref="D146:D146">INDEX(Data_DBD!$D:$D,$A146)</f>
        <v>13</v>
      </c>
      <c r="E146" s="5" t="n">
        <f aca="false" t="array" ref="E146:E146">INDEX(Data_DBD!$E:$E,$A146)</f>
        <v>1</v>
      </c>
      <c r="F146" s="5" t="str">
        <f aca="false" t="array" ref="F146:F146">INDEX(Data_DBD!$F:$F,$A146)</f>
        <v>Sedang</v>
      </c>
      <c r="H146" s="5" t="n">
        <v>93</v>
      </c>
      <c r="I146" s="5" t="n">
        <v>65</v>
      </c>
      <c r="J146" s="5" t="n">
        <v>4</v>
      </c>
      <c r="K146" s="5" t="n">
        <v>18</v>
      </c>
      <c r="L146" s="5" t="n">
        <v>0</v>
      </c>
      <c r="M146" s="5" t="s">
        <v>7</v>
      </c>
    </row>
    <row r="147" customFormat="false" ht="15" hidden="false" customHeight="false" outlineLevel="0" collapsed="false">
      <c r="A147" s="5" t="n">
        <f aca="false">RANDBETWEEN(2,164)</f>
        <v>105</v>
      </c>
      <c r="B147" s="5" t="n">
        <f aca="false" t="array" ref="B147:B147">INDEX(Data_DBD!$B:$B,$A147)</f>
        <v>61</v>
      </c>
      <c r="C147" s="5" t="n">
        <f aca="false" t="array" ref="C147:C147">INDEX(Data_DBD!$C:$C,$A147)</f>
        <v>3</v>
      </c>
      <c r="D147" s="5" t="n">
        <f aca="false" t="array" ref="D147:D147">INDEX(Data_DBD!$D:$D,$A147)</f>
        <v>18</v>
      </c>
      <c r="E147" s="5" t="n">
        <f aca="false" t="array" ref="E147:E147">INDEX(Data_DBD!$E:$E,$A147)</f>
        <v>1</v>
      </c>
      <c r="F147" s="5" t="str">
        <f aca="false" t="array" ref="F147:F147">INDEX(Data_DBD!$F:$F,$A147)</f>
        <v>Sedang</v>
      </c>
      <c r="H147" s="5" t="n">
        <v>54</v>
      </c>
      <c r="I147" s="5" t="n">
        <v>7</v>
      </c>
      <c r="J147" s="5" t="n">
        <v>3</v>
      </c>
      <c r="K147" s="5" t="n">
        <v>15</v>
      </c>
      <c r="L147" s="5" t="n">
        <v>0</v>
      </c>
      <c r="M147" s="5" t="s">
        <v>7</v>
      </c>
    </row>
    <row r="148" customFormat="false" ht="15" hidden="false" customHeight="false" outlineLevel="0" collapsed="false">
      <c r="A148" s="5" t="n">
        <f aca="false">RANDBETWEEN(2,164)</f>
        <v>94</v>
      </c>
      <c r="B148" s="5" t="n">
        <f aca="false" t="array" ref="B148:B148">INDEX(Data_DBD!$B:$B,$A148)</f>
        <v>12</v>
      </c>
      <c r="C148" s="5" t="n">
        <f aca="false" t="array" ref="C148:C148">INDEX(Data_DBD!$C:$C,$A148)</f>
        <v>4</v>
      </c>
      <c r="D148" s="5" t="n">
        <f aca="false" t="array" ref="D148:D148">INDEX(Data_DBD!$D:$D,$A148)</f>
        <v>18</v>
      </c>
      <c r="E148" s="5" t="n">
        <f aca="false" t="array" ref="E148:E148">INDEX(Data_DBD!$E:$E,$A148)</f>
        <v>0</v>
      </c>
      <c r="F148" s="5" t="str">
        <f aca="false" t="array" ref="F148:F148">INDEX(Data_DBD!$F:$F,$A148)</f>
        <v>Sedang</v>
      </c>
      <c r="H148" s="5" t="n">
        <v>33</v>
      </c>
      <c r="I148" s="5" t="n">
        <v>19</v>
      </c>
      <c r="J148" s="5" t="n">
        <v>4</v>
      </c>
      <c r="K148" s="5" t="n">
        <v>14</v>
      </c>
      <c r="L148" s="5" t="n">
        <v>1</v>
      </c>
      <c r="M148" s="5" t="s">
        <v>7</v>
      </c>
    </row>
    <row r="149" customFormat="false" ht="15" hidden="false" customHeight="false" outlineLevel="0" collapsed="false">
      <c r="A149" s="5" t="n">
        <f aca="false">RANDBETWEEN(2,164)</f>
        <v>126</v>
      </c>
      <c r="B149" s="5" t="n">
        <f aca="false" t="array" ref="B149:B149">INDEX(Data_DBD!$B:$B,$A149)</f>
        <v>51</v>
      </c>
      <c r="C149" s="5" t="n">
        <f aca="false" t="array" ref="C149:C149">INDEX(Data_DBD!$C:$C,$A149)</f>
        <v>3</v>
      </c>
      <c r="D149" s="5" t="n">
        <f aca="false" t="array" ref="D149:D149">INDEX(Data_DBD!$D:$D,$A149)</f>
        <v>33</v>
      </c>
      <c r="E149" s="5" t="n">
        <f aca="false" t="array" ref="E149:E149">INDEX(Data_DBD!$E:$E,$A149)</f>
        <v>1</v>
      </c>
      <c r="F149" s="5" t="str">
        <f aca="false" t="array" ref="F149:F149">INDEX(Data_DBD!$F:$F,$A149)</f>
        <v>Tinggi</v>
      </c>
      <c r="H149" s="5" t="n">
        <v>101</v>
      </c>
      <c r="I149" s="5" t="n">
        <v>42</v>
      </c>
      <c r="J149" s="5" t="n">
        <v>5</v>
      </c>
      <c r="K149" s="5" t="n">
        <v>18</v>
      </c>
      <c r="L149" s="5" t="n">
        <v>0</v>
      </c>
      <c r="M149" s="5" t="s">
        <v>7</v>
      </c>
    </row>
    <row r="150" customFormat="false" ht="15" hidden="false" customHeight="false" outlineLevel="0" collapsed="false">
      <c r="A150" s="5" t="n">
        <f aca="false">RANDBETWEEN(2,164)</f>
        <v>10</v>
      </c>
      <c r="B150" s="5" t="n">
        <f aca="false" t="array" ref="B150:B150">INDEX(Data_DBD!$B:$B,$A150)</f>
        <v>18</v>
      </c>
      <c r="C150" s="5" t="n">
        <f aca="false" t="array" ref="C150:C150">INDEX(Data_DBD!$C:$C,$A150)</f>
        <v>5</v>
      </c>
      <c r="D150" s="5" t="n">
        <f aca="false" t="array" ref="D150:D150">INDEX(Data_DBD!$D:$D,$A150)</f>
        <v>12</v>
      </c>
      <c r="E150" s="5" t="n">
        <f aca="false" t="array" ref="E150:E150">INDEX(Data_DBD!$E:$E,$A150)</f>
        <v>0</v>
      </c>
      <c r="F150" s="5" t="str">
        <f aca="false" t="array" ref="F150:F150">INDEX(Data_DBD!$F:$F,$A150)</f>
        <v>Sedang</v>
      </c>
      <c r="H150" s="5" t="n">
        <v>117</v>
      </c>
      <c r="I150" s="5" t="n">
        <v>49</v>
      </c>
      <c r="J150" s="5" t="n">
        <v>4</v>
      </c>
      <c r="K150" s="5" t="n">
        <v>33</v>
      </c>
      <c r="L150" s="5" t="n">
        <v>1</v>
      </c>
      <c r="M150" s="5" t="s">
        <v>115</v>
      </c>
    </row>
    <row r="151" customFormat="false" ht="15" hidden="false" customHeight="false" outlineLevel="0" collapsed="false">
      <c r="A151" s="5" t="n">
        <f aca="false">RANDBETWEEN(2,164)</f>
        <v>139</v>
      </c>
      <c r="B151" s="5" t="n">
        <f aca="false" t="array" ref="B151:B151">INDEX(Data_DBD!$B:$B,$A151)</f>
        <v>52</v>
      </c>
      <c r="C151" s="5" t="n">
        <f aca="false" t="array" ref="C151:C151">INDEX(Data_DBD!$C:$C,$A151)</f>
        <v>7</v>
      </c>
      <c r="D151" s="5" t="n">
        <f aca="false" t="array" ref="D151:D151">INDEX(Data_DBD!$D:$D,$A151)</f>
        <v>21</v>
      </c>
      <c r="E151" s="5" t="n">
        <f aca="false" t="array" ref="E151:E151">INDEX(Data_DBD!$E:$E,$A151)</f>
        <v>0</v>
      </c>
      <c r="F151" s="5" t="str">
        <f aca="false" t="array" ref="F151:F151">INDEX(Data_DBD!$F:$F,$A151)</f>
        <v>Tinggi</v>
      </c>
      <c r="H151" s="5" t="n">
        <v>5</v>
      </c>
      <c r="I151" s="5" t="n">
        <v>18</v>
      </c>
      <c r="J151" s="5" t="n">
        <v>2</v>
      </c>
      <c r="K151" s="5" t="n">
        <v>12</v>
      </c>
      <c r="L151" s="5" t="n">
        <v>1</v>
      </c>
      <c r="M151" s="5" t="s">
        <v>7</v>
      </c>
    </row>
    <row r="152" customFormat="false" ht="15" hidden="false" customHeight="false" outlineLevel="0" collapsed="false">
      <c r="A152" s="5" t="n">
        <f aca="false">RANDBETWEEN(2,164)</f>
        <v>37</v>
      </c>
      <c r="B152" s="5" t="n">
        <f aca="false" t="array" ref="B152:B152">INDEX(Data_DBD!$B:$B,$A152)</f>
        <v>28</v>
      </c>
      <c r="C152" s="5" t="n">
        <f aca="false" t="array" ref="C152:C152">INDEX(Data_DBD!$C:$C,$A152)</f>
        <v>4</v>
      </c>
      <c r="D152" s="5" t="n">
        <f aca="false" t="array" ref="D152:D152">INDEX(Data_DBD!$D:$D,$A152)</f>
        <v>4</v>
      </c>
      <c r="E152" s="5" t="n">
        <f aca="false" t="array" ref="E152:E152">INDEX(Data_DBD!$E:$E,$A152)</f>
        <v>1</v>
      </c>
      <c r="F152" s="5" t="str">
        <f aca="false" t="array" ref="F152:F152">INDEX(Data_DBD!$F:$F,$A152)</f>
        <v>Rendah</v>
      </c>
      <c r="H152" s="5" t="n">
        <v>133</v>
      </c>
      <c r="I152" s="5" t="n">
        <v>6</v>
      </c>
      <c r="J152" s="5" t="n">
        <v>4</v>
      </c>
      <c r="K152" s="5" t="n">
        <v>33</v>
      </c>
      <c r="L152" s="5" t="n">
        <v>0</v>
      </c>
      <c r="M152" s="5" t="s">
        <v>115</v>
      </c>
    </row>
    <row r="153" customFormat="false" ht="15" hidden="false" customHeight="false" outlineLevel="0" collapsed="false">
      <c r="A153" s="5" t="n">
        <f aca="false">RANDBETWEEN(2,164)</f>
        <v>54</v>
      </c>
      <c r="B153" s="5" t="n">
        <f aca="false" t="array" ref="B153:B153">INDEX(Data_DBD!$B:$B,$A153)</f>
        <v>7</v>
      </c>
      <c r="C153" s="5" t="n">
        <f aca="false" t="array" ref="C153:C153">INDEX(Data_DBD!$C:$C,$A153)</f>
        <v>3</v>
      </c>
      <c r="D153" s="5" t="n">
        <f aca="false" t="array" ref="D153:D153">INDEX(Data_DBD!$D:$D,$A153)</f>
        <v>15</v>
      </c>
      <c r="E153" s="5" t="n">
        <f aca="false" t="array" ref="E153:E153">INDEX(Data_DBD!$E:$E,$A153)</f>
        <v>0</v>
      </c>
      <c r="F153" s="5" t="str">
        <f aca="false" t="array" ref="F153:F153">INDEX(Data_DBD!$F:$F,$A153)</f>
        <v>Sedang</v>
      </c>
      <c r="H153" s="5" t="n">
        <v>24</v>
      </c>
      <c r="I153" s="5" t="n">
        <v>60</v>
      </c>
      <c r="J153" s="5" t="n">
        <v>4</v>
      </c>
      <c r="K153" s="5" t="n">
        <v>14</v>
      </c>
      <c r="L153" s="5" t="n">
        <v>0</v>
      </c>
      <c r="M153" s="5" t="s">
        <v>7</v>
      </c>
    </row>
    <row r="154" customFormat="false" ht="15" hidden="false" customHeight="false" outlineLevel="0" collapsed="false">
      <c r="A154" s="5" t="n">
        <f aca="false">RANDBETWEEN(2,164)</f>
        <v>139</v>
      </c>
      <c r="B154" s="5" t="n">
        <f aca="false" t="array" ref="B154:B154">INDEX(Data_DBD!$B:$B,$A154)</f>
        <v>52</v>
      </c>
      <c r="C154" s="5" t="n">
        <f aca="false" t="array" ref="C154:C154">INDEX(Data_DBD!$C:$C,$A154)</f>
        <v>7</v>
      </c>
      <c r="D154" s="5" t="n">
        <f aca="false" t="array" ref="D154:D154">INDEX(Data_DBD!$D:$D,$A154)</f>
        <v>21</v>
      </c>
      <c r="E154" s="5" t="n">
        <f aca="false" t="array" ref="E154:E154">INDEX(Data_DBD!$E:$E,$A154)</f>
        <v>0</v>
      </c>
      <c r="F154" s="5" t="str">
        <f aca="false" t="array" ref="F154:F154">INDEX(Data_DBD!$F:$F,$A154)</f>
        <v>Tinggi</v>
      </c>
      <c r="H154" s="5" t="n">
        <v>55</v>
      </c>
      <c r="I154" s="5" t="n">
        <v>7</v>
      </c>
      <c r="J154" s="5" t="n">
        <v>4</v>
      </c>
      <c r="K154" s="5" t="n">
        <v>15</v>
      </c>
      <c r="L154" s="5" t="n">
        <v>1</v>
      </c>
      <c r="M154" s="5" t="s">
        <v>7</v>
      </c>
    </row>
    <row r="155" customFormat="false" ht="15" hidden="false" customHeight="false" outlineLevel="0" collapsed="false">
      <c r="A155" s="5" t="n">
        <f aca="false">RANDBETWEEN(2,164)</f>
        <v>75</v>
      </c>
      <c r="B155" s="5" t="n">
        <f aca="false" t="array" ref="B155:B155">INDEX(Data_DBD!$B:$B,$A155)</f>
        <v>2</v>
      </c>
      <c r="C155" s="5" t="n">
        <f aca="false" t="array" ref="C155:C155">INDEX(Data_DBD!$C:$C,$A155)</f>
        <v>2</v>
      </c>
      <c r="D155" s="5" t="n">
        <f aca="false" t="array" ref="D155:D155">INDEX(Data_DBD!$D:$D,$A155)</f>
        <v>10</v>
      </c>
      <c r="E155" s="5" t="n">
        <f aca="false" t="array" ref="E155:E155">INDEX(Data_DBD!$E:$E,$A155)</f>
        <v>1</v>
      </c>
      <c r="F155" s="5" t="str">
        <f aca="false" t="array" ref="F155:F155">INDEX(Data_DBD!$F:$F,$A155)</f>
        <v>Rendah</v>
      </c>
      <c r="H155" s="5" t="n">
        <v>77</v>
      </c>
      <c r="I155" s="5" t="n">
        <v>16</v>
      </c>
      <c r="J155" s="5" t="n">
        <v>4</v>
      </c>
      <c r="K155" s="5" t="n">
        <v>13</v>
      </c>
      <c r="L155" s="5" t="n">
        <v>1</v>
      </c>
      <c r="M155" s="5" t="s">
        <v>7</v>
      </c>
    </row>
    <row r="156" customFormat="false" ht="15" hidden="false" customHeight="false" outlineLevel="0" collapsed="false">
      <c r="A156" s="5" t="n">
        <f aca="false">RANDBETWEEN(2,164)</f>
        <v>55</v>
      </c>
      <c r="B156" s="5" t="n">
        <f aca="false" t="array" ref="B156:B156">INDEX(Data_DBD!$B:$B,$A156)</f>
        <v>7</v>
      </c>
      <c r="C156" s="5" t="n">
        <f aca="false" t="array" ref="C156:C156">INDEX(Data_DBD!$C:$C,$A156)</f>
        <v>4</v>
      </c>
      <c r="D156" s="5" t="n">
        <f aca="false" t="array" ref="D156:D156">INDEX(Data_DBD!$D:$D,$A156)</f>
        <v>15</v>
      </c>
      <c r="E156" s="5" t="n">
        <f aca="false" t="array" ref="E156:E156">INDEX(Data_DBD!$E:$E,$A156)</f>
        <v>1</v>
      </c>
      <c r="F156" s="5" t="str">
        <f aca="false" t="array" ref="F156:F156">INDEX(Data_DBD!$F:$F,$A156)</f>
        <v>Sedang</v>
      </c>
      <c r="H156" s="5" t="n">
        <v>92</v>
      </c>
      <c r="I156" s="5" t="n">
        <v>55</v>
      </c>
      <c r="J156" s="5" t="n">
        <v>7</v>
      </c>
      <c r="K156" s="5" t="n">
        <v>18</v>
      </c>
      <c r="L156" s="5" t="n">
        <v>0</v>
      </c>
      <c r="M156" s="5" t="s">
        <v>7</v>
      </c>
    </row>
    <row r="157" customFormat="false" ht="15" hidden="false" customHeight="false" outlineLevel="0" collapsed="false">
      <c r="A157" s="5" t="n">
        <f aca="false">RANDBETWEEN(2,164)</f>
        <v>73</v>
      </c>
      <c r="B157" s="5" t="n">
        <f aca="false" t="array" ref="B157:B157">INDEX(Data_DBD!$B:$B,$A157)</f>
        <v>15</v>
      </c>
      <c r="C157" s="5" t="n">
        <f aca="false" t="array" ref="C157:C157">INDEX(Data_DBD!$C:$C,$A157)</f>
        <v>3</v>
      </c>
      <c r="D157" s="5" t="n">
        <f aca="false" t="array" ref="D157:D157">INDEX(Data_DBD!$D:$D,$A157)</f>
        <v>10</v>
      </c>
      <c r="E157" s="5" t="n">
        <f aca="false" t="array" ref="E157:E157">INDEX(Data_DBD!$E:$E,$A157)</f>
        <v>1</v>
      </c>
      <c r="F157" s="5" t="str">
        <f aca="false" t="array" ref="F157:F157">INDEX(Data_DBD!$F:$F,$A157)</f>
        <v>Rendah</v>
      </c>
      <c r="H157" s="5" t="n">
        <v>31</v>
      </c>
      <c r="I157" s="5" t="n">
        <v>64</v>
      </c>
      <c r="J157" s="5" t="n">
        <v>4</v>
      </c>
      <c r="K157" s="5" t="n">
        <v>14</v>
      </c>
      <c r="L157" s="5" t="n">
        <v>1</v>
      </c>
      <c r="M157" s="5" t="s">
        <v>7</v>
      </c>
    </row>
    <row r="158" customFormat="false" ht="15" hidden="false" customHeight="false" outlineLevel="0" collapsed="false">
      <c r="A158" s="5" t="n">
        <f aca="false">RANDBETWEEN(2,164)</f>
        <v>14</v>
      </c>
      <c r="B158" s="5" t="n">
        <f aca="false" t="array" ref="B158:B158">INDEX(Data_DBD!$B:$B,$A158)</f>
        <v>49</v>
      </c>
      <c r="C158" s="5" t="n">
        <f aca="false" t="array" ref="C158:C158">INDEX(Data_DBD!$C:$C,$A158)</f>
        <v>4</v>
      </c>
      <c r="D158" s="5" t="n">
        <f aca="false" t="array" ref="D158:D158">INDEX(Data_DBD!$D:$D,$A158)</f>
        <v>7</v>
      </c>
      <c r="E158" s="5" t="n">
        <f aca="false" t="array" ref="E158:E158">INDEX(Data_DBD!$E:$E,$A158)</f>
        <v>1</v>
      </c>
      <c r="F158" s="5" t="str">
        <f aca="false" t="array" ref="F158:F158">INDEX(Data_DBD!$F:$F,$A158)</f>
        <v>Rendah</v>
      </c>
      <c r="H158" s="5" t="n">
        <v>115</v>
      </c>
      <c r="I158" s="5" t="n">
        <v>52</v>
      </c>
      <c r="J158" s="5" t="n">
        <v>3</v>
      </c>
      <c r="K158" s="5" t="n">
        <v>33</v>
      </c>
      <c r="L158" s="5" t="n">
        <v>1</v>
      </c>
      <c r="M158" s="5" t="s">
        <v>115</v>
      </c>
    </row>
    <row r="159" customFormat="false" ht="15" hidden="false" customHeight="false" outlineLevel="0" collapsed="false">
      <c r="A159" s="5" t="n">
        <f aca="false">RANDBETWEEN(2,164)</f>
        <v>120</v>
      </c>
      <c r="B159" s="5" t="n">
        <f aca="false" t="array" ref="B159:B159">INDEX(Data_DBD!$B:$B,$A159)</f>
        <v>26</v>
      </c>
      <c r="C159" s="5" t="n">
        <f aca="false" t="array" ref="C159:C159">INDEX(Data_DBD!$C:$C,$A159)</f>
        <v>4</v>
      </c>
      <c r="D159" s="5" t="n">
        <f aca="false" t="array" ref="D159:D159">INDEX(Data_DBD!$D:$D,$A159)</f>
        <v>33</v>
      </c>
      <c r="E159" s="5" t="n">
        <f aca="false" t="array" ref="E159:E159">INDEX(Data_DBD!$E:$E,$A159)</f>
        <v>1</v>
      </c>
      <c r="F159" s="5" t="str">
        <f aca="false" t="array" ref="F159:F159">INDEX(Data_DBD!$F:$F,$A159)</f>
        <v>Tinggi</v>
      </c>
      <c r="H159" s="5" t="n">
        <v>39</v>
      </c>
      <c r="I159" s="5" t="n">
        <v>12</v>
      </c>
      <c r="J159" s="5" t="n">
        <v>5</v>
      </c>
      <c r="K159" s="5" t="n">
        <v>13</v>
      </c>
      <c r="L159" s="5" t="n">
        <v>1</v>
      </c>
      <c r="M159" s="5" t="s">
        <v>7</v>
      </c>
    </row>
    <row r="160" customFormat="false" ht="15" hidden="false" customHeight="false" outlineLevel="0" collapsed="false">
      <c r="A160" s="5" t="n">
        <f aca="false">RANDBETWEEN(2,164)</f>
        <v>5</v>
      </c>
      <c r="B160" s="5" t="n">
        <f aca="false" t="array" ref="B160:B160">INDEX(Data_DBD!$B:$B,$A160)</f>
        <v>18</v>
      </c>
      <c r="C160" s="5" t="n">
        <f aca="false" t="array" ref="C160:C160">INDEX(Data_DBD!$C:$C,$A160)</f>
        <v>2</v>
      </c>
      <c r="D160" s="5" t="n">
        <f aca="false" t="array" ref="D160:D160">INDEX(Data_DBD!$D:$D,$A160)</f>
        <v>12</v>
      </c>
      <c r="E160" s="5" t="n">
        <f aca="false" t="array" ref="E160:E160">INDEX(Data_DBD!$E:$E,$A160)</f>
        <v>1</v>
      </c>
      <c r="F160" s="5" t="str">
        <f aca="false" t="array" ref="F160:F160">INDEX(Data_DBD!$F:$F,$A160)</f>
        <v>Sedang</v>
      </c>
      <c r="H160" s="5" t="n">
        <v>58</v>
      </c>
      <c r="I160" s="5" t="n">
        <v>17</v>
      </c>
      <c r="J160" s="5" t="n">
        <v>3</v>
      </c>
      <c r="K160" s="5" t="n">
        <v>15</v>
      </c>
      <c r="L160" s="5" t="n">
        <v>0</v>
      </c>
      <c r="M160" s="5" t="s">
        <v>7</v>
      </c>
    </row>
    <row r="161" customFormat="false" ht="15" hidden="false" customHeight="false" outlineLevel="0" collapsed="false">
      <c r="A161" s="5" t="n">
        <f aca="false">RANDBETWEEN(2,164)</f>
        <v>10</v>
      </c>
      <c r="B161" s="5" t="n">
        <f aca="false" t="array" ref="B161:B161">INDEX(Data_DBD!$B:$B,$A161)</f>
        <v>18</v>
      </c>
      <c r="C161" s="5" t="n">
        <f aca="false" t="array" ref="C161:C161">INDEX(Data_DBD!$C:$C,$A161)</f>
        <v>5</v>
      </c>
      <c r="D161" s="5" t="n">
        <f aca="false" t="array" ref="D161:D161">INDEX(Data_DBD!$D:$D,$A161)</f>
        <v>12</v>
      </c>
      <c r="E161" s="5" t="n">
        <f aca="false" t="array" ref="E161:E161">INDEX(Data_DBD!$E:$E,$A161)</f>
        <v>0</v>
      </c>
      <c r="F161" s="5" t="str">
        <f aca="false" t="array" ref="F161:F161">INDEX(Data_DBD!$F:$F,$A161)</f>
        <v>Sedang</v>
      </c>
      <c r="H161" s="5" t="n">
        <v>146</v>
      </c>
      <c r="I161" s="5" t="n">
        <v>34</v>
      </c>
      <c r="J161" s="5" t="n">
        <v>2</v>
      </c>
      <c r="K161" s="5" t="n">
        <v>21</v>
      </c>
      <c r="L161" s="5" t="n">
        <v>1</v>
      </c>
      <c r="M161" s="5" t="s">
        <v>115</v>
      </c>
    </row>
    <row r="162" customFormat="false" ht="15" hidden="false" customHeight="false" outlineLevel="0" collapsed="false">
      <c r="A162" s="5" t="n">
        <f aca="false">RANDBETWEEN(2,164)</f>
        <v>144</v>
      </c>
      <c r="B162" s="5" t="n">
        <f aca="false" t="array" ref="B162:B162">INDEX(Data_DBD!$B:$B,$A162)</f>
        <v>61</v>
      </c>
      <c r="C162" s="5" t="n">
        <f aca="false" t="array" ref="C162:C162">INDEX(Data_DBD!$C:$C,$A162)</f>
        <v>4</v>
      </c>
      <c r="D162" s="5" t="n">
        <f aca="false" t="array" ref="D162:D162">INDEX(Data_DBD!$D:$D,$A162)</f>
        <v>21</v>
      </c>
      <c r="E162" s="5" t="n">
        <f aca="false" t="array" ref="E162:E162">INDEX(Data_DBD!$E:$E,$A162)</f>
        <v>1</v>
      </c>
      <c r="F162" s="5" t="str">
        <f aca="false" t="array" ref="F162:F162">INDEX(Data_DBD!$F:$F,$A162)</f>
        <v>Tinggi</v>
      </c>
      <c r="H162" s="5" t="n">
        <v>144</v>
      </c>
      <c r="I162" s="5" t="n">
        <v>61</v>
      </c>
      <c r="J162" s="5" t="n">
        <v>4</v>
      </c>
      <c r="K162" s="5" t="n">
        <v>21</v>
      </c>
      <c r="L162" s="5" t="n">
        <v>1</v>
      </c>
      <c r="M162" s="5" t="s">
        <v>115</v>
      </c>
    </row>
    <row r="163" customFormat="false" ht="15" hidden="false" customHeight="false" outlineLevel="0" collapsed="false">
      <c r="A163" s="5" t="n">
        <f aca="false">RANDBETWEEN(2,164)</f>
        <v>74</v>
      </c>
      <c r="B163" s="5" t="n">
        <f aca="false" t="array" ref="B163:B163">INDEX(Data_DBD!$B:$B,$A163)</f>
        <v>9</v>
      </c>
      <c r="C163" s="5" t="n">
        <f aca="false" t="array" ref="C163:C163">INDEX(Data_DBD!$C:$C,$A163)</f>
        <v>4</v>
      </c>
      <c r="D163" s="5" t="n">
        <f aca="false" t="array" ref="D163:D163">INDEX(Data_DBD!$D:$D,$A163)</f>
        <v>10</v>
      </c>
      <c r="E163" s="5" t="n">
        <f aca="false" t="array" ref="E163:E163">INDEX(Data_DBD!$E:$E,$A163)</f>
        <v>0</v>
      </c>
      <c r="F163" s="5" t="str">
        <f aca="false" t="array" ref="F163:F163">INDEX(Data_DBD!$F:$F,$A163)</f>
        <v>Rendah</v>
      </c>
      <c r="H163" s="5" t="n">
        <v>4</v>
      </c>
      <c r="I163" s="5" t="n">
        <v>23</v>
      </c>
      <c r="J163" s="5" t="n">
        <v>5</v>
      </c>
      <c r="K163" s="5" t="n">
        <v>12</v>
      </c>
      <c r="L163" s="5" t="n">
        <v>0</v>
      </c>
      <c r="M163" s="5" t="s">
        <v>7</v>
      </c>
    </row>
    <row r="164" customFormat="false" ht="15" hidden="false" customHeight="false" outlineLevel="0" collapsed="false">
      <c r="A164" s="5" t="n">
        <f aca="false">RANDBETWEEN(2,164)</f>
        <v>55</v>
      </c>
      <c r="B164" s="5" t="n">
        <f aca="false" t="array" ref="B164:B164">INDEX(Data_DBD!$B:$B,$A164)</f>
        <v>7</v>
      </c>
      <c r="C164" s="5" t="n">
        <f aca="false" t="array" ref="C164:C164">INDEX(Data_DBD!$C:$C,$A164)</f>
        <v>4</v>
      </c>
      <c r="D164" s="5" t="n">
        <f aca="false" t="array" ref="D164:D164">INDEX(Data_DBD!$D:$D,$A164)</f>
        <v>15</v>
      </c>
      <c r="E164" s="5" t="n">
        <f aca="false" t="array" ref="E164:E164">INDEX(Data_DBD!$E:$E,$A164)</f>
        <v>1</v>
      </c>
      <c r="F164" s="5" t="str">
        <f aca="false" t="array" ref="F164:F164">INDEX(Data_DBD!$F:$F,$A164)</f>
        <v>Sedang</v>
      </c>
      <c r="H164" s="5" t="n">
        <v>69</v>
      </c>
      <c r="I164" s="5" t="n">
        <v>24</v>
      </c>
      <c r="J164" s="5" t="n">
        <v>4</v>
      </c>
      <c r="K164" s="5" t="n">
        <v>10</v>
      </c>
      <c r="L164" s="5" t="n">
        <v>1</v>
      </c>
      <c r="M164" s="5" t="s">
        <v>20</v>
      </c>
    </row>
    <row r="165" customFormat="false" ht="15" hidden="false" customHeight="false" outlineLevel="0" collapsed="false">
      <c r="I165" s="10" t="n">
        <f aca="false">AVERAGE(I2:I164)</f>
        <v>34.558282208589</v>
      </c>
      <c r="J165" s="10" t="n">
        <f aca="false">AVERAGE(J2:J164)</f>
        <v>3.60736196319018</v>
      </c>
      <c r="K165" s="10" t="n">
        <f aca="false">AVERAGE(K2:K164)</f>
        <v>18.2699386503068</v>
      </c>
      <c r="L165" s="10" t="n">
        <f aca="false">AVERAGE(L2:L164)</f>
        <v>0.533742331288344</v>
      </c>
    </row>
    <row r="167" customFormat="false" ht="15" hidden="false" customHeight="false" outlineLevel="0" collapsed="false">
      <c r="B167" s="0" t="n">
        <v>2</v>
      </c>
    </row>
    <row r="168" customFormat="false" ht="15" hidden="false" customHeight="false" outlineLevel="0" collapsed="false">
      <c r="E168" s="11" t="s">
        <v>185</v>
      </c>
      <c r="J168" s="11" t="s">
        <v>186</v>
      </c>
      <c r="O168" s="11" t="s">
        <v>187</v>
      </c>
      <c r="T168" s="11" t="s">
        <v>188</v>
      </c>
    </row>
    <row r="169" customFormat="false" ht="15" hidden="false" customHeight="false" outlineLevel="0" collapsed="false">
      <c r="E169" s="5" t="s">
        <v>1</v>
      </c>
      <c r="F169" s="5" t="n">
        <f aca="false">AVERAGEIF($I$2:$I$164,"&lt;="&amp;$I$165)</f>
        <v>17.967032967033</v>
      </c>
      <c r="G169" s="5" t="n">
        <f aca="false">AVERAGEIF($I$2:$I$164,"&gt;"&amp;$I$165)</f>
        <v>55.5277777777778</v>
      </c>
      <c r="J169" s="5" t="s">
        <v>189</v>
      </c>
      <c r="K169" s="5" t="n">
        <f aca="false">AVERAGEIF($J$2:$J$164,"&lt;="&amp;$J$165)</f>
        <v>2.65822784810127</v>
      </c>
      <c r="L169" s="5" t="n">
        <f aca="false">AVERAGEIF($J$2:$J$164,"&gt;"&amp;$J$165)</f>
        <v>4.5</v>
      </c>
      <c r="O169" s="5" t="s">
        <v>190</v>
      </c>
      <c r="P169" s="5" t="n">
        <f aca="false">AVERAGEIF($K$2:$K$164,"&lt;="&amp;$K$165)</f>
        <v>13.3545454545455</v>
      </c>
      <c r="Q169" s="5" t="n">
        <f aca="false">AVERAGEIF($K$2:$K$164,"&gt;"&amp;$K$165)</f>
        <v>28.4716981132075</v>
      </c>
      <c r="T169" s="5" t="s">
        <v>191</v>
      </c>
      <c r="U169" s="5" t="n">
        <f aca="false">AVERAGEIF($L$2:$L$164,"&lt;="&amp;$L$165)</f>
        <v>0</v>
      </c>
      <c r="V169" s="5" t="n">
        <f aca="false">AVERAGEIF($L$2:$L$164,"&gt;"&amp;$L$165)</f>
        <v>1</v>
      </c>
    </row>
    <row r="170" customFormat="false" ht="15" hidden="false" customHeight="false" outlineLevel="0" collapsed="false">
      <c r="E170" s="5" t="str">
        <f aca="false" t="array" ref="E170:E332">IF($I$2:$I$164&lt;$F$169,"kiri",IF($I$2:$I$164&lt;$G$169,"tengah","kanan"))</f>
        <v>tengah</v>
      </c>
      <c r="F170" s="5" t="s">
        <v>192</v>
      </c>
      <c r="G170" s="5"/>
      <c r="J170" s="5" t="str">
        <f aca="false" t="array" ref="J170:J332">IF($J$2:$J$164&lt;$K$169,"kiri",IF($J$2:$J$164&lt;$L$169,"tengah","kanan"))</f>
        <v>kanan</v>
      </c>
      <c r="K170" s="5" t="s">
        <v>193</v>
      </c>
      <c r="L170" s="5"/>
      <c r="O170" s="5" t="str">
        <f aca="false" t="array" ref="O170:O332">IF($K$2:$K$164&lt;$P$169,"kiri",IF($K$2:$K$164&lt;$Q$169,"tengah","kanan"))</f>
        <v>kiri</v>
      </c>
      <c r="P170" s="5" t="s">
        <v>194</v>
      </c>
      <c r="Q170" s="5"/>
      <c r="T170" s="5" t="str">
        <f aca="false" t="array" ref="T170:T332">IF($L$2:$L$164&lt;$U$169,"kiri",IF($L$2:$L$164&lt;$V$169,"tengah","kanan"))</f>
        <v>kanan</v>
      </c>
      <c r="U170" s="5" t="s">
        <v>195</v>
      </c>
      <c r="V170" s="5"/>
    </row>
    <row r="171" customFormat="false" ht="15" hidden="false" customHeight="false" outlineLevel="0" collapsed="false">
      <c r="E171" s="5" t="str">
        <v>tengah</v>
      </c>
      <c r="F171" s="5" t="n">
        <f aca="false">COUNTIFS($E$170:$E$332,"Kanan",$M$2:$M$164,"Tinggi")</f>
        <v>11</v>
      </c>
      <c r="G171" s="5" t="n">
        <f aca="false">F171/32</f>
        <v>0.34375</v>
      </c>
      <c r="J171" s="5" t="str">
        <v>kiri</v>
      </c>
      <c r="K171" s="5" t="n">
        <f aca="false">COUNTIFS($J$170:$J$332,"Kanan",$M$2:$M$164,"Tinggi")</f>
        <v>6</v>
      </c>
      <c r="L171" s="5" t="n">
        <f aca="false">K171/27</f>
        <v>0.222222222222222</v>
      </c>
      <c r="O171" s="5" t="str">
        <v>kiri</v>
      </c>
      <c r="P171" s="5" t="n">
        <f aca="false">COUNTIFS($O$170:$O$332,"Kanan",$M$2:$M$164,"Tinggi")</f>
        <v>33</v>
      </c>
      <c r="Q171" s="5" t="n">
        <f aca="false">P171/33</f>
        <v>1</v>
      </c>
      <c r="T171" s="5" t="str">
        <v>tengah</v>
      </c>
      <c r="U171" s="5" t="n">
        <f aca="false">COUNTIFS($T$170:$T$332,"Kanan",$M$2:$M$164,"Tinggi")</f>
        <v>34</v>
      </c>
      <c r="V171" s="5" t="n">
        <f aca="false">U171/87</f>
        <v>0.390804597701149</v>
      </c>
    </row>
    <row r="172" customFormat="false" ht="15" hidden="false" customHeight="false" outlineLevel="0" collapsed="false">
      <c r="E172" s="5" t="str">
        <v>tengah</v>
      </c>
      <c r="F172" s="5" t="n">
        <f aca="false">COUNTIFS($E$170:$E$332,"Kanan",$M$2:$M$164,"Sedang")</f>
        <v>17</v>
      </c>
      <c r="G172" s="5" t="n">
        <f aca="false">F172/32</f>
        <v>0.53125</v>
      </c>
      <c r="J172" s="5" t="str">
        <v>tengah</v>
      </c>
      <c r="K172" s="5" t="n">
        <f aca="false">COUNTIFS($J$170:$J$332,"Kanan",$M$2:$M$164,"Sedang")</f>
        <v>18</v>
      </c>
      <c r="L172" s="5" t="n">
        <f aca="false">K172/27</f>
        <v>0.666666666666667</v>
      </c>
      <c r="O172" s="5" t="str">
        <v>kanan</v>
      </c>
      <c r="P172" s="5" t="n">
        <f aca="false">COUNTIFS($O$170:$O$332,"Kanan",$M$2:$M$164,"Sedang")</f>
        <v>0</v>
      </c>
      <c r="Q172" s="5" t="n">
        <f aca="false">P172/27</f>
        <v>0</v>
      </c>
      <c r="T172" s="5" t="str">
        <v>tengah</v>
      </c>
      <c r="U172" s="5" t="n">
        <f aca="false">COUNTIFS($T$170:$T$332,"Kanan",$M$2:$M$164,"Sedang")</f>
        <v>43</v>
      </c>
      <c r="V172" s="5" t="n">
        <f aca="false">U172/87</f>
        <v>0.494252873563218</v>
      </c>
    </row>
    <row r="173" customFormat="false" ht="15" hidden="false" customHeight="false" outlineLevel="0" collapsed="false">
      <c r="E173" s="5" t="str">
        <v>kanan</v>
      </c>
      <c r="F173" s="5" t="n">
        <f aca="false">COUNTIFS($E$170:$E$332,"Kanan",$M$2:$M$164,"Rendah")</f>
        <v>4</v>
      </c>
      <c r="G173" s="5" t="n">
        <f aca="false">F173/32</f>
        <v>0.125</v>
      </c>
      <c r="J173" s="5" t="str">
        <v>tengah</v>
      </c>
      <c r="K173" s="5" t="n">
        <f aca="false">COUNTIFS($J$170:$J$332,"Kanan",$M$2:$M$164,"Rendah")</f>
        <v>3</v>
      </c>
      <c r="L173" s="5" t="n">
        <f aca="false">K173/27</f>
        <v>0.111111111111111</v>
      </c>
      <c r="O173" s="5" t="str">
        <v>tengah</v>
      </c>
      <c r="P173" s="5" t="n">
        <f aca="false">COUNTIFS($O$170:$O$332,"Kanan",$M$2:$M$164,"Rendah")</f>
        <v>0</v>
      </c>
      <c r="Q173" s="5" t="n">
        <f aca="false">P173/27</f>
        <v>0</v>
      </c>
      <c r="T173" s="5" t="str">
        <v>kanan</v>
      </c>
      <c r="U173" s="5" t="n">
        <f aca="false">COUNTIFS($T$170:$T$332,"Kanan",$M$2:$M$164,"Rendah")</f>
        <v>10</v>
      </c>
      <c r="V173" s="5" t="n">
        <f aca="false">U173/87</f>
        <v>0.114942528735632</v>
      </c>
    </row>
    <row r="174" customFormat="false" ht="15" hidden="false" customHeight="false" outlineLevel="0" collapsed="false">
      <c r="E174" s="5" t="str">
        <v>tengah</v>
      </c>
      <c r="F174" s="5" t="s">
        <v>196</v>
      </c>
      <c r="G174" s="5" t="n">
        <f aca="false">-(IFERROR(G171*LOG(G171,2),0)+IFERROR(G172*LOG(G172,2),0)+IFERROR(G173*LOG(G173,2),0))</f>
        <v>1.38935574667919</v>
      </c>
      <c r="J174" s="5" t="str">
        <v>tengah</v>
      </c>
      <c r="K174" s="5" t="s">
        <v>196</v>
      </c>
      <c r="L174" s="5" t="n">
        <f aca="false">-(IFERROR(L171*LOG(L171,2),0)+IFERROR(L172*LOG(L172,2),0)+IFERROR(L173*LOG(L173,2),0))</f>
        <v>1.22439444540599</v>
      </c>
      <c r="O174" s="5" t="str">
        <v>kanan</v>
      </c>
      <c r="P174" s="5" t="s">
        <v>196</v>
      </c>
      <c r="Q174" s="5" t="n">
        <f aca="false">-(IFERROR(Q171*LOG(Q171,2),0)+IFERROR(Q172*LOG(Q172,2),0)+IFERROR(Q173*LOG(Q173,2),0))</f>
        <v>-0</v>
      </c>
      <c r="T174" s="5" t="str">
        <v>tengah</v>
      </c>
      <c r="U174" s="5" t="s">
        <v>196</v>
      </c>
      <c r="V174" s="5" t="n">
        <f aca="false">-(IFERROR(V171*LOG(V171,2),0)+IFERROR(V172*LOG(V172,2),0)+IFERROR(V173*LOG(V173,2),0))</f>
        <v>1.39096186362372</v>
      </c>
    </row>
    <row r="175" customFormat="false" ht="15" hidden="false" customHeight="false" outlineLevel="0" collapsed="false">
      <c r="E175" s="5" t="str">
        <v>kiri</v>
      </c>
      <c r="F175" s="5"/>
      <c r="G175" s="5" t="n">
        <f aca="false">SUM(F171:F173)/163</f>
        <v>0.196319018404908</v>
      </c>
      <c r="J175" s="5" t="str">
        <v>kiri</v>
      </c>
      <c r="K175" s="5"/>
      <c r="L175" s="5" t="n">
        <f aca="false">SUM(K171:K173)/163</f>
        <v>0.165644171779141</v>
      </c>
      <c r="O175" s="5" t="str">
        <v>tengah</v>
      </c>
      <c r="P175" s="5"/>
      <c r="Q175" s="5" t="n">
        <f aca="false">SUM(P171:P173)/163</f>
        <v>0.202453987730061</v>
      </c>
      <c r="T175" s="5" t="str">
        <v>tengah</v>
      </c>
      <c r="U175" s="5"/>
      <c r="V175" s="5" t="n">
        <f aca="false">SUM(U171:U173)/163</f>
        <v>0.533742331288344</v>
      </c>
    </row>
    <row r="176" customFormat="false" ht="15" hidden="false" customHeight="false" outlineLevel="0" collapsed="false">
      <c r="E176" s="5" t="str">
        <v>tengah</v>
      </c>
      <c r="F176" s="5"/>
      <c r="G176" s="12" t="n">
        <f aca="false">G174*G175</f>
        <v>0.272756956403276</v>
      </c>
      <c r="J176" s="5" t="str">
        <v>kiri</v>
      </c>
      <c r="K176" s="5"/>
      <c r="L176" s="12" t="n">
        <f aca="false">L174*L175</f>
        <v>0.202813803840255</v>
      </c>
      <c r="O176" s="5" t="str">
        <v>tengah</v>
      </c>
      <c r="P176" s="5"/>
      <c r="Q176" s="12" t="n">
        <f aca="false">Q174*Q175</f>
        <v>-0</v>
      </c>
      <c r="T176" s="5" t="str">
        <v>tengah</v>
      </c>
      <c r="U176" s="5"/>
      <c r="V176" s="12" t="n">
        <f aca="false">V174*V175</f>
        <v>0.742415227823706</v>
      </c>
    </row>
    <row r="177" customFormat="false" ht="15" hidden="false" customHeight="false" outlineLevel="0" collapsed="false">
      <c r="E177" s="5" t="str">
        <v>kiri</v>
      </c>
      <c r="F177" s="5"/>
      <c r="G177" s="5"/>
      <c r="J177" s="5" t="str">
        <v>tengah</v>
      </c>
      <c r="K177" s="5"/>
      <c r="L177" s="5"/>
      <c r="O177" s="5" t="str">
        <v>tengah</v>
      </c>
      <c r="P177" s="5"/>
      <c r="Q177" s="5"/>
      <c r="T177" s="5" t="str">
        <v>tengah</v>
      </c>
      <c r="U177" s="5"/>
      <c r="V177" s="5"/>
    </row>
    <row r="178" customFormat="false" ht="15" hidden="false" customHeight="false" outlineLevel="0" collapsed="false">
      <c r="E178" s="5" t="str">
        <v>tengah</v>
      </c>
      <c r="F178" s="5"/>
      <c r="G178" s="5"/>
      <c r="J178" s="5" t="str">
        <v>tengah</v>
      </c>
      <c r="K178" s="5"/>
      <c r="L178" s="5"/>
      <c r="O178" s="5" t="str">
        <v>kiri</v>
      </c>
      <c r="P178" s="5"/>
      <c r="Q178" s="5"/>
      <c r="T178" s="5" t="str">
        <v>kanan</v>
      </c>
      <c r="U178" s="5"/>
      <c r="V178" s="5"/>
    </row>
    <row r="179" customFormat="false" ht="15" hidden="false" customHeight="false" outlineLevel="0" collapsed="false">
      <c r="E179" s="5" t="str">
        <v>kiri</v>
      </c>
      <c r="F179" s="5" t="s">
        <v>197</v>
      </c>
      <c r="G179" s="5"/>
      <c r="J179" s="5" t="str">
        <v>tengah</v>
      </c>
      <c r="K179" s="5" t="s">
        <v>198</v>
      </c>
      <c r="L179" s="5"/>
      <c r="O179" s="5" t="str">
        <v>kiri</v>
      </c>
      <c r="P179" s="5" t="s">
        <v>199</v>
      </c>
      <c r="Q179" s="5"/>
      <c r="T179" s="5" t="str">
        <v>tengah</v>
      </c>
      <c r="U179" s="5" t="s">
        <v>200</v>
      </c>
      <c r="V179" s="5"/>
    </row>
    <row r="180" customFormat="false" ht="15" hidden="false" customHeight="false" outlineLevel="0" collapsed="false">
      <c r="E180" s="5" t="str">
        <v>kanan</v>
      </c>
      <c r="F180" s="5" t="n">
        <f aca="false">COUNTIFS($E$170:$E$332,"Kiri",$M$2:$M$164,"Tinggi")</f>
        <v>14</v>
      </c>
      <c r="G180" s="5" t="n">
        <f aca="false">F180/41</f>
        <v>0.341463414634146</v>
      </c>
      <c r="J180" s="5" t="str">
        <v>kanan</v>
      </c>
      <c r="K180" s="5" t="n">
        <f aca="false">COUNTIFS($J$170:$J$332,"Kiri",$M$2:$M$164,"Tinggi")</f>
        <v>14</v>
      </c>
      <c r="L180" s="5" t="n">
        <f aca="false">K180/25</f>
        <v>0.56</v>
      </c>
      <c r="O180" s="5" t="str">
        <v>kanan</v>
      </c>
      <c r="P180" s="5" t="n">
        <f aca="false">COUNTIFS($O$170:$O$332,"Kiri",$M$2:$M$164,"Tinggi")</f>
        <v>0</v>
      </c>
      <c r="Q180" s="5" t="n">
        <f aca="false">P180/57</f>
        <v>0</v>
      </c>
      <c r="T180" s="5" t="str">
        <v>kanan</v>
      </c>
      <c r="U180" s="5" t="n">
        <f aca="false">COUNTIFS($T$170:$T$332,"Kiri",$M$2:$M$164,"Tinggi")</f>
        <v>0</v>
      </c>
      <c r="V180" s="5" t="n">
        <f aca="false">U180/57</f>
        <v>0</v>
      </c>
    </row>
    <row r="181" customFormat="false" ht="15" hidden="false" customHeight="false" outlineLevel="0" collapsed="false">
      <c r="E181" s="5" t="str">
        <v>kiri</v>
      </c>
      <c r="F181" s="5" t="n">
        <f aca="false">COUNTIFS($E$170:$E$332,"Kiri",$M$2:$M$164,"Sedang")</f>
        <v>23</v>
      </c>
      <c r="G181" s="5" t="n">
        <f aca="false">F181/41</f>
        <v>0.560975609756098</v>
      </c>
      <c r="J181" s="5" t="str">
        <v>tengah</v>
      </c>
      <c r="K181" s="5" t="n">
        <f aca="false">COUNTIFS($J$170:$J$332,"Kiri",$M$2:$M$164,"Sedang")</f>
        <v>6</v>
      </c>
      <c r="L181" s="5" t="n">
        <f aca="false">K181/25</f>
        <v>0.24</v>
      </c>
      <c r="O181" s="5" t="str">
        <v>kanan</v>
      </c>
      <c r="P181" s="5" t="n">
        <f aca="false">COUNTIFS($O$170:$O$332,"Kiri",$M$2:$M$164,"Sedang")</f>
        <v>40</v>
      </c>
      <c r="Q181" s="5" t="n">
        <f aca="false">P181/57</f>
        <v>0.701754385964912</v>
      </c>
      <c r="T181" s="5" t="str">
        <v>kanan</v>
      </c>
      <c r="U181" s="5" t="n">
        <f aca="false">COUNTIFS($T$170:$T$332,"Kiri",$M$2:$M$164,"Sedang")</f>
        <v>0</v>
      </c>
      <c r="V181" s="5" t="n">
        <f aca="false">U181/57</f>
        <v>0</v>
      </c>
    </row>
    <row r="182" customFormat="false" ht="15" hidden="false" customHeight="false" outlineLevel="0" collapsed="false">
      <c r="E182" s="5" t="str">
        <v>tengah</v>
      </c>
      <c r="F182" s="5" t="n">
        <f aca="false">COUNTIFS($E$170:$E$332,"Kiri",$M$2:$M$164,"Rendah")</f>
        <v>4</v>
      </c>
      <c r="G182" s="5" t="n">
        <f aca="false">F182/41</f>
        <v>0.0975609756097561</v>
      </c>
      <c r="J182" s="5" t="str">
        <v>tengah</v>
      </c>
      <c r="K182" s="5" t="n">
        <f aca="false">COUNTIFS($J$170:$J$332,"Kiri",$M$2:$M$164,"Rendah")</f>
        <v>5</v>
      </c>
      <c r="L182" s="5" t="n">
        <f aca="false">K182/25</f>
        <v>0.2</v>
      </c>
      <c r="O182" s="5" t="str">
        <v>kanan</v>
      </c>
      <c r="P182" s="5" t="n">
        <f aca="false">COUNTIFS($O$170:$O$332,"Kiri",$M$2:$M$164,"Rendah")</f>
        <v>17</v>
      </c>
      <c r="Q182" s="5" t="n">
        <f aca="false">P182/57</f>
        <v>0.298245614035088</v>
      </c>
      <c r="T182" s="5" t="str">
        <v>kanan</v>
      </c>
      <c r="U182" s="5" t="n">
        <f aca="false">COUNTIFS($T$170:$T$332,"Kiri",$M$2:$M$164,"Rendah")</f>
        <v>0</v>
      </c>
      <c r="V182" s="5" t="n">
        <f aca="false">U182/57</f>
        <v>0</v>
      </c>
    </row>
    <row r="183" customFormat="false" ht="15" hidden="false" customHeight="false" outlineLevel="0" collapsed="false">
      <c r="E183" s="5" t="str">
        <v>tengah</v>
      </c>
      <c r="F183" s="5" t="s">
        <v>196</v>
      </c>
      <c r="G183" s="5" t="n">
        <f aca="false">-(IFERROR(G180*LOG(G180,2),0)+IFERROR(G181*LOG(G181,2),0)+IFERROR(G182*LOG(G182,2),0))</f>
        <v>1.32474971442009</v>
      </c>
      <c r="J183" s="5" t="str">
        <v>kanan</v>
      </c>
      <c r="K183" s="5" t="s">
        <v>196</v>
      </c>
      <c r="L183" s="5" t="n">
        <f aca="false">-(IFERROR(L180*LOG(L180,2),0)+IFERROR(L181*LOG(L181,2),0)+IFERROR(L182*LOG(L182,2),0))</f>
        <v>1.42696081427192</v>
      </c>
      <c r="O183" s="5" t="str">
        <v>kiri</v>
      </c>
      <c r="P183" s="5" t="s">
        <v>196</v>
      </c>
      <c r="Q183" s="5" t="n">
        <f aca="false">-(IFERROR(Q180*LOG(Q180,2),0)+IFERROR(Q181*LOG(Q181,2),0)+IFERROR(Q182*LOG(Q182,2),0))</f>
        <v>0.879135766853334</v>
      </c>
      <c r="T183" s="5" t="str">
        <v>tengah</v>
      </c>
      <c r="U183" s="5" t="s">
        <v>196</v>
      </c>
      <c r="V183" s="5" t="n">
        <f aca="false">-(IFERROR(V180*LOG(V180,2),0)+IFERROR(V181*LOG(V181,2),0)+IFERROR(V182*LOG(V182,2),0))</f>
        <v>-0</v>
      </c>
    </row>
    <row r="184" customFormat="false" ht="15" hidden="false" customHeight="false" outlineLevel="0" collapsed="false">
      <c r="E184" s="5" t="str">
        <v>kanan</v>
      </c>
      <c r="F184" s="5"/>
      <c r="G184" s="5" t="n">
        <f aca="false">SUM(F180:F182)/163</f>
        <v>0.251533742331288</v>
      </c>
      <c r="J184" s="5" t="str">
        <v>tengah</v>
      </c>
      <c r="K184" s="5"/>
      <c r="L184" s="5" t="n">
        <f aca="false">SUM(K180:K182)/163</f>
        <v>0.153374233128834</v>
      </c>
      <c r="O184" s="5" t="str">
        <v>kiri</v>
      </c>
      <c r="P184" s="5"/>
      <c r="Q184" s="5" t="n">
        <f aca="false">SUM(P180:P182)/163</f>
        <v>0.349693251533742</v>
      </c>
      <c r="T184" s="5" t="str">
        <v>tengah</v>
      </c>
      <c r="U184" s="5"/>
      <c r="V184" s="5" t="n">
        <f aca="false">SUM(U180:U182)/163</f>
        <v>0</v>
      </c>
    </row>
    <row r="185" customFormat="false" ht="15" hidden="false" customHeight="false" outlineLevel="0" collapsed="false">
      <c r="E185" s="5" t="str">
        <v>tengah</v>
      </c>
      <c r="F185" s="5"/>
      <c r="G185" s="12" t="n">
        <f aca="false">G183*G184</f>
        <v>0.333219253320391</v>
      </c>
      <c r="J185" s="5" t="str">
        <v>kiri</v>
      </c>
      <c r="K185" s="5"/>
      <c r="L185" s="12" t="n">
        <f aca="false">L183*L184</f>
        <v>0.218859020593852</v>
      </c>
      <c r="O185" s="5" t="str">
        <v>kanan</v>
      </c>
      <c r="P185" s="5"/>
      <c r="Q185" s="12" t="n">
        <f aca="false">Q183*Q184</f>
        <v>0.307427844850552</v>
      </c>
      <c r="T185" s="5" t="str">
        <v>tengah</v>
      </c>
      <c r="U185" s="5"/>
      <c r="V185" s="12" t="n">
        <f aca="false">V183*V184</f>
        <v>-0</v>
      </c>
    </row>
    <row r="186" customFormat="false" ht="15" hidden="false" customHeight="false" outlineLevel="0" collapsed="false">
      <c r="E186" s="5" t="str">
        <v>kanan</v>
      </c>
      <c r="F186" s="5"/>
      <c r="G186" s="5"/>
      <c r="J186" s="5" t="str">
        <v>kanan</v>
      </c>
      <c r="K186" s="5"/>
      <c r="L186" s="5"/>
      <c r="O186" s="5" t="str">
        <v>tengah</v>
      </c>
      <c r="P186" s="5"/>
      <c r="Q186" s="5"/>
      <c r="T186" s="5" t="str">
        <v>kanan</v>
      </c>
      <c r="U186" s="5"/>
      <c r="V186" s="5"/>
    </row>
    <row r="187" customFormat="false" ht="15" hidden="false" customHeight="false" outlineLevel="0" collapsed="false">
      <c r="E187" s="5" t="str">
        <v>tengah</v>
      </c>
      <c r="F187" s="5"/>
      <c r="G187" s="5"/>
      <c r="J187" s="5" t="str">
        <v>kiri</v>
      </c>
      <c r="K187" s="5"/>
      <c r="L187" s="5"/>
      <c r="O187" s="5" t="str">
        <v>kiri</v>
      </c>
      <c r="P187" s="5"/>
      <c r="Q187" s="5"/>
      <c r="T187" s="5" t="str">
        <v>tengah</v>
      </c>
      <c r="U187" s="5"/>
      <c r="V187" s="5"/>
    </row>
    <row r="188" customFormat="false" ht="15" hidden="false" customHeight="false" outlineLevel="0" collapsed="false">
      <c r="E188" s="5" t="str">
        <v>tengah</v>
      </c>
      <c r="F188" s="5" t="s">
        <v>201</v>
      </c>
      <c r="G188" s="5"/>
      <c r="J188" s="5" t="str">
        <v>tengah</v>
      </c>
      <c r="K188" s="5" t="s">
        <v>201</v>
      </c>
      <c r="L188" s="5"/>
      <c r="O188" s="5" t="str">
        <v>tengah</v>
      </c>
      <c r="P188" s="5" t="s">
        <v>201</v>
      </c>
      <c r="Q188" s="5"/>
      <c r="T188" s="5" t="str">
        <v>tengah</v>
      </c>
      <c r="U188" s="5" t="s">
        <v>201</v>
      </c>
      <c r="V188" s="5"/>
    </row>
    <row r="189" customFormat="false" ht="15" hidden="false" customHeight="false" outlineLevel="0" collapsed="false">
      <c r="E189" s="5" t="str">
        <v>tengah</v>
      </c>
      <c r="F189" s="5" t="n">
        <f aca="false">COUNTIFS($E$170:$E$332,"Tengah",$M$2:$M$164,"Tinggi")</f>
        <v>28</v>
      </c>
      <c r="G189" s="5" t="n">
        <f aca="false">F189/90</f>
        <v>0.311111111111111</v>
      </c>
      <c r="J189" s="5" t="str">
        <v>tengah</v>
      </c>
      <c r="K189" s="5" t="n">
        <f aca="false">COUNTIFS($J$170:$J$332,"Tengah",$M$2:$M$164,"Tinggi")</f>
        <v>33</v>
      </c>
      <c r="L189" s="5" t="n">
        <f aca="false">K189/111</f>
        <v>0.297297297297297</v>
      </c>
      <c r="O189" s="5" t="str">
        <v>kiri</v>
      </c>
      <c r="P189" s="5" t="n">
        <f aca="false">COUNTIFS($O$170:$O$332,"Tengah",$M$2:$M$164,"Tinggi")</f>
        <v>20</v>
      </c>
      <c r="Q189" s="5" t="n">
        <f aca="false">P189/73</f>
        <v>0.273972602739726</v>
      </c>
      <c r="T189" s="5" t="str">
        <v>kanan</v>
      </c>
      <c r="U189" s="5" t="n">
        <f aca="false">COUNTIFS($T$170:$T$332,"Tengah",$M$2:$M$164,"Tinggi")</f>
        <v>19</v>
      </c>
      <c r="V189" s="5" t="n">
        <f aca="false">U189/76</f>
        <v>0.25</v>
      </c>
    </row>
    <row r="190" customFormat="false" ht="15" hidden="false" customHeight="false" outlineLevel="0" collapsed="false">
      <c r="E190" s="5" t="str">
        <v>tengah</v>
      </c>
      <c r="F190" s="5" t="n">
        <f aca="false">COUNTIFS($E$170:$E$332,"Tengah",$M$2:$M$164,"Sedang")</f>
        <v>53</v>
      </c>
      <c r="G190" s="5" t="n">
        <f aca="false">F190/90</f>
        <v>0.588888888888889</v>
      </c>
      <c r="J190" s="5" t="str">
        <v>tengah</v>
      </c>
      <c r="K190" s="5" t="n">
        <f aca="false">COUNTIFS($J$170:$J$332,"Tengah",$M$2:$M$164,"Sedang")</f>
        <v>69</v>
      </c>
      <c r="L190" s="5" t="n">
        <f aca="false">K190/111</f>
        <v>0.621621621621622</v>
      </c>
      <c r="O190" s="5" t="str">
        <v>tengah</v>
      </c>
      <c r="P190" s="5" t="n">
        <f aca="false">COUNTIFS($O$170:$O$332,"Tengah",$M$2:$M$164,"Sedang")</f>
        <v>53</v>
      </c>
      <c r="Q190" s="5" t="n">
        <f aca="false">P190/73</f>
        <v>0.726027397260274</v>
      </c>
      <c r="T190" s="5" t="str">
        <v>kanan</v>
      </c>
      <c r="U190" s="5" t="n">
        <f aca="false">COUNTIFS($T$170:$T$332,"Tengah",$M$2:$M$164,"Sedang")</f>
        <v>50</v>
      </c>
      <c r="V190" s="5" t="n">
        <f aca="false">U190/76</f>
        <v>0.657894736842105</v>
      </c>
    </row>
    <row r="191" customFormat="false" ht="15" hidden="false" customHeight="false" outlineLevel="0" collapsed="false">
      <c r="E191" s="5" t="str">
        <v>kanan</v>
      </c>
      <c r="F191" s="5" t="n">
        <f aca="false">COUNTIFS($E$170:$E$332,"Tengah",$M$2:$M$164,"Rendah")</f>
        <v>9</v>
      </c>
      <c r="G191" s="5" t="n">
        <f aca="false">F191/90</f>
        <v>0.1</v>
      </c>
      <c r="J191" s="5" t="str">
        <v>tengah</v>
      </c>
      <c r="K191" s="5" t="n">
        <f aca="false">COUNTIFS($J$170:$J$332,"Tengah",$M$2:$M$164,"Rendah")</f>
        <v>9</v>
      </c>
      <c r="L191" s="5" t="n">
        <f aca="false">K191/111</f>
        <v>0.0810810810810811</v>
      </c>
      <c r="O191" s="5" t="str">
        <v>tengah</v>
      </c>
      <c r="P191" s="5" t="n">
        <f aca="false">COUNTIFS($O$170:$O$332,"Tengah",$M$2:$M$164,"Rendah")</f>
        <v>0</v>
      </c>
      <c r="Q191" s="5" t="n">
        <f aca="false">P191/73</f>
        <v>0</v>
      </c>
      <c r="T191" s="5" t="str">
        <v>tengah</v>
      </c>
      <c r="U191" s="5" t="n">
        <f aca="false">COUNTIFS($T$170:$T$332,"Tengah",$M$2:$M$164,"Rendah")</f>
        <v>7</v>
      </c>
      <c r="V191" s="5" t="n">
        <f aca="false">U191/76</f>
        <v>0.0921052631578947</v>
      </c>
    </row>
    <row r="192" customFormat="false" ht="15" hidden="false" customHeight="false" outlineLevel="0" collapsed="false">
      <c r="E192" s="5" t="str">
        <v>kiri</v>
      </c>
      <c r="F192" s="5" t="s">
        <v>196</v>
      </c>
      <c r="G192" s="5" t="n">
        <f aca="false">-(IFERROR(G189*LOG(G189,2),0)+IFERROR(G190*LOG(G190,2),0)+IFERROR(G191*LOG(G191,2),0))</f>
        <v>1.30613035274697</v>
      </c>
      <c r="J192" s="5" t="str">
        <v>tengah</v>
      </c>
      <c r="K192" s="5" t="s">
        <v>196</v>
      </c>
      <c r="L192" s="5" t="n">
        <f aca="false">-(IFERROR(L189*LOG(L189,2),0)+IFERROR(L190*LOG(L190,2),0)+IFERROR(L191*LOG(L191,2),0))</f>
        <v>1.24051930356179</v>
      </c>
      <c r="O192" s="5" t="str">
        <v>kiri</v>
      </c>
      <c r="P192" s="5" t="s">
        <v>196</v>
      </c>
      <c r="Q192" s="5" t="n">
        <f aca="false">-(IFERROR(Q189*LOG(Q189,2),0)+IFERROR(Q190*LOG(Q190,2),0)+IFERROR(Q191*LOG(Q191,2),0))</f>
        <v>0.847107490529376</v>
      </c>
      <c r="T192" s="5" t="str">
        <v>tengah</v>
      </c>
      <c r="U192" s="5" t="s">
        <v>196</v>
      </c>
      <c r="V192" s="5" t="n">
        <f aca="false">-(IFERROR(V189*LOG(V189,2),0)+IFERROR(V190*LOG(V190,2),0)+IFERROR(V191*LOG(V191,2),0))</f>
        <v>1.21431018846243</v>
      </c>
    </row>
    <row r="193" customFormat="false" ht="15" hidden="false" customHeight="false" outlineLevel="0" collapsed="false">
      <c r="E193" s="5" t="str">
        <v>tengah</v>
      </c>
      <c r="F193" s="5"/>
      <c r="G193" s="5" t="n">
        <f aca="false">SUM(F189:F191)/163</f>
        <v>0.552147239263804</v>
      </c>
      <c r="J193" s="5" t="str">
        <v>kiri</v>
      </c>
      <c r="K193" s="5"/>
      <c r="L193" s="5" t="n">
        <f aca="false">SUM(K189:K191)/163</f>
        <v>0.680981595092025</v>
      </c>
      <c r="O193" s="5" t="str">
        <v>kanan</v>
      </c>
      <c r="P193" s="5"/>
      <c r="Q193" s="5" t="n">
        <f aca="false">SUM(P189:P191)/163</f>
        <v>0.447852760736196</v>
      </c>
      <c r="T193" s="5" t="str">
        <v>tengah</v>
      </c>
      <c r="U193" s="5"/>
      <c r="V193" s="5" t="n">
        <f aca="false">SUM(U189:U191)/163</f>
        <v>0.466257668711656</v>
      </c>
    </row>
    <row r="194" customFormat="false" ht="15" hidden="false" customHeight="false" outlineLevel="0" collapsed="false">
      <c r="E194" s="5" t="str">
        <v>kanan</v>
      </c>
      <c r="F194" s="5"/>
      <c r="G194" s="12" t="n">
        <f aca="false">G192*G193</f>
        <v>0.721176268387899</v>
      </c>
      <c r="J194" s="5" t="str">
        <v>tengah</v>
      </c>
      <c r="K194" s="5"/>
      <c r="L194" s="12" t="n">
        <f aca="false">L192*L193</f>
        <v>0.844770814081953</v>
      </c>
      <c r="O194" s="5" t="str">
        <v>tengah</v>
      </c>
      <c r="P194" s="5"/>
      <c r="Q194" s="12" t="n">
        <f aca="false">Q192*Q193</f>
        <v>0.379379428273892</v>
      </c>
      <c r="T194" s="5" t="str">
        <v>kanan</v>
      </c>
      <c r="U194" s="5"/>
      <c r="V194" s="12" t="n">
        <f aca="false">V192*V193</f>
        <v>0.566181437565306</v>
      </c>
    </row>
    <row r="195" customFormat="false" ht="15" hidden="false" customHeight="false" outlineLevel="0" collapsed="false">
      <c r="E195" s="5" t="str">
        <v>tengah</v>
      </c>
      <c r="F195" s="5"/>
      <c r="G195" s="5"/>
      <c r="J195" s="5" t="str">
        <v>tengah</v>
      </c>
      <c r="K195" s="5"/>
      <c r="L195" s="5"/>
      <c r="O195" s="5" t="str">
        <v>tengah</v>
      </c>
      <c r="P195" s="5"/>
      <c r="Q195" s="5"/>
      <c r="T195" s="5" t="str">
        <v>tengah</v>
      </c>
      <c r="U195" s="5"/>
      <c r="V195" s="5"/>
    </row>
    <row r="196" customFormat="false" ht="15" hidden="false" customHeight="false" outlineLevel="0" collapsed="false">
      <c r="E196" s="5" t="str">
        <v>kiri</v>
      </c>
      <c r="F196" s="5" t="s">
        <v>202</v>
      </c>
      <c r="G196" s="5"/>
      <c r="J196" s="5" t="str">
        <v>tengah</v>
      </c>
      <c r="K196" s="5" t="s">
        <v>202</v>
      </c>
      <c r="L196" s="5"/>
      <c r="O196" s="5" t="str">
        <v>tengah</v>
      </c>
      <c r="P196" s="5" t="s">
        <v>202</v>
      </c>
      <c r="Q196" s="5"/>
      <c r="T196" s="5" t="str">
        <v>tengah</v>
      </c>
      <c r="U196" s="5" t="s">
        <v>202</v>
      </c>
      <c r="V196" s="5"/>
    </row>
    <row r="197" customFormat="false" ht="15" hidden="false" customHeight="false" outlineLevel="0" collapsed="false">
      <c r="E197" s="5" t="str">
        <v>tengah</v>
      </c>
      <c r="F197" s="13" t="n">
        <f aca="false">P5-(G176+G185+G194)</f>
        <v>0.00189210663391615</v>
      </c>
      <c r="G197" s="5"/>
      <c r="J197" s="5" t="str">
        <v>kanan</v>
      </c>
      <c r="K197" s="13" t="n">
        <f aca="false">P5-(L176+L185+L194)</f>
        <v>0.0626009462294206</v>
      </c>
      <c r="L197" s="5"/>
      <c r="O197" s="5" t="str">
        <v>tengah</v>
      </c>
      <c r="P197" s="13" t="n">
        <f aca="false">P5-(Q176+Q185+Q194)</f>
        <v>0.642237311621037</v>
      </c>
      <c r="Q197" s="5"/>
      <c r="T197" s="5" t="str">
        <v>tengah</v>
      </c>
      <c r="U197" s="13" t="n">
        <f aca="false">P5-(V176+V185+V194)</f>
        <v>0.0204479193564693</v>
      </c>
      <c r="V197" s="5"/>
    </row>
    <row r="198" customFormat="false" ht="15" hidden="false" customHeight="false" outlineLevel="0" collapsed="false">
      <c r="E198" s="5" t="str">
        <v>tengah</v>
      </c>
      <c r="F198" s="5"/>
      <c r="G198" s="5"/>
      <c r="J198" s="5" t="str">
        <v>tengah</v>
      </c>
      <c r="K198" s="5"/>
      <c r="L198" s="5"/>
      <c r="O198" s="5" t="str">
        <v>tengah</v>
      </c>
      <c r="P198" s="5"/>
      <c r="Q198" s="5"/>
      <c r="T198" s="5" t="str">
        <v>kanan</v>
      </c>
      <c r="U198" s="5"/>
      <c r="V198" s="5"/>
    </row>
    <row r="199" customFormat="false" ht="15" hidden="false" customHeight="false" outlineLevel="0" collapsed="false">
      <c r="E199" s="5" t="str">
        <v>kanan</v>
      </c>
      <c r="F199" s="5"/>
      <c r="G199" s="5"/>
      <c r="J199" s="5" t="str">
        <v>kanan</v>
      </c>
      <c r="K199" s="5"/>
      <c r="L199" s="5"/>
      <c r="O199" s="5" t="str">
        <v>kanan</v>
      </c>
      <c r="P199" s="5"/>
      <c r="Q199" s="5"/>
      <c r="T199" s="5" t="str">
        <v>kanan</v>
      </c>
      <c r="U199" s="5"/>
      <c r="V199" s="5"/>
    </row>
    <row r="200" customFormat="false" ht="15" hidden="false" customHeight="false" outlineLevel="0" collapsed="false">
      <c r="E200" s="5" t="str">
        <v>kiri</v>
      </c>
      <c r="F200" s="5"/>
      <c r="G200" s="5"/>
      <c r="J200" s="5" t="str">
        <v>tengah</v>
      </c>
      <c r="K200" s="5"/>
      <c r="L200" s="5"/>
      <c r="O200" s="5" t="str">
        <v>tengah</v>
      </c>
      <c r="P200" s="5"/>
      <c r="Q200" s="5"/>
      <c r="T200" s="5" t="str">
        <v>tengah</v>
      </c>
      <c r="U200" s="5"/>
      <c r="V200" s="5"/>
    </row>
    <row r="201" customFormat="false" ht="15" hidden="false" customHeight="false" outlineLevel="0" collapsed="false">
      <c r="E201" s="5" t="str">
        <v>kiri</v>
      </c>
      <c r="F201" s="5"/>
      <c r="G201" s="5"/>
      <c r="J201" s="5" t="str">
        <v>kanan</v>
      </c>
      <c r="K201" s="5"/>
      <c r="L201" s="5"/>
      <c r="O201" s="5" t="str">
        <v>tengah</v>
      </c>
      <c r="P201" s="5"/>
      <c r="Q201" s="5"/>
      <c r="T201" s="5" t="str">
        <v>kanan</v>
      </c>
      <c r="U201" s="5"/>
      <c r="V201" s="5"/>
    </row>
    <row r="202" customFormat="false" ht="15" hidden="false" customHeight="false" outlineLevel="0" collapsed="false">
      <c r="E202" s="5" t="str">
        <v>tengah</v>
      </c>
      <c r="F202" s="5"/>
      <c r="G202" s="5"/>
      <c r="J202" s="5" t="str">
        <v>tengah</v>
      </c>
      <c r="K202" s="5"/>
      <c r="L202" s="5"/>
      <c r="O202" s="5" t="str">
        <v>tengah</v>
      </c>
      <c r="P202" s="5"/>
      <c r="Q202" s="5"/>
      <c r="T202" s="5" t="str">
        <v>kanan</v>
      </c>
      <c r="U202" s="5"/>
      <c r="V202" s="5"/>
    </row>
    <row r="203" customFormat="false" ht="15" hidden="false" customHeight="false" outlineLevel="0" collapsed="false">
      <c r="E203" s="5" t="str">
        <v>tengah</v>
      </c>
      <c r="F203" s="5"/>
      <c r="G203" s="5"/>
      <c r="J203" s="5" t="str">
        <v>tengah</v>
      </c>
      <c r="K203" s="5"/>
      <c r="L203" s="5"/>
      <c r="O203" s="5" t="str">
        <v>kiri</v>
      </c>
      <c r="P203" s="5"/>
      <c r="Q203" s="5"/>
      <c r="T203" s="5" t="str">
        <v>kanan</v>
      </c>
      <c r="U203" s="5"/>
      <c r="V203" s="5"/>
    </row>
    <row r="204" customFormat="false" ht="15" hidden="false" customHeight="false" outlineLevel="0" collapsed="false">
      <c r="E204" s="5" t="str">
        <v>tengah</v>
      </c>
      <c r="F204" s="5"/>
      <c r="G204" s="5"/>
      <c r="J204" s="5" t="str">
        <v>tengah</v>
      </c>
      <c r="K204" s="5"/>
      <c r="L204" s="5"/>
      <c r="O204" s="5" t="str">
        <v>kiri</v>
      </c>
      <c r="P204" s="5"/>
      <c r="Q204" s="5"/>
      <c r="T204" s="5" t="str">
        <v>tengah</v>
      </c>
      <c r="U204" s="5"/>
      <c r="V204" s="5"/>
    </row>
    <row r="205" customFormat="false" ht="15" hidden="false" customHeight="false" outlineLevel="0" collapsed="false">
      <c r="E205" s="5" t="str">
        <v>tengah</v>
      </c>
      <c r="F205" s="5"/>
      <c r="G205" s="5"/>
      <c r="J205" s="5" t="str">
        <v>tengah</v>
      </c>
      <c r="K205" s="5"/>
      <c r="L205" s="5"/>
      <c r="O205" s="5" t="str">
        <v>tengah</v>
      </c>
      <c r="P205" s="5"/>
      <c r="Q205" s="5"/>
      <c r="T205" s="5" t="str">
        <v>kanan</v>
      </c>
      <c r="U205" s="5"/>
      <c r="V205" s="5"/>
    </row>
    <row r="206" customFormat="false" ht="15" hidden="false" customHeight="false" outlineLevel="0" collapsed="false">
      <c r="E206" s="5" t="str">
        <v>kiri</v>
      </c>
      <c r="F206" s="5"/>
      <c r="G206" s="5"/>
      <c r="J206" s="5" t="str">
        <v>kanan</v>
      </c>
      <c r="K206" s="5"/>
      <c r="L206" s="5"/>
      <c r="O206" s="5" t="str">
        <v>kiri</v>
      </c>
      <c r="P206" s="5"/>
      <c r="Q206" s="5"/>
      <c r="T206" s="5" t="str">
        <v>tengah</v>
      </c>
      <c r="U206" s="5"/>
      <c r="V206" s="5"/>
    </row>
    <row r="207" customFormat="false" ht="15" hidden="false" customHeight="false" outlineLevel="0" collapsed="false">
      <c r="E207" s="5" t="str">
        <v>kiri</v>
      </c>
      <c r="F207" s="5"/>
      <c r="G207" s="5"/>
      <c r="J207" s="5" t="str">
        <v>tengah</v>
      </c>
      <c r="K207" s="5"/>
      <c r="L207" s="5"/>
      <c r="O207" s="5" t="str">
        <v>tengah</v>
      </c>
      <c r="P207" s="5"/>
      <c r="Q207" s="5"/>
      <c r="T207" s="5" t="str">
        <v>tengah</v>
      </c>
      <c r="U207" s="5"/>
      <c r="V207" s="5"/>
    </row>
    <row r="208" customFormat="false" ht="15" hidden="false" customHeight="false" outlineLevel="0" collapsed="false">
      <c r="E208" s="5" t="str">
        <v>kanan</v>
      </c>
      <c r="F208" s="5"/>
      <c r="G208" s="5"/>
      <c r="J208" s="5" t="str">
        <v>tengah</v>
      </c>
      <c r="K208" s="5"/>
      <c r="L208" s="5"/>
      <c r="O208" s="5" t="str">
        <v>tengah</v>
      </c>
      <c r="P208" s="5"/>
      <c r="Q208" s="5"/>
      <c r="T208" s="5" t="str">
        <v>kanan</v>
      </c>
      <c r="U208" s="5"/>
      <c r="V208" s="5"/>
    </row>
    <row r="209" customFormat="false" ht="15" hidden="false" customHeight="false" outlineLevel="0" collapsed="false">
      <c r="E209" s="5" t="str">
        <v>kiri</v>
      </c>
      <c r="F209" s="5"/>
      <c r="G209" s="5"/>
      <c r="J209" s="5" t="str">
        <v>kiri</v>
      </c>
      <c r="K209" s="5"/>
      <c r="L209" s="5"/>
      <c r="O209" s="5" t="str">
        <v>kanan</v>
      </c>
      <c r="P209" s="5"/>
      <c r="Q209" s="5"/>
      <c r="T209" s="5" t="str">
        <v>tengah</v>
      </c>
      <c r="U209" s="5"/>
      <c r="V209" s="5"/>
    </row>
    <row r="210" customFormat="false" ht="15" hidden="false" customHeight="false" outlineLevel="0" collapsed="false">
      <c r="E210" s="5" t="str">
        <v>kanan</v>
      </c>
      <c r="F210" s="5"/>
      <c r="G210" s="5"/>
      <c r="J210" s="5" t="str">
        <v>tengah</v>
      </c>
      <c r="K210" s="5"/>
      <c r="L210" s="5"/>
      <c r="O210" s="5" t="str">
        <v>kanan</v>
      </c>
      <c r="P210" s="5"/>
      <c r="Q210" s="5"/>
      <c r="T210" s="5" t="str">
        <v>kanan</v>
      </c>
      <c r="U210" s="5"/>
      <c r="V210" s="5"/>
    </row>
    <row r="211" customFormat="false" ht="15" hidden="false" customHeight="false" outlineLevel="0" collapsed="false">
      <c r="E211" s="5" t="str">
        <v>tengah</v>
      </c>
      <c r="F211" s="5"/>
      <c r="G211" s="5"/>
      <c r="J211" s="5" t="str">
        <v>tengah</v>
      </c>
      <c r="K211" s="5"/>
      <c r="L211" s="5"/>
      <c r="O211" s="5" t="str">
        <v>tengah</v>
      </c>
      <c r="P211" s="5"/>
      <c r="Q211" s="5"/>
      <c r="T211" s="5" t="str">
        <v>kanan</v>
      </c>
      <c r="U211" s="5"/>
      <c r="V211" s="5"/>
    </row>
    <row r="212" customFormat="false" ht="15" hidden="false" customHeight="false" outlineLevel="0" collapsed="false">
      <c r="E212" s="5" t="str">
        <v>kanan</v>
      </c>
      <c r="F212" s="5"/>
      <c r="G212" s="5"/>
      <c r="J212" s="5" t="str">
        <v>tengah</v>
      </c>
      <c r="K212" s="5"/>
      <c r="L212" s="5"/>
      <c r="O212" s="5" t="str">
        <v>tengah</v>
      </c>
      <c r="P212" s="5"/>
      <c r="Q212" s="5"/>
      <c r="T212" s="5" t="str">
        <v>tengah</v>
      </c>
      <c r="U212" s="5"/>
      <c r="V212" s="5"/>
    </row>
    <row r="213" customFormat="false" ht="15" hidden="false" customHeight="false" outlineLevel="0" collapsed="false">
      <c r="E213" s="5" t="str">
        <v>kiri</v>
      </c>
      <c r="F213" s="5"/>
      <c r="G213" s="5"/>
      <c r="J213" s="5" t="str">
        <v>kiri</v>
      </c>
      <c r="K213" s="5"/>
      <c r="L213" s="5"/>
      <c r="O213" s="5" t="str">
        <v>tengah</v>
      </c>
      <c r="P213" s="5"/>
      <c r="Q213" s="5"/>
      <c r="T213" s="5" t="str">
        <v>tengah</v>
      </c>
      <c r="U213" s="5"/>
      <c r="V213" s="5"/>
    </row>
    <row r="214" customFormat="false" ht="15" hidden="false" customHeight="false" outlineLevel="0" collapsed="false">
      <c r="E214" s="5" t="str">
        <v>tengah</v>
      </c>
      <c r="F214" s="5"/>
      <c r="G214" s="5"/>
      <c r="J214" s="5" t="str">
        <v>kanan</v>
      </c>
      <c r="K214" s="5"/>
      <c r="L214" s="5"/>
      <c r="O214" s="5" t="str">
        <v>kanan</v>
      </c>
      <c r="P214" s="5"/>
      <c r="Q214" s="5"/>
      <c r="T214" s="5" t="str">
        <v>tengah</v>
      </c>
      <c r="U214" s="5"/>
      <c r="V214" s="5"/>
    </row>
    <row r="215" customFormat="false" ht="15" hidden="false" customHeight="false" outlineLevel="0" collapsed="false">
      <c r="E215" s="5" t="str">
        <v>kanan</v>
      </c>
      <c r="F215" s="5"/>
      <c r="G215" s="5"/>
      <c r="J215" s="5" t="str">
        <v>tengah</v>
      </c>
      <c r="K215" s="5"/>
      <c r="L215" s="5"/>
      <c r="O215" s="5" t="str">
        <v>tengah</v>
      </c>
      <c r="P215" s="5"/>
      <c r="Q215" s="5"/>
      <c r="T215" s="5" t="str">
        <v>kanan</v>
      </c>
      <c r="U215" s="5"/>
      <c r="V215" s="5"/>
    </row>
    <row r="216" customFormat="false" ht="15" hidden="false" customHeight="false" outlineLevel="0" collapsed="false">
      <c r="E216" s="5" t="str">
        <v>kanan</v>
      </c>
      <c r="F216" s="5"/>
      <c r="G216" s="5"/>
      <c r="J216" s="5" t="str">
        <v>tengah</v>
      </c>
      <c r="K216" s="5"/>
      <c r="L216" s="5"/>
      <c r="O216" s="5" t="str">
        <v>tengah</v>
      </c>
      <c r="P216" s="5"/>
      <c r="Q216" s="5"/>
      <c r="T216" s="5" t="str">
        <v>kanan</v>
      </c>
      <c r="U216" s="5"/>
      <c r="V216" s="5"/>
    </row>
    <row r="217" customFormat="false" ht="15" hidden="false" customHeight="false" outlineLevel="0" collapsed="false">
      <c r="E217" s="5" t="str">
        <v>tengah</v>
      </c>
      <c r="F217" s="5"/>
      <c r="G217" s="5"/>
      <c r="J217" s="5" t="str">
        <v>tengah</v>
      </c>
      <c r="K217" s="5"/>
      <c r="L217" s="5"/>
      <c r="O217" s="5" t="str">
        <v>kanan</v>
      </c>
      <c r="P217" s="5"/>
      <c r="Q217" s="5"/>
      <c r="T217" s="5" t="str">
        <v>kanan</v>
      </c>
      <c r="U217" s="5"/>
      <c r="V217" s="5"/>
    </row>
    <row r="218" customFormat="false" ht="15" hidden="false" customHeight="false" outlineLevel="0" collapsed="false">
      <c r="E218" s="5" t="str">
        <v>tengah</v>
      </c>
      <c r="F218" s="5"/>
      <c r="G218" s="5"/>
      <c r="J218" s="5" t="str">
        <v>kiri</v>
      </c>
      <c r="K218" s="5"/>
      <c r="L218" s="5"/>
      <c r="O218" s="5" t="str">
        <v>kiri</v>
      </c>
      <c r="P218" s="5"/>
      <c r="Q218" s="5"/>
      <c r="T218" s="5" t="str">
        <v>tengah</v>
      </c>
      <c r="U218" s="5"/>
      <c r="V218" s="5"/>
    </row>
    <row r="219" customFormat="false" ht="15" hidden="false" customHeight="false" outlineLevel="0" collapsed="false">
      <c r="E219" s="5" t="str">
        <v>tengah</v>
      </c>
      <c r="F219" s="5"/>
      <c r="G219" s="5"/>
      <c r="J219" s="5" t="str">
        <v>tengah</v>
      </c>
      <c r="K219" s="5"/>
      <c r="L219" s="5"/>
      <c r="O219" s="5" t="str">
        <v>kiri</v>
      </c>
      <c r="P219" s="5"/>
      <c r="Q219" s="5"/>
      <c r="T219" s="5" t="str">
        <v>kanan</v>
      </c>
      <c r="U219" s="5"/>
      <c r="V219" s="5"/>
    </row>
    <row r="220" customFormat="false" ht="15" hidden="false" customHeight="false" outlineLevel="0" collapsed="false">
      <c r="E220" s="5" t="str">
        <v>tengah</v>
      </c>
      <c r="F220" s="5"/>
      <c r="G220" s="5"/>
      <c r="J220" s="5" t="str">
        <v>kanan</v>
      </c>
      <c r="K220" s="5"/>
      <c r="L220" s="5"/>
      <c r="O220" s="5" t="str">
        <v>kiri</v>
      </c>
      <c r="P220" s="5"/>
      <c r="Q220" s="5"/>
      <c r="T220" s="5" t="str">
        <v>tengah</v>
      </c>
      <c r="U220" s="5"/>
      <c r="V220" s="5"/>
    </row>
    <row r="221" customFormat="false" ht="15" hidden="false" customHeight="false" outlineLevel="0" collapsed="false">
      <c r="E221" s="5" t="str">
        <v>tengah</v>
      </c>
      <c r="F221" s="5"/>
      <c r="G221" s="5"/>
      <c r="J221" s="5" t="str">
        <v>tengah</v>
      </c>
      <c r="K221" s="5"/>
      <c r="L221" s="5"/>
      <c r="O221" s="5" t="str">
        <v>kiri</v>
      </c>
      <c r="P221" s="5"/>
      <c r="Q221" s="5"/>
      <c r="T221" s="5" t="str">
        <v>kanan</v>
      </c>
      <c r="U221" s="5"/>
      <c r="V221" s="5"/>
    </row>
    <row r="222" customFormat="false" ht="15" hidden="false" customHeight="false" outlineLevel="0" collapsed="false">
      <c r="E222" s="5" t="str">
        <v>kiri</v>
      </c>
      <c r="F222" s="5"/>
      <c r="G222" s="5"/>
      <c r="J222" s="5" t="str">
        <v>tengah</v>
      </c>
      <c r="K222" s="5"/>
      <c r="L222" s="5"/>
      <c r="O222" s="5" t="str">
        <v>tengah</v>
      </c>
      <c r="P222" s="5"/>
      <c r="Q222" s="5"/>
      <c r="T222" s="5" t="str">
        <v>kanan</v>
      </c>
      <c r="U222" s="5"/>
      <c r="V222" s="5"/>
    </row>
    <row r="223" customFormat="false" ht="15" hidden="false" customHeight="false" outlineLevel="0" collapsed="false">
      <c r="E223" s="5" t="str">
        <v>kanan</v>
      </c>
      <c r="F223" s="5"/>
      <c r="G223" s="5"/>
      <c r="J223" s="5" t="str">
        <v>tengah</v>
      </c>
      <c r="K223" s="5"/>
      <c r="L223" s="5"/>
      <c r="O223" s="5" t="str">
        <v>kiri</v>
      </c>
      <c r="P223" s="5"/>
      <c r="Q223" s="5"/>
      <c r="T223" s="5" t="str">
        <v>kanan</v>
      </c>
      <c r="U223" s="5"/>
      <c r="V223" s="5"/>
    </row>
    <row r="224" customFormat="false" ht="15" hidden="false" customHeight="false" outlineLevel="0" collapsed="false">
      <c r="E224" s="5" t="str">
        <v>tengah</v>
      </c>
      <c r="F224" s="5"/>
      <c r="G224" s="5"/>
      <c r="J224" s="5" t="str">
        <v>tengah</v>
      </c>
      <c r="K224" s="5"/>
      <c r="L224" s="5"/>
      <c r="O224" s="5" t="str">
        <v>tengah</v>
      </c>
      <c r="P224" s="5"/>
      <c r="Q224" s="5"/>
      <c r="T224" s="5" t="str">
        <v>tengah</v>
      </c>
      <c r="U224" s="5"/>
      <c r="V224" s="5"/>
    </row>
    <row r="225" customFormat="false" ht="15" hidden="false" customHeight="false" outlineLevel="0" collapsed="false">
      <c r="E225" s="5" t="str">
        <v>kiri</v>
      </c>
      <c r="F225" s="5"/>
      <c r="G225" s="5"/>
      <c r="J225" s="5" t="str">
        <v>tengah</v>
      </c>
      <c r="K225" s="5"/>
      <c r="L225" s="5"/>
      <c r="O225" s="5" t="str">
        <v>tengah</v>
      </c>
      <c r="P225" s="5"/>
      <c r="Q225" s="5"/>
      <c r="T225" s="5" t="str">
        <v>tengah</v>
      </c>
      <c r="U225" s="5"/>
      <c r="V225" s="5"/>
    </row>
    <row r="226" customFormat="false" ht="15" hidden="false" customHeight="false" outlineLevel="0" collapsed="false">
      <c r="E226" s="5" t="str">
        <v>tengah</v>
      </c>
      <c r="F226" s="5"/>
      <c r="G226" s="5"/>
      <c r="J226" s="5" t="str">
        <v>tengah</v>
      </c>
      <c r="K226" s="5"/>
      <c r="L226" s="5"/>
      <c r="O226" s="5" t="str">
        <v>tengah</v>
      </c>
      <c r="P226" s="5"/>
      <c r="Q226" s="5"/>
      <c r="T226" s="5" t="str">
        <v>tengah</v>
      </c>
      <c r="U226" s="5"/>
      <c r="V226" s="5"/>
    </row>
    <row r="227" customFormat="false" ht="15" hidden="false" customHeight="false" outlineLevel="0" collapsed="false">
      <c r="E227" s="5" t="str">
        <v>tengah</v>
      </c>
      <c r="F227" s="5"/>
      <c r="G227" s="5"/>
      <c r="J227" s="5" t="str">
        <v>tengah</v>
      </c>
      <c r="K227" s="5"/>
      <c r="L227" s="5"/>
      <c r="O227" s="5" t="str">
        <v>tengah</v>
      </c>
      <c r="P227" s="5"/>
      <c r="Q227" s="5"/>
      <c r="T227" s="5" t="str">
        <v>kanan</v>
      </c>
      <c r="U227" s="5"/>
      <c r="V227" s="5"/>
    </row>
    <row r="228" customFormat="false" ht="15" hidden="false" customHeight="false" outlineLevel="0" collapsed="false">
      <c r="E228" s="5" t="str">
        <v>tengah</v>
      </c>
      <c r="F228" s="5"/>
      <c r="G228" s="5"/>
      <c r="J228" s="5" t="str">
        <v>kanan</v>
      </c>
      <c r="K228" s="5"/>
      <c r="L228" s="5"/>
      <c r="O228" s="5" t="str">
        <v>tengah</v>
      </c>
      <c r="P228" s="5"/>
      <c r="Q228" s="5"/>
      <c r="T228" s="5" t="str">
        <v>kanan</v>
      </c>
      <c r="U228" s="5"/>
      <c r="V228" s="5"/>
    </row>
    <row r="229" customFormat="false" ht="15" hidden="false" customHeight="false" outlineLevel="0" collapsed="false">
      <c r="E229" s="5" t="str">
        <v>kanan</v>
      </c>
      <c r="F229" s="5"/>
      <c r="G229" s="5"/>
      <c r="J229" s="5" t="str">
        <v>tengah</v>
      </c>
      <c r="K229" s="5"/>
      <c r="L229" s="5"/>
      <c r="O229" s="5" t="str">
        <v>tengah</v>
      </c>
      <c r="P229" s="5"/>
      <c r="Q229" s="5"/>
      <c r="T229" s="5" t="str">
        <v>kanan</v>
      </c>
      <c r="U229" s="5"/>
      <c r="V229" s="5"/>
    </row>
    <row r="230" customFormat="false" ht="15" hidden="false" customHeight="false" outlineLevel="0" collapsed="false">
      <c r="E230" s="5" t="str">
        <v>kiri</v>
      </c>
      <c r="F230" s="5"/>
      <c r="G230" s="5"/>
      <c r="J230" s="5" t="str">
        <v>tengah</v>
      </c>
      <c r="K230" s="5"/>
      <c r="L230" s="5"/>
      <c r="O230" s="5" t="str">
        <v>tengah</v>
      </c>
      <c r="P230" s="5"/>
      <c r="Q230" s="5"/>
      <c r="T230" s="5" t="str">
        <v>kanan</v>
      </c>
      <c r="U230" s="5"/>
      <c r="V230" s="5"/>
    </row>
    <row r="231" customFormat="false" ht="15" hidden="false" customHeight="false" outlineLevel="0" collapsed="false">
      <c r="E231" s="5" t="str">
        <v>kiri</v>
      </c>
      <c r="F231" s="5"/>
      <c r="G231" s="5"/>
      <c r="J231" s="5" t="str">
        <v>kiri</v>
      </c>
      <c r="K231" s="5"/>
      <c r="L231" s="5"/>
      <c r="O231" s="5" t="str">
        <v>tengah</v>
      </c>
      <c r="P231" s="5"/>
      <c r="Q231" s="5"/>
      <c r="T231" s="5" t="str">
        <v>kanan</v>
      </c>
      <c r="U231" s="5"/>
      <c r="V231" s="5"/>
    </row>
    <row r="232" customFormat="false" ht="15" hidden="false" customHeight="false" outlineLevel="0" collapsed="false">
      <c r="E232" s="5" t="str">
        <v>kanan</v>
      </c>
      <c r="F232" s="5"/>
      <c r="G232" s="5"/>
      <c r="J232" s="5" t="str">
        <v>tengah</v>
      </c>
      <c r="K232" s="5"/>
      <c r="L232" s="5"/>
      <c r="O232" s="5" t="str">
        <v>tengah</v>
      </c>
      <c r="P232" s="5"/>
      <c r="Q232" s="5"/>
      <c r="T232" s="5" t="str">
        <v>tengah</v>
      </c>
      <c r="U232" s="5"/>
      <c r="V232" s="5"/>
    </row>
    <row r="233" customFormat="false" ht="15" hidden="false" customHeight="false" outlineLevel="0" collapsed="false">
      <c r="E233" s="5" t="str">
        <v>tengah</v>
      </c>
      <c r="F233" s="5"/>
      <c r="G233" s="5"/>
      <c r="J233" s="5" t="str">
        <v>kiri</v>
      </c>
      <c r="K233" s="5"/>
      <c r="L233" s="5"/>
      <c r="O233" s="5" t="str">
        <v>tengah</v>
      </c>
      <c r="P233" s="5"/>
      <c r="Q233" s="5"/>
      <c r="T233" s="5" t="str">
        <v>tengah</v>
      </c>
      <c r="U233" s="5"/>
      <c r="V233" s="5"/>
    </row>
    <row r="234" customFormat="false" ht="15" hidden="false" customHeight="false" outlineLevel="0" collapsed="false">
      <c r="E234" s="5" t="str">
        <v>tengah</v>
      </c>
      <c r="F234" s="5"/>
      <c r="G234" s="5"/>
      <c r="J234" s="5" t="str">
        <v>kiri</v>
      </c>
      <c r="K234" s="5"/>
      <c r="L234" s="5"/>
      <c r="O234" s="5" t="str">
        <v>kanan</v>
      </c>
      <c r="P234" s="5"/>
      <c r="Q234" s="5"/>
      <c r="T234" s="5" t="str">
        <v>tengah</v>
      </c>
      <c r="U234" s="5"/>
      <c r="V234" s="5"/>
    </row>
    <row r="235" customFormat="false" ht="15" hidden="false" customHeight="false" outlineLevel="0" collapsed="false">
      <c r="E235" s="5" t="str">
        <v>tengah</v>
      </c>
      <c r="F235" s="5"/>
      <c r="G235" s="5"/>
      <c r="J235" s="5" t="str">
        <v>tengah</v>
      </c>
      <c r="K235" s="5"/>
      <c r="L235" s="5"/>
      <c r="O235" s="5" t="str">
        <v>kiri</v>
      </c>
      <c r="P235" s="5"/>
      <c r="Q235" s="5"/>
      <c r="T235" s="5" t="str">
        <v>tengah</v>
      </c>
      <c r="U235" s="5"/>
      <c r="V235" s="5"/>
    </row>
    <row r="236" customFormat="false" ht="15" hidden="false" customHeight="false" outlineLevel="0" collapsed="false">
      <c r="E236" s="5" t="str">
        <v>tengah</v>
      </c>
      <c r="F236" s="5"/>
      <c r="G236" s="5"/>
      <c r="J236" s="5" t="str">
        <v>kanan</v>
      </c>
      <c r="K236" s="5"/>
      <c r="L236" s="5"/>
      <c r="O236" s="5" t="str">
        <v>kiri</v>
      </c>
      <c r="P236" s="5"/>
      <c r="Q236" s="5"/>
      <c r="T236" s="5" t="str">
        <v>kanan</v>
      </c>
      <c r="U236" s="5"/>
      <c r="V236" s="5"/>
    </row>
    <row r="237" customFormat="false" ht="15" hidden="false" customHeight="false" outlineLevel="0" collapsed="false">
      <c r="E237" s="5" t="str">
        <v>tengah</v>
      </c>
      <c r="F237" s="5"/>
      <c r="G237" s="5"/>
      <c r="J237" s="5" t="str">
        <v>tengah</v>
      </c>
      <c r="K237" s="5"/>
      <c r="L237" s="5"/>
      <c r="O237" s="5" t="str">
        <v>kiri</v>
      </c>
      <c r="P237" s="5"/>
      <c r="Q237" s="5"/>
      <c r="T237" s="5" t="str">
        <v>tengah</v>
      </c>
      <c r="U237" s="5"/>
      <c r="V237" s="5"/>
    </row>
    <row r="238" customFormat="false" ht="15" hidden="false" customHeight="false" outlineLevel="0" collapsed="false">
      <c r="E238" s="5" t="str">
        <v>kiri</v>
      </c>
      <c r="F238" s="5"/>
      <c r="G238" s="5"/>
      <c r="J238" s="5" t="str">
        <v>tengah</v>
      </c>
      <c r="K238" s="5"/>
      <c r="L238" s="5"/>
      <c r="O238" s="5" t="str">
        <v>kanan</v>
      </c>
      <c r="P238" s="5"/>
      <c r="Q238" s="5"/>
      <c r="T238" s="5" t="str">
        <v>tengah</v>
      </c>
      <c r="U238" s="5"/>
      <c r="V238" s="5"/>
    </row>
    <row r="239" customFormat="false" ht="15" hidden="false" customHeight="false" outlineLevel="0" collapsed="false">
      <c r="E239" s="5" t="str">
        <v>kiri</v>
      </c>
      <c r="F239" s="5"/>
      <c r="G239" s="5"/>
      <c r="J239" s="5" t="str">
        <v>tengah</v>
      </c>
      <c r="K239" s="5"/>
      <c r="L239" s="5"/>
      <c r="O239" s="5" t="str">
        <v>kanan</v>
      </c>
      <c r="P239" s="5"/>
      <c r="Q239" s="5"/>
      <c r="T239" s="5" t="str">
        <v>tengah</v>
      </c>
      <c r="U239" s="5"/>
      <c r="V239" s="5"/>
    </row>
    <row r="240" customFormat="false" ht="15" hidden="false" customHeight="false" outlineLevel="0" collapsed="false">
      <c r="E240" s="5" t="str">
        <v>kiri</v>
      </c>
      <c r="F240" s="5"/>
      <c r="G240" s="5"/>
      <c r="J240" s="5" t="str">
        <v>tengah</v>
      </c>
      <c r="K240" s="5"/>
      <c r="L240" s="5"/>
      <c r="O240" s="5" t="str">
        <v>tengah</v>
      </c>
      <c r="P240" s="5"/>
      <c r="Q240" s="5"/>
      <c r="T240" s="5" t="str">
        <v>tengah</v>
      </c>
      <c r="U240" s="5"/>
      <c r="V240" s="5"/>
    </row>
    <row r="241" customFormat="false" ht="15" hidden="false" customHeight="false" outlineLevel="0" collapsed="false">
      <c r="E241" s="5" t="str">
        <v>tengah</v>
      </c>
      <c r="F241" s="5"/>
      <c r="G241" s="5"/>
      <c r="J241" s="5" t="str">
        <v>tengah</v>
      </c>
      <c r="K241" s="5"/>
      <c r="L241" s="5"/>
      <c r="O241" s="5" t="str">
        <v>kiri</v>
      </c>
      <c r="P241" s="5"/>
      <c r="Q241" s="5"/>
      <c r="T241" s="5" t="str">
        <v>kanan</v>
      </c>
      <c r="U241" s="5"/>
      <c r="V241" s="5"/>
    </row>
    <row r="242" customFormat="false" ht="15" hidden="false" customHeight="false" outlineLevel="0" collapsed="false">
      <c r="E242" s="5" t="str">
        <v>tengah</v>
      </c>
      <c r="F242" s="5"/>
      <c r="G242" s="5"/>
      <c r="J242" s="5" t="str">
        <v>tengah</v>
      </c>
      <c r="K242" s="5"/>
      <c r="L242" s="5"/>
      <c r="O242" s="5" t="str">
        <v>tengah</v>
      </c>
      <c r="P242" s="5"/>
      <c r="Q242" s="5"/>
      <c r="T242" s="5" t="str">
        <v>kanan</v>
      </c>
      <c r="U242" s="5"/>
      <c r="V242" s="5"/>
    </row>
    <row r="243" customFormat="false" ht="15" hidden="false" customHeight="false" outlineLevel="0" collapsed="false">
      <c r="E243" s="5" t="str">
        <v>kiri</v>
      </c>
      <c r="F243" s="5"/>
      <c r="G243" s="5"/>
      <c r="J243" s="5" t="str">
        <v>kiri</v>
      </c>
      <c r="K243" s="5"/>
      <c r="L243" s="5"/>
      <c r="O243" s="5" t="str">
        <v>kanan</v>
      </c>
      <c r="P243" s="5"/>
      <c r="Q243" s="5"/>
      <c r="T243" s="5" t="str">
        <v>kanan</v>
      </c>
      <c r="U243" s="5"/>
      <c r="V243" s="5"/>
    </row>
    <row r="244" customFormat="false" ht="15" hidden="false" customHeight="false" outlineLevel="0" collapsed="false">
      <c r="E244" s="5" t="str">
        <v>kiri</v>
      </c>
      <c r="F244" s="5"/>
      <c r="G244" s="5"/>
      <c r="J244" s="5" t="str">
        <v>tengah</v>
      </c>
      <c r="K244" s="5"/>
      <c r="L244" s="5"/>
      <c r="O244" s="5" t="str">
        <v>kiri</v>
      </c>
      <c r="P244" s="5"/>
      <c r="Q244" s="5"/>
      <c r="T244" s="5" t="str">
        <v>kanan</v>
      </c>
      <c r="U244" s="5"/>
      <c r="V244" s="5"/>
    </row>
    <row r="245" customFormat="false" ht="15" hidden="false" customHeight="false" outlineLevel="0" collapsed="false">
      <c r="E245" s="5" t="str">
        <v>kiri</v>
      </c>
      <c r="F245" s="5"/>
      <c r="G245" s="5"/>
      <c r="J245" s="5" t="str">
        <v>kiri</v>
      </c>
      <c r="K245" s="5"/>
      <c r="L245" s="5"/>
      <c r="O245" s="5" t="str">
        <v>kanan</v>
      </c>
      <c r="P245" s="5"/>
      <c r="Q245" s="5"/>
      <c r="T245" s="5" t="str">
        <v>kanan</v>
      </c>
      <c r="U245" s="5"/>
      <c r="V245" s="5"/>
    </row>
    <row r="246" customFormat="false" ht="15" hidden="false" customHeight="false" outlineLevel="0" collapsed="false">
      <c r="E246" s="5" t="str">
        <v>tengah</v>
      </c>
      <c r="F246" s="5"/>
      <c r="G246" s="5"/>
      <c r="J246" s="5" t="str">
        <v>tengah</v>
      </c>
      <c r="K246" s="5"/>
      <c r="L246" s="5"/>
      <c r="O246" s="5" t="str">
        <v>tengah</v>
      </c>
      <c r="P246" s="5"/>
      <c r="Q246" s="5"/>
      <c r="T246" s="5" t="str">
        <v>tengah</v>
      </c>
      <c r="U246" s="5"/>
      <c r="V246" s="5"/>
    </row>
    <row r="247" customFormat="false" ht="15" hidden="false" customHeight="false" outlineLevel="0" collapsed="false">
      <c r="E247" s="5" t="str">
        <v>tengah</v>
      </c>
      <c r="F247" s="5"/>
      <c r="G247" s="5"/>
      <c r="J247" s="5" t="str">
        <v>tengah</v>
      </c>
      <c r="K247" s="5"/>
      <c r="L247" s="5"/>
      <c r="O247" s="5" t="str">
        <v>kiri</v>
      </c>
      <c r="P247" s="5"/>
      <c r="Q247" s="5"/>
      <c r="T247" s="5" t="str">
        <v>kanan</v>
      </c>
      <c r="U247" s="5"/>
      <c r="V247" s="5"/>
    </row>
    <row r="248" customFormat="false" ht="15" hidden="false" customHeight="false" outlineLevel="0" collapsed="false">
      <c r="E248" s="5" t="str">
        <v>kiri</v>
      </c>
      <c r="F248" s="5"/>
      <c r="G248" s="5"/>
      <c r="J248" s="5" t="str">
        <v>kanan</v>
      </c>
      <c r="K248" s="5"/>
      <c r="L248" s="5"/>
      <c r="O248" s="5" t="str">
        <v>kiri</v>
      </c>
      <c r="P248" s="5"/>
      <c r="Q248" s="5"/>
      <c r="T248" s="5" t="str">
        <v>kanan</v>
      </c>
      <c r="U248" s="5"/>
      <c r="V248" s="5"/>
    </row>
    <row r="249" customFormat="false" ht="15" hidden="false" customHeight="false" outlineLevel="0" collapsed="false">
      <c r="E249" s="5" t="str">
        <v>tengah</v>
      </c>
      <c r="F249" s="5"/>
      <c r="G249" s="5"/>
      <c r="J249" s="5" t="str">
        <v>kanan</v>
      </c>
      <c r="K249" s="5"/>
      <c r="L249" s="5"/>
      <c r="O249" s="5" t="str">
        <v>tengah</v>
      </c>
      <c r="P249" s="5"/>
      <c r="Q249" s="5"/>
      <c r="T249" s="5" t="str">
        <v>tengah</v>
      </c>
      <c r="U249" s="5"/>
      <c r="V249" s="5"/>
    </row>
    <row r="250" customFormat="false" ht="15" hidden="false" customHeight="false" outlineLevel="0" collapsed="false">
      <c r="E250" s="5" t="str">
        <v>tengah</v>
      </c>
      <c r="F250" s="5"/>
      <c r="G250" s="5"/>
      <c r="J250" s="5" t="str">
        <v>tengah</v>
      </c>
      <c r="K250" s="5"/>
      <c r="L250" s="5"/>
      <c r="O250" s="5" t="str">
        <v>tengah</v>
      </c>
      <c r="P250" s="5"/>
      <c r="Q250" s="5"/>
      <c r="T250" s="5" t="str">
        <v>tengah</v>
      </c>
      <c r="U250" s="5"/>
      <c r="V250" s="5"/>
    </row>
    <row r="251" customFormat="false" ht="15" hidden="false" customHeight="false" outlineLevel="0" collapsed="false">
      <c r="E251" s="5" t="str">
        <v>tengah</v>
      </c>
      <c r="F251" s="5"/>
      <c r="G251" s="5"/>
      <c r="J251" s="5" t="str">
        <v>tengah</v>
      </c>
      <c r="K251" s="5"/>
      <c r="L251" s="5"/>
      <c r="O251" s="5" t="str">
        <v>tengah</v>
      </c>
      <c r="P251" s="5"/>
      <c r="Q251" s="5"/>
      <c r="T251" s="5" t="str">
        <v>tengah</v>
      </c>
      <c r="U251" s="5"/>
      <c r="V251" s="5"/>
    </row>
    <row r="252" customFormat="false" ht="15" hidden="false" customHeight="false" outlineLevel="0" collapsed="false">
      <c r="E252" s="5" t="str">
        <v>kanan</v>
      </c>
      <c r="F252" s="5"/>
      <c r="G252" s="5"/>
      <c r="J252" s="5" t="str">
        <v>tengah</v>
      </c>
      <c r="K252" s="5"/>
      <c r="L252" s="5"/>
      <c r="O252" s="5" t="str">
        <v>tengah</v>
      </c>
      <c r="P252" s="5"/>
      <c r="Q252" s="5"/>
      <c r="T252" s="5" t="str">
        <v>tengah</v>
      </c>
      <c r="U252" s="5"/>
      <c r="V252" s="5"/>
    </row>
    <row r="253" customFormat="false" ht="15" hidden="false" customHeight="false" outlineLevel="0" collapsed="false">
      <c r="E253" s="5" t="str">
        <v>kanan</v>
      </c>
      <c r="F253" s="5"/>
      <c r="G253" s="5"/>
      <c r="J253" s="5" t="str">
        <v>kanan</v>
      </c>
      <c r="K253" s="5"/>
      <c r="L253" s="5"/>
      <c r="O253" s="5" t="str">
        <v>kiri</v>
      </c>
      <c r="P253" s="5"/>
      <c r="Q253" s="5"/>
      <c r="T253" s="5" t="str">
        <v>kanan</v>
      </c>
      <c r="U253" s="5"/>
      <c r="V253" s="5"/>
    </row>
    <row r="254" customFormat="false" ht="15" hidden="false" customHeight="false" outlineLevel="0" collapsed="false">
      <c r="E254" s="5" t="str">
        <v>tengah</v>
      </c>
      <c r="F254" s="5"/>
      <c r="G254" s="5"/>
      <c r="J254" s="5" t="str">
        <v>kiri</v>
      </c>
      <c r="K254" s="5"/>
      <c r="L254" s="5"/>
      <c r="O254" s="5" t="str">
        <v>tengah</v>
      </c>
      <c r="P254" s="5"/>
      <c r="Q254" s="5"/>
      <c r="T254" s="5" t="str">
        <v>kanan</v>
      </c>
      <c r="U254" s="5"/>
      <c r="V254" s="5"/>
    </row>
    <row r="255" customFormat="false" ht="15" hidden="false" customHeight="false" outlineLevel="0" collapsed="false">
      <c r="E255" s="5" t="str">
        <v>tengah</v>
      </c>
      <c r="F255" s="5"/>
      <c r="G255" s="5"/>
      <c r="J255" s="5" t="str">
        <v>kanan</v>
      </c>
      <c r="K255" s="5"/>
      <c r="L255" s="5"/>
      <c r="O255" s="5" t="str">
        <v>kiri</v>
      </c>
      <c r="P255" s="5"/>
      <c r="Q255" s="5"/>
      <c r="T255" s="5" t="str">
        <v>tengah</v>
      </c>
      <c r="U255" s="5"/>
      <c r="V255" s="5"/>
    </row>
    <row r="256" customFormat="false" ht="15" hidden="false" customHeight="false" outlineLevel="0" collapsed="false">
      <c r="E256" s="5" t="str">
        <v>tengah</v>
      </c>
      <c r="F256" s="5"/>
      <c r="G256" s="5"/>
      <c r="J256" s="5" t="str">
        <v>tengah</v>
      </c>
      <c r="K256" s="5"/>
      <c r="L256" s="5"/>
      <c r="O256" s="5" t="str">
        <v>kanan</v>
      </c>
      <c r="P256" s="5"/>
      <c r="Q256" s="5"/>
      <c r="T256" s="5" t="str">
        <v>kanan</v>
      </c>
      <c r="U256" s="5"/>
      <c r="V256" s="5"/>
    </row>
    <row r="257" customFormat="false" ht="15" hidden="false" customHeight="false" outlineLevel="0" collapsed="false">
      <c r="E257" s="5" t="str">
        <v>kanan</v>
      </c>
      <c r="F257" s="5"/>
      <c r="G257" s="5"/>
      <c r="J257" s="5" t="str">
        <v>tengah</v>
      </c>
      <c r="K257" s="5"/>
      <c r="L257" s="5"/>
      <c r="O257" s="5" t="str">
        <v>tengah</v>
      </c>
      <c r="P257" s="5"/>
      <c r="Q257" s="5"/>
      <c r="T257" s="5" t="str">
        <v>kanan</v>
      </c>
      <c r="U257" s="5"/>
      <c r="V257" s="5"/>
    </row>
    <row r="258" customFormat="false" ht="15" hidden="false" customHeight="false" outlineLevel="0" collapsed="false">
      <c r="E258" s="5" t="str">
        <v>kanan</v>
      </c>
      <c r="F258" s="5"/>
      <c r="G258" s="5"/>
      <c r="J258" s="5" t="str">
        <v>tengah</v>
      </c>
      <c r="K258" s="5"/>
      <c r="L258" s="5"/>
      <c r="O258" s="5" t="str">
        <v>kiri</v>
      </c>
      <c r="P258" s="5"/>
      <c r="Q258" s="5"/>
      <c r="T258" s="5" t="str">
        <v>kanan</v>
      </c>
      <c r="U258" s="5"/>
      <c r="V258" s="5"/>
    </row>
    <row r="259" customFormat="false" ht="15" hidden="false" customHeight="false" outlineLevel="0" collapsed="false">
      <c r="E259" s="5" t="str">
        <v>tengah</v>
      </c>
      <c r="F259" s="5"/>
      <c r="G259" s="5"/>
      <c r="J259" s="5" t="str">
        <v>kanan</v>
      </c>
      <c r="K259" s="5"/>
      <c r="L259" s="5"/>
      <c r="O259" s="5" t="str">
        <v>tengah</v>
      </c>
      <c r="P259" s="5"/>
      <c r="Q259" s="5"/>
      <c r="T259" s="5" t="str">
        <v>kanan</v>
      </c>
      <c r="U259" s="5"/>
      <c r="V259" s="5"/>
    </row>
    <row r="260" customFormat="false" ht="15" hidden="false" customHeight="false" outlineLevel="0" collapsed="false">
      <c r="E260" s="5" t="str">
        <v>kiri</v>
      </c>
      <c r="F260" s="5"/>
      <c r="G260" s="5"/>
      <c r="J260" s="5" t="str">
        <v>tengah</v>
      </c>
      <c r="K260" s="5"/>
      <c r="L260" s="5"/>
      <c r="O260" s="5" t="str">
        <v>kiri</v>
      </c>
      <c r="P260" s="5"/>
      <c r="Q260" s="5"/>
      <c r="T260" s="5" t="str">
        <v>tengah</v>
      </c>
      <c r="U260" s="5"/>
      <c r="V260" s="5"/>
    </row>
    <row r="261" customFormat="false" ht="15" hidden="false" customHeight="false" outlineLevel="0" collapsed="false">
      <c r="E261" s="5" t="str">
        <v>tengah</v>
      </c>
      <c r="F261" s="5"/>
      <c r="G261" s="5"/>
      <c r="J261" s="5" t="str">
        <v>tengah</v>
      </c>
      <c r="K261" s="5"/>
      <c r="L261" s="5"/>
      <c r="O261" s="5" t="str">
        <v>kiri</v>
      </c>
      <c r="P261" s="5"/>
      <c r="Q261" s="5"/>
      <c r="T261" s="5" t="str">
        <v>tengah</v>
      </c>
      <c r="U261" s="5"/>
      <c r="V261" s="5"/>
    </row>
    <row r="262" customFormat="false" ht="15" hidden="false" customHeight="false" outlineLevel="0" collapsed="false">
      <c r="E262" s="5" t="str">
        <v>tengah</v>
      </c>
      <c r="F262" s="5"/>
      <c r="G262" s="5"/>
      <c r="J262" s="5" t="str">
        <v>tengah</v>
      </c>
      <c r="K262" s="5"/>
      <c r="L262" s="5"/>
      <c r="O262" s="5" t="str">
        <v>kiri</v>
      </c>
      <c r="P262" s="5"/>
      <c r="Q262" s="5"/>
      <c r="T262" s="5" t="str">
        <v>kanan</v>
      </c>
      <c r="U262" s="5"/>
      <c r="V262" s="5"/>
    </row>
    <row r="263" customFormat="false" ht="15" hidden="false" customHeight="false" outlineLevel="0" collapsed="false">
      <c r="E263" s="5" t="str">
        <v>kanan</v>
      </c>
      <c r="F263" s="5"/>
      <c r="G263" s="5"/>
      <c r="J263" s="5" t="str">
        <v>kanan</v>
      </c>
      <c r="K263" s="5"/>
      <c r="L263" s="5"/>
      <c r="O263" s="5" t="str">
        <v>kanan</v>
      </c>
      <c r="P263" s="5"/>
      <c r="Q263" s="5"/>
      <c r="T263" s="5" t="str">
        <v>kanan</v>
      </c>
      <c r="U263" s="5"/>
      <c r="V263" s="5"/>
    </row>
    <row r="264" customFormat="false" ht="15" hidden="false" customHeight="false" outlineLevel="0" collapsed="false">
      <c r="E264" s="5" t="str">
        <v>tengah</v>
      </c>
      <c r="F264" s="5"/>
      <c r="G264" s="5"/>
      <c r="J264" s="5" t="str">
        <v>tengah</v>
      </c>
      <c r="K264" s="5"/>
      <c r="L264" s="5"/>
      <c r="O264" s="5" t="str">
        <v>kiri</v>
      </c>
      <c r="P264" s="5"/>
      <c r="Q264" s="5"/>
      <c r="T264" s="5" t="str">
        <v>tengah</v>
      </c>
      <c r="U264" s="5"/>
      <c r="V264" s="5"/>
    </row>
    <row r="265" customFormat="false" ht="15" hidden="false" customHeight="false" outlineLevel="0" collapsed="false">
      <c r="E265" s="5" t="str">
        <v>tengah</v>
      </c>
      <c r="F265" s="5"/>
      <c r="G265" s="5"/>
      <c r="J265" s="5" t="str">
        <v>tengah</v>
      </c>
      <c r="K265" s="5"/>
      <c r="L265" s="5"/>
      <c r="O265" s="5" t="str">
        <v>kanan</v>
      </c>
      <c r="P265" s="5"/>
      <c r="Q265" s="5"/>
      <c r="T265" s="5" t="str">
        <v>kanan</v>
      </c>
      <c r="U265" s="5"/>
      <c r="V265" s="5"/>
    </row>
    <row r="266" customFormat="false" ht="15" hidden="false" customHeight="false" outlineLevel="0" collapsed="false">
      <c r="E266" s="5" t="str">
        <v>tengah</v>
      </c>
      <c r="F266" s="5"/>
      <c r="G266" s="5"/>
      <c r="J266" s="5" t="str">
        <v>tengah</v>
      </c>
      <c r="K266" s="5"/>
      <c r="L266" s="5"/>
      <c r="O266" s="5" t="str">
        <v>kanan</v>
      </c>
      <c r="P266" s="5"/>
      <c r="Q266" s="5"/>
      <c r="T266" s="5" t="str">
        <v>tengah</v>
      </c>
      <c r="U266" s="5"/>
      <c r="V266" s="5"/>
    </row>
    <row r="267" customFormat="false" ht="15" hidden="false" customHeight="false" outlineLevel="0" collapsed="false">
      <c r="E267" s="5" t="str">
        <v>kiri</v>
      </c>
      <c r="F267" s="5"/>
      <c r="G267" s="5"/>
      <c r="J267" s="5" t="str">
        <v>kanan</v>
      </c>
      <c r="K267" s="5"/>
      <c r="L267" s="5"/>
      <c r="O267" s="5" t="str">
        <v>kiri</v>
      </c>
      <c r="P267" s="5"/>
      <c r="Q267" s="5"/>
      <c r="T267" s="5" t="str">
        <v>kanan</v>
      </c>
      <c r="U267" s="5"/>
      <c r="V267" s="5"/>
    </row>
    <row r="268" customFormat="false" ht="15" hidden="false" customHeight="false" outlineLevel="0" collapsed="false">
      <c r="E268" s="5" t="str">
        <v>kiri</v>
      </c>
      <c r="F268" s="5"/>
      <c r="G268" s="5"/>
      <c r="J268" s="5" t="str">
        <v>kiri</v>
      </c>
      <c r="K268" s="5"/>
      <c r="L268" s="5"/>
      <c r="O268" s="5" t="str">
        <v>kiri</v>
      </c>
      <c r="P268" s="5"/>
      <c r="Q268" s="5"/>
      <c r="T268" s="5" t="str">
        <v>tengah</v>
      </c>
      <c r="U268" s="5"/>
      <c r="V268" s="5"/>
    </row>
    <row r="269" customFormat="false" ht="15" hidden="false" customHeight="false" outlineLevel="0" collapsed="false">
      <c r="E269" s="5" t="str">
        <v>tengah</v>
      </c>
      <c r="F269" s="5"/>
      <c r="G269" s="5"/>
      <c r="J269" s="5" t="str">
        <v>tengah</v>
      </c>
      <c r="K269" s="5"/>
      <c r="L269" s="5"/>
      <c r="O269" s="5" t="str">
        <v>kiri</v>
      </c>
      <c r="P269" s="5"/>
      <c r="Q269" s="5"/>
      <c r="T269" s="5" t="str">
        <v>kanan</v>
      </c>
      <c r="U269" s="5"/>
      <c r="V269" s="5"/>
    </row>
    <row r="270" customFormat="false" ht="15" hidden="false" customHeight="false" outlineLevel="0" collapsed="false">
      <c r="E270" s="5" t="str">
        <v>kiri</v>
      </c>
      <c r="F270" s="5"/>
      <c r="G270" s="5"/>
      <c r="J270" s="5" t="str">
        <v>kiri</v>
      </c>
      <c r="K270" s="5"/>
      <c r="L270" s="5"/>
      <c r="O270" s="5" t="str">
        <v>kanan</v>
      </c>
      <c r="P270" s="5"/>
      <c r="Q270" s="5"/>
      <c r="T270" s="5" t="str">
        <v>tengah</v>
      </c>
      <c r="U270" s="5"/>
      <c r="V270" s="5"/>
    </row>
    <row r="271" customFormat="false" ht="15" hidden="false" customHeight="false" outlineLevel="0" collapsed="false">
      <c r="E271" s="5" t="str">
        <v>tengah</v>
      </c>
      <c r="F271" s="5"/>
      <c r="G271" s="5"/>
      <c r="J271" s="5" t="str">
        <v>tengah</v>
      </c>
      <c r="K271" s="5"/>
      <c r="L271" s="5"/>
      <c r="O271" s="5" t="str">
        <v>kiri</v>
      </c>
      <c r="P271" s="5"/>
      <c r="Q271" s="5"/>
      <c r="T271" s="5" t="str">
        <v>kanan</v>
      </c>
      <c r="U271" s="5"/>
      <c r="V271" s="5"/>
    </row>
    <row r="272" customFormat="false" ht="15" hidden="false" customHeight="false" outlineLevel="0" collapsed="false">
      <c r="E272" s="5" t="str">
        <v>tengah</v>
      </c>
      <c r="F272" s="5"/>
      <c r="G272" s="5"/>
      <c r="J272" s="5" t="str">
        <v>tengah</v>
      </c>
      <c r="K272" s="5"/>
      <c r="L272" s="5"/>
      <c r="O272" s="5" t="str">
        <v>tengah</v>
      </c>
      <c r="P272" s="5"/>
      <c r="Q272" s="5"/>
      <c r="T272" s="5" t="str">
        <v>kanan</v>
      </c>
      <c r="U272" s="5"/>
      <c r="V272" s="5"/>
    </row>
    <row r="273" customFormat="false" ht="15" hidden="false" customHeight="false" outlineLevel="0" collapsed="false">
      <c r="E273" s="5" t="str">
        <v>tengah</v>
      </c>
      <c r="F273" s="5"/>
      <c r="G273" s="5"/>
      <c r="J273" s="5" t="str">
        <v>tengah</v>
      </c>
      <c r="K273" s="5"/>
      <c r="L273" s="5"/>
      <c r="O273" s="5" t="str">
        <v>kiri</v>
      </c>
      <c r="P273" s="5"/>
      <c r="Q273" s="5"/>
      <c r="T273" s="5" t="str">
        <v>kanan</v>
      </c>
      <c r="U273" s="5"/>
      <c r="V273" s="5"/>
    </row>
    <row r="274" customFormat="false" ht="15" hidden="false" customHeight="false" outlineLevel="0" collapsed="false">
      <c r="E274" s="5" t="str">
        <v>tengah</v>
      </c>
      <c r="F274" s="5"/>
      <c r="G274" s="5"/>
      <c r="J274" s="5" t="str">
        <v>kanan</v>
      </c>
      <c r="K274" s="5"/>
      <c r="L274" s="5"/>
      <c r="O274" s="5" t="str">
        <v>kiri</v>
      </c>
      <c r="P274" s="5"/>
      <c r="Q274" s="5"/>
      <c r="T274" s="5" t="str">
        <v>kanan</v>
      </c>
      <c r="U274" s="5"/>
      <c r="V274" s="5"/>
    </row>
    <row r="275" customFormat="false" ht="15" hidden="false" customHeight="false" outlineLevel="0" collapsed="false">
      <c r="E275" s="5" t="str">
        <v>tengah</v>
      </c>
      <c r="F275" s="5"/>
      <c r="G275" s="5"/>
      <c r="J275" s="5" t="str">
        <v>tengah</v>
      </c>
      <c r="K275" s="5"/>
      <c r="L275" s="5"/>
      <c r="O275" s="5" t="str">
        <v>kiri</v>
      </c>
      <c r="P275" s="5"/>
      <c r="Q275" s="5"/>
      <c r="T275" s="5" t="str">
        <v>tengah</v>
      </c>
      <c r="U275" s="5"/>
      <c r="V275" s="5"/>
    </row>
    <row r="276" customFormat="false" ht="15" hidden="false" customHeight="false" outlineLevel="0" collapsed="false">
      <c r="E276" s="5" t="str">
        <v>tengah</v>
      </c>
      <c r="F276" s="5"/>
      <c r="G276" s="5"/>
      <c r="J276" s="5" t="str">
        <v>tengah</v>
      </c>
      <c r="K276" s="5"/>
      <c r="L276" s="5"/>
      <c r="O276" s="5" t="str">
        <v>kanan</v>
      </c>
      <c r="P276" s="5"/>
      <c r="Q276" s="5"/>
      <c r="T276" s="5" t="str">
        <v>kanan</v>
      </c>
      <c r="U276" s="5"/>
      <c r="V276" s="5"/>
    </row>
    <row r="277" customFormat="false" ht="15" hidden="false" customHeight="false" outlineLevel="0" collapsed="false">
      <c r="E277" s="5" t="str">
        <v>tengah</v>
      </c>
      <c r="F277" s="5"/>
      <c r="G277" s="5"/>
      <c r="J277" s="5" t="str">
        <v>kanan</v>
      </c>
      <c r="K277" s="5"/>
      <c r="L277" s="5"/>
      <c r="O277" s="5" t="str">
        <v>tengah</v>
      </c>
      <c r="P277" s="5"/>
      <c r="Q277" s="5"/>
      <c r="T277" s="5" t="str">
        <v>tengah</v>
      </c>
      <c r="U277" s="5"/>
      <c r="V277" s="5"/>
    </row>
    <row r="278" customFormat="false" ht="15" hidden="false" customHeight="false" outlineLevel="0" collapsed="false">
      <c r="E278" s="5" t="str">
        <v>kanan</v>
      </c>
      <c r="F278" s="5"/>
      <c r="G278" s="5"/>
      <c r="J278" s="5" t="str">
        <v>kiri</v>
      </c>
      <c r="K278" s="5"/>
      <c r="L278" s="5"/>
      <c r="O278" s="5" t="str">
        <v>kiri</v>
      </c>
      <c r="P278" s="5"/>
      <c r="Q278" s="5"/>
      <c r="T278" s="5" t="str">
        <v>tengah</v>
      </c>
      <c r="U278" s="5"/>
      <c r="V278" s="5"/>
    </row>
    <row r="279" customFormat="false" ht="15" hidden="false" customHeight="false" outlineLevel="0" collapsed="false">
      <c r="E279" s="5" t="str">
        <v>tengah</v>
      </c>
      <c r="F279" s="5"/>
      <c r="G279" s="5"/>
      <c r="J279" s="5" t="str">
        <v>tengah</v>
      </c>
      <c r="K279" s="5"/>
      <c r="L279" s="5"/>
      <c r="O279" s="5" t="str">
        <v>kiri</v>
      </c>
      <c r="P279" s="5"/>
      <c r="Q279" s="5"/>
      <c r="T279" s="5" t="str">
        <v>kanan</v>
      </c>
      <c r="U279" s="5"/>
      <c r="V279" s="5"/>
    </row>
    <row r="280" customFormat="false" ht="15" hidden="false" customHeight="false" outlineLevel="0" collapsed="false">
      <c r="E280" s="5" t="str">
        <v>kanan</v>
      </c>
      <c r="F280" s="5"/>
      <c r="G280" s="5"/>
      <c r="J280" s="5" t="str">
        <v>tengah</v>
      </c>
      <c r="K280" s="5"/>
      <c r="L280" s="5"/>
      <c r="O280" s="5" t="str">
        <v>tengah</v>
      </c>
      <c r="P280" s="5"/>
      <c r="Q280" s="5"/>
      <c r="T280" s="5" t="str">
        <v>tengah</v>
      </c>
      <c r="U280" s="5"/>
      <c r="V280" s="5"/>
    </row>
    <row r="281" customFormat="false" ht="15" hidden="false" customHeight="false" outlineLevel="0" collapsed="false">
      <c r="E281" s="5" t="str">
        <v>tengah</v>
      </c>
      <c r="F281" s="5"/>
      <c r="G281" s="5"/>
      <c r="J281" s="5" t="str">
        <v>tengah</v>
      </c>
      <c r="K281" s="5"/>
      <c r="L281" s="5"/>
      <c r="O281" s="5" t="str">
        <v>kiri</v>
      </c>
      <c r="P281" s="5"/>
      <c r="Q281" s="5"/>
      <c r="T281" s="5" t="str">
        <v>tengah</v>
      </c>
      <c r="U281" s="5"/>
      <c r="V281" s="5"/>
    </row>
    <row r="282" customFormat="false" ht="15" hidden="false" customHeight="false" outlineLevel="0" collapsed="false">
      <c r="E282" s="5" t="str">
        <v>kiri</v>
      </c>
      <c r="F282" s="5"/>
      <c r="G282" s="5"/>
      <c r="J282" s="5" t="str">
        <v>kiri</v>
      </c>
      <c r="K282" s="5"/>
      <c r="L282" s="5"/>
      <c r="O282" s="5" t="str">
        <v>kanan</v>
      </c>
      <c r="P282" s="5"/>
      <c r="Q282" s="5"/>
      <c r="T282" s="5" t="str">
        <v>kanan</v>
      </c>
      <c r="U282" s="5"/>
      <c r="V282" s="5"/>
    </row>
    <row r="283" customFormat="false" ht="15" hidden="false" customHeight="false" outlineLevel="0" collapsed="false">
      <c r="E283" s="5" t="str">
        <v>tengah</v>
      </c>
      <c r="F283" s="5"/>
      <c r="G283" s="5"/>
      <c r="J283" s="5" t="str">
        <v>tengah</v>
      </c>
      <c r="K283" s="5"/>
      <c r="L283" s="5"/>
      <c r="O283" s="5" t="str">
        <v>kiri</v>
      </c>
      <c r="P283" s="5"/>
      <c r="Q283" s="5"/>
      <c r="T283" s="5" t="str">
        <v>kanan</v>
      </c>
      <c r="U283" s="5"/>
      <c r="V283" s="5"/>
    </row>
    <row r="284" customFormat="false" ht="15" hidden="false" customHeight="false" outlineLevel="0" collapsed="false">
      <c r="E284" s="5" t="str">
        <v>tengah</v>
      </c>
      <c r="F284" s="5"/>
      <c r="G284" s="5"/>
      <c r="J284" s="5" t="str">
        <v>tengah</v>
      </c>
      <c r="K284" s="5"/>
      <c r="L284" s="5"/>
      <c r="O284" s="5" t="str">
        <v>kanan</v>
      </c>
      <c r="P284" s="5"/>
      <c r="Q284" s="5"/>
      <c r="T284" s="5" t="str">
        <v>kanan</v>
      </c>
      <c r="U284" s="5"/>
      <c r="V284" s="5"/>
    </row>
    <row r="285" customFormat="false" ht="15" hidden="false" customHeight="false" outlineLevel="0" collapsed="false">
      <c r="E285" s="5" t="str">
        <v>kiri</v>
      </c>
      <c r="F285" s="5"/>
      <c r="G285" s="5"/>
      <c r="J285" s="5" t="str">
        <v>kanan</v>
      </c>
      <c r="K285" s="5"/>
      <c r="L285" s="5"/>
      <c r="O285" s="5" t="str">
        <v>tengah</v>
      </c>
      <c r="P285" s="5"/>
      <c r="Q285" s="5"/>
      <c r="T285" s="5" t="str">
        <v>kanan</v>
      </c>
      <c r="U285" s="5"/>
      <c r="V285" s="5"/>
    </row>
    <row r="286" customFormat="false" ht="15" hidden="false" customHeight="false" outlineLevel="0" collapsed="false">
      <c r="E286" s="5" t="str">
        <v>tengah</v>
      </c>
      <c r="F286" s="5"/>
      <c r="G286" s="5"/>
      <c r="J286" s="5" t="str">
        <v>tengah</v>
      </c>
      <c r="K286" s="5"/>
      <c r="L286" s="5"/>
      <c r="O286" s="5" t="str">
        <v>tengah</v>
      </c>
      <c r="P286" s="5"/>
      <c r="Q286" s="5"/>
      <c r="T286" s="5" t="str">
        <v>kanan</v>
      </c>
      <c r="U286" s="5"/>
      <c r="V286" s="5"/>
    </row>
    <row r="287" customFormat="false" ht="15" hidden="false" customHeight="false" outlineLevel="0" collapsed="false">
      <c r="E287" s="5" t="str">
        <v>tengah</v>
      </c>
      <c r="F287" s="5"/>
      <c r="G287" s="5"/>
      <c r="J287" s="5" t="str">
        <v>tengah</v>
      </c>
      <c r="K287" s="5"/>
      <c r="L287" s="5"/>
      <c r="O287" s="5" t="str">
        <v>kanan</v>
      </c>
      <c r="P287" s="5"/>
      <c r="Q287" s="5"/>
      <c r="T287" s="5" t="str">
        <v>kanan</v>
      </c>
      <c r="U287" s="5"/>
      <c r="V287" s="5"/>
    </row>
    <row r="288" customFormat="false" ht="15" hidden="false" customHeight="false" outlineLevel="0" collapsed="false">
      <c r="E288" s="5" t="str">
        <v>kanan</v>
      </c>
      <c r="F288" s="5"/>
      <c r="G288" s="5"/>
      <c r="J288" s="5" t="str">
        <v>tengah</v>
      </c>
      <c r="K288" s="5"/>
      <c r="L288" s="5"/>
      <c r="O288" s="5" t="str">
        <v>tengah</v>
      </c>
      <c r="P288" s="5"/>
      <c r="Q288" s="5"/>
      <c r="T288" s="5" t="str">
        <v>tengah</v>
      </c>
      <c r="U288" s="5"/>
      <c r="V288" s="5"/>
    </row>
    <row r="289" customFormat="false" ht="15" hidden="false" customHeight="false" outlineLevel="0" collapsed="false">
      <c r="E289" s="5" t="str">
        <v>kiri</v>
      </c>
      <c r="F289" s="5"/>
      <c r="G289" s="5"/>
      <c r="J289" s="5" t="str">
        <v>tengah</v>
      </c>
      <c r="K289" s="5"/>
      <c r="L289" s="5"/>
      <c r="O289" s="5" t="str">
        <v>kiri</v>
      </c>
      <c r="P289" s="5"/>
      <c r="Q289" s="5"/>
      <c r="T289" s="5" t="str">
        <v>tengah</v>
      </c>
      <c r="U289" s="5"/>
      <c r="V289" s="5"/>
    </row>
    <row r="290" customFormat="false" ht="15" hidden="false" customHeight="false" outlineLevel="0" collapsed="false">
      <c r="E290" s="5" t="str">
        <v>tengah</v>
      </c>
      <c r="F290" s="5"/>
      <c r="G290" s="5"/>
      <c r="J290" s="5" t="str">
        <v>tengah</v>
      </c>
      <c r="K290" s="5"/>
      <c r="L290" s="5"/>
      <c r="O290" s="5" t="str">
        <v>tengah</v>
      </c>
      <c r="P290" s="5"/>
      <c r="Q290" s="5"/>
      <c r="T290" s="5" t="str">
        <v>kanan</v>
      </c>
      <c r="U290" s="5"/>
      <c r="V290" s="5"/>
    </row>
    <row r="291" customFormat="false" ht="15" hidden="false" customHeight="false" outlineLevel="0" collapsed="false">
      <c r="E291" s="5" t="str">
        <v>tengah</v>
      </c>
      <c r="F291" s="5"/>
      <c r="G291" s="5"/>
      <c r="J291" s="5" t="str">
        <v>tengah</v>
      </c>
      <c r="K291" s="5"/>
      <c r="L291" s="5"/>
      <c r="O291" s="5" t="str">
        <v>kiri</v>
      </c>
      <c r="P291" s="5"/>
      <c r="Q291" s="5"/>
      <c r="T291" s="5" t="str">
        <v>tengah</v>
      </c>
      <c r="U291" s="5"/>
      <c r="V291" s="5"/>
    </row>
    <row r="292" customFormat="false" ht="15" hidden="false" customHeight="false" outlineLevel="0" collapsed="false">
      <c r="E292" s="5" t="str">
        <v>tengah</v>
      </c>
      <c r="F292" s="5"/>
      <c r="G292" s="5"/>
      <c r="J292" s="5" t="str">
        <v>tengah</v>
      </c>
      <c r="K292" s="5"/>
      <c r="L292" s="5"/>
      <c r="O292" s="5" t="str">
        <v>kiri</v>
      </c>
      <c r="P292" s="5"/>
      <c r="Q292" s="5"/>
      <c r="T292" s="5" t="str">
        <v>tengah</v>
      </c>
      <c r="U292" s="5"/>
      <c r="V292" s="5"/>
    </row>
    <row r="293" customFormat="false" ht="15" hidden="false" customHeight="false" outlineLevel="0" collapsed="false">
      <c r="E293" s="5" t="str">
        <v>kanan</v>
      </c>
      <c r="F293" s="5"/>
      <c r="G293" s="5"/>
      <c r="J293" s="5" t="str">
        <v>tengah</v>
      </c>
      <c r="K293" s="5"/>
      <c r="L293" s="5"/>
      <c r="O293" s="5" t="str">
        <v>kanan</v>
      </c>
      <c r="P293" s="5"/>
      <c r="Q293" s="5"/>
      <c r="T293" s="5" t="str">
        <v>kanan</v>
      </c>
      <c r="U293" s="5"/>
      <c r="V293" s="5"/>
    </row>
    <row r="294" customFormat="false" ht="15" hidden="false" customHeight="false" outlineLevel="0" collapsed="false">
      <c r="E294" s="5" t="str">
        <v>tengah</v>
      </c>
      <c r="F294" s="5"/>
      <c r="G294" s="5"/>
      <c r="J294" s="5" t="str">
        <v>tengah</v>
      </c>
      <c r="K294" s="5"/>
      <c r="L294" s="5"/>
      <c r="O294" s="5" t="str">
        <v>kiri</v>
      </c>
      <c r="P294" s="5"/>
      <c r="Q294" s="5"/>
      <c r="T294" s="5" t="str">
        <v>tengah</v>
      </c>
      <c r="U294" s="5"/>
      <c r="V294" s="5"/>
    </row>
    <row r="295" customFormat="false" ht="15" hidden="false" customHeight="false" outlineLevel="0" collapsed="false">
      <c r="E295" s="5" t="str">
        <v>kanan</v>
      </c>
      <c r="F295" s="5"/>
      <c r="G295" s="5"/>
      <c r="J295" s="5" t="str">
        <v>tengah</v>
      </c>
      <c r="K295" s="5"/>
      <c r="L295" s="5"/>
      <c r="O295" s="5" t="str">
        <v>kiri</v>
      </c>
      <c r="P295" s="5"/>
      <c r="Q295" s="5"/>
      <c r="T295" s="5" t="str">
        <v>tengah</v>
      </c>
      <c r="U295" s="5"/>
      <c r="V295" s="5"/>
    </row>
    <row r="296" customFormat="false" ht="15" hidden="false" customHeight="false" outlineLevel="0" collapsed="false">
      <c r="E296" s="5" t="str">
        <v>tengah</v>
      </c>
      <c r="F296" s="5"/>
      <c r="G296" s="5"/>
      <c r="J296" s="5" t="str">
        <v>tengah</v>
      </c>
      <c r="K296" s="5"/>
      <c r="L296" s="5"/>
      <c r="O296" s="5" t="str">
        <v>tengah</v>
      </c>
      <c r="P296" s="5"/>
      <c r="Q296" s="5"/>
      <c r="T296" s="5" t="str">
        <v>kanan</v>
      </c>
      <c r="U296" s="5"/>
      <c r="V296" s="5"/>
    </row>
    <row r="297" customFormat="false" ht="15" hidden="false" customHeight="false" outlineLevel="0" collapsed="false">
      <c r="E297" s="5" t="str">
        <v>tengah</v>
      </c>
      <c r="F297" s="5"/>
      <c r="G297" s="5"/>
      <c r="J297" s="5" t="str">
        <v>kiri</v>
      </c>
      <c r="K297" s="5"/>
      <c r="L297" s="5"/>
      <c r="O297" s="5" t="str">
        <v>kanan</v>
      </c>
      <c r="P297" s="5"/>
      <c r="Q297" s="5"/>
      <c r="T297" s="5" t="str">
        <v>kanan</v>
      </c>
      <c r="U297" s="5"/>
      <c r="V297" s="5"/>
    </row>
    <row r="298" customFormat="false" ht="15" hidden="false" customHeight="false" outlineLevel="0" collapsed="false">
      <c r="E298" s="5" t="str">
        <v>kiri</v>
      </c>
      <c r="F298" s="5"/>
      <c r="G298" s="5"/>
      <c r="J298" s="5" t="str">
        <v>kiri</v>
      </c>
      <c r="K298" s="5"/>
      <c r="L298" s="5"/>
      <c r="O298" s="5" t="str">
        <v>tengah</v>
      </c>
      <c r="P298" s="5"/>
      <c r="Q298" s="5"/>
      <c r="T298" s="5" t="str">
        <v>kanan</v>
      </c>
      <c r="U298" s="5"/>
      <c r="V298" s="5"/>
    </row>
    <row r="299" customFormat="false" ht="15" hidden="false" customHeight="false" outlineLevel="0" collapsed="false">
      <c r="E299" s="5" t="str">
        <v>tengah</v>
      </c>
      <c r="F299" s="5"/>
      <c r="G299" s="5"/>
      <c r="J299" s="5" t="str">
        <v>tengah</v>
      </c>
      <c r="K299" s="5"/>
      <c r="L299" s="5"/>
      <c r="O299" s="5" t="str">
        <v>kanan</v>
      </c>
      <c r="P299" s="5"/>
      <c r="Q299" s="5"/>
      <c r="T299" s="5" t="str">
        <v>kanan</v>
      </c>
      <c r="U299" s="5"/>
      <c r="V299" s="5"/>
    </row>
    <row r="300" customFormat="false" ht="15" hidden="false" customHeight="false" outlineLevel="0" collapsed="false">
      <c r="E300" s="5" t="str">
        <v>kiri</v>
      </c>
      <c r="F300" s="5"/>
      <c r="G300" s="5"/>
      <c r="J300" s="5" t="str">
        <v>tengah</v>
      </c>
      <c r="K300" s="5"/>
      <c r="L300" s="5"/>
      <c r="O300" s="5" t="str">
        <v>tengah</v>
      </c>
      <c r="P300" s="5"/>
      <c r="Q300" s="5"/>
      <c r="T300" s="5" t="str">
        <v>tengah</v>
      </c>
      <c r="U300" s="5"/>
      <c r="V300" s="5"/>
    </row>
    <row r="301" customFormat="false" ht="15" hidden="false" customHeight="false" outlineLevel="0" collapsed="false">
      <c r="E301" s="5" t="str">
        <v>kiri</v>
      </c>
      <c r="F301" s="5"/>
      <c r="G301" s="5"/>
      <c r="J301" s="5" t="str">
        <v>tengah</v>
      </c>
      <c r="K301" s="5"/>
      <c r="L301" s="5"/>
      <c r="O301" s="5" t="str">
        <v>tengah</v>
      </c>
      <c r="P301" s="5"/>
      <c r="Q301" s="5"/>
      <c r="T301" s="5" t="str">
        <v>tengah</v>
      </c>
      <c r="U301" s="5"/>
      <c r="V301" s="5"/>
    </row>
    <row r="302" customFormat="false" ht="15" hidden="false" customHeight="false" outlineLevel="0" collapsed="false">
      <c r="E302" s="5" t="str">
        <v>tengah</v>
      </c>
      <c r="F302" s="5"/>
      <c r="G302" s="5"/>
      <c r="J302" s="5" t="str">
        <v>tengah</v>
      </c>
      <c r="K302" s="5"/>
      <c r="L302" s="5"/>
      <c r="O302" s="5" t="str">
        <v>tengah</v>
      </c>
      <c r="P302" s="5"/>
      <c r="Q302" s="5"/>
      <c r="T302" s="5" t="str">
        <v>kanan</v>
      </c>
      <c r="U302" s="5"/>
      <c r="V302" s="5"/>
    </row>
    <row r="303" customFormat="false" ht="15" hidden="false" customHeight="false" outlineLevel="0" collapsed="false">
      <c r="E303" s="5" t="str">
        <v>tengah</v>
      </c>
      <c r="F303" s="5"/>
      <c r="G303" s="5"/>
      <c r="J303" s="5" t="str">
        <v>tengah</v>
      </c>
      <c r="K303" s="5"/>
      <c r="L303" s="5"/>
      <c r="O303" s="5" t="str">
        <v>kiri</v>
      </c>
      <c r="P303" s="5"/>
      <c r="Q303" s="5"/>
      <c r="T303" s="5" t="str">
        <v>tengah</v>
      </c>
      <c r="U303" s="5"/>
      <c r="V303" s="5"/>
    </row>
    <row r="304" customFormat="false" ht="15" hidden="false" customHeight="false" outlineLevel="0" collapsed="false">
      <c r="E304" s="5" t="str">
        <v>kanan</v>
      </c>
      <c r="F304" s="5"/>
      <c r="G304" s="5"/>
      <c r="J304" s="5" t="str">
        <v>tengah</v>
      </c>
      <c r="K304" s="5"/>
      <c r="L304" s="5"/>
      <c r="O304" s="5" t="str">
        <v>tengah</v>
      </c>
      <c r="P304" s="5"/>
      <c r="Q304" s="5"/>
      <c r="T304" s="5" t="str">
        <v>kanan</v>
      </c>
      <c r="U304" s="5"/>
      <c r="V304" s="5"/>
    </row>
    <row r="305" customFormat="false" ht="15" hidden="false" customHeight="false" outlineLevel="0" collapsed="false">
      <c r="E305" s="5" t="str">
        <v>kanan</v>
      </c>
      <c r="F305" s="5"/>
      <c r="G305" s="5"/>
      <c r="J305" s="5" t="str">
        <v>tengah</v>
      </c>
      <c r="K305" s="5"/>
      <c r="L305" s="5"/>
      <c r="O305" s="5" t="str">
        <v>kanan</v>
      </c>
      <c r="P305" s="5"/>
      <c r="Q305" s="5"/>
      <c r="T305" s="5" t="str">
        <v>kanan</v>
      </c>
      <c r="U305" s="5"/>
      <c r="V305" s="5"/>
    </row>
    <row r="306" customFormat="false" ht="15" hidden="false" customHeight="false" outlineLevel="0" collapsed="false">
      <c r="E306" s="5" t="str">
        <v>tengah</v>
      </c>
      <c r="F306" s="5"/>
      <c r="G306" s="5"/>
      <c r="J306" s="5" t="str">
        <v>tengah</v>
      </c>
      <c r="K306" s="5"/>
      <c r="L306" s="5"/>
      <c r="O306" s="5" t="str">
        <v>tengah</v>
      </c>
      <c r="P306" s="5"/>
      <c r="Q306" s="5"/>
      <c r="T306" s="5" t="str">
        <v>kanan</v>
      </c>
      <c r="U306" s="5"/>
      <c r="V306" s="5"/>
    </row>
    <row r="307" customFormat="false" ht="15" hidden="false" customHeight="false" outlineLevel="0" collapsed="false">
      <c r="E307" s="5" t="str">
        <v>tengah</v>
      </c>
      <c r="F307" s="5"/>
      <c r="G307" s="5"/>
      <c r="J307" s="5" t="str">
        <v>tengah</v>
      </c>
      <c r="K307" s="5"/>
      <c r="L307" s="5"/>
      <c r="O307" s="5" t="str">
        <v>tengah</v>
      </c>
      <c r="P307" s="5"/>
      <c r="Q307" s="5"/>
      <c r="T307" s="5" t="str">
        <v>tengah</v>
      </c>
      <c r="U307" s="5"/>
      <c r="V307" s="5"/>
    </row>
    <row r="308" customFormat="false" ht="15" hidden="false" customHeight="false" outlineLevel="0" collapsed="false">
      <c r="E308" s="5" t="str">
        <v>kiri</v>
      </c>
      <c r="F308" s="5"/>
      <c r="G308" s="5"/>
      <c r="J308" s="5" t="str">
        <v>tengah</v>
      </c>
      <c r="K308" s="5"/>
      <c r="L308" s="5"/>
      <c r="O308" s="5" t="str">
        <v>kiri</v>
      </c>
      <c r="P308" s="5"/>
      <c r="Q308" s="5"/>
      <c r="T308" s="5" t="str">
        <v>tengah</v>
      </c>
      <c r="U308" s="5"/>
      <c r="V308" s="5"/>
    </row>
    <row r="309" customFormat="false" ht="15" hidden="false" customHeight="false" outlineLevel="0" collapsed="false">
      <c r="E309" s="5" t="str">
        <v>kiri</v>
      </c>
      <c r="F309" s="5"/>
      <c r="G309" s="5"/>
      <c r="J309" s="5" t="str">
        <v>kiri</v>
      </c>
      <c r="K309" s="5"/>
      <c r="L309" s="5"/>
      <c r="O309" s="5" t="str">
        <v>kiri</v>
      </c>
      <c r="P309" s="5"/>
      <c r="Q309" s="5"/>
      <c r="T309" s="5" t="str">
        <v>kanan</v>
      </c>
      <c r="U309" s="5"/>
      <c r="V309" s="5"/>
    </row>
    <row r="310" customFormat="false" ht="15" hidden="false" customHeight="false" outlineLevel="0" collapsed="false">
      <c r="E310" s="5" t="str">
        <v>tengah</v>
      </c>
      <c r="F310" s="5"/>
      <c r="G310" s="5"/>
      <c r="J310" s="5" t="str">
        <v>kiri</v>
      </c>
      <c r="K310" s="5"/>
      <c r="L310" s="5"/>
      <c r="O310" s="5" t="str">
        <v>kiri</v>
      </c>
      <c r="P310" s="5"/>
      <c r="Q310" s="5"/>
      <c r="T310" s="5" t="str">
        <v>kanan</v>
      </c>
      <c r="U310" s="5"/>
      <c r="V310" s="5"/>
    </row>
    <row r="311" customFormat="false" ht="15" hidden="false" customHeight="false" outlineLevel="0" collapsed="false">
      <c r="E311" s="5" t="str">
        <v>tengah</v>
      </c>
      <c r="F311" s="5"/>
      <c r="G311" s="5"/>
      <c r="J311" s="5" t="str">
        <v>tengah</v>
      </c>
      <c r="K311" s="5"/>
      <c r="L311" s="5"/>
      <c r="O311" s="5" t="str">
        <v>kiri</v>
      </c>
      <c r="P311" s="5"/>
      <c r="Q311" s="5"/>
      <c r="T311" s="5" t="str">
        <v>kanan</v>
      </c>
      <c r="U311" s="5"/>
      <c r="V311" s="5"/>
    </row>
    <row r="312" customFormat="false" ht="15" hidden="false" customHeight="false" outlineLevel="0" collapsed="false">
      <c r="E312" s="5" t="str">
        <v>tengah</v>
      </c>
      <c r="F312" s="5"/>
      <c r="G312" s="5"/>
      <c r="J312" s="5" t="str">
        <v>kanan</v>
      </c>
      <c r="K312" s="5"/>
      <c r="L312" s="5"/>
      <c r="O312" s="5" t="str">
        <v>tengah</v>
      </c>
      <c r="P312" s="5"/>
      <c r="Q312" s="5"/>
      <c r="T312" s="5" t="str">
        <v>tengah</v>
      </c>
      <c r="U312" s="5"/>
      <c r="V312" s="5"/>
    </row>
    <row r="313" customFormat="false" ht="15" hidden="false" customHeight="false" outlineLevel="0" collapsed="false">
      <c r="E313" s="5" t="str">
        <v>kanan</v>
      </c>
      <c r="F313" s="5"/>
      <c r="G313" s="5"/>
      <c r="J313" s="5" t="str">
        <v>tengah</v>
      </c>
      <c r="K313" s="5"/>
      <c r="L313" s="5"/>
      <c r="O313" s="5" t="str">
        <v>tengah</v>
      </c>
      <c r="P313" s="5"/>
      <c r="Q313" s="5"/>
      <c r="T313" s="5" t="str">
        <v>kanan</v>
      </c>
      <c r="U313" s="5"/>
      <c r="V313" s="5"/>
    </row>
    <row r="314" customFormat="false" ht="15" hidden="false" customHeight="false" outlineLevel="0" collapsed="false">
      <c r="E314" s="5" t="str">
        <v>kanan</v>
      </c>
      <c r="F314" s="5"/>
      <c r="G314" s="5"/>
      <c r="J314" s="5" t="str">
        <v>tengah</v>
      </c>
      <c r="K314" s="5"/>
      <c r="L314" s="5"/>
      <c r="O314" s="5" t="str">
        <v>tengah</v>
      </c>
      <c r="P314" s="5"/>
      <c r="Q314" s="5"/>
      <c r="T314" s="5" t="str">
        <v>tengah</v>
      </c>
      <c r="U314" s="5"/>
      <c r="V314" s="5"/>
    </row>
    <row r="315" customFormat="false" ht="15" hidden="false" customHeight="false" outlineLevel="0" collapsed="false">
      <c r="E315" s="5" t="str">
        <v>kiri</v>
      </c>
      <c r="F315" s="5"/>
      <c r="G315" s="5"/>
      <c r="J315" s="5" t="str">
        <v>tengah</v>
      </c>
      <c r="K315" s="5"/>
      <c r="L315" s="5"/>
      <c r="O315" s="5" t="str">
        <v>tengah</v>
      </c>
      <c r="P315" s="5"/>
      <c r="Q315" s="5"/>
      <c r="T315" s="5" t="str">
        <v>tengah</v>
      </c>
      <c r="U315" s="5"/>
      <c r="V315" s="5"/>
    </row>
    <row r="316" customFormat="false" ht="15" hidden="false" customHeight="false" outlineLevel="0" collapsed="false">
      <c r="E316" s="5" t="str">
        <v>tengah</v>
      </c>
      <c r="F316" s="5"/>
      <c r="G316" s="5"/>
      <c r="J316" s="5" t="str">
        <v>tengah</v>
      </c>
      <c r="K316" s="5"/>
      <c r="L316" s="5"/>
      <c r="O316" s="5" t="str">
        <v>tengah</v>
      </c>
      <c r="P316" s="5"/>
      <c r="Q316" s="5"/>
      <c r="T316" s="5" t="str">
        <v>kanan</v>
      </c>
      <c r="U316" s="5"/>
      <c r="V316" s="5"/>
    </row>
    <row r="317" customFormat="false" ht="15" hidden="false" customHeight="false" outlineLevel="0" collapsed="false">
      <c r="E317" s="5" t="str">
        <v>tengah</v>
      </c>
      <c r="F317" s="5"/>
      <c r="G317" s="5"/>
      <c r="J317" s="5" t="str">
        <v>kanan</v>
      </c>
      <c r="K317" s="5"/>
      <c r="L317" s="5"/>
      <c r="O317" s="5" t="str">
        <v>tengah</v>
      </c>
      <c r="P317" s="5"/>
      <c r="Q317" s="5"/>
      <c r="T317" s="5" t="str">
        <v>tengah</v>
      </c>
      <c r="U317" s="5"/>
      <c r="V317" s="5"/>
    </row>
    <row r="318" customFormat="false" ht="15" hidden="false" customHeight="false" outlineLevel="0" collapsed="false">
      <c r="E318" s="5" t="str">
        <v>tengah</v>
      </c>
      <c r="F318" s="5"/>
      <c r="G318" s="5"/>
      <c r="J318" s="5" t="str">
        <v>tengah</v>
      </c>
      <c r="K318" s="5"/>
      <c r="L318" s="5"/>
      <c r="O318" s="5" t="str">
        <v>kanan</v>
      </c>
      <c r="P318" s="5"/>
      <c r="Q318" s="5"/>
      <c r="T318" s="5" t="str">
        <v>kanan</v>
      </c>
      <c r="U318" s="5"/>
      <c r="V318" s="5"/>
    </row>
    <row r="319" customFormat="false" ht="15" hidden="false" customHeight="false" outlineLevel="0" collapsed="false">
      <c r="E319" s="5" t="str">
        <v>tengah</v>
      </c>
      <c r="F319" s="5"/>
      <c r="G319" s="5"/>
      <c r="J319" s="5" t="str">
        <v>kiri</v>
      </c>
      <c r="K319" s="5"/>
      <c r="L319" s="5"/>
      <c r="O319" s="5" t="str">
        <v>kiri</v>
      </c>
      <c r="P319" s="5"/>
      <c r="Q319" s="5"/>
      <c r="T319" s="5" t="str">
        <v>kanan</v>
      </c>
      <c r="U319" s="5"/>
      <c r="V319" s="5"/>
    </row>
    <row r="320" customFormat="false" ht="15" hidden="false" customHeight="false" outlineLevel="0" collapsed="false">
      <c r="E320" s="5" t="str">
        <v>kiri</v>
      </c>
      <c r="F320" s="5"/>
      <c r="G320" s="5"/>
      <c r="J320" s="5" t="str">
        <v>tengah</v>
      </c>
      <c r="K320" s="5"/>
      <c r="L320" s="5"/>
      <c r="O320" s="5" t="str">
        <v>kanan</v>
      </c>
      <c r="P320" s="5"/>
      <c r="Q320" s="5"/>
      <c r="T320" s="5" t="str">
        <v>tengah</v>
      </c>
      <c r="U320" s="5"/>
      <c r="V320" s="5"/>
    </row>
    <row r="321" customFormat="false" ht="15" hidden="false" customHeight="false" outlineLevel="0" collapsed="false">
      <c r="E321" s="5" t="str">
        <v>kanan</v>
      </c>
      <c r="F321" s="5"/>
      <c r="G321" s="5"/>
      <c r="J321" s="5" t="str">
        <v>tengah</v>
      </c>
      <c r="K321" s="5"/>
      <c r="L321" s="5"/>
      <c r="O321" s="5" t="str">
        <v>tengah</v>
      </c>
      <c r="P321" s="5"/>
      <c r="Q321" s="5"/>
      <c r="T321" s="5" t="str">
        <v>tengah</v>
      </c>
      <c r="U321" s="5"/>
      <c r="V321" s="5"/>
    </row>
    <row r="322" customFormat="false" ht="15" hidden="false" customHeight="false" outlineLevel="0" collapsed="false">
      <c r="E322" s="5" t="str">
        <v>kiri</v>
      </c>
      <c r="F322" s="5"/>
      <c r="G322" s="5"/>
      <c r="J322" s="5" t="str">
        <v>tengah</v>
      </c>
      <c r="K322" s="5"/>
      <c r="L322" s="5"/>
      <c r="O322" s="5" t="str">
        <v>tengah</v>
      </c>
      <c r="P322" s="5"/>
      <c r="Q322" s="5"/>
      <c r="T322" s="5" t="str">
        <v>kanan</v>
      </c>
      <c r="U322" s="5"/>
      <c r="V322" s="5"/>
    </row>
    <row r="323" customFormat="false" ht="15" hidden="false" customHeight="false" outlineLevel="0" collapsed="false">
      <c r="E323" s="5" t="str">
        <v>kiri</v>
      </c>
      <c r="F323" s="5"/>
      <c r="G323" s="5"/>
      <c r="J323" s="5" t="str">
        <v>tengah</v>
      </c>
      <c r="K323" s="5"/>
      <c r="L323" s="5"/>
      <c r="O323" s="5" t="str">
        <v>kiri</v>
      </c>
      <c r="P323" s="5"/>
      <c r="Q323" s="5"/>
      <c r="T323" s="5" t="str">
        <v>kanan</v>
      </c>
      <c r="U323" s="5"/>
      <c r="V323" s="5"/>
    </row>
    <row r="324" customFormat="false" ht="15" hidden="false" customHeight="false" outlineLevel="0" collapsed="false">
      <c r="E324" s="5" t="str">
        <v>tengah</v>
      </c>
      <c r="F324" s="5"/>
      <c r="G324" s="5"/>
      <c r="J324" s="5" t="str">
        <v>kanan</v>
      </c>
      <c r="K324" s="5"/>
      <c r="L324" s="5"/>
      <c r="O324" s="5" t="str">
        <v>tengah</v>
      </c>
      <c r="P324" s="5"/>
      <c r="Q324" s="5"/>
      <c r="T324" s="5" t="str">
        <v>tengah</v>
      </c>
      <c r="U324" s="5"/>
      <c r="V324" s="5"/>
    </row>
    <row r="325" customFormat="false" ht="15" hidden="false" customHeight="false" outlineLevel="0" collapsed="false">
      <c r="E325" s="5" t="str">
        <v>kanan</v>
      </c>
      <c r="F325" s="5"/>
      <c r="G325" s="5"/>
      <c r="J325" s="5" t="str">
        <v>tengah</v>
      </c>
      <c r="K325" s="5"/>
      <c r="L325" s="5"/>
      <c r="O325" s="5" t="str">
        <v>tengah</v>
      </c>
      <c r="P325" s="5"/>
      <c r="Q325" s="5"/>
      <c r="T325" s="5" t="str">
        <v>kanan</v>
      </c>
      <c r="U325" s="5"/>
      <c r="V325" s="5"/>
    </row>
    <row r="326" customFormat="false" ht="15" hidden="false" customHeight="false" outlineLevel="0" collapsed="false">
      <c r="E326" s="5" t="str">
        <v>tengah</v>
      </c>
      <c r="F326" s="5"/>
      <c r="G326" s="5"/>
      <c r="J326" s="5" t="str">
        <v>tengah</v>
      </c>
      <c r="K326" s="5"/>
      <c r="L326" s="5"/>
      <c r="O326" s="5" t="str">
        <v>kanan</v>
      </c>
      <c r="P326" s="5"/>
      <c r="Q326" s="5"/>
      <c r="T326" s="5" t="str">
        <v>kanan</v>
      </c>
      <c r="U326" s="5"/>
      <c r="V326" s="5"/>
    </row>
    <row r="327" customFormat="false" ht="15" hidden="false" customHeight="false" outlineLevel="0" collapsed="false">
      <c r="E327" s="5" t="str">
        <v>kiri</v>
      </c>
      <c r="F327" s="5"/>
      <c r="G327" s="5"/>
      <c r="J327" s="5" t="str">
        <v>kanan</v>
      </c>
      <c r="K327" s="5"/>
      <c r="L327" s="5"/>
      <c r="O327" s="5" t="str">
        <v>kiri</v>
      </c>
      <c r="P327" s="5"/>
      <c r="Q327" s="5"/>
      <c r="T327" s="5" t="str">
        <v>kanan</v>
      </c>
      <c r="U327" s="5"/>
      <c r="V327" s="5"/>
    </row>
    <row r="328" customFormat="false" ht="15" hidden="false" customHeight="false" outlineLevel="0" collapsed="false">
      <c r="E328" s="5" t="str">
        <v>kiri</v>
      </c>
      <c r="F328" s="5"/>
      <c r="G328" s="5"/>
      <c r="J328" s="5" t="str">
        <v>tengah</v>
      </c>
      <c r="K328" s="5"/>
      <c r="L328" s="5"/>
      <c r="O328" s="5" t="str">
        <v>tengah</v>
      </c>
      <c r="P328" s="5"/>
      <c r="Q328" s="5"/>
      <c r="T328" s="5" t="str">
        <v>tengah</v>
      </c>
      <c r="U328" s="5"/>
      <c r="V328" s="5"/>
    </row>
    <row r="329" customFormat="false" ht="15" hidden="false" customHeight="false" outlineLevel="0" collapsed="false">
      <c r="E329" s="5" t="str">
        <v>tengah</v>
      </c>
      <c r="F329" s="5"/>
      <c r="G329" s="5"/>
      <c r="J329" s="5" t="str">
        <v>kiri</v>
      </c>
      <c r="K329" s="5"/>
      <c r="L329" s="5"/>
      <c r="O329" s="5" t="str">
        <v>tengah</v>
      </c>
      <c r="P329" s="5"/>
      <c r="Q329" s="5"/>
      <c r="T329" s="5" t="str">
        <v>kanan</v>
      </c>
      <c r="U329" s="5"/>
      <c r="V329" s="5"/>
    </row>
    <row r="330" customFormat="false" ht="15" hidden="false" customHeight="false" outlineLevel="0" collapsed="false">
      <c r="E330" s="5" t="str">
        <v>kanan</v>
      </c>
      <c r="F330" s="5"/>
      <c r="G330" s="5"/>
      <c r="J330" s="5" t="str">
        <v>tengah</v>
      </c>
      <c r="K330" s="5"/>
      <c r="L330" s="5"/>
      <c r="O330" s="5" t="str">
        <v>tengah</v>
      </c>
      <c r="P330" s="5"/>
      <c r="Q330" s="5"/>
      <c r="T330" s="5" t="str">
        <v>kanan</v>
      </c>
      <c r="U330" s="5"/>
      <c r="V330" s="5"/>
    </row>
    <row r="331" customFormat="false" ht="15" hidden="false" customHeight="false" outlineLevel="0" collapsed="false">
      <c r="E331" s="5" t="str">
        <v>tengah</v>
      </c>
      <c r="F331" s="5"/>
      <c r="G331" s="5"/>
      <c r="J331" s="5" t="str">
        <v>kanan</v>
      </c>
      <c r="K331" s="5"/>
      <c r="L331" s="5"/>
      <c r="O331" s="5" t="str">
        <v>kiri</v>
      </c>
      <c r="P331" s="5"/>
      <c r="Q331" s="5"/>
      <c r="T331" s="5" t="str">
        <v>tengah</v>
      </c>
      <c r="U331" s="5"/>
      <c r="V331" s="5"/>
    </row>
    <row r="332" customFormat="false" ht="15" hidden="false" customHeight="false" outlineLevel="0" collapsed="false">
      <c r="E332" s="5" t="str">
        <v>tengah</v>
      </c>
      <c r="F332" s="5"/>
      <c r="G332" s="5"/>
      <c r="J332" s="5" t="str">
        <v>tengah</v>
      </c>
      <c r="K332" s="5"/>
      <c r="L332" s="5"/>
      <c r="O332" s="5" t="str">
        <v>kiri</v>
      </c>
      <c r="P332" s="5"/>
      <c r="Q332" s="5"/>
      <c r="T332" s="5" t="str">
        <v>kanan</v>
      </c>
      <c r="U332" s="5"/>
      <c r="V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2"/>
  <sheetViews>
    <sheetView showFormulas="false" showGridLines="true" showRowColHeaders="true" showZeros="true" rightToLeft="false" tabSelected="false" showOutlineSymbols="true" defaultGridColor="true" view="normal" topLeftCell="N150" colorId="64" zoomScale="100" zoomScaleNormal="100" zoomScalePageLayoutView="100" workbookViewId="0">
      <selection pane="topLeft" activeCell="Y154" activeCellId="0" sqref="Y154"/>
    </sheetView>
  </sheetViews>
  <sheetFormatPr defaultColWidth="9.00390625" defaultRowHeight="15" customHeight="false" zeroHeight="false" outlineLevelRow="0" outlineLevelCol="0"/>
  <cols>
    <col collapsed="false" customWidth="true" hidden="false" outlineLevel="0" max="3" min="3" style="0" width="15.86"/>
    <col collapsed="false" customWidth="true" hidden="false" outlineLevel="0" max="4" min="4" style="0" width="22"/>
    <col collapsed="false" customWidth="true" hidden="false" outlineLevel="0" max="5" min="5" style="0" width="13.29"/>
    <col collapsed="false" customWidth="true" hidden="false" outlineLevel="0" max="6" min="6" style="0" width="13.86"/>
    <col collapsed="false" customWidth="true" hidden="false" outlineLevel="0" max="7" min="7" style="0" width="12"/>
    <col collapsed="false" customWidth="true" hidden="false" outlineLevel="0" max="10" min="10" style="0" width="15.86"/>
    <col collapsed="false" customWidth="true" hidden="false" outlineLevel="0" max="11" min="11" style="0" width="13.29"/>
    <col collapsed="false" customWidth="true" hidden="false" outlineLevel="0" max="12" min="12" style="0" width="13.86"/>
    <col collapsed="false" customWidth="true" hidden="false" outlineLevel="0" max="15" min="15" style="0" width="16.14"/>
    <col collapsed="false" customWidth="true" hidden="false" outlineLevel="0" max="17" min="17" style="0" width="14.14"/>
    <col collapsed="false" customWidth="true" hidden="false" outlineLevel="0" max="20" min="20" style="0" width="14.29"/>
  </cols>
  <sheetData>
    <row r="1" customFormat="false" ht="15" hidden="false" customHeight="false" outlineLevel="0" collapsed="false">
      <c r="A1" s="4" t="s">
        <v>173</v>
      </c>
      <c r="B1" s="4" t="s">
        <v>1</v>
      </c>
      <c r="C1" s="4" t="s">
        <v>2</v>
      </c>
      <c r="D1" s="4" t="s">
        <v>4</v>
      </c>
      <c r="E1" s="4" t="s">
        <v>5</v>
      </c>
      <c r="H1" s="5" t="s">
        <v>173</v>
      </c>
      <c r="I1" s="5" t="s">
        <v>1</v>
      </c>
      <c r="J1" s="5" t="s">
        <v>2</v>
      </c>
      <c r="K1" s="5" t="s">
        <v>4</v>
      </c>
      <c r="L1" s="5" t="s">
        <v>5</v>
      </c>
      <c r="O1" s="4" t="s">
        <v>174</v>
      </c>
      <c r="P1" s="3"/>
      <c r="Q1" s="3"/>
    </row>
    <row r="2" customFormat="false" ht="15" hidden="false" customHeight="false" outlineLevel="0" collapsed="false">
      <c r="A2" s="5" t="n">
        <f aca="false">RANDBETWEEN(2,164)</f>
        <v>160</v>
      </c>
      <c r="B2" s="5" t="n">
        <f aca="false" t="array" ref="B2:B2">INDEX(Data_DBD!$B:$B,$A2)</f>
        <v>16</v>
      </c>
      <c r="C2" s="5" t="n">
        <f aca="false" t="array" ref="C2:C2">INDEX(Data_DBD!$C:$C,$A2)</f>
        <v>3</v>
      </c>
      <c r="D2" s="5" t="n">
        <f aca="false" t="array" ref="D2:D2">INDEX(Data_DBD!$E:$E,$A2)</f>
        <v>0</v>
      </c>
      <c r="E2" s="5" t="str">
        <f aca="false" t="array" ref="E2:E2">INDEX(Data_DBD!$F:$F,$A2)</f>
        <v>Tinggi</v>
      </c>
      <c r="H2" s="5" t="n">
        <v>95</v>
      </c>
      <c r="I2" s="5" t="n">
        <v>11</v>
      </c>
      <c r="J2" s="5" t="n">
        <v>3</v>
      </c>
      <c r="K2" s="5" t="n">
        <v>1</v>
      </c>
      <c r="L2" s="5" t="s">
        <v>115</v>
      </c>
      <c r="O2" s="3" t="s">
        <v>115</v>
      </c>
      <c r="P2" s="3" t="n">
        <f aca="false">COUNTIF(L2:L164,"Tinggi")</f>
        <v>65</v>
      </c>
      <c r="Q2" s="3" t="n">
        <f aca="false">P2/163</f>
        <v>0.398773006134969</v>
      </c>
    </row>
    <row r="3" customFormat="false" ht="15" hidden="false" customHeight="false" outlineLevel="0" collapsed="false">
      <c r="A3" s="5" t="n">
        <f aca="false">RANDBETWEEN(2,164)</f>
        <v>119</v>
      </c>
      <c r="B3" s="5" t="n">
        <f aca="false" t="array" ref="B3:B3">INDEX(Data_DBD!$B:$B,$A3)</f>
        <v>30</v>
      </c>
      <c r="C3" s="5" t="n">
        <f aca="false" t="array" ref="C3:C3">INDEX(Data_DBD!$C:$C,$A3)</f>
        <v>7</v>
      </c>
      <c r="D3" s="5" t="n">
        <f aca="false" t="array" ref="D3:D3">INDEX(Data_DBD!$E:$E,$A3)</f>
        <v>0</v>
      </c>
      <c r="E3" s="5" t="str">
        <f aca="false" t="array" ref="E3:E3">INDEX(Data_DBD!$F:$F,$A3)</f>
        <v>Tinggi</v>
      </c>
      <c r="H3" s="5" t="n">
        <v>12</v>
      </c>
      <c r="I3" s="5" t="n">
        <v>23</v>
      </c>
      <c r="J3" s="5" t="n">
        <v>3</v>
      </c>
      <c r="K3" s="5" t="n">
        <v>0</v>
      </c>
      <c r="L3" s="5" t="s">
        <v>7</v>
      </c>
      <c r="O3" s="3" t="s">
        <v>7</v>
      </c>
      <c r="P3" s="3" t="n">
        <f aca="false">COUNTIF(L2:L164,"Sedang")</f>
        <v>83</v>
      </c>
      <c r="Q3" s="3" t="n">
        <f aca="false">P3/163</f>
        <v>0.50920245398773</v>
      </c>
    </row>
    <row r="4" customFormat="false" ht="15" hidden="false" customHeight="false" outlineLevel="0" collapsed="false">
      <c r="A4" s="5" t="n">
        <f aca="false">RANDBETWEEN(2,164)</f>
        <v>144</v>
      </c>
      <c r="B4" s="5" t="n">
        <f aca="false" t="array" ref="B4:B4">INDEX(Data_DBD!$B:$B,$A4)</f>
        <v>61</v>
      </c>
      <c r="C4" s="5" t="n">
        <f aca="false" t="array" ref="C4:C4">INDEX(Data_DBD!$C:$C,$A4)</f>
        <v>4</v>
      </c>
      <c r="D4" s="5" t="n">
        <f aca="false" t="array" ref="D4:D4">INDEX(Data_DBD!$E:$E,$A4)</f>
        <v>1</v>
      </c>
      <c r="E4" s="5" t="str">
        <f aca="false" t="array" ref="E4:E4">INDEX(Data_DBD!$F:$F,$A4)</f>
        <v>Tinggi</v>
      </c>
      <c r="H4" s="5" t="n">
        <v>30</v>
      </c>
      <c r="I4" s="5" t="n">
        <v>3</v>
      </c>
      <c r="J4" s="5" t="n">
        <v>2</v>
      </c>
      <c r="K4" s="5" t="n">
        <v>1</v>
      </c>
      <c r="L4" s="5" t="s">
        <v>7</v>
      </c>
      <c r="O4" s="3" t="s">
        <v>20</v>
      </c>
      <c r="P4" s="3" t="n">
        <f aca="false">COUNTIF(L2:L164,"Rendah")</f>
        <v>15</v>
      </c>
      <c r="Q4" s="3" t="n">
        <f aca="false">P4/163</f>
        <v>0.0920245398773006</v>
      </c>
    </row>
    <row r="5" customFormat="false" ht="15" hidden="false" customHeight="false" outlineLevel="0" collapsed="false">
      <c r="A5" s="5" t="n">
        <f aca="false">RANDBETWEEN(2,164)</f>
        <v>57</v>
      </c>
      <c r="B5" s="5" t="n">
        <f aca="false" t="array" ref="B5:B5">INDEX(Data_DBD!$B:$B,$A5)</f>
        <v>2</v>
      </c>
      <c r="C5" s="5" t="n">
        <f aca="false" t="array" ref="C5:C5">INDEX(Data_DBD!$C:$C,$A5)</f>
        <v>2</v>
      </c>
      <c r="D5" s="5" t="n">
        <f aca="false" t="array" ref="D5:D5">INDEX(Data_DBD!$E:$E,$A5)</f>
        <v>1</v>
      </c>
      <c r="E5" s="5" t="str">
        <f aca="false" t="array" ref="E5:E5">INDEX(Data_DBD!$F:$F,$A5)</f>
        <v>Sedang</v>
      </c>
      <c r="H5" s="5" t="n">
        <v>76</v>
      </c>
      <c r="I5" s="5" t="n">
        <v>70</v>
      </c>
      <c r="J5" s="5" t="n">
        <v>2</v>
      </c>
      <c r="K5" s="5" t="n">
        <v>0</v>
      </c>
      <c r="L5" s="5" t="s">
        <v>7</v>
      </c>
      <c r="O5" s="3" t="s">
        <v>175</v>
      </c>
      <c r="P5" s="14" t="n">
        <f aca="false">-(IFERROR(Q2*LOG(Q2,2),0)+IFERROR(Q3*LOG(Q3,2),0)+IFERROR(Q4*LOG(Q4,2),0))</f>
        <v>1.34145490525702</v>
      </c>
      <c r="Q5" s="15"/>
    </row>
    <row r="6" customFormat="false" ht="15" hidden="false" customHeight="false" outlineLevel="0" collapsed="false">
      <c r="A6" s="5" t="n">
        <f aca="false">RANDBETWEEN(2,164)</f>
        <v>114</v>
      </c>
      <c r="B6" s="5" t="n">
        <f aca="false" t="array" ref="B6:B6">INDEX(Data_DBD!$B:$B,$A6)</f>
        <v>14</v>
      </c>
      <c r="C6" s="5" t="n">
        <f aca="false" t="array" ref="C6:C6">INDEX(Data_DBD!$C:$C,$A6)</f>
        <v>2</v>
      </c>
      <c r="D6" s="5" t="n">
        <f aca="false" t="array" ref="D6:D6">INDEX(Data_DBD!$E:$E,$A6)</f>
        <v>1</v>
      </c>
      <c r="E6" s="5" t="str">
        <f aca="false" t="array" ref="E6:E6">INDEX(Data_DBD!$F:$F,$A6)</f>
        <v>Tinggi</v>
      </c>
      <c r="H6" s="5" t="n">
        <v>85</v>
      </c>
      <c r="I6" s="5" t="n">
        <v>27</v>
      </c>
      <c r="J6" s="5" t="n">
        <v>9</v>
      </c>
      <c r="K6" s="5" t="n">
        <v>0</v>
      </c>
      <c r="L6" s="5" t="s">
        <v>7</v>
      </c>
    </row>
    <row r="7" customFormat="false" ht="15" hidden="false" customHeight="false" outlineLevel="0" collapsed="false">
      <c r="A7" s="5" t="n">
        <f aca="false">RANDBETWEEN(2,164)</f>
        <v>137</v>
      </c>
      <c r="B7" s="5" t="n">
        <f aca="false" t="array" ref="B7:B7">INDEX(Data_DBD!$B:$B,$A7)</f>
        <v>3</v>
      </c>
      <c r="C7" s="5" t="n">
        <f aca="false" t="array" ref="C7:C7">INDEX(Data_DBD!$C:$C,$A7)</f>
        <v>1</v>
      </c>
      <c r="D7" s="5" t="n">
        <f aca="false" t="array" ref="D7:D7">INDEX(Data_DBD!$E:$E,$A7)</f>
        <v>1</v>
      </c>
      <c r="E7" s="5" t="str">
        <f aca="false" t="array" ref="E7:E7">INDEX(Data_DBD!$F:$F,$A7)</f>
        <v>Tinggi</v>
      </c>
      <c r="H7" s="5" t="n">
        <v>55</v>
      </c>
      <c r="I7" s="5" t="n">
        <v>7</v>
      </c>
      <c r="J7" s="5" t="n">
        <v>4</v>
      </c>
      <c r="K7" s="5" t="n">
        <v>1</v>
      </c>
      <c r="L7" s="5" t="s">
        <v>7</v>
      </c>
    </row>
    <row r="8" customFormat="false" ht="15" hidden="false" customHeight="false" outlineLevel="0" collapsed="false">
      <c r="A8" s="5" t="n">
        <f aca="false">RANDBETWEEN(2,164)</f>
        <v>55</v>
      </c>
      <c r="B8" s="5" t="n">
        <f aca="false" t="array" ref="B8:B8">INDEX(Data_DBD!$B:$B,$A8)</f>
        <v>7</v>
      </c>
      <c r="C8" s="5" t="n">
        <f aca="false" t="array" ref="C8:C8">INDEX(Data_DBD!$C:$C,$A8)</f>
        <v>4</v>
      </c>
      <c r="D8" s="5" t="n">
        <f aca="false" t="array" ref="D8:D8">INDEX(Data_DBD!$E:$E,$A8)</f>
        <v>1</v>
      </c>
      <c r="E8" s="5" t="str">
        <f aca="false" t="array" ref="E8:E8">INDEX(Data_DBD!$F:$F,$A8)</f>
        <v>Sedang</v>
      </c>
      <c r="H8" s="5" t="n">
        <v>51</v>
      </c>
      <c r="I8" s="5" t="n">
        <v>48</v>
      </c>
      <c r="J8" s="5" t="n">
        <v>4</v>
      </c>
      <c r="K8" s="5" t="n">
        <v>0</v>
      </c>
      <c r="L8" s="5" t="s">
        <v>7</v>
      </c>
    </row>
    <row r="9" customFormat="false" ht="15" hidden="false" customHeight="false" outlineLevel="0" collapsed="false">
      <c r="A9" s="5" t="n">
        <f aca="false">RANDBETWEEN(2,164)</f>
        <v>115</v>
      </c>
      <c r="B9" s="5" t="n">
        <f aca="false" t="array" ref="B9:B9">INDEX(Data_DBD!$B:$B,$A9)</f>
        <v>52</v>
      </c>
      <c r="C9" s="5" t="n">
        <f aca="false" t="array" ref="C9:C9">INDEX(Data_DBD!$C:$C,$A9)</f>
        <v>3</v>
      </c>
      <c r="D9" s="5" t="n">
        <f aca="false" t="array" ref="D9:D9">INDEX(Data_DBD!$E:$E,$A9)</f>
        <v>1</v>
      </c>
      <c r="E9" s="5" t="str">
        <f aca="false" t="array" ref="E9:E9">INDEX(Data_DBD!$F:$F,$A9)</f>
        <v>Tinggi</v>
      </c>
      <c r="H9" s="5" t="n">
        <v>108</v>
      </c>
      <c r="I9" s="5" t="n">
        <v>69</v>
      </c>
      <c r="J9" s="5" t="n">
        <v>7</v>
      </c>
      <c r="K9" s="5" t="n">
        <v>1</v>
      </c>
      <c r="L9" s="5" t="s">
        <v>115</v>
      </c>
    </row>
    <row r="10" customFormat="false" ht="15" hidden="false" customHeight="false" outlineLevel="0" collapsed="false">
      <c r="A10" s="5" t="n">
        <f aca="false">RANDBETWEEN(2,164)</f>
        <v>58</v>
      </c>
      <c r="B10" s="5" t="n">
        <f aca="false" t="array" ref="B10:B10">INDEX(Data_DBD!$B:$B,$A10)</f>
        <v>17</v>
      </c>
      <c r="C10" s="5" t="n">
        <f aca="false" t="array" ref="C10:C10">INDEX(Data_DBD!$C:$C,$A10)</f>
        <v>3</v>
      </c>
      <c r="D10" s="5" t="n">
        <f aca="false" t="array" ref="D10:D10">INDEX(Data_DBD!$E:$E,$A10)</f>
        <v>0</v>
      </c>
      <c r="E10" s="5" t="str">
        <f aca="false" t="array" ref="E10:E10">INDEX(Data_DBD!$F:$F,$A10)</f>
        <v>Sedang</v>
      </c>
      <c r="H10" s="5" t="n">
        <v>72</v>
      </c>
      <c r="I10" s="5" t="n">
        <v>3</v>
      </c>
      <c r="J10" s="5" t="n">
        <v>5</v>
      </c>
      <c r="K10" s="5" t="n">
        <v>1</v>
      </c>
      <c r="L10" s="5" t="s">
        <v>7</v>
      </c>
    </row>
    <row r="11" customFormat="false" ht="15" hidden="false" customHeight="false" outlineLevel="0" collapsed="false">
      <c r="A11" s="5" t="n">
        <f aca="false">RANDBETWEEN(2,164)</f>
        <v>68</v>
      </c>
      <c r="B11" s="5" t="n">
        <f aca="false" t="array" ref="B11:B11">INDEX(Data_DBD!$B:$B,$A11)</f>
        <v>44</v>
      </c>
      <c r="C11" s="5" t="n">
        <f aca="false" t="array" ref="C11:C11">INDEX(Data_DBD!$C:$C,$A11)</f>
        <v>5</v>
      </c>
      <c r="D11" s="5" t="n">
        <f aca="false" t="array" ref="D11:D11">INDEX(Data_DBD!$E:$E,$A11)</f>
        <v>0</v>
      </c>
      <c r="E11" s="5" t="str">
        <f aca="false" t="array" ref="E11:E11">INDEX(Data_DBD!$F:$F,$A11)</f>
        <v>Rendah</v>
      </c>
      <c r="H11" s="5" t="n">
        <v>147</v>
      </c>
      <c r="I11" s="5" t="n">
        <v>66</v>
      </c>
      <c r="J11" s="5" t="n">
        <v>10</v>
      </c>
      <c r="K11" s="5" t="n">
        <v>1</v>
      </c>
      <c r="L11" s="5" t="s">
        <v>115</v>
      </c>
    </row>
    <row r="12" customFormat="false" ht="15" hidden="false" customHeight="false" outlineLevel="0" collapsed="false">
      <c r="A12" s="5" t="n">
        <f aca="false">RANDBETWEEN(2,164)</f>
        <v>149</v>
      </c>
      <c r="B12" s="5" t="n">
        <f aca="false" t="array" ref="B12:B12">INDEX(Data_DBD!$B:$B,$A12)</f>
        <v>19</v>
      </c>
      <c r="C12" s="5" t="n">
        <f aca="false" t="array" ref="C12:C12">INDEX(Data_DBD!$C:$C,$A12)</f>
        <v>5</v>
      </c>
      <c r="D12" s="5" t="n">
        <f aca="false" t="array" ref="D12:D12">INDEX(Data_DBD!$E:$E,$A12)</f>
        <v>0</v>
      </c>
      <c r="E12" s="5" t="str">
        <f aca="false" t="array" ref="E12:E12">INDEX(Data_DBD!$F:$F,$A12)</f>
        <v>Tinggi</v>
      </c>
      <c r="H12" s="5" t="n">
        <v>69</v>
      </c>
      <c r="I12" s="5" t="n">
        <v>24</v>
      </c>
      <c r="J12" s="5" t="n">
        <v>4</v>
      </c>
      <c r="K12" s="5" t="n">
        <v>1</v>
      </c>
      <c r="L12" s="5" t="s">
        <v>7</v>
      </c>
    </row>
    <row r="13" customFormat="false" ht="15" hidden="false" customHeight="false" outlineLevel="0" collapsed="false">
      <c r="A13" s="5" t="n">
        <f aca="false">RANDBETWEEN(2,164)</f>
        <v>148</v>
      </c>
      <c r="B13" s="5" t="n">
        <f aca="false" t="array" ref="B13:B13">INDEX(Data_DBD!$B:$B,$A13)</f>
        <v>55</v>
      </c>
      <c r="C13" s="5" t="n">
        <f aca="false" t="array" ref="C13:C13">INDEX(Data_DBD!$C:$C,$A13)</f>
        <v>3</v>
      </c>
      <c r="D13" s="5" t="n">
        <f aca="false" t="array" ref="D13:D13">INDEX(Data_DBD!$E:$E,$A13)</f>
        <v>1</v>
      </c>
      <c r="E13" s="5" t="str">
        <f aca="false" t="array" ref="E13:E13">INDEX(Data_DBD!$F:$F,$A13)</f>
        <v>Tinggi</v>
      </c>
      <c r="H13" s="5" t="n">
        <v>4</v>
      </c>
      <c r="I13" s="5" t="n">
        <v>23</v>
      </c>
      <c r="J13" s="5" t="n">
        <v>5</v>
      </c>
      <c r="K13" s="5" t="n">
        <v>0</v>
      </c>
      <c r="L13" s="5" t="s">
        <v>7</v>
      </c>
    </row>
    <row r="14" customFormat="false" ht="15" hidden="false" customHeight="false" outlineLevel="0" collapsed="false">
      <c r="A14" s="5" t="n">
        <f aca="false">RANDBETWEEN(2,164)</f>
        <v>150</v>
      </c>
      <c r="B14" s="5" t="n">
        <f aca="false" t="array" ref="B14:B14">INDEX(Data_DBD!$B:$B,$A14)</f>
        <v>61</v>
      </c>
      <c r="C14" s="5" t="n">
        <f aca="false" t="array" ref="C14:C14">INDEX(Data_DBD!$C:$C,$A14)</f>
        <v>5</v>
      </c>
      <c r="D14" s="5" t="n">
        <f aca="false" t="array" ref="D14:D14">INDEX(Data_DBD!$E:$E,$A14)</f>
        <v>1</v>
      </c>
      <c r="E14" s="5" t="str">
        <f aca="false" t="array" ref="E14:E14">INDEX(Data_DBD!$F:$F,$A14)</f>
        <v>Tinggi</v>
      </c>
      <c r="H14" s="5" t="n">
        <v>6</v>
      </c>
      <c r="I14" s="5" t="n">
        <v>14</v>
      </c>
      <c r="J14" s="5" t="n">
        <v>4</v>
      </c>
      <c r="K14" s="5" t="n">
        <v>0</v>
      </c>
      <c r="L14" s="5" t="s">
        <v>7</v>
      </c>
    </row>
    <row r="15" customFormat="false" ht="15" hidden="false" customHeight="false" outlineLevel="0" collapsed="false">
      <c r="A15" s="5" t="n">
        <f aca="false">RANDBETWEEN(2,164)</f>
        <v>51</v>
      </c>
      <c r="B15" s="5" t="n">
        <f aca="false" t="array" ref="B15:B15">INDEX(Data_DBD!$B:$B,$A15)</f>
        <v>48</v>
      </c>
      <c r="C15" s="5" t="n">
        <f aca="false" t="array" ref="C15:C15">INDEX(Data_DBD!$C:$C,$A15)</f>
        <v>4</v>
      </c>
      <c r="D15" s="5" t="n">
        <f aca="false" t="array" ref="D15:D15">INDEX(Data_DBD!$E:$E,$A15)</f>
        <v>0</v>
      </c>
      <c r="E15" s="5" t="str">
        <f aca="false" t="array" ref="E15:E15">INDEX(Data_DBD!$F:$F,$A15)</f>
        <v>Sedang</v>
      </c>
      <c r="H15" s="5" t="n">
        <v>13</v>
      </c>
      <c r="I15" s="5" t="n">
        <v>47</v>
      </c>
      <c r="J15" s="5" t="n">
        <v>2</v>
      </c>
      <c r="K15" s="5" t="n">
        <v>0</v>
      </c>
      <c r="L15" s="5" t="s">
        <v>7</v>
      </c>
    </row>
    <row r="16" customFormat="false" ht="15" hidden="false" customHeight="false" outlineLevel="0" collapsed="false">
      <c r="A16" s="5" t="n">
        <f aca="false">RANDBETWEEN(2,164)</f>
        <v>88</v>
      </c>
      <c r="B16" s="5" t="n">
        <f aca="false" t="array" ref="B16:B16">INDEX(Data_DBD!$B:$B,$A16)</f>
        <v>20</v>
      </c>
      <c r="C16" s="5" t="n">
        <f aca="false" t="array" ref="C16:C16">INDEX(Data_DBD!$C:$C,$A16)</f>
        <v>4</v>
      </c>
      <c r="D16" s="5" t="n">
        <f aca="false" t="array" ref="D16:D16">INDEX(Data_DBD!$E:$E,$A16)</f>
        <v>1</v>
      </c>
      <c r="E16" s="5" t="str">
        <f aca="false" t="array" ref="E16:E16">INDEX(Data_DBD!$F:$F,$A16)</f>
        <v>Sedang</v>
      </c>
      <c r="H16" s="5" t="n">
        <v>142</v>
      </c>
      <c r="I16" s="5" t="n">
        <v>39</v>
      </c>
      <c r="J16" s="5" t="n">
        <v>2</v>
      </c>
      <c r="K16" s="5" t="n">
        <v>1</v>
      </c>
      <c r="L16" s="5" t="s">
        <v>115</v>
      </c>
    </row>
    <row r="17" customFormat="false" ht="15" hidden="false" customHeight="false" outlineLevel="0" collapsed="false">
      <c r="A17" s="5" t="n">
        <f aca="false">RANDBETWEEN(2,164)</f>
        <v>16</v>
      </c>
      <c r="B17" s="5" t="n">
        <f aca="false" t="array" ref="B17:B17">INDEX(Data_DBD!$B:$B,$A17)</f>
        <v>66</v>
      </c>
      <c r="C17" s="5" t="n">
        <f aca="false" t="array" ref="C17:C17">INDEX(Data_DBD!$C:$C,$A17)</f>
        <v>5</v>
      </c>
      <c r="D17" s="5" t="n">
        <f aca="false" t="array" ref="D17:D17">INDEX(Data_DBD!$E:$E,$A17)</f>
        <v>1</v>
      </c>
      <c r="E17" s="5" t="str">
        <f aca="false" t="array" ref="E17:E17">INDEX(Data_DBD!$F:$F,$A17)</f>
        <v>Rendah</v>
      </c>
      <c r="H17" s="5" t="n">
        <v>159</v>
      </c>
      <c r="I17" s="5" t="n">
        <v>17</v>
      </c>
      <c r="J17" s="5" t="n">
        <v>2</v>
      </c>
      <c r="K17" s="5" t="n">
        <v>0</v>
      </c>
      <c r="L17" s="5" t="s">
        <v>115</v>
      </c>
    </row>
    <row r="18" customFormat="false" ht="15" hidden="false" customHeight="false" outlineLevel="0" collapsed="false">
      <c r="A18" s="5" t="n">
        <f aca="false">RANDBETWEEN(2,164)</f>
        <v>78</v>
      </c>
      <c r="B18" s="5" t="n">
        <f aca="false" t="array" ref="B18:B18">INDEX(Data_DBD!$B:$B,$A18)</f>
        <v>6</v>
      </c>
      <c r="C18" s="5" t="n">
        <f aca="false" t="array" ref="C18:C18">INDEX(Data_DBD!$C:$C,$A18)</f>
        <v>3</v>
      </c>
      <c r="D18" s="5" t="n">
        <f aca="false" t="array" ref="D18:D18">INDEX(Data_DBD!$E:$E,$A18)</f>
        <v>0</v>
      </c>
      <c r="E18" s="5" t="str">
        <f aca="false" t="array" ref="E18:E18">INDEX(Data_DBD!$F:$F,$A18)</f>
        <v>Sedang</v>
      </c>
      <c r="H18" s="5" t="n">
        <v>8</v>
      </c>
      <c r="I18" s="5" t="n">
        <v>4</v>
      </c>
      <c r="J18" s="5" t="n">
        <v>2</v>
      </c>
      <c r="K18" s="5" t="n">
        <v>0</v>
      </c>
      <c r="L18" s="5" t="s">
        <v>7</v>
      </c>
    </row>
    <row r="19" customFormat="false" ht="15" hidden="false" customHeight="false" outlineLevel="0" collapsed="false">
      <c r="A19" s="5" t="n">
        <f aca="false">RANDBETWEEN(2,164)</f>
        <v>68</v>
      </c>
      <c r="B19" s="5" t="n">
        <f aca="false" t="array" ref="B19:B19">INDEX(Data_DBD!$B:$B,$A19)</f>
        <v>44</v>
      </c>
      <c r="C19" s="5" t="n">
        <f aca="false" t="array" ref="C19:C19">INDEX(Data_DBD!$C:$C,$A19)</f>
        <v>5</v>
      </c>
      <c r="D19" s="5" t="n">
        <f aca="false" t="array" ref="D19:D19">INDEX(Data_DBD!$E:$E,$A19)</f>
        <v>0</v>
      </c>
      <c r="E19" s="5" t="str">
        <f aca="false" t="array" ref="E19:E19">INDEX(Data_DBD!$F:$F,$A19)</f>
        <v>Rendah</v>
      </c>
      <c r="H19" s="5" t="n">
        <v>105</v>
      </c>
      <c r="I19" s="5" t="n">
        <v>61</v>
      </c>
      <c r="J19" s="5" t="n">
        <v>3</v>
      </c>
      <c r="K19" s="5" t="n">
        <v>1</v>
      </c>
      <c r="L19" s="5" t="s">
        <v>115</v>
      </c>
    </row>
    <row r="20" customFormat="false" ht="15" hidden="false" customHeight="false" outlineLevel="0" collapsed="false">
      <c r="A20" s="5" t="n">
        <f aca="false">RANDBETWEEN(2,164)</f>
        <v>14</v>
      </c>
      <c r="B20" s="5" t="n">
        <f aca="false" t="array" ref="B20:B20">INDEX(Data_DBD!$B:$B,$A20)</f>
        <v>49</v>
      </c>
      <c r="C20" s="5" t="n">
        <f aca="false" t="array" ref="C20:C20">INDEX(Data_DBD!$C:$C,$A20)</f>
        <v>4</v>
      </c>
      <c r="D20" s="5" t="n">
        <f aca="false" t="array" ref="D20:D20">INDEX(Data_DBD!$E:$E,$A20)</f>
        <v>1</v>
      </c>
      <c r="E20" s="5" t="str">
        <f aca="false" t="array" ref="E20:E20">INDEX(Data_DBD!$F:$F,$A20)</f>
        <v>Rendah</v>
      </c>
      <c r="H20" s="5" t="n">
        <v>122</v>
      </c>
      <c r="I20" s="5" t="n">
        <v>28</v>
      </c>
      <c r="J20" s="5" t="n">
        <v>3</v>
      </c>
      <c r="K20" s="5" t="n">
        <v>1</v>
      </c>
      <c r="L20" s="5" t="s">
        <v>115</v>
      </c>
    </row>
    <row r="21" customFormat="false" ht="15" hidden="false" customHeight="false" outlineLevel="0" collapsed="false">
      <c r="A21" s="5" t="n">
        <f aca="false">RANDBETWEEN(2,164)</f>
        <v>26</v>
      </c>
      <c r="B21" s="5" t="n">
        <f aca="false" t="array" ref="B21:B21">INDEX(Data_DBD!$B:$B,$A21)</f>
        <v>75</v>
      </c>
      <c r="C21" s="5" t="n">
        <f aca="false" t="array" ref="C21:C21">INDEX(Data_DBD!$C:$C,$A21)</f>
        <v>4</v>
      </c>
      <c r="D21" s="5" t="n">
        <f aca="false" t="array" ref="D21:D21">INDEX(Data_DBD!$E:$E,$A21)</f>
        <v>1</v>
      </c>
      <c r="E21" s="5" t="str">
        <f aca="false" t="array" ref="E21:E21">INDEX(Data_DBD!$F:$F,$A21)</f>
        <v>Sedang</v>
      </c>
      <c r="H21" s="5" t="n">
        <v>161</v>
      </c>
      <c r="I21" s="5" t="n">
        <v>12</v>
      </c>
      <c r="J21" s="5" t="n">
        <v>3</v>
      </c>
      <c r="K21" s="5" t="n">
        <v>1</v>
      </c>
      <c r="L21" s="5" t="s">
        <v>115</v>
      </c>
    </row>
    <row r="22" customFormat="false" ht="15" hidden="false" customHeight="false" outlineLevel="0" collapsed="false">
      <c r="A22" s="5" t="n">
        <f aca="false">RANDBETWEEN(2,164)</f>
        <v>3</v>
      </c>
      <c r="B22" s="5" t="n">
        <f aca="false" t="array" ref="B22:B22">INDEX(Data_DBD!$B:$B,$A22)</f>
        <v>43</v>
      </c>
      <c r="C22" s="5" t="n">
        <f aca="false" t="array" ref="C22:C22">INDEX(Data_DBD!$C:$C,$A22)</f>
        <v>3</v>
      </c>
      <c r="D22" s="5" t="n">
        <f aca="false" t="array" ref="D22:D22">INDEX(Data_DBD!$E:$E,$A22)</f>
        <v>1</v>
      </c>
      <c r="E22" s="5" t="str">
        <f aca="false" t="array" ref="E22:E22">INDEX(Data_DBD!$F:$F,$A22)</f>
        <v>Sedang</v>
      </c>
      <c r="H22" s="5" t="n">
        <v>138</v>
      </c>
      <c r="I22" s="5" t="n">
        <v>13</v>
      </c>
      <c r="J22" s="5" t="n">
        <v>3</v>
      </c>
      <c r="K22" s="5" t="n">
        <v>1</v>
      </c>
      <c r="L22" s="5" t="s">
        <v>115</v>
      </c>
    </row>
    <row r="23" customFormat="false" ht="15" hidden="false" customHeight="false" outlineLevel="0" collapsed="false">
      <c r="A23" s="5" t="n">
        <f aca="false">RANDBETWEEN(2,164)</f>
        <v>118</v>
      </c>
      <c r="B23" s="5" t="n">
        <f aca="false" t="array" ref="B23:B23">INDEX(Data_DBD!$B:$B,$A23)</f>
        <v>67</v>
      </c>
      <c r="C23" s="5" t="n">
        <f aca="false" t="array" ref="C23:C23">INDEX(Data_DBD!$C:$C,$A23)</f>
        <v>4</v>
      </c>
      <c r="D23" s="5" t="n">
        <f aca="false" t="array" ref="D23:D23">INDEX(Data_DBD!$E:$E,$A23)</f>
        <v>1</v>
      </c>
      <c r="E23" s="5" t="str">
        <f aca="false" t="array" ref="E23:E23">INDEX(Data_DBD!$F:$F,$A23)</f>
        <v>Tinggi</v>
      </c>
      <c r="H23" s="5" t="n">
        <v>34</v>
      </c>
      <c r="I23" s="5" t="n">
        <v>55</v>
      </c>
      <c r="J23" s="5" t="n">
        <v>3</v>
      </c>
      <c r="K23" s="5" t="n">
        <v>0</v>
      </c>
      <c r="L23" s="5" t="s">
        <v>7</v>
      </c>
    </row>
    <row r="24" customFormat="false" ht="15" hidden="false" customHeight="false" outlineLevel="0" collapsed="false">
      <c r="A24" s="5" t="n">
        <f aca="false">RANDBETWEEN(2,164)</f>
        <v>36</v>
      </c>
      <c r="B24" s="5" t="n">
        <f aca="false" t="array" ref="B24:B24">INDEX(Data_DBD!$B:$B,$A24)</f>
        <v>27</v>
      </c>
      <c r="C24" s="5" t="n">
        <f aca="false" t="array" ref="C24:C24">INDEX(Data_DBD!$C:$C,$A24)</f>
        <v>1</v>
      </c>
      <c r="D24" s="5" t="n">
        <f aca="false" t="array" ref="D24:D24">INDEX(Data_DBD!$E:$E,$A24)</f>
        <v>1</v>
      </c>
      <c r="E24" s="5" t="str">
        <f aca="false" t="array" ref="E24:E24">INDEX(Data_DBD!$F:$F,$A24)</f>
        <v>Rendah</v>
      </c>
      <c r="H24" s="5" t="n">
        <v>54</v>
      </c>
      <c r="I24" s="5" t="n">
        <v>7</v>
      </c>
      <c r="J24" s="5" t="n">
        <v>3</v>
      </c>
      <c r="K24" s="5" t="n">
        <v>0</v>
      </c>
      <c r="L24" s="5" t="s">
        <v>7</v>
      </c>
    </row>
    <row r="25" customFormat="false" ht="15" hidden="false" customHeight="false" outlineLevel="0" collapsed="false">
      <c r="A25" s="5" t="n">
        <f aca="false">RANDBETWEEN(2,164)</f>
        <v>112</v>
      </c>
      <c r="B25" s="5" t="n">
        <f aca="false" t="array" ref="B25:B25">INDEX(Data_DBD!$B:$B,$A25)</f>
        <v>61</v>
      </c>
      <c r="C25" s="5" t="n">
        <f aca="false" t="array" ref="C25:C25">INDEX(Data_DBD!$C:$C,$A25)</f>
        <v>3</v>
      </c>
      <c r="D25" s="5" t="n">
        <f aca="false" t="array" ref="D25:D25">INDEX(Data_DBD!$E:$E,$A25)</f>
        <v>1</v>
      </c>
      <c r="E25" s="5" t="str">
        <f aca="false" t="array" ref="E25:E25">INDEX(Data_DBD!$F:$F,$A25)</f>
        <v>Tinggi</v>
      </c>
      <c r="H25" s="5" t="n">
        <v>69</v>
      </c>
      <c r="I25" s="5" t="n">
        <v>24</v>
      </c>
      <c r="J25" s="5" t="n">
        <v>4</v>
      </c>
      <c r="K25" s="5" t="n">
        <v>1</v>
      </c>
      <c r="L25" s="5" t="s">
        <v>7</v>
      </c>
    </row>
    <row r="26" customFormat="false" ht="15" hidden="false" customHeight="false" outlineLevel="0" collapsed="false">
      <c r="A26" s="5" t="n">
        <f aca="false">RANDBETWEEN(2,164)</f>
        <v>14</v>
      </c>
      <c r="B26" s="5" t="n">
        <f aca="false" t="array" ref="B26:B26">INDEX(Data_DBD!$B:$B,$A26)</f>
        <v>49</v>
      </c>
      <c r="C26" s="5" t="n">
        <f aca="false" t="array" ref="C26:C26">INDEX(Data_DBD!$C:$C,$A26)</f>
        <v>4</v>
      </c>
      <c r="D26" s="5" t="n">
        <f aca="false" t="array" ref="D26:D26">INDEX(Data_DBD!$E:$E,$A26)</f>
        <v>1</v>
      </c>
      <c r="E26" s="5" t="str">
        <f aca="false" t="array" ref="E26:E26">INDEX(Data_DBD!$F:$F,$A26)</f>
        <v>Rendah</v>
      </c>
      <c r="H26" s="5" t="n">
        <v>34</v>
      </c>
      <c r="I26" s="5" t="n">
        <v>55</v>
      </c>
      <c r="J26" s="5" t="n">
        <v>3</v>
      </c>
      <c r="K26" s="5" t="n">
        <v>0</v>
      </c>
      <c r="L26" s="5" t="s">
        <v>7</v>
      </c>
    </row>
    <row r="27" customFormat="false" ht="15" hidden="false" customHeight="false" outlineLevel="0" collapsed="false">
      <c r="A27" s="5" t="n">
        <f aca="false">RANDBETWEEN(2,164)</f>
        <v>80</v>
      </c>
      <c r="B27" s="5" t="n">
        <f aca="false" t="array" ref="B27:B27">INDEX(Data_DBD!$B:$B,$A27)</f>
        <v>27</v>
      </c>
      <c r="C27" s="5" t="n">
        <f aca="false" t="array" ref="C27:C27">INDEX(Data_DBD!$C:$C,$A27)</f>
        <v>3</v>
      </c>
      <c r="D27" s="5" t="n">
        <f aca="false" t="array" ref="D27:D27">INDEX(Data_DBD!$E:$E,$A27)</f>
        <v>1</v>
      </c>
      <c r="E27" s="5" t="str">
        <f aca="false" t="array" ref="E27:E27">INDEX(Data_DBD!$F:$F,$A27)</f>
        <v>Sedang</v>
      </c>
      <c r="H27" s="5" t="n">
        <v>15</v>
      </c>
      <c r="I27" s="5" t="n">
        <v>21</v>
      </c>
      <c r="J27" s="5" t="n">
        <v>2</v>
      </c>
      <c r="K27" s="5" t="n">
        <v>0</v>
      </c>
      <c r="L27" s="5" t="s">
        <v>20</v>
      </c>
    </row>
    <row r="28" customFormat="false" ht="15" hidden="false" customHeight="false" outlineLevel="0" collapsed="false">
      <c r="A28" s="5" t="n">
        <f aca="false">RANDBETWEEN(2,164)</f>
        <v>33</v>
      </c>
      <c r="B28" s="5" t="n">
        <f aca="false" t="array" ref="B28:B28">INDEX(Data_DBD!$B:$B,$A28)</f>
        <v>19</v>
      </c>
      <c r="C28" s="5" t="n">
        <f aca="false" t="array" ref="C28:C28">INDEX(Data_DBD!$C:$C,$A28)</f>
        <v>4</v>
      </c>
      <c r="D28" s="5" t="n">
        <f aca="false" t="array" ref="D28:D28">INDEX(Data_DBD!$E:$E,$A28)</f>
        <v>1</v>
      </c>
      <c r="E28" s="5" t="str">
        <f aca="false" t="array" ref="E28:E28">INDEX(Data_DBD!$F:$F,$A28)</f>
        <v>Sedang</v>
      </c>
      <c r="H28" s="5" t="n">
        <v>63</v>
      </c>
      <c r="I28" s="5" t="n">
        <v>25</v>
      </c>
      <c r="J28" s="5" t="n">
        <v>3</v>
      </c>
      <c r="K28" s="5" t="n">
        <v>0</v>
      </c>
      <c r="L28" s="5" t="s">
        <v>7</v>
      </c>
    </row>
    <row r="29" customFormat="false" ht="15" hidden="false" customHeight="false" outlineLevel="0" collapsed="false">
      <c r="A29" s="5" t="n">
        <f aca="false">RANDBETWEEN(2,164)</f>
        <v>40</v>
      </c>
      <c r="B29" s="5" t="n">
        <f aca="false" t="array" ref="B29:B29">INDEX(Data_DBD!$B:$B,$A29)</f>
        <v>65</v>
      </c>
      <c r="C29" s="5" t="n">
        <f aca="false" t="array" ref="C29:C29">INDEX(Data_DBD!$C:$C,$A29)</f>
        <v>3</v>
      </c>
      <c r="D29" s="5" t="n">
        <f aca="false" t="array" ref="D29:D29">INDEX(Data_DBD!$E:$E,$A29)</f>
        <v>1</v>
      </c>
      <c r="E29" s="5" t="str">
        <f aca="false" t="array" ref="E29:E29">INDEX(Data_DBD!$F:$F,$A29)</f>
        <v>Sedang</v>
      </c>
      <c r="H29" s="5" t="n">
        <v>93</v>
      </c>
      <c r="I29" s="5" t="n">
        <v>65</v>
      </c>
      <c r="J29" s="5" t="n">
        <v>4</v>
      </c>
      <c r="K29" s="5" t="n">
        <v>0</v>
      </c>
      <c r="L29" s="5" t="s">
        <v>115</v>
      </c>
    </row>
    <row r="30" customFormat="false" ht="15" hidden="false" customHeight="false" outlineLevel="0" collapsed="false">
      <c r="A30" s="5" t="n">
        <f aca="false">RANDBETWEEN(2,164)</f>
        <v>144</v>
      </c>
      <c r="B30" s="5" t="n">
        <f aca="false" t="array" ref="B30:B30">INDEX(Data_DBD!$B:$B,$A30)</f>
        <v>61</v>
      </c>
      <c r="C30" s="5" t="n">
        <f aca="false" t="array" ref="C30:C30">INDEX(Data_DBD!$C:$C,$A30)</f>
        <v>4</v>
      </c>
      <c r="D30" s="5" t="n">
        <f aca="false" t="array" ref="D30:D30">INDEX(Data_DBD!$E:$E,$A30)</f>
        <v>1</v>
      </c>
      <c r="E30" s="5" t="str">
        <f aca="false" t="array" ref="E30:E30">INDEX(Data_DBD!$F:$F,$A30)</f>
        <v>Tinggi</v>
      </c>
      <c r="H30" s="5" t="n">
        <v>137</v>
      </c>
      <c r="I30" s="5" t="n">
        <v>3</v>
      </c>
      <c r="J30" s="5" t="n">
        <v>1</v>
      </c>
      <c r="K30" s="5" t="n">
        <v>1</v>
      </c>
      <c r="L30" s="5" t="s">
        <v>115</v>
      </c>
    </row>
    <row r="31" customFormat="false" ht="15" hidden="false" customHeight="false" outlineLevel="0" collapsed="false">
      <c r="A31" s="5" t="n">
        <f aca="false">RANDBETWEEN(2,164)</f>
        <v>137</v>
      </c>
      <c r="B31" s="5" t="n">
        <f aca="false" t="array" ref="B31:B31">INDEX(Data_DBD!$B:$B,$A31)</f>
        <v>3</v>
      </c>
      <c r="C31" s="5" t="n">
        <f aca="false" t="array" ref="C31:C31">INDEX(Data_DBD!$C:$C,$A31)</f>
        <v>1</v>
      </c>
      <c r="D31" s="5" t="n">
        <f aca="false" t="array" ref="D31:D31">INDEX(Data_DBD!$E:$E,$A31)</f>
        <v>1</v>
      </c>
      <c r="E31" s="5" t="str">
        <f aca="false" t="array" ref="E31:E31">INDEX(Data_DBD!$F:$F,$A31)</f>
        <v>Tinggi</v>
      </c>
      <c r="H31" s="5" t="n">
        <v>3</v>
      </c>
      <c r="I31" s="5" t="n">
        <v>43</v>
      </c>
      <c r="J31" s="5" t="n">
        <v>3</v>
      </c>
      <c r="K31" s="5" t="n">
        <v>1</v>
      </c>
      <c r="L31" s="5" t="s">
        <v>7</v>
      </c>
    </row>
    <row r="32" customFormat="false" ht="15" hidden="false" customHeight="false" outlineLevel="0" collapsed="false">
      <c r="A32" s="5" t="n">
        <f aca="false">RANDBETWEEN(2,164)</f>
        <v>98</v>
      </c>
      <c r="B32" s="5" t="n">
        <f aca="false" t="array" ref="B32:B32">INDEX(Data_DBD!$B:$B,$A32)</f>
        <v>16</v>
      </c>
      <c r="C32" s="5" t="n">
        <f aca="false" t="array" ref="C32:C32">INDEX(Data_DBD!$C:$C,$A32)</f>
        <v>2</v>
      </c>
      <c r="D32" s="5" t="n">
        <f aca="false" t="array" ref="D32:D32">INDEX(Data_DBD!$E:$E,$A32)</f>
        <v>1</v>
      </c>
      <c r="E32" s="5" t="str">
        <f aca="false" t="array" ref="E32:E32">INDEX(Data_DBD!$F:$F,$A32)</f>
        <v>Sedang</v>
      </c>
      <c r="H32" s="5" t="n">
        <v>91</v>
      </c>
      <c r="I32" s="5" t="n">
        <v>35</v>
      </c>
      <c r="J32" s="5" t="n">
        <v>1</v>
      </c>
      <c r="K32" s="5" t="n">
        <v>1</v>
      </c>
      <c r="L32" s="5" t="s">
        <v>115</v>
      </c>
    </row>
    <row r="33" customFormat="false" ht="15" hidden="false" customHeight="false" outlineLevel="0" collapsed="false">
      <c r="A33" s="5" t="n">
        <f aca="false">RANDBETWEEN(2,164)</f>
        <v>26</v>
      </c>
      <c r="B33" s="5" t="n">
        <f aca="false" t="array" ref="B33:B33">INDEX(Data_DBD!$B:$B,$A33)</f>
        <v>75</v>
      </c>
      <c r="C33" s="5" t="n">
        <f aca="false" t="array" ref="C33:C33">INDEX(Data_DBD!$C:$C,$A33)</f>
        <v>4</v>
      </c>
      <c r="D33" s="5" t="n">
        <f aca="false" t="array" ref="D33:D33">INDEX(Data_DBD!$E:$E,$A33)</f>
        <v>1</v>
      </c>
      <c r="E33" s="5" t="str">
        <f aca="false" t="array" ref="E33:E33">INDEX(Data_DBD!$F:$F,$A33)</f>
        <v>Sedang</v>
      </c>
      <c r="H33" s="5" t="n">
        <v>91</v>
      </c>
      <c r="I33" s="5" t="n">
        <v>35</v>
      </c>
      <c r="J33" s="5" t="n">
        <v>1</v>
      </c>
      <c r="K33" s="5" t="n">
        <v>1</v>
      </c>
      <c r="L33" s="5" t="s">
        <v>115</v>
      </c>
    </row>
    <row r="34" customFormat="false" ht="15" hidden="false" customHeight="false" outlineLevel="0" collapsed="false">
      <c r="A34" s="5" t="n">
        <f aca="false">RANDBETWEEN(2,164)</f>
        <v>141</v>
      </c>
      <c r="B34" s="5" t="n">
        <f aca="false" t="array" ref="B34:B34">INDEX(Data_DBD!$B:$B,$A34)</f>
        <v>36</v>
      </c>
      <c r="C34" s="5" t="n">
        <f aca="false" t="array" ref="C34:C34">INDEX(Data_DBD!$C:$C,$A34)</f>
        <v>2</v>
      </c>
      <c r="D34" s="5" t="n">
        <f aca="false" t="array" ref="D34:D34">INDEX(Data_DBD!$E:$E,$A34)</f>
        <v>0</v>
      </c>
      <c r="E34" s="5" t="str">
        <f aca="false" t="array" ref="E34:E34">INDEX(Data_DBD!$F:$F,$A34)</f>
        <v>Tinggi</v>
      </c>
      <c r="H34" s="5" t="n">
        <v>75</v>
      </c>
      <c r="I34" s="5" t="n">
        <v>2</v>
      </c>
      <c r="J34" s="5" t="n">
        <v>2</v>
      </c>
      <c r="K34" s="5" t="n">
        <v>1</v>
      </c>
      <c r="L34" s="5" t="s">
        <v>7</v>
      </c>
    </row>
    <row r="35" customFormat="false" ht="15" hidden="false" customHeight="false" outlineLevel="0" collapsed="false">
      <c r="A35" s="5" t="n">
        <f aca="false">RANDBETWEEN(2,164)</f>
        <v>38</v>
      </c>
      <c r="B35" s="5" t="n">
        <f aca="false" t="array" ref="B35:B35">INDEX(Data_DBD!$B:$B,$A35)</f>
        <v>52</v>
      </c>
      <c r="C35" s="5" t="n">
        <f aca="false" t="array" ref="C35:C35">INDEX(Data_DBD!$C:$C,$A35)</f>
        <v>3</v>
      </c>
      <c r="D35" s="5" t="n">
        <f aca="false" t="array" ref="D35:D35">INDEX(Data_DBD!$E:$E,$A35)</f>
        <v>1</v>
      </c>
      <c r="E35" s="5" t="str">
        <f aca="false" t="array" ref="E35:E35">INDEX(Data_DBD!$F:$F,$A35)</f>
        <v>Rendah</v>
      </c>
      <c r="H35" s="5" t="n">
        <v>151</v>
      </c>
      <c r="I35" s="5" t="n">
        <v>24</v>
      </c>
      <c r="J35" s="5" t="n">
        <v>3</v>
      </c>
      <c r="K35" s="5" t="n">
        <v>0</v>
      </c>
      <c r="L35" s="5" t="s">
        <v>115</v>
      </c>
    </row>
    <row r="36" customFormat="false" ht="15" hidden="false" customHeight="false" outlineLevel="0" collapsed="false">
      <c r="A36" s="5" t="n">
        <f aca="false">RANDBETWEEN(2,164)</f>
        <v>110</v>
      </c>
      <c r="B36" s="5" t="n">
        <f aca="false" t="array" ref="B36:B36">INDEX(Data_DBD!$B:$B,$A36)</f>
        <v>42</v>
      </c>
      <c r="C36" s="5" t="n">
        <f aca="false" t="array" ref="C36:C36">INDEX(Data_DBD!$C:$C,$A36)</f>
        <v>2</v>
      </c>
      <c r="D36" s="5" t="n">
        <f aca="false" t="array" ref="D36:D36">INDEX(Data_DBD!$E:$E,$A36)</f>
        <v>1</v>
      </c>
      <c r="E36" s="5" t="str">
        <f aca="false" t="array" ref="E36:E36">INDEX(Data_DBD!$F:$F,$A36)</f>
        <v>Tinggi</v>
      </c>
      <c r="H36" s="5" t="n">
        <v>80</v>
      </c>
      <c r="I36" s="5" t="n">
        <v>27</v>
      </c>
      <c r="J36" s="5" t="n">
        <v>3</v>
      </c>
      <c r="K36" s="5" t="n">
        <v>1</v>
      </c>
      <c r="L36" s="5" t="s">
        <v>7</v>
      </c>
    </row>
    <row r="37" customFormat="false" ht="15" hidden="false" customHeight="false" outlineLevel="0" collapsed="false">
      <c r="A37" s="5" t="n">
        <f aca="false">RANDBETWEEN(2,164)</f>
        <v>57</v>
      </c>
      <c r="B37" s="5" t="n">
        <f aca="false" t="array" ref="B37:B37">INDEX(Data_DBD!$B:$B,$A37)</f>
        <v>2</v>
      </c>
      <c r="C37" s="5" t="n">
        <f aca="false" t="array" ref="C37:C37">INDEX(Data_DBD!$C:$C,$A37)</f>
        <v>2</v>
      </c>
      <c r="D37" s="5" t="n">
        <f aca="false" t="array" ref="D37:D37">INDEX(Data_DBD!$E:$E,$A37)</f>
        <v>1</v>
      </c>
      <c r="E37" s="5" t="str">
        <f aca="false" t="array" ref="E37:E37">INDEX(Data_DBD!$F:$F,$A37)</f>
        <v>Sedang</v>
      </c>
      <c r="H37" s="5" t="n">
        <v>23</v>
      </c>
      <c r="I37" s="5" t="n">
        <v>28</v>
      </c>
      <c r="J37" s="5" t="n">
        <v>4</v>
      </c>
      <c r="K37" s="5" t="n">
        <v>1</v>
      </c>
      <c r="L37" s="5" t="s">
        <v>7</v>
      </c>
    </row>
    <row r="38" customFormat="false" ht="15" hidden="false" customHeight="false" outlineLevel="0" collapsed="false">
      <c r="A38" s="5" t="n">
        <f aca="false">RANDBETWEEN(2,164)</f>
        <v>100</v>
      </c>
      <c r="B38" s="5" t="n">
        <f aca="false" t="array" ref="B38:B38">INDEX(Data_DBD!$B:$B,$A38)</f>
        <v>19</v>
      </c>
      <c r="C38" s="5" t="n">
        <f aca="false" t="array" ref="C38:C38">INDEX(Data_DBD!$C:$C,$A38)</f>
        <v>6</v>
      </c>
      <c r="D38" s="5" t="n">
        <f aca="false" t="array" ref="D38:D38">INDEX(Data_DBD!$E:$E,$A38)</f>
        <v>0</v>
      </c>
      <c r="E38" s="5" t="str">
        <f aca="false" t="array" ref="E38:E38">INDEX(Data_DBD!$F:$F,$A38)</f>
        <v>Sedang</v>
      </c>
      <c r="H38" s="5" t="n">
        <v>35</v>
      </c>
      <c r="I38" s="5" t="n">
        <v>40</v>
      </c>
      <c r="J38" s="5" t="n">
        <v>3</v>
      </c>
      <c r="K38" s="5" t="n">
        <v>1</v>
      </c>
      <c r="L38" s="5" t="s">
        <v>20</v>
      </c>
    </row>
    <row r="39" customFormat="false" ht="15" hidden="false" customHeight="false" outlineLevel="0" collapsed="false">
      <c r="A39" s="5" t="n">
        <f aca="false">RANDBETWEEN(2,164)</f>
        <v>74</v>
      </c>
      <c r="B39" s="5" t="n">
        <f aca="false" t="array" ref="B39:B39">INDEX(Data_DBD!$B:$B,$A39)</f>
        <v>9</v>
      </c>
      <c r="C39" s="5" t="n">
        <f aca="false" t="array" ref="C39:C39">INDEX(Data_DBD!$C:$C,$A39)</f>
        <v>4</v>
      </c>
      <c r="D39" s="5" t="n">
        <f aca="false" t="array" ref="D39:D39">INDEX(Data_DBD!$E:$E,$A39)</f>
        <v>0</v>
      </c>
      <c r="E39" s="5" t="str">
        <f aca="false" t="array" ref="E39:E39">INDEX(Data_DBD!$F:$F,$A39)</f>
        <v>Rendah</v>
      </c>
      <c r="H39" s="5" t="n">
        <v>129</v>
      </c>
      <c r="I39" s="5" t="n">
        <v>4</v>
      </c>
      <c r="J39" s="5" t="n">
        <v>3</v>
      </c>
      <c r="K39" s="5" t="n">
        <v>0</v>
      </c>
      <c r="L39" s="5" t="s">
        <v>115</v>
      </c>
    </row>
    <row r="40" customFormat="false" ht="15" hidden="false" customHeight="false" outlineLevel="0" collapsed="false">
      <c r="A40" s="5" t="n">
        <f aca="false">RANDBETWEEN(2,164)</f>
        <v>101</v>
      </c>
      <c r="B40" s="5" t="n">
        <f aca="false" t="array" ref="B40:B40">INDEX(Data_DBD!$B:$B,$A40)</f>
        <v>42</v>
      </c>
      <c r="C40" s="5" t="n">
        <f aca="false" t="array" ref="C40:C40">INDEX(Data_DBD!$C:$C,$A40)</f>
        <v>5</v>
      </c>
      <c r="D40" s="5" t="n">
        <f aca="false" t="array" ref="D40:D40">INDEX(Data_DBD!$E:$E,$A40)</f>
        <v>0</v>
      </c>
      <c r="E40" s="5" t="str">
        <f aca="false" t="array" ref="E40:E40">INDEX(Data_DBD!$F:$F,$A40)</f>
        <v>Sedang</v>
      </c>
      <c r="H40" s="5" t="n">
        <v>143</v>
      </c>
      <c r="I40" s="5" t="n">
        <v>20</v>
      </c>
      <c r="J40" s="5" t="n">
        <v>4</v>
      </c>
      <c r="K40" s="5" t="n">
        <v>1</v>
      </c>
      <c r="L40" s="5" t="s">
        <v>115</v>
      </c>
    </row>
    <row r="41" customFormat="false" ht="15" hidden="false" customHeight="false" outlineLevel="0" collapsed="false">
      <c r="A41" s="5" t="n">
        <f aca="false">RANDBETWEEN(2,164)</f>
        <v>151</v>
      </c>
      <c r="B41" s="5" t="n">
        <f aca="false" t="array" ref="B41:B41">INDEX(Data_DBD!$B:$B,$A41)</f>
        <v>24</v>
      </c>
      <c r="C41" s="5" t="n">
        <f aca="false" t="array" ref="C41:C41">INDEX(Data_DBD!$C:$C,$A41)</f>
        <v>3</v>
      </c>
      <c r="D41" s="5" t="n">
        <f aca="false" t="array" ref="D41:D41">INDEX(Data_DBD!$E:$E,$A41)</f>
        <v>0</v>
      </c>
      <c r="E41" s="5" t="str">
        <f aca="false" t="array" ref="E41:E41">INDEX(Data_DBD!$F:$F,$A41)</f>
        <v>Tinggi</v>
      </c>
      <c r="H41" s="5" t="n">
        <v>53</v>
      </c>
      <c r="I41" s="5" t="n">
        <v>35</v>
      </c>
      <c r="J41" s="5" t="n">
        <v>4</v>
      </c>
      <c r="K41" s="5" t="n">
        <v>1</v>
      </c>
      <c r="L41" s="5" t="s">
        <v>7</v>
      </c>
    </row>
    <row r="42" customFormat="false" ht="15" hidden="false" customHeight="false" outlineLevel="0" collapsed="false">
      <c r="A42" s="5" t="n">
        <f aca="false">RANDBETWEEN(2,164)</f>
        <v>159</v>
      </c>
      <c r="B42" s="5" t="n">
        <f aca="false" t="array" ref="B42:B42">INDEX(Data_DBD!$B:$B,$A42)</f>
        <v>17</v>
      </c>
      <c r="C42" s="5" t="n">
        <f aca="false" t="array" ref="C42:C42">INDEX(Data_DBD!$C:$C,$A42)</f>
        <v>2</v>
      </c>
      <c r="D42" s="5" t="n">
        <f aca="false" t="array" ref="D42:D42">INDEX(Data_DBD!$E:$E,$A42)</f>
        <v>0</v>
      </c>
      <c r="E42" s="5" t="str">
        <f aca="false" t="array" ref="E42:E42">INDEX(Data_DBD!$F:$F,$A42)</f>
        <v>Tinggi</v>
      </c>
      <c r="H42" s="5" t="n">
        <v>72</v>
      </c>
      <c r="I42" s="5" t="n">
        <v>3</v>
      </c>
      <c r="J42" s="5" t="n">
        <v>5</v>
      </c>
      <c r="K42" s="5" t="n">
        <v>1</v>
      </c>
      <c r="L42" s="5" t="s">
        <v>7</v>
      </c>
    </row>
    <row r="43" customFormat="false" ht="15" hidden="false" customHeight="false" outlineLevel="0" collapsed="false">
      <c r="A43" s="5" t="n">
        <f aca="false">RANDBETWEEN(2,164)</f>
        <v>35</v>
      </c>
      <c r="B43" s="5" t="n">
        <f aca="false" t="array" ref="B43:B43">INDEX(Data_DBD!$B:$B,$A43)</f>
        <v>40</v>
      </c>
      <c r="C43" s="5" t="n">
        <f aca="false" t="array" ref="C43:C43">INDEX(Data_DBD!$C:$C,$A43)</f>
        <v>3</v>
      </c>
      <c r="D43" s="5" t="n">
        <f aca="false" t="array" ref="D43:D43">INDEX(Data_DBD!$E:$E,$A43)</f>
        <v>1</v>
      </c>
      <c r="E43" s="5" t="str">
        <f aca="false" t="array" ref="E43:E43">INDEX(Data_DBD!$F:$F,$A43)</f>
        <v>Rendah</v>
      </c>
      <c r="H43" s="5" t="n">
        <v>157</v>
      </c>
      <c r="I43" s="5" t="n">
        <v>15</v>
      </c>
      <c r="J43" s="5" t="n">
        <v>4</v>
      </c>
      <c r="K43" s="5" t="n">
        <v>1</v>
      </c>
      <c r="L43" s="5" t="s">
        <v>115</v>
      </c>
    </row>
    <row r="44" customFormat="false" ht="15" hidden="false" customHeight="false" outlineLevel="0" collapsed="false">
      <c r="A44" s="5" t="n">
        <f aca="false">RANDBETWEEN(2,164)</f>
        <v>73</v>
      </c>
      <c r="B44" s="5" t="n">
        <f aca="false" t="array" ref="B44:B44">INDEX(Data_DBD!$B:$B,$A44)</f>
        <v>15</v>
      </c>
      <c r="C44" s="5" t="n">
        <f aca="false" t="array" ref="C44:C44">INDEX(Data_DBD!$C:$C,$A44)</f>
        <v>3</v>
      </c>
      <c r="D44" s="5" t="n">
        <f aca="false" t="array" ref="D44:D44">INDEX(Data_DBD!$E:$E,$A44)</f>
        <v>1</v>
      </c>
      <c r="E44" s="5" t="str">
        <f aca="false" t="array" ref="E44:E44">INDEX(Data_DBD!$F:$F,$A44)</f>
        <v>Rendah</v>
      </c>
      <c r="H44" s="5" t="n">
        <v>50</v>
      </c>
      <c r="I44" s="5" t="n">
        <v>19</v>
      </c>
      <c r="J44" s="5" t="n">
        <v>5</v>
      </c>
      <c r="K44" s="5" t="n">
        <v>0</v>
      </c>
      <c r="L44" s="5" t="s">
        <v>7</v>
      </c>
    </row>
    <row r="45" customFormat="false" ht="15" hidden="false" customHeight="false" outlineLevel="0" collapsed="false">
      <c r="A45" s="5" t="n">
        <f aca="false">RANDBETWEEN(2,164)</f>
        <v>88</v>
      </c>
      <c r="B45" s="5" t="n">
        <f aca="false" t="array" ref="B45:B45">INDEX(Data_DBD!$B:$B,$A45)</f>
        <v>20</v>
      </c>
      <c r="C45" s="5" t="n">
        <f aca="false" t="array" ref="C45:C45">INDEX(Data_DBD!$C:$C,$A45)</f>
        <v>4</v>
      </c>
      <c r="D45" s="5" t="n">
        <f aca="false" t="array" ref="D45:D45">INDEX(Data_DBD!$E:$E,$A45)</f>
        <v>1</v>
      </c>
      <c r="E45" s="5" t="str">
        <f aca="false" t="array" ref="E45:E45">INDEX(Data_DBD!$F:$F,$A45)</f>
        <v>Sedang</v>
      </c>
      <c r="H45" s="5" t="n">
        <v>124</v>
      </c>
      <c r="I45" s="5" t="n">
        <v>24</v>
      </c>
      <c r="J45" s="5" t="n">
        <v>3</v>
      </c>
      <c r="K45" s="5" t="n">
        <v>1</v>
      </c>
      <c r="L45" s="5" t="s">
        <v>115</v>
      </c>
    </row>
    <row r="46" customFormat="false" ht="15" hidden="false" customHeight="false" outlineLevel="0" collapsed="false">
      <c r="A46" s="5" t="n">
        <f aca="false">RANDBETWEEN(2,164)</f>
        <v>59</v>
      </c>
      <c r="B46" s="5" t="n">
        <f aca="false" t="array" ref="B46:B46">INDEX(Data_DBD!$B:$B,$A46)</f>
        <v>28</v>
      </c>
      <c r="C46" s="5" t="n">
        <f aca="false" t="array" ref="C46:C46">INDEX(Data_DBD!$C:$C,$A46)</f>
        <v>4</v>
      </c>
      <c r="D46" s="5" t="n">
        <f aca="false" t="array" ref="D46:D46">INDEX(Data_DBD!$E:$E,$A46)</f>
        <v>0</v>
      </c>
      <c r="E46" s="5" t="str">
        <f aca="false" t="array" ref="E46:E46">INDEX(Data_DBD!$F:$F,$A46)</f>
        <v>Sedang</v>
      </c>
      <c r="H46" s="5" t="n">
        <v>75</v>
      </c>
      <c r="I46" s="5" t="n">
        <v>2</v>
      </c>
      <c r="J46" s="5" t="n">
        <v>2</v>
      </c>
      <c r="K46" s="5" t="n">
        <v>1</v>
      </c>
      <c r="L46" s="5" t="s">
        <v>7</v>
      </c>
    </row>
    <row r="47" customFormat="false" ht="15" hidden="false" customHeight="false" outlineLevel="0" collapsed="false">
      <c r="A47" s="5" t="n">
        <f aca="false">RANDBETWEEN(2,164)</f>
        <v>22</v>
      </c>
      <c r="B47" s="5" t="n">
        <f aca="false" t="array" ref="B47:B47">INDEX(Data_DBD!$B:$B,$A47)</f>
        <v>6</v>
      </c>
      <c r="C47" s="5" t="n">
        <f aca="false" t="array" ref="C47:C47">INDEX(Data_DBD!$C:$C,$A47)</f>
        <v>3</v>
      </c>
      <c r="D47" s="5" t="n">
        <f aca="false" t="array" ref="D47:D47">INDEX(Data_DBD!$E:$E,$A47)</f>
        <v>0</v>
      </c>
      <c r="E47" s="5" t="str">
        <f aca="false" t="array" ref="E47:E47">INDEX(Data_DBD!$F:$F,$A47)</f>
        <v>Sedang</v>
      </c>
      <c r="H47" s="5" t="n">
        <v>147</v>
      </c>
      <c r="I47" s="5" t="n">
        <v>66</v>
      </c>
      <c r="J47" s="5" t="n">
        <v>10</v>
      </c>
      <c r="K47" s="5" t="n">
        <v>1</v>
      </c>
      <c r="L47" s="5" t="s">
        <v>115</v>
      </c>
    </row>
    <row r="48" customFormat="false" ht="15" hidden="false" customHeight="false" outlineLevel="0" collapsed="false">
      <c r="A48" s="5" t="n">
        <f aca="false">RANDBETWEEN(2,164)</f>
        <v>15</v>
      </c>
      <c r="B48" s="5" t="n">
        <f aca="false" t="array" ref="B48:B48">INDEX(Data_DBD!$B:$B,$A48)</f>
        <v>21</v>
      </c>
      <c r="C48" s="5" t="n">
        <f aca="false" t="array" ref="C48:C48">INDEX(Data_DBD!$C:$C,$A48)</f>
        <v>2</v>
      </c>
      <c r="D48" s="5" t="n">
        <f aca="false" t="array" ref="D48:D48">INDEX(Data_DBD!$E:$E,$A48)</f>
        <v>0</v>
      </c>
      <c r="E48" s="5" t="str">
        <f aca="false" t="array" ref="E48:E48">INDEX(Data_DBD!$F:$F,$A48)</f>
        <v>Rendah</v>
      </c>
      <c r="H48" s="5" t="n">
        <v>45</v>
      </c>
      <c r="I48" s="5" t="n">
        <v>75</v>
      </c>
      <c r="J48" s="5" t="n">
        <v>3</v>
      </c>
      <c r="K48" s="5" t="n">
        <v>1</v>
      </c>
      <c r="L48" s="5" t="s">
        <v>7</v>
      </c>
    </row>
    <row r="49" customFormat="false" ht="15" hidden="false" customHeight="false" outlineLevel="0" collapsed="false">
      <c r="A49" s="5" t="n">
        <f aca="false">RANDBETWEEN(2,164)</f>
        <v>7</v>
      </c>
      <c r="B49" s="5" t="n">
        <f aca="false" t="array" ref="B49:B49">INDEX(Data_DBD!$B:$B,$A49)</f>
        <v>12</v>
      </c>
      <c r="C49" s="5" t="n">
        <f aca="false" t="array" ref="C49:C49">INDEX(Data_DBD!$C:$C,$A49)</f>
        <v>1</v>
      </c>
      <c r="D49" s="5" t="n">
        <f aca="false" t="array" ref="D49:D49">INDEX(Data_DBD!$E:$E,$A49)</f>
        <v>1</v>
      </c>
      <c r="E49" s="5" t="str">
        <f aca="false" t="array" ref="E49:E49">INDEX(Data_DBD!$F:$F,$A49)</f>
        <v>Sedang</v>
      </c>
      <c r="H49" s="5" t="n">
        <v>163</v>
      </c>
      <c r="I49" s="5" t="n">
        <v>34</v>
      </c>
      <c r="J49" s="5" t="n">
        <v>4</v>
      </c>
      <c r="K49" s="5" t="n">
        <v>1</v>
      </c>
      <c r="L49" s="5" t="s">
        <v>20</v>
      </c>
    </row>
    <row r="50" customFormat="false" ht="15" hidden="false" customHeight="false" outlineLevel="0" collapsed="false">
      <c r="A50" s="5" t="n">
        <f aca="false">RANDBETWEEN(2,164)</f>
        <v>162</v>
      </c>
      <c r="B50" s="5" t="n">
        <f aca="false" t="array" ref="B50:B50">INDEX(Data_DBD!$B:$B,$A50)</f>
        <v>22</v>
      </c>
      <c r="C50" s="5" t="n">
        <f aca="false" t="array" ref="C50:C50">INDEX(Data_DBD!$C:$C,$A50)</f>
        <v>3</v>
      </c>
      <c r="D50" s="5" t="n">
        <f aca="false" t="array" ref="D50:D50">INDEX(Data_DBD!$E:$E,$A50)</f>
        <v>1</v>
      </c>
      <c r="E50" s="5" t="str">
        <f aca="false" t="array" ref="E50:E50">INDEX(Data_DBD!$F:$F,$A50)</f>
        <v>Rendah</v>
      </c>
      <c r="H50" s="5" t="n">
        <v>40</v>
      </c>
      <c r="I50" s="5" t="n">
        <v>65</v>
      </c>
      <c r="J50" s="5" t="n">
        <v>3</v>
      </c>
      <c r="K50" s="5" t="n">
        <v>1</v>
      </c>
      <c r="L50" s="5" t="s">
        <v>7</v>
      </c>
    </row>
    <row r="51" customFormat="false" ht="15" hidden="false" customHeight="false" outlineLevel="0" collapsed="false">
      <c r="A51" s="5" t="n">
        <f aca="false">RANDBETWEEN(2,164)</f>
        <v>140</v>
      </c>
      <c r="B51" s="5" t="n">
        <f aca="false" t="array" ref="B51:B51">INDEX(Data_DBD!$B:$B,$A51)</f>
        <v>74</v>
      </c>
      <c r="C51" s="5" t="n">
        <f aca="false" t="array" ref="C51:C51">INDEX(Data_DBD!$C:$C,$A51)</f>
        <v>5</v>
      </c>
      <c r="D51" s="5" t="n">
        <f aca="false" t="array" ref="D51:D51">INDEX(Data_DBD!$E:$E,$A51)</f>
        <v>1</v>
      </c>
      <c r="E51" s="5" t="str">
        <f aca="false" t="array" ref="E51:E51">INDEX(Data_DBD!$F:$F,$A51)</f>
        <v>Tinggi</v>
      </c>
      <c r="H51" s="5" t="n">
        <v>22</v>
      </c>
      <c r="I51" s="5" t="n">
        <v>6</v>
      </c>
      <c r="J51" s="5" t="n">
        <v>3</v>
      </c>
      <c r="K51" s="5" t="n">
        <v>0</v>
      </c>
      <c r="L51" s="5" t="s">
        <v>7</v>
      </c>
    </row>
    <row r="52" customFormat="false" ht="15" hidden="false" customHeight="false" outlineLevel="0" collapsed="false">
      <c r="A52" s="5" t="n">
        <f aca="false">RANDBETWEEN(2,164)</f>
        <v>108</v>
      </c>
      <c r="B52" s="5" t="n">
        <f aca="false" t="array" ref="B52:B52">INDEX(Data_DBD!$B:$B,$A52)</f>
        <v>69</v>
      </c>
      <c r="C52" s="5" t="n">
        <f aca="false" t="array" ref="C52:C52">INDEX(Data_DBD!$C:$C,$A52)</f>
        <v>7</v>
      </c>
      <c r="D52" s="5" t="n">
        <f aca="false" t="array" ref="D52:D52">INDEX(Data_DBD!$E:$E,$A52)</f>
        <v>1</v>
      </c>
      <c r="E52" s="5" t="str">
        <f aca="false" t="array" ref="E52:E52">INDEX(Data_DBD!$F:$F,$A52)</f>
        <v>Tinggi</v>
      </c>
      <c r="H52" s="5" t="n">
        <v>105</v>
      </c>
      <c r="I52" s="5" t="n">
        <v>61</v>
      </c>
      <c r="J52" s="5" t="n">
        <v>3</v>
      </c>
      <c r="K52" s="5" t="n">
        <v>1</v>
      </c>
      <c r="L52" s="5" t="s">
        <v>115</v>
      </c>
    </row>
    <row r="53" customFormat="false" ht="15" hidden="false" customHeight="false" outlineLevel="0" collapsed="false">
      <c r="A53" s="5" t="n">
        <f aca="false">RANDBETWEEN(2,164)</f>
        <v>75</v>
      </c>
      <c r="B53" s="5" t="n">
        <f aca="false" t="array" ref="B53:B53">INDEX(Data_DBD!$B:$B,$A53)</f>
        <v>2</v>
      </c>
      <c r="C53" s="5" t="n">
        <f aca="false" t="array" ref="C53:C53">INDEX(Data_DBD!$C:$C,$A53)</f>
        <v>2</v>
      </c>
      <c r="D53" s="5" t="n">
        <f aca="false" t="array" ref="D53:D53">INDEX(Data_DBD!$E:$E,$A53)</f>
        <v>1</v>
      </c>
      <c r="E53" s="5" t="str">
        <f aca="false" t="array" ref="E53:E53">INDEX(Data_DBD!$F:$F,$A53)</f>
        <v>Rendah</v>
      </c>
      <c r="H53" s="5" t="n">
        <v>12</v>
      </c>
      <c r="I53" s="5" t="n">
        <v>23</v>
      </c>
      <c r="J53" s="5" t="n">
        <v>3</v>
      </c>
      <c r="K53" s="5" t="n">
        <v>0</v>
      </c>
      <c r="L53" s="5" t="s">
        <v>7</v>
      </c>
    </row>
    <row r="54" customFormat="false" ht="15" hidden="false" customHeight="false" outlineLevel="0" collapsed="false">
      <c r="A54" s="5" t="n">
        <f aca="false">RANDBETWEEN(2,164)</f>
        <v>151</v>
      </c>
      <c r="B54" s="5" t="n">
        <f aca="false" t="array" ref="B54:B54">INDEX(Data_DBD!$B:$B,$A54)</f>
        <v>24</v>
      </c>
      <c r="C54" s="5" t="n">
        <f aca="false" t="array" ref="C54:C54">INDEX(Data_DBD!$C:$C,$A54)</f>
        <v>3</v>
      </c>
      <c r="D54" s="5" t="n">
        <f aca="false" t="array" ref="D54:D54">INDEX(Data_DBD!$E:$E,$A54)</f>
        <v>0</v>
      </c>
      <c r="E54" s="5" t="str">
        <f aca="false" t="array" ref="E54:E54">INDEX(Data_DBD!$F:$F,$A54)</f>
        <v>Tinggi</v>
      </c>
      <c r="H54" s="5" t="n">
        <v>155</v>
      </c>
      <c r="I54" s="5" t="n">
        <v>19</v>
      </c>
      <c r="J54" s="5" t="n">
        <v>5</v>
      </c>
      <c r="K54" s="5" t="n">
        <v>1</v>
      </c>
      <c r="L54" s="5" t="s">
        <v>115</v>
      </c>
    </row>
    <row r="55" customFormat="false" ht="15" hidden="false" customHeight="false" outlineLevel="0" collapsed="false">
      <c r="A55" s="5" t="n">
        <f aca="false">RANDBETWEEN(2,164)</f>
        <v>158</v>
      </c>
      <c r="B55" s="5" t="n">
        <f aca="false" t="array" ref="B55:B55">INDEX(Data_DBD!$B:$B,$A55)</f>
        <v>5</v>
      </c>
      <c r="C55" s="5" t="n">
        <f aca="false" t="array" ref="C55:C55">INDEX(Data_DBD!$C:$C,$A55)</f>
        <v>2</v>
      </c>
      <c r="D55" s="5" t="n">
        <f aca="false" t="array" ref="D55:D55">INDEX(Data_DBD!$E:$E,$A55)</f>
        <v>0</v>
      </c>
      <c r="E55" s="5" t="str">
        <f aca="false" t="array" ref="E55:E55">INDEX(Data_DBD!$F:$F,$A55)</f>
        <v>Tinggi</v>
      </c>
      <c r="H55" s="5" t="n">
        <v>45</v>
      </c>
      <c r="I55" s="5" t="n">
        <v>75</v>
      </c>
      <c r="J55" s="5" t="n">
        <v>3</v>
      </c>
      <c r="K55" s="5" t="n">
        <v>1</v>
      </c>
      <c r="L55" s="5" t="s">
        <v>7</v>
      </c>
    </row>
    <row r="56" customFormat="false" ht="15" hidden="false" customHeight="false" outlineLevel="0" collapsed="false">
      <c r="A56" s="5" t="n">
        <f aca="false">RANDBETWEEN(2,164)</f>
        <v>65</v>
      </c>
      <c r="B56" s="5" t="n">
        <f aca="false" t="array" ref="B56:B56">INDEX(Data_DBD!$B:$B,$A56)</f>
        <v>49</v>
      </c>
      <c r="C56" s="5" t="n">
        <f aca="false" t="array" ref="C56:C56">INDEX(Data_DBD!$C:$C,$A56)</f>
        <v>3</v>
      </c>
      <c r="D56" s="5" t="n">
        <f aca="false" t="array" ref="D56:D56">INDEX(Data_DBD!$E:$E,$A56)</f>
        <v>0</v>
      </c>
      <c r="E56" s="5" t="str">
        <f aca="false" t="array" ref="E56:E56">INDEX(Data_DBD!$F:$F,$A56)</f>
        <v>Sedang</v>
      </c>
      <c r="H56" s="5" t="n">
        <v>91</v>
      </c>
      <c r="I56" s="5" t="n">
        <v>35</v>
      </c>
      <c r="J56" s="5" t="n">
        <v>1</v>
      </c>
      <c r="K56" s="5" t="n">
        <v>1</v>
      </c>
      <c r="L56" s="5" t="s">
        <v>115</v>
      </c>
    </row>
    <row r="57" customFormat="false" ht="15" hidden="false" customHeight="false" outlineLevel="0" collapsed="false">
      <c r="A57" s="5" t="n">
        <f aca="false">RANDBETWEEN(2,164)</f>
        <v>77</v>
      </c>
      <c r="B57" s="5" t="n">
        <f aca="false" t="array" ref="B57:B57">INDEX(Data_DBD!$B:$B,$A57)</f>
        <v>16</v>
      </c>
      <c r="C57" s="5" t="n">
        <f aca="false" t="array" ref="C57:C57">INDEX(Data_DBD!$C:$C,$A57)</f>
        <v>4</v>
      </c>
      <c r="D57" s="5" t="n">
        <f aca="false" t="array" ref="D57:D57">INDEX(Data_DBD!$E:$E,$A57)</f>
        <v>1</v>
      </c>
      <c r="E57" s="5" t="str">
        <f aca="false" t="array" ref="E57:E57">INDEX(Data_DBD!$F:$F,$A57)</f>
        <v>Sedang</v>
      </c>
      <c r="H57" s="5" t="n">
        <v>60</v>
      </c>
      <c r="I57" s="5" t="n">
        <v>68</v>
      </c>
      <c r="J57" s="5" t="n">
        <v>4</v>
      </c>
      <c r="K57" s="5" t="n">
        <v>0</v>
      </c>
      <c r="L57" s="5" t="s">
        <v>7</v>
      </c>
    </row>
    <row r="58" customFormat="false" ht="15" hidden="false" customHeight="false" outlineLevel="0" collapsed="false">
      <c r="A58" s="5" t="n">
        <f aca="false">RANDBETWEEN(2,164)</f>
        <v>48</v>
      </c>
      <c r="B58" s="5" t="n">
        <f aca="false" t="array" ref="B58:B58">INDEX(Data_DBD!$B:$B,$A58)</f>
        <v>50</v>
      </c>
      <c r="C58" s="5" t="n">
        <f aca="false" t="array" ref="C58:C58">INDEX(Data_DBD!$C:$C,$A58)</f>
        <v>5</v>
      </c>
      <c r="D58" s="5" t="n">
        <f aca="false" t="array" ref="D58:D58">INDEX(Data_DBD!$E:$E,$A58)</f>
        <v>1</v>
      </c>
      <c r="E58" s="5" t="str">
        <f aca="false" t="array" ref="E58:E58">INDEX(Data_DBD!$F:$F,$A58)</f>
        <v>Sedang</v>
      </c>
      <c r="H58" s="5" t="n">
        <v>76</v>
      </c>
      <c r="I58" s="5" t="n">
        <v>70</v>
      </c>
      <c r="J58" s="5" t="n">
        <v>2</v>
      </c>
      <c r="K58" s="5" t="n">
        <v>0</v>
      </c>
      <c r="L58" s="5" t="s">
        <v>7</v>
      </c>
    </row>
    <row r="59" customFormat="false" ht="15" hidden="false" customHeight="false" outlineLevel="0" collapsed="false">
      <c r="A59" s="5" t="n">
        <f aca="false">RANDBETWEEN(2,164)</f>
        <v>148</v>
      </c>
      <c r="B59" s="5" t="n">
        <f aca="false" t="array" ref="B59:B59">INDEX(Data_DBD!$B:$B,$A59)</f>
        <v>55</v>
      </c>
      <c r="C59" s="5" t="n">
        <f aca="false" t="array" ref="C59:C59">INDEX(Data_DBD!$C:$C,$A59)</f>
        <v>3</v>
      </c>
      <c r="D59" s="5" t="n">
        <f aca="false" t="array" ref="D59:D59">INDEX(Data_DBD!$E:$E,$A59)</f>
        <v>1</v>
      </c>
      <c r="E59" s="5" t="str">
        <f aca="false" t="array" ref="E59:E59">INDEX(Data_DBD!$F:$F,$A59)</f>
        <v>Tinggi</v>
      </c>
      <c r="H59" s="5" t="n">
        <v>82</v>
      </c>
      <c r="I59" s="5" t="n">
        <v>28</v>
      </c>
      <c r="J59" s="5" t="n">
        <v>3</v>
      </c>
      <c r="K59" s="5" t="n">
        <v>1</v>
      </c>
      <c r="L59" s="5" t="s">
        <v>7</v>
      </c>
    </row>
    <row r="60" customFormat="false" ht="15" hidden="false" customHeight="false" outlineLevel="0" collapsed="false">
      <c r="A60" s="5" t="n">
        <f aca="false">RANDBETWEEN(2,164)</f>
        <v>88</v>
      </c>
      <c r="B60" s="5" t="n">
        <f aca="false" t="array" ref="B60:B60">INDEX(Data_DBD!$B:$B,$A60)</f>
        <v>20</v>
      </c>
      <c r="C60" s="5" t="n">
        <f aca="false" t="array" ref="C60:C60">INDEX(Data_DBD!$C:$C,$A60)</f>
        <v>4</v>
      </c>
      <c r="D60" s="5" t="n">
        <f aca="false" t="array" ref="D60:D60">INDEX(Data_DBD!$E:$E,$A60)</f>
        <v>1</v>
      </c>
      <c r="E60" s="5" t="str">
        <f aca="false" t="array" ref="E60:E60">INDEX(Data_DBD!$F:$F,$A60)</f>
        <v>Sedang</v>
      </c>
      <c r="H60" s="5" t="n">
        <v>154</v>
      </c>
      <c r="I60" s="5" t="n">
        <v>18</v>
      </c>
      <c r="J60" s="5" t="n">
        <v>5</v>
      </c>
      <c r="K60" s="5" t="n">
        <v>1</v>
      </c>
      <c r="L60" s="5" t="s">
        <v>115</v>
      </c>
    </row>
    <row r="61" customFormat="false" ht="15" hidden="false" customHeight="false" outlineLevel="0" collapsed="false">
      <c r="A61" s="5" t="n">
        <f aca="false">RANDBETWEEN(2,164)</f>
        <v>19</v>
      </c>
      <c r="B61" s="5" t="n">
        <f aca="false" t="array" ref="B61:B61">INDEX(Data_DBD!$B:$B,$A61)</f>
        <v>8</v>
      </c>
      <c r="C61" s="5" t="n">
        <f aca="false" t="array" ref="C61:C61">INDEX(Data_DBD!$C:$C,$A61)</f>
        <v>4</v>
      </c>
      <c r="D61" s="5" t="n">
        <f aca="false" t="array" ref="D61:D61">INDEX(Data_DBD!$E:$E,$A61)</f>
        <v>0</v>
      </c>
      <c r="E61" s="5" t="str">
        <f aca="false" t="array" ref="E61:E61">INDEX(Data_DBD!$F:$F,$A61)</f>
        <v>Rendah</v>
      </c>
      <c r="H61" s="5" t="n">
        <v>63</v>
      </c>
      <c r="I61" s="5" t="n">
        <v>25</v>
      </c>
      <c r="J61" s="5" t="n">
        <v>3</v>
      </c>
      <c r="K61" s="5" t="n">
        <v>0</v>
      </c>
      <c r="L61" s="5" t="s">
        <v>7</v>
      </c>
    </row>
    <row r="62" customFormat="false" ht="15" hidden="false" customHeight="false" outlineLevel="0" collapsed="false">
      <c r="A62" s="5" t="n">
        <f aca="false">RANDBETWEEN(2,164)</f>
        <v>74</v>
      </c>
      <c r="B62" s="5" t="n">
        <f aca="false" t="array" ref="B62:B62">INDEX(Data_DBD!$B:$B,$A62)</f>
        <v>9</v>
      </c>
      <c r="C62" s="5" t="n">
        <f aca="false" t="array" ref="C62:C62">INDEX(Data_DBD!$C:$C,$A62)</f>
        <v>4</v>
      </c>
      <c r="D62" s="5" t="n">
        <f aca="false" t="array" ref="D62:D62">INDEX(Data_DBD!$E:$E,$A62)</f>
        <v>0</v>
      </c>
      <c r="E62" s="5" t="str">
        <f aca="false" t="array" ref="E62:E62">INDEX(Data_DBD!$F:$F,$A62)</f>
        <v>Rendah</v>
      </c>
      <c r="H62" s="5" t="n">
        <v>17</v>
      </c>
      <c r="I62" s="5" t="n">
        <v>2</v>
      </c>
      <c r="J62" s="5" t="n">
        <v>3</v>
      </c>
      <c r="K62" s="5" t="n">
        <v>0</v>
      </c>
      <c r="L62" s="5" t="s">
        <v>20</v>
      </c>
    </row>
    <row r="63" customFormat="false" ht="15" hidden="false" customHeight="false" outlineLevel="0" collapsed="false">
      <c r="A63" s="5" t="n">
        <f aca="false">RANDBETWEEN(2,164)</f>
        <v>77</v>
      </c>
      <c r="B63" s="5" t="n">
        <f aca="false" t="array" ref="B63:B63">INDEX(Data_DBD!$B:$B,$A63)</f>
        <v>16</v>
      </c>
      <c r="C63" s="5" t="n">
        <f aca="false" t="array" ref="C63:C63">INDEX(Data_DBD!$C:$C,$A63)</f>
        <v>4</v>
      </c>
      <c r="D63" s="5" t="n">
        <f aca="false" t="array" ref="D63:D63">INDEX(Data_DBD!$E:$E,$A63)</f>
        <v>1</v>
      </c>
      <c r="E63" s="5" t="str">
        <f aca="false" t="array" ref="E63:E63">INDEX(Data_DBD!$F:$F,$A63)</f>
        <v>Sedang</v>
      </c>
      <c r="H63" s="5" t="n">
        <v>157</v>
      </c>
      <c r="I63" s="5" t="n">
        <v>15</v>
      </c>
      <c r="J63" s="5" t="n">
        <v>4</v>
      </c>
      <c r="K63" s="5" t="n">
        <v>1</v>
      </c>
      <c r="L63" s="5" t="s">
        <v>115</v>
      </c>
    </row>
    <row r="64" customFormat="false" ht="15" hidden="false" customHeight="false" outlineLevel="0" collapsed="false">
      <c r="A64" s="5" t="n">
        <f aca="false">RANDBETWEEN(2,164)</f>
        <v>38</v>
      </c>
      <c r="B64" s="5" t="n">
        <f aca="false" t="array" ref="B64:B64">INDEX(Data_DBD!$B:$B,$A64)</f>
        <v>52</v>
      </c>
      <c r="C64" s="5" t="n">
        <f aca="false" t="array" ref="C64:C64">INDEX(Data_DBD!$C:$C,$A64)</f>
        <v>3</v>
      </c>
      <c r="D64" s="5" t="n">
        <f aca="false" t="array" ref="D64:D64">INDEX(Data_DBD!$E:$E,$A64)</f>
        <v>1</v>
      </c>
      <c r="E64" s="5" t="str">
        <f aca="false" t="array" ref="E64:E64">INDEX(Data_DBD!$F:$F,$A64)</f>
        <v>Rendah</v>
      </c>
      <c r="H64" s="5" t="n">
        <v>123</v>
      </c>
      <c r="I64" s="5" t="n">
        <v>22</v>
      </c>
      <c r="J64" s="5" t="n">
        <v>4</v>
      </c>
      <c r="K64" s="5" t="n">
        <v>0</v>
      </c>
      <c r="L64" s="5" t="s">
        <v>115</v>
      </c>
    </row>
    <row r="65" customFormat="false" ht="15" hidden="false" customHeight="false" outlineLevel="0" collapsed="false">
      <c r="A65" s="5" t="n">
        <f aca="false">RANDBETWEEN(2,164)</f>
        <v>27</v>
      </c>
      <c r="B65" s="5" t="n">
        <f aca="false" t="array" ref="B65:B65">INDEX(Data_DBD!$B:$B,$A65)</f>
        <v>37</v>
      </c>
      <c r="C65" s="5" t="n">
        <f aca="false" t="array" ref="C65:C65">INDEX(Data_DBD!$C:$C,$A65)</f>
        <v>4</v>
      </c>
      <c r="D65" s="5" t="n">
        <f aca="false" t="array" ref="D65:D65">INDEX(Data_DBD!$E:$E,$A65)</f>
        <v>1</v>
      </c>
      <c r="E65" s="5" t="str">
        <f aca="false" t="array" ref="E65:E65">INDEX(Data_DBD!$F:$F,$A65)</f>
        <v>Sedang</v>
      </c>
      <c r="H65" s="5" t="n">
        <v>3</v>
      </c>
      <c r="I65" s="5" t="n">
        <v>43</v>
      </c>
      <c r="J65" s="5" t="n">
        <v>3</v>
      </c>
      <c r="K65" s="5" t="n">
        <v>1</v>
      </c>
      <c r="L65" s="5" t="s">
        <v>7</v>
      </c>
    </row>
    <row r="66" customFormat="false" ht="15" hidden="false" customHeight="false" outlineLevel="0" collapsed="false">
      <c r="A66" s="5" t="n">
        <f aca="false">RANDBETWEEN(2,164)</f>
        <v>9</v>
      </c>
      <c r="B66" s="5" t="n">
        <f aca="false" t="array" ref="B66:B66">INDEX(Data_DBD!$B:$B,$A66)</f>
        <v>16</v>
      </c>
      <c r="C66" s="5" t="n">
        <f aca="false" t="array" ref="C66:C66">INDEX(Data_DBD!$C:$C,$A66)</f>
        <v>6</v>
      </c>
      <c r="D66" s="5" t="n">
        <f aca="false" t="array" ref="D66:D66">INDEX(Data_DBD!$E:$E,$A66)</f>
        <v>1</v>
      </c>
      <c r="E66" s="5" t="str">
        <f aca="false" t="array" ref="E66:E66">INDEX(Data_DBD!$F:$F,$A66)</f>
        <v>Sedang</v>
      </c>
      <c r="H66" s="5" t="n">
        <v>32</v>
      </c>
      <c r="I66" s="5" t="n">
        <v>54</v>
      </c>
      <c r="J66" s="5" t="n">
        <v>4</v>
      </c>
      <c r="K66" s="5" t="n">
        <v>0</v>
      </c>
      <c r="L66" s="5" t="s">
        <v>7</v>
      </c>
    </row>
    <row r="67" customFormat="false" ht="15" hidden="false" customHeight="false" outlineLevel="0" collapsed="false">
      <c r="A67" s="5" t="n">
        <f aca="false">RANDBETWEEN(2,164)</f>
        <v>28</v>
      </c>
      <c r="B67" s="5" t="n">
        <f aca="false" t="array" ref="B67:B67">INDEX(Data_DBD!$B:$B,$A67)</f>
        <v>22</v>
      </c>
      <c r="C67" s="5" t="n">
        <f aca="false" t="array" ref="C67:C67">INDEX(Data_DBD!$C:$C,$A67)</f>
        <v>2</v>
      </c>
      <c r="D67" s="5" t="n">
        <f aca="false" t="array" ref="D67:D67">INDEX(Data_DBD!$E:$E,$A67)</f>
        <v>1</v>
      </c>
      <c r="E67" s="5" t="str">
        <f aca="false" t="array" ref="E67:E67">INDEX(Data_DBD!$F:$F,$A67)</f>
        <v>Sedang</v>
      </c>
      <c r="H67" s="5" t="n">
        <v>121</v>
      </c>
      <c r="I67" s="5" t="n">
        <v>82</v>
      </c>
      <c r="J67" s="5" t="n">
        <v>5</v>
      </c>
      <c r="K67" s="5" t="n">
        <v>1</v>
      </c>
      <c r="L67" s="5" t="s">
        <v>115</v>
      </c>
    </row>
    <row r="68" customFormat="false" ht="15" hidden="false" customHeight="false" outlineLevel="0" collapsed="false">
      <c r="A68" s="5" t="n">
        <f aca="false">RANDBETWEEN(2,164)</f>
        <v>71</v>
      </c>
      <c r="B68" s="5" t="n">
        <f aca="false" t="array" ref="B68:B68">INDEX(Data_DBD!$B:$B,$A68)</f>
        <v>84</v>
      </c>
      <c r="C68" s="5" t="n">
        <f aca="false" t="array" ref="C68:C68">INDEX(Data_DBD!$C:$C,$A68)</f>
        <v>3</v>
      </c>
      <c r="D68" s="5" t="n">
        <f aca="false" t="array" ref="D68:D68">INDEX(Data_DBD!$E:$E,$A68)</f>
        <v>0</v>
      </c>
      <c r="E68" s="5" t="str">
        <f aca="false" t="array" ref="E68:E68">INDEX(Data_DBD!$F:$F,$A68)</f>
        <v>Rendah</v>
      </c>
      <c r="H68" s="5" t="n">
        <v>60</v>
      </c>
      <c r="I68" s="5" t="n">
        <v>68</v>
      </c>
      <c r="J68" s="5" t="n">
        <v>4</v>
      </c>
      <c r="K68" s="5" t="n">
        <v>0</v>
      </c>
      <c r="L68" s="5" t="s">
        <v>7</v>
      </c>
    </row>
    <row r="69" customFormat="false" ht="15" hidden="false" customHeight="false" outlineLevel="0" collapsed="false">
      <c r="A69" s="5" t="n">
        <f aca="false">RANDBETWEEN(2,164)</f>
        <v>13</v>
      </c>
      <c r="B69" s="5" t="n">
        <f aca="false" t="array" ref="B69:B69">INDEX(Data_DBD!$B:$B,$A69)</f>
        <v>47</v>
      </c>
      <c r="C69" s="5" t="n">
        <f aca="false" t="array" ref="C69:C69">INDEX(Data_DBD!$C:$C,$A69)</f>
        <v>2</v>
      </c>
      <c r="D69" s="5" t="n">
        <f aca="false" t="array" ref="D69:D69">INDEX(Data_DBD!$E:$E,$A69)</f>
        <v>0</v>
      </c>
      <c r="E69" s="5" t="str">
        <f aca="false" t="array" ref="E69:E69">INDEX(Data_DBD!$F:$F,$A69)</f>
        <v>Sedang</v>
      </c>
      <c r="H69" s="5" t="n">
        <v>15</v>
      </c>
      <c r="I69" s="5" t="n">
        <v>21</v>
      </c>
      <c r="J69" s="5" t="n">
        <v>2</v>
      </c>
      <c r="K69" s="5" t="n">
        <v>0</v>
      </c>
      <c r="L69" s="5" t="s">
        <v>20</v>
      </c>
    </row>
    <row r="70" customFormat="false" ht="15" hidden="false" customHeight="false" outlineLevel="0" collapsed="false">
      <c r="A70" s="5" t="n">
        <f aca="false">RANDBETWEEN(2,164)</f>
        <v>159</v>
      </c>
      <c r="B70" s="5" t="n">
        <f aca="false" t="array" ref="B70:B70">INDEX(Data_DBD!$B:$B,$A70)</f>
        <v>17</v>
      </c>
      <c r="C70" s="5" t="n">
        <f aca="false" t="array" ref="C70:C70">INDEX(Data_DBD!$C:$C,$A70)</f>
        <v>2</v>
      </c>
      <c r="D70" s="5" t="n">
        <f aca="false" t="array" ref="D70:D70">INDEX(Data_DBD!$E:$E,$A70)</f>
        <v>0</v>
      </c>
      <c r="E70" s="5" t="str">
        <f aca="false" t="array" ref="E70:E70">INDEX(Data_DBD!$F:$F,$A70)</f>
        <v>Tinggi</v>
      </c>
      <c r="H70" s="5" t="n">
        <v>122</v>
      </c>
      <c r="I70" s="5" t="n">
        <v>28</v>
      </c>
      <c r="J70" s="5" t="n">
        <v>3</v>
      </c>
      <c r="K70" s="5" t="n">
        <v>1</v>
      </c>
      <c r="L70" s="5" t="s">
        <v>115</v>
      </c>
    </row>
    <row r="71" customFormat="false" ht="15" hidden="false" customHeight="false" outlineLevel="0" collapsed="false">
      <c r="A71" s="5" t="n">
        <f aca="false">RANDBETWEEN(2,164)</f>
        <v>25</v>
      </c>
      <c r="B71" s="5" t="n">
        <f aca="false" t="array" ref="B71:B71">INDEX(Data_DBD!$B:$B,$A71)</f>
        <v>81</v>
      </c>
      <c r="C71" s="5" t="n">
        <f aca="false" t="array" ref="C71:C71">INDEX(Data_DBD!$C:$C,$A71)</f>
        <v>5</v>
      </c>
      <c r="D71" s="5" t="n">
        <f aca="false" t="array" ref="D71:D71">INDEX(Data_DBD!$E:$E,$A71)</f>
        <v>0</v>
      </c>
      <c r="E71" s="5" t="str">
        <f aca="false" t="array" ref="E71:E71">INDEX(Data_DBD!$F:$F,$A71)</f>
        <v>Sedang</v>
      </c>
      <c r="H71" s="5" t="n">
        <v>61</v>
      </c>
      <c r="I71" s="5" t="n">
        <v>29</v>
      </c>
      <c r="J71" s="5" t="n">
        <v>3</v>
      </c>
      <c r="K71" s="5" t="n">
        <v>1</v>
      </c>
      <c r="L71" s="5" t="s">
        <v>7</v>
      </c>
    </row>
    <row r="72" customFormat="false" ht="15" hidden="false" customHeight="false" outlineLevel="0" collapsed="false">
      <c r="A72" s="5" t="n">
        <f aca="false">RANDBETWEEN(2,164)</f>
        <v>99</v>
      </c>
      <c r="B72" s="5" t="n">
        <f aca="false" t="array" ref="B72:B72">INDEX(Data_DBD!$B:$B,$A72)</f>
        <v>4</v>
      </c>
      <c r="C72" s="5" t="n">
        <f aca="false" t="array" ref="C72:C72">INDEX(Data_DBD!$C:$C,$A72)</f>
        <v>2</v>
      </c>
      <c r="D72" s="5" t="n">
        <f aca="false" t="array" ref="D72:D72">INDEX(Data_DBD!$E:$E,$A72)</f>
        <v>1</v>
      </c>
      <c r="E72" s="5" t="str">
        <f aca="false" t="array" ref="E72:E72">INDEX(Data_DBD!$F:$F,$A72)</f>
        <v>Sedang</v>
      </c>
      <c r="H72" s="5" t="n">
        <v>74</v>
      </c>
      <c r="I72" s="5" t="n">
        <v>9</v>
      </c>
      <c r="J72" s="5" t="n">
        <v>4</v>
      </c>
      <c r="K72" s="5" t="n">
        <v>0</v>
      </c>
      <c r="L72" s="5" t="s">
        <v>7</v>
      </c>
    </row>
    <row r="73" customFormat="false" ht="15" hidden="false" customHeight="false" outlineLevel="0" collapsed="false">
      <c r="A73" s="5" t="n">
        <f aca="false">RANDBETWEEN(2,164)</f>
        <v>96</v>
      </c>
      <c r="B73" s="5" t="n">
        <f aca="false" t="array" ref="B73:B73">INDEX(Data_DBD!$B:$B,$A73)</f>
        <v>56</v>
      </c>
      <c r="C73" s="5" t="n">
        <f aca="false" t="array" ref="C73:C73">INDEX(Data_DBD!$C:$C,$A73)</f>
        <v>4</v>
      </c>
      <c r="D73" s="5" t="n">
        <f aca="false" t="array" ref="D73:D73">INDEX(Data_DBD!$E:$E,$A73)</f>
        <v>0</v>
      </c>
      <c r="E73" s="5" t="str">
        <f aca="false" t="array" ref="E73:E73">INDEX(Data_DBD!$F:$F,$A73)</f>
        <v>Sedang</v>
      </c>
      <c r="H73" s="5" t="n">
        <v>54</v>
      </c>
      <c r="I73" s="5" t="n">
        <v>7</v>
      </c>
      <c r="J73" s="5" t="n">
        <v>3</v>
      </c>
      <c r="K73" s="5" t="n">
        <v>0</v>
      </c>
      <c r="L73" s="5" t="s">
        <v>7</v>
      </c>
    </row>
    <row r="74" customFormat="false" ht="15" hidden="false" customHeight="false" outlineLevel="0" collapsed="false">
      <c r="A74" s="5" t="n">
        <f aca="false">RANDBETWEEN(2,164)</f>
        <v>78</v>
      </c>
      <c r="B74" s="5" t="n">
        <f aca="false" t="array" ref="B74:B74">INDEX(Data_DBD!$B:$B,$A74)</f>
        <v>6</v>
      </c>
      <c r="C74" s="5" t="n">
        <f aca="false" t="array" ref="C74:C74">INDEX(Data_DBD!$C:$C,$A74)</f>
        <v>3</v>
      </c>
      <c r="D74" s="5" t="n">
        <f aca="false" t="array" ref="D74:D74">INDEX(Data_DBD!$E:$E,$A74)</f>
        <v>0</v>
      </c>
      <c r="E74" s="5" t="str">
        <f aca="false" t="array" ref="E74:E74">INDEX(Data_DBD!$F:$F,$A74)</f>
        <v>Sedang</v>
      </c>
      <c r="H74" s="5" t="n">
        <v>86</v>
      </c>
      <c r="I74" s="5" t="n">
        <v>23</v>
      </c>
      <c r="J74" s="5" t="n">
        <v>3</v>
      </c>
      <c r="K74" s="5" t="n">
        <v>0</v>
      </c>
      <c r="L74" s="5" t="s">
        <v>7</v>
      </c>
    </row>
    <row r="75" customFormat="false" ht="15" hidden="false" customHeight="false" outlineLevel="0" collapsed="false">
      <c r="A75" s="5" t="n">
        <f aca="false">RANDBETWEEN(2,164)</f>
        <v>58</v>
      </c>
      <c r="B75" s="5" t="n">
        <f aca="false" t="array" ref="B75:B75">INDEX(Data_DBD!$B:$B,$A75)</f>
        <v>17</v>
      </c>
      <c r="C75" s="5" t="n">
        <f aca="false" t="array" ref="C75:C75">INDEX(Data_DBD!$C:$C,$A75)</f>
        <v>3</v>
      </c>
      <c r="D75" s="5" t="n">
        <f aca="false" t="array" ref="D75:D75">INDEX(Data_DBD!$E:$E,$A75)</f>
        <v>0</v>
      </c>
      <c r="E75" s="5" t="str">
        <f aca="false" t="array" ref="E75:E75">INDEX(Data_DBD!$F:$F,$A75)</f>
        <v>Sedang</v>
      </c>
      <c r="H75" s="5" t="n">
        <v>136</v>
      </c>
      <c r="I75" s="5" t="n">
        <v>6</v>
      </c>
      <c r="J75" s="5" t="n">
        <v>2</v>
      </c>
      <c r="K75" s="5" t="n">
        <v>0</v>
      </c>
      <c r="L75" s="5" t="s">
        <v>115</v>
      </c>
    </row>
    <row r="76" customFormat="false" ht="15" hidden="false" customHeight="false" outlineLevel="0" collapsed="false">
      <c r="A76" s="5" t="n">
        <f aca="false">RANDBETWEEN(2,164)</f>
        <v>132</v>
      </c>
      <c r="B76" s="5" t="n">
        <f aca="false" t="array" ref="B76:B76">INDEX(Data_DBD!$B:$B,$A76)</f>
        <v>10</v>
      </c>
      <c r="C76" s="5" t="n">
        <f aca="false" t="array" ref="C76:C76">INDEX(Data_DBD!$C:$C,$A76)</f>
        <v>3</v>
      </c>
      <c r="D76" s="5" t="n">
        <f aca="false" t="array" ref="D76:D76">INDEX(Data_DBD!$E:$E,$A76)</f>
        <v>1</v>
      </c>
      <c r="E76" s="5" t="str">
        <f aca="false" t="array" ref="E76:E76">INDEX(Data_DBD!$F:$F,$A76)</f>
        <v>Tinggi</v>
      </c>
      <c r="H76" s="5" t="n">
        <v>47</v>
      </c>
      <c r="I76" s="5" t="n">
        <v>19</v>
      </c>
      <c r="J76" s="5" t="n">
        <v>2</v>
      </c>
      <c r="K76" s="5" t="n">
        <v>0</v>
      </c>
      <c r="L76" s="5" t="s">
        <v>7</v>
      </c>
    </row>
    <row r="77" customFormat="false" ht="15" hidden="false" customHeight="false" outlineLevel="0" collapsed="false">
      <c r="A77" s="5" t="n">
        <f aca="false">RANDBETWEEN(2,164)</f>
        <v>161</v>
      </c>
      <c r="B77" s="5" t="n">
        <f aca="false" t="array" ref="B77:B77">INDEX(Data_DBD!$B:$B,$A77)</f>
        <v>12</v>
      </c>
      <c r="C77" s="5" t="n">
        <f aca="false" t="array" ref="C77:C77">INDEX(Data_DBD!$C:$C,$A77)</f>
        <v>3</v>
      </c>
      <c r="D77" s="5" t="n">
        <f aca="false" t="array" ref="D77:D77">INDEX(Data_DBD!$E:$E,$A77)</f>
        <v>1</v>
      </c>
      <c r="E77" s="5" t="str">
        <f aca="false" t="array" ref="E77:E77">INDEX(Data_DBD!$F:$F,$A77)</f>
        <v>Tinggi</v>
      </c>
      <c r="H77" s="5" t="n">
        <v>161</v>
      </c>
      <c r="I77" s="5" t="n">
        <v>12</v>
      </c>
      <c r="J77" s="5" t="n">
        <v>3</v>
      </c>
      <c r="K77" s="5" t="n">
        <v>1</v>
      </c>
      <c r="L77" s="5" t="s">
        <v>115</v>
      </c>
    </row>
    <row r="78" customFormat="false" ht="15" hidden="false" customHeight="false" outlineLevel="0" collapsed="false">
      <c r="A78" s="5" t="n">
        <f aca="false">RANDBETWEEN(2,164)</f>
        <v>150</v>
      </c>
      <c r="B78" s="5" t="n">
        <f aca="false" t="array" ref="B78:B78">INDEX(Data_DBD!$B:$B,$A78)</f>
        <v>61</v>
      </c>
      <c r="C78" s="5" t="n">
        <f aca="false" t="array" ref="C78:C78">INDEX(Data_DBD!$C:$C,$A78)</f>
        <v>5</v>
      </c>
      <c r="D78" s="5" t="n">
        <f aca="false" t="array" ref="D78:D78">INDEX(Data_DBD!$E:$E,$A78)</f>
        <v>1</v>
      </c>
      <c r="E78" s="5" t="str">
        <f aca="false" t="array" ref="E78:E78">INDEX(Data_DBD!$F:$F,$A78)</f>
        <v>Tinggi</v>
      </c>
      <c r="H78" s="5" t="n">
        <v>110</v>
      </c>
      <c r="I78" s="5" t="n">
        <v>42</v>
      </c>
      <c r="J78" s="5" t="n">
        <v>2</v>
      </c>
      <c r="K78" s="5" t="n">
        <v>1</v>
      </c>
      <c r="L78" s="5" t="s">
        <v>115</v>
      </c>
    </row>
    <row r="79" customFormat="false" ht="15" hidden="false" customHeight="false" outlineLevel="0" collapsed="false">
      <c r="A79" s="5" t="n">
        <f aca="false">RANDBETWEEN(2,164)</f>
        <v>70</v>
      </c>
      <c r="B79" s="5" t="n">
        <f aca="false" t="array" ref="B79:B79">INDEX(Data_DBD!$B:$B,$A79)</f>
        <v>26</v>
      </c>
      <c r="C79" s="5" t="n">
        <f aca="false" t="array" ref="C79:C79">INDEX(Data_DBD!$C:$C,$A79)</f>
        <v>3</v>
      </c>
      <c r="D79" s="5" t="n">
        <f aca="false" t="array" ref="D79:D79">INDEX(Data_DBD!$E:$E,$A79)</f>
        <v>1</v>
      </c>
      <c r="E79" s="5" t="str">
        <f aca="false" t="array" ref="E79:E79">INDEX(Data_DBD!$F:$F,$A79)</f>
        <v>Rendah</v>
      </c>
      <c r="H79" s="5" t="n">
        <v>102</v>
      </c>
      <c r="I79" s="5" t="n">
        <v>41</v>
      </c>
      <c r="J79" s="5" t="n">
        <v>4</v>
      </c>
      <c r="K79" s="5" t="n">
        <v>0</v>
      </c>
      <c r="L79" s="5" t="s">
        <v>115</v>
      </c>
    </row>
    <row r="80" customFormat="false" ht="15" hidden="false" customHeight="false" outlineLevel="0" collapsed="false">
      <c r="A80" s="5" t="n">
        <f aca="false">RANDBETWEEN(2,164)</f>
        <v>161</v>
      </c>
      <c r="B80" s="5" t="n">
        <f aca="false" t="array" ref="B80:B80">INDEX(Data_DBD!$B:$B,$A80)</f>
        <v>12</v>
      </c>
      <c r="C80" s="5" t="n">
        <f aca="false" t="array" ref="C80:C80">INDEX(Data_DBD!$C:$C,$A80)</f>
        <v>3</v>
      </c>
      <c r="D80" s="5" t="n">
        <f aca="false" t="array" ref="D80:D80">INDEX(Data_DBD!$E:$E,$A80)</f>
        <v>1</v>
      </c>
      <c r="E80" s="5" t="str">
        <f aca="false" t="array" ref="E80:E80">INDEX(Data_DBD!$F:$F,$A80)</f>
        <v>Tinggi</v>
      </c>
      <c r="H80" s="5" t="n">
        <v>121</v>
      </c>
      <c r="I80" s="5" t="n">
        <v>82</v>
      </c>
      <c r="J80" s="5" t="n">
        <v>5</v>
      </c>
      <c r="K80" s="5" t="n">
        <v>1</v>
      </c>
      <c r="L80" s="5" t="s">
        <v>115</v>
      </c>
    </row>
    <row r="81" customFormat="false" ht="15" hidden="false" customHeight="false" outlineLevel="0" collapsed="false">
      <c r="A81" s="5" t="n">
        <f aca="false">RANDBETWEEN(2,164)</f>
        <v>30</v>
      </c>
      <c r="B81" s="5" t="n">
        <f aca="false" t="array" ref="B81:B81">INDEX(Data_DBD!$B:$B,$A81)</f>
        <v>3</v>
      </c>
      <c r="C81" s="5" t="n">
        <f aca="false" t="array" ref="C81:C81">INDEX(Data_DBD!$C:$C,$A81)</f>
        <v>2</v>
      </c>
      <c r="D81" s="5" t="n">
        <f aca="false" t="array" ref="D81:D81">INDEX(Data_DBD!$E:$E,$A81)</f>
        <v>1</v>
      </c>
      <c r="E81" s="5" t="str">
        <f aca="false" t="array" ref="E81:E81">INDEX(Data_DBD!$F:$F,$A81)</f>
        <v>Sedang</v>
      </c>
      <c r="H81" s="5" t="n">
        <v>56</v>
      </c>
      <c r="I81" s="5" t="n">
        <v>4</v>
      </c>
      <c r="J81" s="5" t="n">
        <v>3</v>
      </c>
      <c r="K81" s="5" t="n">
        <v>0</v>
      </c>
      <c r="L81" s="5" t="s">
        <v>7</v>
      </c>
    </row>
    <row r="82" customFormat="false" ht="15" hidden="false" customHeight="false" outlineLevel="0" collapsed="false">
      <c r="A82" s="5" t="n">
        <f aca="false">RANDBETWEEN(2,164)</f>
        <v>9</v>
      </c>
      <c r="B82" s="5" t="n">
        <f aca="false" t="array" ref="B82:B82">INDEX(Data_DBD!$B:$B,$A82)</f>
        <v>16</v>
      </c>
      <c r="C82" s="5" t="n">
        <f aca="false" t="array" ref="C82:C82">INDEX(Data_DBD!$C:$C,$A82)</f>
        <v>6</v>
      </c>
      <c r="D82" s="5" t="n">
        <f aca="false" t="array" ref="D82:D82">INDEX(Data_DBD!$E:$E,$A82)</f>
        <v>1</v>
      </c>
      <c r="E82" s="5" t="str">
        <f aca="false" t="array" ref="E82:E82">INDEX(Data_DBD!$F:$F,$A82)</f>
        <v>Sedang</v>
      </c>
      <c r="H82" s="5" t="n">
        <v>4</v>
      </c>
      <c r="I82" s="5" t="n">
        <v>23</v>
      </c>
      <c r="J82" s="5" t="n">
        <v>5</v>
      </c>
      <c r="K82" s="5" t="n">
        <v>0</v>
      </c>
      <c r="L82" s="5" t="s">
        <v>7</v>
      </c>
    </row>
    <row r="83" customFormat="false" ht="15" hidden="false" customHeight="false" outlineLevel="0" collapsed="false">
      <c r="A83" s="5" t="n">
        <f aca="false">RANDBETWEEN(2,164)</f>
        <v>42</v>
      </c>
      <c r="B83" s="5" t="n">
        <f aca="false" t="array" ref="B83:B83">INDEX(Data_DBD!$B:$B,$A83)</f>
        <v>21</v>
      </c>
      <c r="C83" s="5" t="n">
        <f aca="false" t="array" ref="C83:C83">INDEX(Data_DBD!$C:$C,$A83)</f>
        <v>5</v>
      </c>
      <c r="D83" s="5" t="n">
        <f aca="false" t="array" ref="D83:D83">INDEX(Data_DBD!$E:$E,$A83)</f>
        <v>1</v>
      </c>
      <c r="E83" s="5" t="str">
        <f aca="false" t="array" ref="E83:E83">INDEX(Data_DBD!$F:$F,$A83)</f>
        <v>Sedang</v>
      </c>
      <c r="H83" s="5" t="n">
        <v>90</v>
      </c>
      <c r="I83" s="5" t="n">
        <v>47</v>
      </c>
      <c r="J83" s="5" t="n">
        <v>3</v>
      </c>
      <c r="K83" s="5" t="n">
        <v>0</v>
      </c>
      <c r="L83" s="5" t="s">
        <v>115</v>
      </c>
    </row>
    <row r="84" customFormat="false" ht="15" hidden="false" customHeight="false" outlineLevel="0" collapsed="false">
      <c r="A84" s="5" t="n">
        <f aca="false">RANDBETWEEN(2,164)</f>
        <v>106</v>
      </c>
      <c r="B84" s="5" t="n">
        <f aca="false" t="array" ref="B84:B84">INDEX(Data_DBD!$B:$B,$A84)</f>
        <v>23</v>
      </c>
      <c r="C84" s="5" t="n">
        <f aca="false" t="array" ref="C84:C84">INDEX(Data_DBD!$C:$C,$A84)</f>
        <v>3</v>
      </c>
      <c r="D84" s="5" t="n">
        <f aca="false" t="array" ref="D84:D84">INDEX(Data_DBD!$E:$E,$A84)</f>
        <v>1</v>
      </c>
      <c r="E84" s="5" t="str">
        <f aca="false" t="array" ref="E84:E84">INDEX(Data_DBD!$F:$F,$A84)</f>
        <v>Sedang</v>
      </c>
      <c r="H84" s="5" t="n">
        <v>69</v>
      </c>
      <c r="I84" s="5" t="n">
        <v>24</v>
      </c>
      <c r="J84" s="5" t="n">
        <v>4</v>
      </c>
      <c r="K84" s="5" t="n">
        <v>1</v>
      </c>
      <c r="L84" s="5" t="s">
        <v>7</v>
      </c>
    </row>
    <row r="85" customFormat="false" ht="15" hidden="false" customHeight="false" outlineLevel="0" collapsed="false">
      <c r="A85" s="5" t="n">
        <f aca="false">RANDBETWEEN(2,164)</f>
        <v>91</v>
      </c>
      <c r="B85" s="5" t="n">
        <f aca="false" t="array" ref="B85:B85">INDEX(Data_DBD!$B:$B,$A85)</f>
        <v>35</v>
      </c>
      <c r="C85" s="5" t="n">
        <f aca="false" t="array" ref="C85:C85">INDEX(Data_DBD!$C:$C,$A85)</f>
        <v>1</v>
      </c>
      <c r="D85" s="5" t="n">
        <f aca="false" t="array" ref="D85:D85">INDEX(Data_DBD!$E:$E,$A85)</f>
        <v>1</v>
      </c>
      <c r="E85" s="5" t="str">
        <f aca="false" t="array" ref="E85:E85">INDEX(Data_DBD!$F:$F,$A85)</f>
        <v>Sedang</v>
      </c>
      <c r="H85" s="5" t="n">
        <v>112</v>
      </c>
      <c r="I85" s="5" t="n">
        <v>61</v>
      </c>
      <c r="J85" s="5" t="n">
        <v>3</v>
      </c>
      <c r="K85" s="5" t="n">
        <v>1</v>
      </c>
      <c r="L85" s="5" t="s">
        <v>115</v>
      </c>
    </row>
    <row r="86" customFormat="false" ht="15" hidden="false" customHeight="false" outlineLevel="0" collapsed="false">
      <c r="A86" s="5" t="n">
        <f aca="false">RANDBETWEEN(2,164)</f>
        <v>74</v>
      </c>
      <c r="B86" s="5" t="n">
        <f aca="false" t="array" ref="B86:B86">INDEX(Data_DBD!$B:$B,$A86)</f>
        <v>9</v>
      </c>
      <c r="C86" s="5" t="n">
        <f aca="false" t="array" ref="C86:C86">INDEX(Data_DBD!$C:$C,$A86)</f>
        <v>4</v>
      </c>
      <c r="D86" s="5" t="n">
        <f aca="false" t="array" ref="D86:D86">INDEX(Data_DBD!$E:$E,$A86)</f>
        <v>0</v>
      </c>
      <c r="E86" s="5" t="str">
        <f aca="false" t="array" ref="E86:E86">INDEX(Data_DBD!$F:$F,$A86)</f>
        <v>Rendah</v>
      </c>
      <c r="H86" s="5" t="n">
        <v>94</v>
      </c>
      <c r="I86" s="5" t="n">
        <v>12</v>
      </c>
      <c r="J86" s="5" t="n">
        <v>4</v>
      </c>
      <c r="K86" s="5" t="n">
        <v>0</v>
      </c>
      <c r="L86" s="5" t="s">
        <v>115</v>
      </c>
    </row>
    <row r="87" customFormat="false" ht="15" hidden="false" customHeight="false" outlineLevel="0" collapsed="false">
      <c r="A87" s="5" t="n">
        <f aca="false">RANDBETWEEN(2,164)</f>
        <v>22</v>
      </c>
      <c r="B87" s="5" t="n">
        <f aca="false" t="array" ref="B87:B87">INDEX(Data_DBD!$B:$B,$A87)</f>
        <v>6</v>
      </c>
      <c r="C87" s="5" t="n">
        <f aca="false" t="array" ref="C87:C87">INDEX(Data_DBD!$C:$C,$A87)</f>
        <v>3</v>
      </c>
      <c r="D87" s="5" t="n">
        <f aca="false" t="array" ref="D87:D87">INDEX(Data_DBD!$E:$E,$A87)</f>
        <v>0</v>
      </c>
      <c r="E87" s="5" t="str">
        <f aca="false" t="array" ref="E87:E87">INDEX(Data_DBD!$F:$F,$A87)</f>
        <v>Sedang</v>
      </c>
      <c r="H87" s="5" t="n">
        <v>143</v>
      </c>
      <c r="I87" s="5" t="n">
        <v>20</v>
      </c>
      <c r="J87" s="5" t="n">
        <v>4</v>
      </c>
      <c r="K87" s="5" t="n">
        <v>1</v>
      </c>
      <c r="L87" s="5" t="s">
        <v>115</v>
      </c>
    </row>
    <row r="88" customFormat="false" ht="15" hidden="false" customHeight="false" outlineLevel="0" collapsed="false">
      <c r="A88" s="5" t="n">
        <f aca="false">RANDBETWEEN(2,164)</f>
        <v>136</v>
      </c>
      <c r="B88" s="5" t="n">
        <f aca="false" t="array" ref="B88:B88">INDEX(Data_DBD!$B:$B,$A88)</f>
        <v>6</v>
      </c>
      <c r="C88" s="5" t="n">
        <f aca="false" t="array" ref="C88:C88">INDEX(Data_DBD!$C:$C,$A88)</f>
        <v>2</v>
      </c>
      <c r="D88" s="5" t="n">
        <f aca="false" t="array" ref="D88:D88">INDEX(Data_DBD!$E:$E,$A88)</f>
        <v>0</v>
      </c>
      <c r="E88" s="5" t="str">
        <f aca="false" t="array" ref="E88:E88">INDEX(Data_DBD!$F:$F,$A88)</f>
        <v>Tinggi</v>
      </c>
      <c r="H88" s="5" t="n">
        <v>94</v>
      </c>
      <c r="I88" s="5" t="n">
        <v>12</v>
      </c>
      <c r="J88" s="5" t="n">
        <v>4</v>
      </c>
      <c r="K88" s="5" t="n">
        <v>0</v>
      </c>
      <c r="L88" s="5" t="s">
        <v>115</v>
      </c>
    </row>
    <row r="89" customFormat="false" ht="15" hidden="false" customHeight="false" outlineLevel="0" collapsed="false">
      <c r="A89" s="5" t="n">
        <f aca="false">RANDBETWEEN(2,164)</f>
        <v>28</v>
      </c>
      <c r="B89" s="5" t="n">
        <f aca="false" t="array" ref="B89:B89">INDEX(Data_DBD!$B:$B,$A89)</f>
        <v>22</v>
      </c>
      <c r="C89" s="5" t="n">
        <f aca="false" t="array" ref="C89:C89">INDEX(Data_DBD!$C:$C,$A89)</f>
        <v>2</v>
      </c>
      <c r="D89" s="5" t="n">
        <f aca="false" t="array" ref="D89:D89">INDEX(Data_DBD!$E:$E,$A89)</f>
        <v>1</v>
      </c>
      <c r="E89" s="5" t="str">
        <f aca="false" t="array" ref="E89:E89">INDEX(Data_DBD!$F:$F,$A89)</f>
        <v>Sedang</v>
      </c>
      <c r="H89" s="5" t="n">
        <v>53</v>
      </c>
      <c r="I89" s="5" t="n">
        <v>35</v>
      </c>
      <c r="J89" s="5" t="n">
        <v>4</v>
      </c>
      <c r="K89" s="5" t="n">
        <v>1</v>
      </c>
      <c r="L89" s="5" t="s">
        <v>7</v>
      </c>
    </row>
    <row r="90" customFormat="false" ht="15" hidden="false" customHeight="false" outlineLevel="0" collapsed="false">
      <c r="A90" s="5" t="n">
        <f aca="false">RANDBETWEEN(2,164)</f>
        <v>85</v>
      </c>
      <c r="B90" s="5" t="n">
        <f aca="false" t="array" ref="B90:B90">INDEX(Data_DBD!$B:$B,$A90)</f>
        <v>27</v>
      </c>
      <c r="C90" s="5" t="n">
        <f aca="false" t="array" ref="C90:C90">INDEX(Data_DBD!$C:$C,$A90)</f>
        <v>9</v>
      </c>
      <c r="D90" s="5" t="n">
        <f aca="false" t="array" ref="D90:D90">INDEX(Data_DBD!$E:$E,$A90)</f>
        <v>0</v>
      </c>
      <c r="E90" s="5" t="str">
        <f aca="false" t="array" ref="E90:E90">INDEX(Data_DBD!$F:$F,$A90)</f>
        <v>Sedang</v>
      </c>
      <c r="H90" s="5" t="n">
        <v>52</v>
      </c>
      <c r="I90" s="5" t="n">
        <v>59</v>
      </c>
      <c r="J90" s="5" t="n">
        <v>4</v>
      </c>
      <c r="K90" s="5" t="n">
        <v>1</v>
      </c>
      <c r="L90" s="5" t="s">
        <v>7</v>
      </c>
    </row>
    <row r="91" customFormat="false" ht="15" hidden="false" customHeight="false" outlineLevel="0" collapsed="false">
      <c r="A91" s="5" t="n">
        <f aca="false">RANDBETWEEN(2,164)</f>
        <v>55</v>
      </c>
      <c r="B91" s="5" t="n">
        <f aca="false" t="array" ref="B91:B91">INDEX(Data_DBD!$B:$B,$A91)</f>
        <v>7</v>
      </c>
      <c r="C91" s="5" t="n">
        <f aca="false" t="array" ref="C91:C91">INDEX(Data_DBD!$C:$C,$A91)</f>
        <v>4</v>
      </c>
      <c r="D91" s="5" t="n">
        <f aca="false" t="array" ref="D91:D91">INDEX(Data_DBD!$E:$E,$A91)</f>
        <v>1</v>
      </c>
      <c r="E91" s="5" t="str">
        <f aca="false" t="array" ref="E91:E91">INDEX(Data_DBD!$F:$F,$A91)</f>
        <v>Sedang</v>
      </c>
      <c r="H91" s="5" t="n">
        <v>94</v>
      </c>
      <c r="I91" s="5" t="n">
        <v>12</v>
      </c>
      <c r="J91" s="5" t="n">
        <v>4</v>
      </c>
      <c r="K91" s="5" t="n">
        <v>0</v>
      </c>
      <c r="L91" s="5" t="s">
        <v>115</v>
      </c>
    </row>
    <row r="92" customFormat="false" ht="15" hidden="false" customHeight="false" outlineLevel="0" collapsed="false">
      <c r="A92" s="5" t="n">
        <f aca="false">RANDBETWEEN(2,164)</f>
        <v>125</v>
      </c>
      <c r="B92" s="5" t="n">
        <f aca="false" t="array" ref="B92:B92">INDEX(Data_DBD!$B:$B,$A92)</f>
        <v>39</v>
      </c>
      <c r="C92" s="5" t="n">
        <f aca="false" t="array" ref="C92:C92">INDEX(Data_DBD!$C:$C,$A92)</f>
        <v>4</v>
      </c>
      <c r="D92" s="5" t="n">
        <f aca="false" t="array" ref="D92:D92">INDEX(Data_DBD!$E:$E,$A92)</f>
        <v>0</v>
      </c>
      <c r="E92" s="5" t="str">
        <f aca="false" t="array" ref="E92:E92">INDEX(Data_DBD!$F:$F,$A92)</f>
        <v>Tinggi</v>
      </c>
      <c r="H92" s="5" t="n">
        <v>34</v>
      </c>
      <c r="I92" s="5" t="n">
        <v>55</v>
      </c>
      <c r="J92" s="5" t="n">
        <v>3</v>
      </c>
      <c r="K92" s="5" t="n">
        <v>0</v>
      </c>
      <c r="L92" s="5" t="s">
        <v>7</v>
      </c>
    </row>
    <row r="93" customFormat="false" ht="15" hidden="false" customHeight="false" outlineLevel="0" collapsed="false">
      <c r="A93" s="5" t="n">
        <f aca="false">RANDBETWEEN(2,164)</f>
        <v>153</v>
      </c>
      <c r="B93" s="5" t="n">
        <f aca="false" t="array" ref="B93:B93">INDEX(Data_DBD!$B:$B,$A93)</f>
        <v>73</v>
      </c>
      <c r="C93" s="5" t="n">
        <f aca="false" t="array" ref="C93:C93">INDEX(Data_DBD!$C:$C,$A93)</f>
        <v>7</v>
      </c>
      <c r="D93" s="5" t="n">
        <f aca="false" t="array" ref="D93:D93">INDEX(Data_DBD!$E:$E,$A93)</f>
        <v>1</v>
      </c>
      <c r="E93" s="5" t="str">
        <f aca="false" t="array" ref="E93:E93">INDEX(Data_DBD!$F:$F,$A93)</f>
        <v>Tinggi</v>
      </c>
      <c r="H93" s="5" t="n">
        <v>23</v>
      </c>
      <c r="I93" s="5" t="n">
        <v>28</v>
      </c>
      <c r="J93" s="5" t="n">
        <v>4</v>
      </c>
      <c r="K93" s="5" t="n">
        <v>1</v>
      </c>
      <c r="L93" s="5" t="s">
        <v>7</v>
      </c>
    </row>
    <row r="94" customFormat="false" ht="15" hidden="false" customHeight="false" outlineLevel="0" collapsed="false">
      <c r="A94" s="5" t="n">
        <f aca="false">RANDBETWEEN(2,164)</f>
        <v>98</v>
      </c>
      <c r="B94" s="5" t="n">
        <f aca="false" t="array" ref="B94:B94">INDEX(Data_DBD!$B:$B,$A94)</f>
        <v>16</v>
      </c>
      <c r="C94" s="5" t="n">
        <f aca="false" t="array" ref="C94:C94">INDEX(Data_DBD!$C:$C,$A94)</f>
        <v>2</v>
      </c>
      <c r="D94" s="5" t="n">
        <f aca="false" t="array" ref="D94:D94">INDEX(Data_DBD!$E:$E,$A94)</f>
        <v>1</v>
      </c>
      <c r="E94" s="5" t="str">
        <f aca="false" t="array" ref="E94:E94">INDEX(Data_DBD!$F:$F,$A94)</f>
        <v>Sedang</v>
      </c>
      <c r="H94" s="5" t="n">
        <v>24</v>
      </c>
      <c r="I94" s="5" t="n">
        <v>60</v>
      </c>
      <c r="J94" s="5" t="n">
        <v>4</v>
      </c>
      <c r="K94" s="5" t="n">
        <v>0</v>
      </c>
      <c r="L94" s="5" t="s">
        <v>7</v>
      </c>
    </row>
    <row r="95" customFormat="false" ht="15" hidden="false" customHeight="false" outlineLevel="0" collapsed="false">
      <c r="A95" s="5" t="n">
        <f aca="false">RANDBETWEEN(2,164)</f>
        <v>77</v>
      </c>
      <c r="B95" s="5" t="n">
        <f aca="false" t="array" ref="B95:B95">INDEX(Data_DBD!$B:$B,$A95)</f>
        <v>16</v>
      </c>
      <c r="C95" s="5" t="n">
        <f aca="false" t="array" ref="C95:C95">INDEX(Data_DBD!$C:$C,$A95)</f>
        <v>4</v>
      </c>
      <c r="D95" s="5" t="n">
        <f aca="false" t="array" ref="D95:D95">INDEX(Data_DBD!$E:$E,$A95)</f>
        <v>1</v>
      </c>
      <c r="E95" s="5" t="str">
        <f aca="false" t="array" ref="E95:E95">INDEX(Data_DBD!$F:$F,$A95)</f>
        <v>Sedang</v>
      </c>
      <c r="H95" s="5" t="n">
        <v>10</v>
      </c>
      <c r="I95" s="5" t="n">
        <v>18</v>
      </c>
      <c r="J95" s="5" t="n">
        <v>5</v>
      </c>
      <c r="K95" s="5" t="n">
        <v>0</v>
      </c>
      <c r="L95" s="5" t="s">
        <v>7</v>
      </c>
    </row>
    <row r="96" customFormat="false" ht="15" hidden="false" customHeight="false" outlineLevel="0" collapsed="false">
      <c r="A96" s="5" t="n">
        <f aca="false">RANDBETWEEN(2,164)</f>
        <v>93</v>
      </c>
      <c r="B96" s="5" t="n">
        <f aca="false" t="array" ref="B96:B96">INDEX(Data_DBD!$B:$B,$A96)</f>
        <v>65</v>
      </c>
      <c r="C96" s="5" t="n">
        <f aca="false" t="array" ref="C96:C96">INDEX(Data_DBD!$C:$C,$A96)</f>
        <v>4</v>
      </c>
      <c r="D96" s="5" t="n">
        <f aca="false" t="array" ref="D96:D96">INDEX(Data_DBD!$E:$E,$A96)</f>
        <v>0</v>
      </c>
      <c r="E96" s="5" t="str">
        <f aca="false" t="array" ref="E96:E96">INDEX(Data_DBD!$F:$F,$A96)</f>
        <v>Sedang</v>
      </c>
      <c r="H96" s="5" t="n">
        <v>32</v>
      </c>
      <c r="I96" s="5" t="n">
        <v>54</v>
      </c>
      <c r="J96" s="5" t="n">
        <v>4</v>
      </c>
      <c r="K96" s="5" t="n">
        <v>0</v>
      </c>
      <c r="L96" s="5" t="s">
        <v>7</v>
      </c>
    </row>
    <row r="97" customFormat="false" ht="15" hidden="false" customHeight="false" outlineLevel="0" collapsed="false">
      <c r="A97" s="5" t="n">
        <f aca="false">RANDBETWEEN(2,164)</f>
        <v>113</v>
      </c>
      <c r="B97" s="5" t="n">
        <f aca="false" t="array" ref="B97:B97">INDEX(Data_DBD!$B:$B,$A97)</f>
        <v>69</v>
      </c>
      <c r="C97" s="5" t="n">
        <f aca="false" t="array" ref="C97:C97">INDEX(Data_DBD!$C:$C,$A97)</f>
        <v>1</v>
      </c>
      <c r="D97" s="5" t="n">
        <f aca="false" t="array" ref="D97:D97">INDEX(Data_DBD!$E:$E,$A97)</f>
        <v>1</v>
      </c>
      <c r="E97" s="5" t="str">
        <f aca="false" t="array" ref="E97:E97">INDEX(Data_DBD!$F:$F,$A97)</f>
        <v>Tinggi</v>
      </c>
      <c r="H97" s="5" t="n">
        <v>56</v>
      </c>
      <c r="I97" s="5" t="n">
        <v>4</v>
      </c>
      <c r="J97" s="5" t="n">
        <v>3</v>
      </c>
      <c r="K97" s="5" t="n">
        <v>0</v>
      </c>
      <c r="L97" s="5" t="s">
        <v>7</v>
      </c>
    </row>
    <row r="98" customFormat="false" ht="15" hidden="false" customHeight="false" outlineLevel="0" collapsed="false">
      <c r="A98" s="5" t="n">
        <f aca="false">RANDBETWEEN(2,164)</f>
        <v>10</v>
      </c>
      <c r="B98" s="5" t="n">
        <f aca="false" t="array" ref="B98:B98">INDEX(Data_DBD!$B:$B,$A98)</f>
        <v>18</v>
      </c>
      <c r="C98" s="5" t="n">
        <f aca="false" t="array" ref="C98:C98">INDEX(Data_DBD!$C:$C,$A98)</f>
        <v>5</v>
      </c>
      <c r="D98" s="5" t="n">
        <f aca="false" t="array" ref="D98:D98">INDEX(Data_DBD!$E:$E,$A98)</f>
        <v>0</v>
      </c>
      <c r="E98" s="5" t="str">
        <f aca="false" t="array" ref="E98:E98">INDEX(Data_DBD!$F:$F,$A98)</f>
        <v>Sedang</v>
      </c>
      <c r="H98" s="5" t="n">
        <v>37</v>
      </c>
      <c r="I98" s="5" t="n">
        <v>28</v>
      </c>
      <c r="J98" s="5" t="n">
        <v>4</v>
      </c>
      <c r="K98" s="5" t="n">
        <v>1</v>
      </c>
      <c r="L98" s="5" t="s">
        <v>20</v>
      </c>
    </row>
    <row r="99" customFormat="false" ht="15" hidden="false" customHeight="false" outlineLevel="0" collapsed="false">
      <c r="A99" s="5" t="n">
        <f aca="false">RANDBETWEEN(2,164)</f>
        <v>114</v>
      </c>
      <c r="B99" s="5" t="n">
        <f aca="false" t="array" ref="B99:B99">INDEX(Data_DBD!$B:$B,$A99)</f>
        <v>14</v>
      </c>
      <c r="C99" s="5" t="n">
        <f aca="false" t="array" ref="C99:C99">INDEX(Data_DBD!$C:$C,$A99)</f>
        <v>2</v>
      </c>
      <c r="D99" s="5" t="n">
        <f aca="false" t="array" ref="D99:D99">INDEX(Data_DBD!$E:$E,$A99)</f>
        <v>1</v>
      </c>
      <c r="E99" s="5" t="str">
        <f aca="false" t="array" ref="E99:E99">INDEX(Data_DBD!$F:$F,$A99)</f>
        <v>Tinggi</v>
      </c>
      <c r="H99" s="5" t="n">
        <v>49</v>
      </c>
      <c r="I99" s="5" t="n">
        <v>64</v>
      </c>
      <c r="J99" s="5" t="n">
        <v>5</v>
      </c>
      <c r="K99" s="5" t="n">
        <v>0</v>
      </c>
      <c r="L99" s="5" t="s">
        <v>7</v>
      </c>
    </row>
    <row r="100" customFormat="false" ht="15" hidden="false" customHeight="false" outlineLevel="0" collapsed="false">
      <c r="A100" s="5" t="n">
        <f aca="false">RANDBETWEEN(2,164)</f>
        <v>73</v>
      </c>
      <c r="B100" s="5" t="n">
        <f aca="false" t="array" ref="B100:B100">INDEX(Data_DBD!$B:$B,$A100)</f>
        <v>15</v>
      </c>
      <c r="C100" s="5" t="n">
        <f aca="false" t="array" ref="C100:C100">INDEX(Data_DBD!$C:$C,$A100)</f>
        <v>3</v>
      </c>
      <c r="D100" s="5" t="n">
        <f aca="false" t="array" ref="D100:D100">INDEX(Data_DBD!$E:$E,$A100)</f>
        <v>1</v>
      </c>
      <c r="E100" s="5" t="str">
        <f aca="false" t="array" ref="E100:E100">INDEX(Data_DBD!$F:$F,$A100)</f>
        <v>Rendah</v>
      </c>
      <c r="H100" s="5" t="n">
        <v>62</v>
      </c>
      <c r="I100" s="5" t="n">
        <v>43</v>
      </c>
      <c r="J100" s="5" t="n">
        <v>4</v>
      </c>
      <c r="K100" s="5" t="n">
        <v>1</v>
      </c>
      <c r="L100" s="5" t="s">
        <v>7</v>
      </c>
    </row>
    <row r="101" customFormat="false" ht="15" hidden="false" customHeight="false" outlineLevel="0" collapsed="false">
      <c r="A101" s="5" t="n">
        <f aca="false">RANDBETWEEN(2,164)</f>
        <v>160</v>
      </c>
      <c r="B101" s="5" t="n">
        <f aca="false" t="array" ref="B101:B101">INDEX(Data_DBD!$B:$B,$A101)</f>
        <v>16</v>
      </c>
      <c r="C101" s="5" t="n">
        <f aca="false" t="array" ref="C101:C101">INDEX(Data_DBD!$C:$C,$A101)</f>
        <v>3</v>
      </c>
      <c r="D101" s="5" t="n">
        <f aca="false" t="array" ref="D101:D101">INDEX(Data_DBD!$E:$E,$A101)</f>
        <v>0</v>
      </c>
      <c r="E101" s="5" t="str">
        <f aca="false" t="array" ref="E101:E101">INDEX(Data_DBD!$F:$F,$A101)</f>
        <v>Tinggi</v>
      </c>
      <c r="H101" s="5" t="n">
        <v>57</v>
      </c>
      <c r="I101" s="5" t="n">
        <v>2</v>
      </c>
      <c r="J101" s="5" t="n">
        <v>2</v>
      </c>
      <c r="K101" s="5" t="n">
        <v>1</v>
      </c>
      <c r="L101" s="5" t="s">
        <v>7</v>
      </c>
    </row>
    <row r="102" customFormat="false" ht="15" hidden="false" customHeight="false" outlineLevel="0" collapsed="false">
      <c r="A102" s="5" t="n">
        <f aca="false">RANDBETWEEN(2,164)</f>
        <v>114</v>
      </c>
      <c r="B102" s="5" t="n">
        <f aca="false" t="array" ref="B102:B102">INDEX(Data_DBD!$B:$B,$A102)</f>
        <v>14</v>
      </c>
      <c r="C102" s="5" t="n">
        <f aca="false" t="array" ref="C102:C102">INDEX(Data_DBD!$C:$C,$A102)</f>
        <v>2</v>
      </c>
      <c r="D102" s="5" t="n">
        <f aca="false" t="array" ref="D102:D102">INDEX(Data_DBD!$E:$E,$A102)</f>
        <v>1</v>
      </c>
      <c r="E102" s="5" t="str">
        <f aca="false" t="array" ref="E102:E102">INDEX(Data_DBD!$F:$F,$A102)</f>
        <v>Tinggi</v>
      </c>
      <c r="H102" s="5" t="n">
        <v>18</v>
      </c>
      <c r="I102" s="5" t="n">
        <v>49</v>
      </c>
      <c r="J102" s="5" t="n">
        <v>4</v>
      </c>
      <c r="K102" s="5" t="n">
        <v>1</v>
      </c>
      <c r="L102" s="5" t="s">
        <v>20</v>
      </c>
    </row>
    <row r="103" customFormat="false" ht="15" hidden="false" customHeight="false" outlineLevel="0" collapsed="false">
      <c r="A103" s="5" t="n">
        <f aca="false">RANDBETWEEN(2,164)</f>
        <v>118</v>
      </c>
      <c r="B103" s="5" t="n">
        <f aca="false" t="array" ref="B103:B103">INDEX(Data_DBD!$B:$B,$A103)</f>
        <v>67</v>
      </c>
      <c r="C103" s="5" t="n">
        <f aca="false" t="array" ref="C103:C103">INDEX(Data_DBD!$C:$C,$A103)</f>
        <v>4</v>
      </c>
      <c r="D103" s="5" t="n">
        <f aca="false" t="array" ref="D103:D103">INDEX(Data_DBD!$E:$E,$A103)</f>
        <v>1</v>
      </c>
      <c r="E103" s="5" t="str">
        <f aca="false" t="array" ref="E103:E103">INDEX(Data_DBD!$F:$F,$A103)</f>
        <v>Tinggi</v>
      </c>
      <c r="H103" s="5" t="n">
        <v>138</v>
      </c>
      <c r="I103" s="5" t="n">
        <v>13</v>
      </c>
      <c r="J103" s="5" t="n">
        <v>3</v>
      </c>
      <c r="K103" s="5" t="n">
        <v>1</v>
      </c>
      <c r="L103" s="5" t="s">
        <v>115</v>
      </c>
    </row>
    <row r="104" customFormat="false" ht="15" hidden="false" customHeight="false" outlineLevel="0" collapsed="false">
      <c r="A104" s="5" t="n">
        <f aca="false">RANDBETWEEN(2,164)</f>
        <v>142</v>
      </c>
      <c r="B104" s="5" t="n">
        <f aca="false" t="array" ref="B104:B104">INDEX(Data_DBD!$B:$B,$A104)</f>
        <v>39</v>
      </c>
      <c r="C104" s="5" t="n">
        <f aca="false" t="array" ref="C104:C104">INDEX(Data_DBD!$C:$C,$A104)</f>
        <v>2</v>
      </c>
      <c r="D104" s="5" t="n">
        <f aca="false" t="array" ref="D104:D104">INDEX(Data_DBD!$E:$E,$A104)</f>
        <v>1</v>
      </c>
      <c r="E104" s="5" t="str">
        <f aca="false" t="array" ref="E104:E104">INDEX(Data_DBD!$F:$F,$A104)</f>
        <v>Tinggi</v>
      </c>
      <c r="H104" s="5" t="n">
        <v>42</v>
      </c>
      <c r="I104" s="5" t="n">
        <v>21</v>
      </c>
      <c r="J104" s="5" t="n">
        <v>5</v>
      </c>
      <c r="K104" s="5" t="n">
        <v>1</v>
      </c>
      <c r="L104" s="5" t="s">
        <v>7</v>
      </c>
    </row>
    <row r="105" customFormat="false" ht="15" hidden="false" customHeight="false" outlineLevel="0" collapsed="false">
      <c r="A105" s="5" t="n">
        <f aca="false">RANDBETWEEN(2,164)</f>
        <v>91</v>
      </c>
      <c r="B105" s="5" t="n">
        <f aca="false" t="array" ref="B105:B105">INDEX(Data_DBD!$B:$B,$A105)</f>
        <v>35</v>
      </c>
      <c r="C105" s="5" t="n">
        <f aca="false" t="array" ref="C105:C105">INDEX(Data_DBD!$C:$C,$A105)</f>
        <v>1</v>
      </c>
      <c r="D105" s="5" t="n">
        <f aca="false" t="array" ref="D105:D105">INDEX(Data_DBD!$E:$E,$A105)</f>
        <v>1</v>
      </c>
      <c r="E105" s="5" t="str">
        <f aca="false" t="array" ref="E105:E105">INDEX(Data_DBD!$F:$F,$A105)</f>
        <v>Sedang</v>
      </c>
      <c r="H105" s="5" t="n">
        <v>20</v>
      </c>
      <c r="I105" s="5" t="n">
        <v>15</v>
      </c>
      <c r="J105" s="5" t="n">
        <v>5</v>
      </c>
      <c r="K105" s="5" t="n">
        <v>0</v>
      </c>
      <c r="L105" s="5" t="s">
        <v>20</v>
      </c>
    </row>
    <row r="106" customFormat="false" ht="15" hidden="false" customHeight="false" outlineLevel="0" collapsed="false">
      <c r="A106" s="5" t="n">
        <f aca="false">RANDBETWEEN(2,164)</f>
        <v>113</v>
      </c>
      <c r="B106" s="5" t="n">
        <f aca="false" t="array" ref="B106:B106">INDEX(Data_DBD!$B:$B,$A106)</f>
        <v>69</v>
      </c>
      <c r="C106" s="5" t="n">
        <f aca="false" t="array" ref="C106:C106">INDEX(Data_DBD!$C:$C,$A106)</f>
        <v>1</v>
      </c>
      <c r="D106" s="5" t="n">
        <f aca="false" t="array" ref="D106:D106">INDEX(Data_DBD!$E:$E,$A106)</f>
        <v>1</v>
      </c>
      <c r="E106" s="5" t="str">
        <f aca="false" t="array" ref="E106:E106">INDEX(Data_DBD!$F:$F,$A106)</f>
        <v>Tinggi</v>
      </c>
      <c r="H106" s="5" t="n">
        <v>37</v>
      </c>
      <c r="I106" s="5" t="n">
        <v>28</v>
      </c>
      <c r="J106" s="5" t="n">
        <v>4</v>
      </c>
      <c r="K106" s="5" t="n">
        <v>1</v>
      </c>
      <c r="L106" s="5" t="s">
        <v>20</v>
      </c>
    </row>
    <row r="107" customFormat="false" ht="15" hidden="false" customHeight="false" outlineLevel="0" collapsed="false">
      <c r="A107" s="5" t="n">
        <f aca="false">RANDBETWEEN(2,164)</f>
        <v>54</v>
      </c>
      <c r="B107" s="5" t="n">
        <f aca="false" t="array" ref="B107:B107">INDEX(Data_DBD!$B:$B,$A107)</f>
        <v>7</v>
      </c>
      <c r="C107" s="5" t="n">
        <f aca="false" t="array" ref="C107:C107">INDEX(Data_DBD!$C:$C,$A107)</f>
        <v>3</v>
      </c>
      <c r="D107" s="5" t="n">
        <f aca="false" t="array" ref="D107:D107">INDEX(Data_DBD!$E:$E,$A107)</f>
        <v>0</v>
      </c>
      <c r="E107" s="5" t="str">
        <f aca="false" t="array" ref="E107:E107">INDEX(Data_DBD!$F:$F,$A107)</f>
        <v>Sedang</v>
      </c>
      <c r="H107" s="5" t="n">
        <v>43</v>
      </c>
      <c r="I107" s="5" t="n">
        <v>15</v>
      </c>
      <c r="J107" s="5" t="n">
        <v>4</v>
      </c>
      <c r="K107" s="5" t="n">
        <v>0</v>
      </c>
      <c r="L107" s="5" t="s">
        <v>7</v>
      </c>
    </row>
    <row r="108" customFormat="false" ht="15" hidden="false" customHeight="false" outlineLevel="0" collapsed="false">
      <c r="A108" s="5" t="n">
        <f aca="false">RANDBETWEEN(2,164)</f>
        <v>87</v>
      </c>
      <c r="B108" s="5" t="n">
        <f aca="false" t="array" ref="B108:B108">INDEX(Data_DBD!$B:$B,$A108)</f>
        <v>21</v>
      </c>
      <c r="C108" s="5" t="n">
        <f aca="false" t="array" ref="C108:C108">INDEX(Data_DBD!$C:$C,$A108)</f>
        <v>3</v>
      </c>
      <c r="D108" s="5" t="n">
        <f aca="false" t="array" ref="D108:D108">INDEX(Data_DBD!$E:$E,$A108)</f>
        <v>0</v>
      </c>
      <c r="E108" s="5" t="str">
        <f aca="false" t="array" ref="E108:E108">INDEX(Data_DBD!$F:$F,$A108)</f>
        <v>Sedang</v>
      </c>
      <c r="H108" s="5" t="n">
        <v>65</v>
      </c>
      <c r="I108" s="5" t="n">
        <v>49</v>
      </c>
      <c r="J108" s="5" t="n">
        <v>3</v>
      </c>
      <c r="K108" s="5" t="n">
        <v>0</v>
      </c>
      <c r="L108" s="5" t="s">
        <v>7</v>
      </c>
    </row>
    <row r="109" customFormat="false" ht="15" hidden="false" customHeight="false" outlineLevel="0" collapsed="false">
      <c r="A109" s="5" t="n">
        <f aca="false">RANDBETWEEN(2,164)</f>
        <v>53</v>
      </c>
      <c r="B109" s="5" t="n">
        <f aca="false" t="array" ref="B109:B109">INDEX(Data_DBD!$B:$B,$A109)</f>
        <v>35</v>
      </c>
      <c r="C109" s="5" t="n">
        <f aca="false" t="array" ref="C109:C109">INDEX(Data_DBD!$C:$C,$A109)</f>
        <v>4</v>
      </c>
      <c r="D109" s="5" t="n">
        <f aca="false" t="array" ref="D109:D109">INDEX(Data_DBD!$E:$E,$A109)</f>
        <v>1</v>
      </c>
      <c r="E109" s="5" t="str">
        <f aca="false" t="array" ref="E109:E109">INDEX(Data_DBD!$F:$F,$A109)</f>
        <v>Sedang</v>
      </c>
      <c r="H109" s="5" t="n">
        <v>140</v>
      </c>
      <c r="I109" s="5" t="n">
        <v>74</v>
      </c>
      <c r="J109" s="5" t="n">
        <v>5</v>
      </c>
      <c r="K109" s="5" t="n">
        <v>1</v>
      </c>
      <c r="L109" s="5" t="s">
        <v>115</v>
      </c>
    </row>
    <row r="110" customFormat="false" ht="15" hidden="false" customHeight="false" outlineLevel="0" collapsed="false">
      <c r="A110" s="5" t="n">
        <f aca="false">RANDBETWEEN(2,164)</f>
        <v>33</v>
      </c>
      <c r="B110" s="5" t="n">
        <f aca="false" t="array" ref="B110:B110">INDEX(Data_DBD!$B:$B,$A110)</f>
        <v>19</v>
      </c>
      <c r="C110" s="5" t="n">
        <f aca="false" t="array" ref="C110:C110">INDEX(Data_DBD!$C:$C,$A110)</f>
        <v>4</v>
      </c>
      <c r="D110" s="5" t="n">
        <f aca="false" t="array" ref="D110:D110">INDEX(Data_DBD!$E:$E,$A110)</f>
        <v>1</v>
      </c>
      <c r="E110" s="5" t="str">
        <f aca="false" t="array" ref="E110:E110">INDEX(Data_DBD!$F:$F,$A110)</f>
        <v>Sedang</v>
      </c>
      <c r="H110" s="5" t="n">
        <v>68</v>
      </c>
      <c r="I110" s="5" t="n">
        <v>44</v>
      </c>
      <c r="J110" s="5" t="n">
        <v>5</v>
      </c>
      <c r="K110" s="5" t="n">
        <v>0</v>
      </c>
      <c r="L110" s="5" t="s">
        <v>7</v>
      </c>
    </row>
    <row r="111" customFormat="false" ht="15" hidden="false" customHeight="false" outlineLevel="0" collapsed="false">
      <c r="A111" s="5" t="n">
        <f aca="false">RANDBETWEEN(2,164)</f>
        <v>162</v>
      </c>
      <c r="B111" s="5" t="n">
        <f aca="false" t="array" ref="B111:B111">INDEX(Data_DBD!$B:$B,$A111)</f>
        <v>22</v>
      </c>
      <c r="C111" s="5" t="n">
        <f aca="false" t="array" ref="C111:C111">INDEX(Data_DBD!$C:$C,$A111)</f>
        <v>3</v>
      </c>
      <c r="D111" s="5" t="n">
        <f aca="false" t="array" ref="D111:D111">INDEX(Data_DBD!$E:$E,$A111)</f>
        <v>1</v>
      </c>
      <c r="E111" s="5" t="str">
        <f aca="false" t="array" ref="E111:E111">INDEX(Data_DBD!$F:$F,$A111)</f>
        <v>Rendah</v>
      </c>
      <c r="H111" s="5" t="n">
        <v>90</v>
      </c>
      <c r="I111" s="5" t="n">
        <v>47</v>
      </c>
      <c r="J111" s="5" t="n">
        <v>3</v>
      </c>
      <c r="K111" s="5" t="n">
        <v>0</v>
      </c>
      <c r="L111" s="5" t="s">
        <v>115</v>
      </c>
    </row>
    <row r="112" customFormat="false" ht="15" hidden="false" customHeight="false" outlineLevel="0" collapsed="false">
      <c r="A112" s="5" t="n">
        <f aca="false">RANDBETWEEN(2,164)</f>
        <v>157</v>
      </c>
      <c r="B112" s="5" t="n">
        <f aca="false" t="array" ref="B112:B112">INDEX(Data_DBD!$B:$B,$A112)</f>
        <v>15</v>
      </c>
      <c r="C112" s="5" t="n">
        <f aca="false" t="array" ref="C112:C112">INDEX(Data_DBD!$C:$C,$A112)</f>
        <v>4</v>
      </c>
      <c r="D112" s="5" t="n">
        <f aca="false" t="array" ref="D112:D112">INDEX(Data_DBD!$E:$E,$A112)</f>
        <v>1</v>
      </c>
      <c r="E112" s="5" t="str">
        <f aca="false" t="array" ref="E112:E112">INDEX(Data_DBD!$F:$F,$A112)</f>
        <v>Tinggi</v>
      </c>
      <c r="H112" s="5" t="n">
        <v>45</v>
      </c>
      <c r="I112" s="5" t="n">
        <v>75</v>
      </c>
      <c r="J112" s="5" t="n">
        <v>3</v>
      </c>
      <c r="K112" s="5" t="n">
        <v>1</v>
      </c>
      <c r="L112" s="5" t="s">
        <v>7</v>
      </c>
    </row>
    <row r="113" customFormat="false" ht="15" hidden="false" customHeight="false" outlineLevel="0" collapsed="false">
      <c r="A113" s="5" t="n">
        <f aca="false">RANDBETWEEN(2,164)</f>
        <v>157</v>
      </c>
      <c r="B113" s="5" t="n">
        <f aca="false" t="array" ref="B113:B113">INDEX(Data_DBD!$B:$B,$A113)</f>
        <v>15</v>
      </c>
      <c r="C113" s="5" t="n">
        <f aca="false" t="array" ref="C113:C113">INDEX(Data_DBD!$C:$C,$A113)</f>
        <v>4</v>
      </c>
      <c r="D113" s="5" t="n">
        <f aca="false" t="array" ref="D113:D113">INDEX(Data_DBD!$E:$E,$A113)</f>
        <v>1</v>
      </c>
      <c r="E113" s="5" t="str">
        <f aca="false" t="array" ref="E113:E113">INDEX(Data_DBD!$F:$F,$A113)</f>
        <v>Tinggi</v>
      </c>
      <c r="H113" s="5" t="n">
        <v>18</v>
      </c>
      <c r="I113" s="5" t="n">
        <v>49</v>
      </c>
      <c r="J113" s="5" t="n">
        <v>4</v>
      </c>
      <c r="K113" s="5" t="n">
        <v>1</v>
      </c>
      <c r="L113" s="5" t="s">
        <v>20</v>
      </c>
    </row>
    <row r="114" customFormat="false" ht="15" hidden="false" customHeight="false" outlineLevel="0" collapsed="false">
      <c r="A114" s="5" t="n">
        <f aca="false">RANDBETWEEN(2,164)</f>
        <v>144</v>
      </c>
      <c r="B114" s="5" t="n">
        <f aca="false" t="array" ref="B114:B114">INDEX(Data_DBD!$B:$B,$A114)</f>
        <v>61</v>
      </c>
      <c r="C114" s="5" t="n">
        <f aca="false" t="array" ref="C114:C114">INDEX(Data_DBD!$C:$C,$A114)</f>
        <v>4</v>
      </c>
      <c r="D114" s="5" t="n">
        <f aca="false" t="array" ref="D114:D114">INDEX(Data_DBD!$E:$E,$A114)</f>
        <v>1</v>
      </c>
      <c r="E114" s="5" t="str">
        <f aca="false" t="array" ref="E114:E114">INDEX(Data_DBD!$F:$F,$A114)</f>
        <v>Tinggi</v>
      </c>
      <c r="H114" s="5" t="n">
        <v>127</v>
      </c>
      <c r="I114" s="5" t="n">
        <v>21</v>
      </c>
      <c r="J114" s="5" t="n">
        <v>2</v>
      </c>
      <c r="K114" s="5" t="n">
        <v>0</v>
      </c>
      <c r="L114" s="5" t="s">
        <v>115</v>
      </c>
    </row>
    <row r="115" customFormat="false" ht="15" hidden="false" customHeight="false" outlineLevel="0" collapsed="false">
      <c r="A115" s="5" t="n">
        <f aca="false">RANDBETWEEN(2,164)</f>
        <v>131</v>
      </c>
      <c r="B115" s="5" t="n">
        <f aca="false" t="array" ref="B115:B115">INDEX(Data_DBD!$B:$B,$A115)</f>
        <v>10</v>
      </c>
      <c r="C115" s="5" t="n">
        <f aca="false" t="array" ref="C115:C115">INDEX(Data_DBD!$C:$C,$A115)</f>
        <v>2</v>
      </c>
      <c r="D115" s="5" t="n">
        <f aca="false" t="array" ref="D115:D115">INDEX(Data_DBD!$E:$E,$A115)</f>
        <v>0</v>
      </c>
      <c r="E115" s="5" t="str">
        <f aca="false" t="array" ref="E115:E115">INDEX(Data_DBD!$F:$F,$A115)</f>
        <v>Tinggi</v>
      </c>
      <c r="H115" s="5" t="n">
        <v>160</v>
      </c>
      <c r="I115" s="5" t="n">
        <v>16</v>
      </c>
      <c r="J115" s="5" t="n">
        <v>3</v>
      </c>
      <c r="K115" s="5" t="n">
        <v>0</v>
      </c>
      <c r="L115" s="5" t="s">
        <v>115</v>
      </c>
    </row>
    <row r="116" customFormat="false" ht="15" hidden="false" customHeight="false" outlineLevel="0" collapsed="false">
      <c r="A116" s="5" t="n">
        <f aca="false">RANDBETWEEN(2,164)</f>
        <v>49</v>
      </c>
      <c r="B116" s="5" t="n">
        <f aca="false" t="array" ref="B116:B116">INDEX(Data_DBD!$B:$B,$A116)</f>
        <v>64</v>
      </c>
      <c r="C116" s="5" t="n">
        <f aca="false" t="array" ref="C116:C116">INDEX(Data_DBD!$C:$C,$A116)</f>
        <v>5</v>
      </c>
      <c r="D116" s="5" t="n">
        <f aca="false" t="array" ref="D116:D116">INDEX(Data_DBD!$E:$E,$A116)</f>
        <v>0</v>
      </c>
      <c r="E116" s="5" t="str">
        <f aca="false" t="array" ref="E116:E116">INDEX(Data_DBD!$F:$F,$A116)</f>
        <v>Sedang</v>
      </c>
      <c r="H116" s="5" t="n">
        <v>80</v>
      </c>
      <c r="I116" s="5" t="n">
        <v>27</v>
      </c>
      <c r="J116" s="5" t="n">
        <v>3</v>
      </c>
      <c r="K116" s="5" t="n">
        <v>1</v>
      </c>
      <c r="L116" s="5" t="s">
        <v>7</v>
      </c>
    </row>
    <row r="117" customFormat="false" ht="15" hidden="false" customHeight="false" outlineLevel="0" collapsed="false">
      <c r="A117" s="5" t="n">
        <f aca="false">RANDBETWEEN(2,164)</f>
        <v>35</v>
      </c>
      <c r="B117" s="5" t="n">
        <f aca="false" t="array" ref="B117:B117">INDEX(Data_DBD!$B:$B,$A117)</f>
        <v>40</v>
      </c>
      <c r="C117" s="5" t="n">
        <f aca="false" t="array" ref="C117:C117">INDEX(Data_DBD!$C:$C,$A117)</f>
        <v>3</v>
      </c>
      <c r="D117" s="5" t="n">
        <f aca="false" t="array" ref="D117:D117">INDEX(Data_DBD!$E:$E,$A117)</f>
        <v>1</v>
      </c>
      <c r="E117" s="5" t="str">
        <f aca="false" t="array" ref="E117:E117">INDEX(Data_DBD!$F:$F,$A117)</f>
        <v>Rendah</v>
      </c>
      <c r="H117" s="5" t="n">
        <v>159</v>
      </c>
      <c r="I117" s="5" t="n">
        <v>17</v>
      </c>
      <c r="J117" s="5" t="n">
        <v>2</v>
      </c>
      <c r="K117" s="5" t="n">
        <v>0</v>
      </c>
      <c r="L117" s="5" t="s">
        <v>115</v>
      </c>
    </row>
    <row r="118" customFormat="false" ht="15" hidden="false" customHeight="false" outlineLevel="0" collapsed="false">
      <c r="A118" s="5" t="n">
        <f aca="false">RANDBETWEEN(2,164)</f>
        <v>116</v>
      </c>
      <c r="B118" s="5" t="n">
        <f aca="false" t="array" ref="B118:B118">INDEX(Data_DBD!$B:$B,$A118)</f>
        <v>32</v>
      </c>
      <c r="C118" s="5" t="n">
        <f aca="false" t="array" ref="C118:C118">INDEX(Data_DBD!$C:$C,$A118)</f>
        <v>4</v>
      </c>
      <c r="D118" s="5" t="n">
        <f aca="false" t="array" ref="D118:D118">INDEX(Data_DBD!$E:$E,$A118)</f>
        <v>1</v>
      </c>
      <c r="E118" s="5" t="str">
        <f aca="false" t="array" ref="E118:E118">INDEX(Data_DBD!$F:$F,$A118)</f>
        <v>Tinggi</v>
      </c>
      <c r="H118" s="5" t="n">
        <v>117</v>
      </c>
      <c r="I118" s="5" t="n">
        <v>49</v>
      </c>
      <c r="J118" s="5" t="n">
        <v>4</v>
      </c>
      <c r="K118" s="5" t="n">
        <v>1</v>
      </c>
      <c r="L118" s="5" t="s">
        <v>115</v>
      </c>
    </row>
    <row r="119" customFormat="false" ht="15" hidden="false" customHeight="false" outlineLevel="0" collapsed="false">
      <c r="A119" s="5" t="n">
        <f aca="false">RANDBETWEEN(2,164)</f>
        <v>112</v>
      </c>
      <c r="B119" s="5" t="n">
        <f aca="false" t="array" ref="B119:B119">INDEX(Data_DBD!$B:$B,$A119)</f>
        <v>61</v>
      </c>
      <c r="C119" s="5" t="n">
        <f aca="false" t="array" ref="C119:C119">INDEX(Data_DBD!$C:$C,$A119)</f>
        <v>3</v>
      </c>
      <c r="D119" s="5" t="n">
        <f aca="false" t="array" ref="D119:D119">INDEX(Data_DBD!$E:$E,$A119)</f>
        <v>1</v>
      </c>
      <c r="E119" s="5" t="str">
        <f aca="false" t="array" ref="E119:E119">INDEX(Data_DBD!$F:$F,$A119)</f>
        <v>Tinggi</v>
      </c>
      <c r="H119" s="5" t="n">
        <v>107</v>
      </c>
      <c r="I119" s="5" t="n">
        <v>48</v>
      </c>
      <c r="J119" s="5" t="n">
        <v>5</v>
      </c>
      <c r="K119" s="5" t="n">
        <v>0</v>
      </c>
      <c r="L119" s="5" t="s">
        <v>115</v>
      </c>
    </row>
    <row r="120" customFormat="false" ht="15" hidden="false" customHeight="false" outlineLevel="0" collapsed="false">
      <c r="A120" s="5" t="n">
        <f aca="false">RANDBETWEEN(2,164)</f>
        <v>79</v>
      </c>
      <c r="B120" s="5" t="n">
        <f aca="false" t="array" ref="B120:B120">INDEX(Data_DBD!$B:$B,$A120)</f>
        <v>29</v>
      </c>
      <c r="C120" s="5" t="n">
        <f aca="false" t="array" ref="C120:C120">INDEX(Data_DBD!$C:$C,$A120)</f>
        <v>3</v>
      </c>
      <c r="D120" s="5" t="n">
        <f aca="false" t="array" ref="D120:D120">INDEX(Data_DBD!$E:$E,$A120)</f>
        <v>0</v>
      </c>
      <c r="E120" s="5" t="str">
        <f aca="false" t="array" ref="E120:E120">INDEX(Data_DBD!$F:$F,$A120)</f>
        <v>Sedang</v>
      </c>
      <c r="H120" s="5" t="n">
        <v>85</v>
      </c>
      <c r="I120" s="5" t="n">
        <v>27</v>
      </c>
      <c r="J120" s="5" t="n">
        <v>9</v>
      </c>
      <c r="K120" s="5" t="n">
        <v>0</v>
      </c>
      <c r="L120" s="5" t="s">
        <v>7</v>
      </c>
    </row>
    <row r="121" customFormat="false" ht="15" hidden="false" customHeight="false" outlineLevel="0" collapsed="false">
      <c r="A121" s="5" t="n">
        <f aca="false">RANDBETWEEN(2,164)</f>
        <v>140</v>
      </c>
      <c r="B121" s="5" t="n">
        <f aca="false" t="array" ref="B121:B121">INDEX(Data_DBD!$B:$B,$A121)</f>
        <v>74</v>
      </c>
      <c r="C121" s="5" t="n">
        <f aca="false" t="array" ref="C121:C121">INDEX(Data_DBD!$C:$C,$A121)</f>
        <v>5</v>
      </c>
      <c r="D121" s="5" t="n">
        <f aca="false" t="array" ref="D121:D121">INDEX(Data_DBD!$E:$E,$A121)</f>
        <v>1</v>
      </c>
      <c r="E121" s="5" t="str">
        <f aca="false" t="array" ref="E121:E121">INDEX(Data_DBD!$F:$F,$A121)</f>
        <v>Tinggi</v>
      </c>
      <c r="H121" s="5" t="n">
        <v>38</v>
      </c>
      <c r="I121" s="5" t="n">
        <v>52</v>
      </c>
      <c r="J121" s="5" t="n">
        <v>3</v>
      </c>
      <c r="K121" s="5" t="n">
        <v>1</v>
      </c>
      <c r="L121" s="5" t="s">
        <v>20</v>
      </c>
    </row>
    <row r="122" customFormat="false" ht="15" hidden="false" customHeight="false" outlineLevel="0" collapsed="false">
      <c r="A122" s="5" t="n">
        <f aca="false">RANDBETWEEN(2,164)</f>
        <v>74</v>
      </c>
      <c r="B122" s="5" t="n">
        <f aca="false" t="array" ref="B122:B122">INDEX(Data_DBD!$B:$B,$A122)</f>
        <v>9</v>
      </c>
      <c r="C122" s="5" t="n">
        <f aca="false" t="array" ref="C122:C122">INDEX(Data_DBD!$C:$C,$A122)</f>
        <v>4</v>
      </c>
      <c r="D122" s="5" t="n">
        <f aca="false" t="array" ref="D122:D122">INDEX(Data_DBD!$E:$E,$A122)</f>
        <v>0</v>
      </c>
      <c r="E122" s="5" t="str">
        <f aca="false" t="array" ref="E122:E122">INDEX(Data_DBD!$F:$F,$A122)</f>
        <v>Rendah</v>
      </c>
      <c r="H122" s="5" t="n">
        <v>158</v>
      </c>
      <c r="I122" s="5" t="n">
        <v>5</v>
      </c>
      <c r="J122" s="5" t="n">
        <v>2</v>
      </c>
      <c r="K122" s="5" t="n">
        <v>0</v>
      </c>
      <c r="L122" s="5" t="s">
        <v>115</v>
      </c>
    </row>
    <row r="123" customFormat="false" ht="15" hidden="false" customHeight="false" outlineLevel="0" collapsed="false">
      <c r="A123" s="5" t="n">
        <f aca="false">RANDBETWEEN(2,164)</f>
        <v>123</v>
      </c>
      <c r="B123" s="5" t="n">
        <f aca="false" t="array" ref="B123:B123">INDEX(Data_DBD!$B:$B,$A123)</f>
        <v>22</v>
      </c>
      <c r="C123" s="5" t="n">
        <f aca="false" t="array" ref="C123:C123">INDEX(Data_DBD!$C:$C,$A123)</f>
        <v>4</v>
      </c>
      <c r="D123" s="5" t="n">
        <f aca="false" t="array" ref="D123:D123">INDEX(Data_DBD!$E:$E,$A123)</f>
        <v>0</v>
      </c>
      <c r="E123" s="5" t="str">
        <f aca="false" t="array" ref="E123:E123">INDEX(Data_DBD!$F:$F,$A123)</f>
        <v>Tinggi</v>
      </c>
      <c r="H123" s="5" t="n">
        <v>38</v>
      </c>
      <c r="I123" s="5" t="n">
        <v>52</v>
      </c>
      <c r="J123" s="5" t="n">
        <v>3</v>
      </c>
      <c r="K123" s="5" t="n">
        <v>1</v>
      </c>
      <c r="L123" s="5" t="s">
        <v>20</v>
      </c>
    </row>
    <row r="124" customFormat="false" ht="15" hidden="false" customHeight="false" outlineLevel="0" collapsed="false">
      <c r="A124" s="5" t="n">
        <f aca="false">RANDBETWEEN(2,164)</f>
        <v>117</v>
      </c>
      <c r="B124" s="5" t="n">
        <f aca="false" t="array" ref="B124:B124">INDEX(Data_DBD!$B:$B,$A124)</f>
        <v>49</v>
      </c>
      <c r="C124" s="5" t="n">
        <f aca="false" t="array" ref="C124:C124">INDEX(Data_DBD!$C:$C,$A124)</f>
        <v>4</v>
      </c>
      <c r="D124" s="5" t="n">
        <f aca="false" t="array" ref="D124:D124">INDEX(Data_DBD!$E:$E,$A124)</f>
        <v>1</v>
      </c>
      <c r="E124" s="5" t="str">
        <f aca="false" t="array" ref="E124:E124">INDEX(Data_DBD!$F:$F,$A124)</f>
        <v>Tinggi</v>
      </c>
      <c r="H124" s="5" t="n">
        <v>71</v>
      </c>
      <c r="I124" s="5" t="n">
        <v>84</v>
      </c>
      <c r="J124" s="5" t="n">
        <v>3</v>
      </c>
      <c r="K124" s="5" t="n">
        <v>0</v>
      </c>
      <c r="L124" s="5" t="s">
        <v>7</v>
      </c>
    </row>
    <row r="125" customFormat="false" ht="15" hidden="false" customHeight="false" outlineLevel="0" collapsed="false">
      <c r="A125" s="5" t="n">
        <f aca="false">RANDBETWEEN(2,164)</f>
        <v>44</v>
      </c>
      <c r="B125" s="5" t="n">
        <f aca="false" t="array" ref="B125:B125">INDEX(Data_DBD!$B:$B,$A125)</f>
        <v>28</v>
      </c>
      <c r="C125" s="5" t="n">
        <f aca="false" t="array" ref="C125:C125">INDEX(Data_DBD!$C:$C,$A125)</f>
        <v>5</v>
      </c>
      <c r="D125" s="5" t="n">
        <f aca="false" t="array" ref="D125:D125">INDEX(Data_DBD!$E:$E,$A125)</f>
        <v>1</v>
      </c>
      <c r="E125" s="5" t="str">
        <f aca="false" t="array" ref="E125:E125">INDEX(Data_DBD!$F:$F,$A125)</f>
        <v>Sedang</v>
      </c>
      <c r="H125" s="5" t="n">
        <v>131</v>
      </c>
      <c r="I125" s="5" t="n">
        <v>10</v>
      </c>
      <c r="J125" s="5" t="n">
        <v>2</v>
      </c>
      <c r="K125" s="5" t="n">
        <v>0</v>
      </c>
      <c r="L125" s="5" t="s">
        <v>115</v>
      </c>
    </row>
    <row r="126" customFormat="false" ht="15" hidden="false" customHeight="false" outlineLevel="0" collapsed="false">
      <c r="A126" s="5" t="n">
        <f aca="false">RANDBETWEEN(2,164)</f>
        <v>161</v>
      </c>
      <c r="B126" s="5" t="n">
        <f aca="false" t="array" ref="B126:B126">INDEX(Data_DBD!$B:$B,$A126)</f>
        <v>12</v>
      </c>
      <c r="C126" s="5" t="n">
        <f aca="false" t="array" ref="C126:C126">INDEX(Data_DBD!$C:$C,$A126)</f>
        <v>3</v>
      </c>
      <c r="D126" s="5" t="n">
        <f aca="false" t="array" ref="D126:D126">INDEX(Data_DBD!$E:$E,$A126)</f>
        <v>1</v>
      </c>
      <c r="E126" s="5" t="str">
        <f aca="false" t="array" ref="E126:E126">INDEX(Data_DBD!$F:$F,$A126)</f>
        <v>Tinggi</v>
      </c>
      <c r="H126" s="5" t="n">
        <v>7</v>
      </c>
      <c r="I126" s="5" t="n">
        <v>12</v>
      </c>
      <c r="J126" s="5" t="n">
        <v>1</v>
      </c>
      <c r="K126" s="5" t="n">
        <v>1</v>
      </c>
      <c r="L126" s="5" t="s">
        <v>7</v>
      </c>
    </row>
    <row r="127" customFormat="false" ht="15" hidden="false" customHeight="false" outlineLevel="0" collapsed="false">
      <c r="A127" s="5" t="n">
        <f aca="false">RANDBETWEEN(2,164)</f>
        <v>93</v>
      </c>
      <c r="B127" s="5" t="n">
        <f aca="false" t="array" ref="B127:B127">INDEX(Data_DBD!$B:$B,$A127)</f>
        <v>65</v>
      </c>
      <c r="C127" s="5" t="n">
        <f aca="false" t="array" ref="C127:C127">INDEX(Data_DBD!$C:$C,$A127)</f>
        <v>4</v>
      </c>
      <c r="D127" s="5" t="n">
        <f aca="false" t="array" ref="D127:D127">INDEX(Data_DBD!$E:$E,$A127)</f>
        <v>0</v>
      </c>
      <c r="E127" s="5" t="str">
        <f aca="false" t="array" ref="E127:E127">INDEX(Data_DBD!$F:$F,$A127)</f>
        <v>Sedang</v>
      </c>
      <c r="H127" s="5" t="n">
        <v>145</v>
      </c>
      <c r="I127" s="5" t="n">
        <v>28</v>
      </c>
      <c r="J127" s="5" t="n">
        <v>4</v>
      </c>
      <c r="K127" s="5" t="n">
        <v>1</v>
      </c>
      <c r="L127" s="5" t="s">
        <v>115</v>
      </c>
    </row>
    <row r="128" customFormat="false" ht="15" hidden="false" customHeight="false" outlineLevel="0" collapsed="false">
      <c r="A128" s="5" t="n">
        <f aca="false">RANDBETWEEN(2,164)</f>
        <v>132</v>
      </c>
      <c r="B128" s="5" t="n">
        <f aca="false" t="array" ref="B128:B128">INDEX(Data_DBD!$B:$B,$A128)</f>
        <v>10</v>
      </c>
      <c r="C128" s="5" t="n">
        <f aca="false" t="array" ref="C128:C128">INDEX(Data_DBD!$C:$C,$A128)</f>
        <v>3</v>
      </c>
      <c r="D128" s="5" t="n">
        <f aca="false" t="array" ref="D128:D128">INDEX(Data_DBD!$E:$E,$A128)</f>
        <v>1</v>
      </c>
      <c r="E128" s="5" t="str">
        <f aca="false" t="array" ref="E128:E128">INDEX(Data_DBD!$F:$F,$A128)</f>
        <v>Tinggi</v>
      </c>
      <c r="H128" s="5" t="n">
        <v>161</v>
      </c>
      <c r="I128" s="5" t="n">
        <v>12</v>
      </c>
      <c r="J128" s="5" t="n">
        <v>3</v>
      </c>
      <c r="K128" s="5" t="n">
        <v>1</v>
      </c>
      <c r="L128" s="5" t="s">
        <v>115</v>
      </c>
    </row>
    <row r="129" customFormat="false" ht="15" hidden="false" customHeight="false" outlineLevel="0" collapsed="false">
      <c r="A129" s="5" t="n">
        <f aca="false">RANDBETWEEN(2,164)</f>
        <v>100</v>
      </c>
      <c r="B129" s="5" t="n">
        <f aca="false" t="array" ref="B129:B129">INDEX(Data_DBD!$B:$B,$A129)</f>
        <v>19</v>
      </c>
      <c r="C129" s="5" t="n">
        <f aca="false" t="array" ref="C129:C129">INDEX(Data_DBD!$C:$C,$A129)</f>
        <v>6</v>
      </c>
      <c r="D129" s="5" t="n">
        <f aca="false" t="array" ref="D129:D129">INDEX(Data_DBD!$E:$E,$A129)</f>
        <v>0</v>
      </c>
      <c r="E129" s="5" t="str">
        <f aca="false" t="array" ref="E129:E129">INDEX(Data_DBD!$F:$F,$A129)</f>
        <v>Sedang</v>
      </c>
      <c r="H129" s="5" t="n">
        <v>62</v>
      </c>
      <c r="I129" s="5" t="n">
        <v>43</v>
      </c>
      <c r="J129" s="5" t="n">
        <v>4</v>
      </c>
      <c r="K129" s="5" t="n">
        <v>1</v>
      </c>
      <c r="L129" s="5" t="s">
        <v>7</v>
      </c>
    </row>
    <row r="130" customFormat="false" ht="15" hidden="false" customHeight="false" outlineLevel="0" collapsed="false">
      <c r="A130" s="5" t="n">
        <f aca="false">RANDBETWEEN(2,164)</f>
        <v>140</v>
      </c>
      <c r="B130" s="5" t="n">
        <f aca="false" t="array" ref="B130:B130">INDEX(Data_DBD!$B:$B,$A130)</f>
        <v>74</v>
      </c>
      <c r="C130" s="5" t="n">
        <f aca="false" t="array" ref="C130:C130">INDEX(Data_DBD!$C:$C,$A130)</f>
        <v>5</v>
      </c>
      <c r="D130" s="5" t="n">
        <f aca="false" t="array" ref="D130:D130">INDEX(Data_DBD!$E:$E,$A130)</f>
        <v>1</v>
      </c>
      <c r="E130" s="5" t="str">
        <f aca="false" t="array" ref="E130:E130">INDEX(Data_DBD!$F:$F,$A130)</f>
        <v>Tinggi</v>
      </c>
      <c r="H130" s="5" t="n">
        <v>123</v>
      </c>
      <c r="I130" s="5" t="n">
        <v>22</v>
      </c>
      <c r="J130" s="5" t="n">
        <v>4</v>
      </c>
      <c r="K130" s="5" t="n">
        <v>0</v>
      </c>
      <c r="L130" s="5" t="s">
        <v>115</v>
      </c>
    </row>
    <row r="131" customFormat="false" ht="15" hidden="false" customHeight="false" outlineLevel="0" collapsed="false">
      <c r="A131" s="5" t="n">
        <f aca="false">RANDBETWEEN(2,164)</f>
        <v>135</v>
      </c>
      <c r="B131" s="5" t="n">
        <f aca="false" t="array" ref="B131:B131">INDEX(Data_DBD!$B:$B,$A131)</f>
        <v>10</v>
      </c>
      <c r="C131" s="5" t="n">
        <f aca="false" t="array" ref="C131:C131">INDEX(Data_DBD!$C:$C,$A131)</f>
        <v>2</v>
      </c>
      <c r="D131" s="5" t="n">
        <f aca="false" t="array" ref="D131:D131">INDEX(Data_DBD!$E:$E,$A131)</f>
        <v>0</v>
      </c>
      <c r="E131" s="5" t="str">
        <f aca="false" t="array" ref="E131:E131">INDEX(Data_DBD!$F:$F,$A131)</f>
        <v>Tinggi</v>
      </c>
      <c r="H131" s="5" t="n">
        <v>144</v>
      </c>
      <c r="I131" s="5" t="n">
        <v>61</v>
      </c>
      <c r="J131" s="5" t="n">
        <v>4</v>
      </c>
      <c r="K131" s="5" t="n">
        <v>1</v>
      </c>
      <c r="L131" s="5" t="s">
        <v>115</v>
      </c>
    </row>
    <row r="132" customFormat="false" ht="15" hidden="false" customHeight="false" outlineLevel="0" collapsed="false">
      <c r="A132" s="5" t="n">
        <f aca="false">RANDBETWEEN(2,164)</f>
        <v>65</v>
      </c>
      <c r="B132" s="5" t="n">
        <f aca="false" t="array" ref="B132:B132">INDEX(Data_DBD!$B:$B,$A132)</f>
        <v>49</v>
      </c>
      <c r="C132" s="5" t="n">
        <f aca="false" t="array" ref="C132:C132">INDEX(Data_DBD!$C:$C,$A132)</f>
        <v>3</v>
      </c>
      <c r="D132" s="5" t="n">
        <f aca="false" t="array" ref="D132:D132">INDEX(Data_DBD!$E:$E,$A132)</f>
        <v>0</v>
      </c>
      <c r="E132" s="5" t="str">
        <f aca="false" t="array" ref="E132:E132">INDEX(Data_DBD!$F:$F,$A132)</f>
        <v>Sedang</v>
      </c>
      <c r="H132" s="5" t="n">
        <v>147</v>
      </c>
      <c r="I132" s="5" t="n">
        <v>66</v>
      </c>
      <c r="J132" s="5" t="n">
        <v>10</v>
      </c>
      <c r="K132" s="5" t="n">
        <v>1</v>
      </c>
      <c r="L132" s="5" t="s">
        <v>115</v>
      </c>
    </row>
    <row r="133" customFormat="false" ht="15" hidden="false" customHeight="false" outlineLevel="0" collapsed="false">
      <c r="A133" s="5" t="n">
        <f aca="false">RANDBETWEEN(2,164)</f>
        <v>142</v>
      </c>
      <c r="B133" s="5" t="n">
        <f aca="false" t="array" ref="B133:B133">INDEX(Data_DBD!$B:$B,$A133)</f>
        <v>39</v>
      </c>
      <c r="C133" s="5" t="n">
        <f aca="false" t="array" ref="C133:C133">INDEX(Data_DBD!$C:$C,$A133)</f>
        <v>2</v>
      </c>
      <c r="D133" s="5" t="n">
        <f aca="false" t="array" ref="D133:D133">INDEX(Data_DBD!$E:$E,$A133)</f>
        <v>1</v>
      </c>
      <c r="E133" s="5" t="str">
        <f aca="false" t="array" ref="E133:E133">INDEX(Data_DBD!$F:$F,$A133)</f>
        <v>Tinggi</v>
      </c>
      <c r="H133" s="5" t="n">
        <v>90</v>
      </c>
      <c r="I133" s="5" t="n">
        <v>47</v>
      </c>
      <c r="J133" s="5" t="n">
        <v>3</v>
      </c>
      <c r="K133" s="5" t="n">
        <v>0</v>
      </c>
      <c r="L133" s="5" t="s">
        <v>115</v>
      </c>
    </row>
    <row r="134" customFormat="false" ht="15" hidden="false" customHeight="false" outlineLevel="0" collapsed="false">
      <c r="A134" s="5" t="n">
        <f aca="false">RANDBETWEEN(2,164)</f>
        <v>136</v>
      </c>
      <c r="B134" s="5" t="n">
        <f aca="false" t="array" ref="B134:B134">INDEX(Data_DBD!$B:$B,$A134)</f>
        <v>6</v>
      </c>
      <c r="C134" s="5" t="n">
        <f aca="false" t="array" ref="C134:C134">INDEX(Data_DBD!$C:$C,$A134)</f>
        <v>2</v>
      </c>
      <c r="D134" s="5" t="n">
        <f aca="false" t="array" ref="D134:D134">INDEX(Data_DBD!$E:$E,$A134)</f>
        <v>0</v>
      </c>
      <c r="E134" s="5" t="str">
        <f aca="false" t="array" ref="E134:E134">INDEX(Data_DBD!$F:$F,$A134)</f>
        <v>Tinggi</v>
      </c>
      <c r="H134" s="5" t="n">
        <v>79</v>
      </c>
      <c r="I134" s="5" t="n">
        <v>29</v>
      </c>
      <c r="J134" s="5" t="n">
        <v>3</v>
      </c>
      <c r="K134" s="5" t="n">
        <v>0</v>
      </c>
      <c r="L134" s="5" t="s">
        <v>7</v>
      </c>
    </row>
    <row r="135" customFormat="false" ht="15" hidden="false" customHeight="false" outlineLevel="0" collapsed="false">
      <c r="A135" s="5" t="n">
        <f aca="false">RANDBETWEEN(2,164)</f>
        <v>135</v>
      </c>
      <c r="B135" s="5" t="n">
        <f aca="false" t="array" ref="B135:B135">INDEX(Data_DBD!$B:$B,$A135)</f>
        <v>10</v>
      </c>
      <c r="C135" s="5" t="n">
        <f aca="false" t="array" ref="C135:C135">INDEX(Data_DBD!$C:$C,$A135)</f>
        <v>2</v>
      </c>
      <c r="D135" s="5" t="n">
        <f aca="false" t="array" ref="D135:D135">INDEX(Data_DBD!$E:$E,$A135)</f>
        <v>0</v>
      </c>
      <c r="E135" s="5" t="str">
        <f aca="false" t="array" ref="E135:E135">INDEX(Data_DBD!$F:$F,$A135)</f>
        <v>Tinggi</v>
      </c>
      <c r="H135" s="5" t="n">
        <v>79</v>
      </c>
      <c r="I135" s="5" t="n">
        <v>29</v>
      </c>
      <c r="J135" s="5" t="n">
        <v>3</v>
      </c>
      <c r="K135" s="5" t="n">
        <v>0</v>
      </c>
      <c r="L135" s="5" t="s">
        <v>7</v>
      </c>
    </row>
    <row r="136" customFormat="false" ht="15" hidden="false" customHeight="false" outlineLevel="0" collapsed="false">
      <c r="A136" s="5" t="n">
        <f aca="false">RANDBETWEEN(2,164)</f>
        <v>71</v>
      </c>
      <c r="B136" s="5" t="n">
        <f aca="false" t="array" ref="B136:B136">INDEX(Data_DBD!$B:$B,$A136)</f>
        <v>84</v>
      </c>
      <c r="C136" s="5" t="n">
        <f aca="false" t="array" ref="C136:C136">INDEX(Data_DBD!$C:$C,$A136)</f>
        <v>3</v>
      </c>
      <c r="D136" s="5" t="n">
        <f aca="false" t="array" ref="D136:D136">INDEX(Data_DBD!$E:$E,$A136)</f>
        <v>0</v>
      </c>
      <c r="E136" s="5" t="str">
        <f aca="false" t="array" ref="E136:E136">INDEX(Data_DBD!$F:$F,$A136)</f>
        <v>Rendah</v>
      </c>
      <c r="H136" s="5" t="n">
        <v>27</v>
      </c>
      <c r="I136" s="5" t="n">
        <v>37</v>
      </c>
      <c r="J136" s="5" t="n">
        <v>4</v>
      </c>
      <c r="K136" s="5" t="n">
        <v>1</v>
      </c>
      <c r="L136" s="5" t="s">
        <v>7</v>
      </c>
    </row>
    <row r="137" customFormat="false" ht="15" hidden="false" customHeight="false" outlineLevel="0" collapsed="false">
      <c r="A137" s="5" t="n">
        <f aca="false">RANDBETWEEN(2,164)</f>
        <v>33</v>
      </c>
      <c r="B137" s="5" t="n">
        <f aca="false" t="array" ref="B137:B137">INDEX(Data_DBD!$B:$B,$A137)</f>
        <v>19</v>
      </c>
      <c r="C137" s="5" t="n">
        <f aca="false" t="array" ref="C137:C137">INDEX(Data_DBD!$C:$C,$A137)</f>
        <v>4</v>
      </c>
      <c r="D137" s="5" t="n">
        <f aca="false" t="array" ref="D137:D137">INDEX(Data_DBD!$E:$E,$A137)</f>
        <v>1</v>
      </c>
      <c r="E137" s="5" t="str">
        <f aca="false" t="array" ref="E137:E137">INDEX(Data_DBD!$F:$F,$A137)</f>
        <v>Sedang</v>
      </c>
      <c r="H137" s="5" t="n">
        <v>151</v>
      </c>
      <c r="I137" s="5" t="n">
        <v>24</v>
      </c>
      <c r="J137" s="5" t="n">
        <v>3</v>
      </c>
      <c r="K137" s="5" t="n">
        <v>0</v>
      </c>
      <c r="L137" s="5" t="s">
        <v>115</v>
      </c>
    </row>
    <row r="138" customFormat="false" ht="15" hidden="false" customHeight="false" outlineLevel="0" collapsed="false">
      <c r="A138" s="5" t="n">
        <f aca="false">RANDBETWEEN(2,164)</f>
        <v>61</v>
      </c>
      <c r="B138" s="5" t="n">
        <f aca="false" t="array" ref="B138:B138">INDEX(Data_DBD!$B:$B,$A138)</f>
        <v>29</v>
      </c>
      <c r="C138" s="5" t="n">
        <f aca="false" t="array" ref="C138:C138">INDEX(Data_DBD!$C:$C,$A138)</f>
        <v>3</v>
      </c>
      <c r="D138" s="5" t="n">
        <f aca="false" t="array" ref="D138:D138">INDEX(Data_DBD!$E:$E,$A138)</f>
        <v>1</v>
      </c>
      <c r="E138" s="5" t="str">
        <f aca="false" t="array" ref="E138:E138">INDEX(Data_DBD!$F:$F,$A138)</f>
        <v>Sedang</v>
      </c>
      <c r="H138" s="5" t="n">
        <v>19</v>
      </c>
      <c r="I138" s="5" t="n">
        <v>8</v>
      </c>
      <c r="J138" s="5" t="n">
        <v>4</v>
      </c>
      <c r="K138" s="5" t="n">
        <v>0</v>
      </c>
      <c r="L138" s="5" t="s">
        <v>20</v>
      </c>
    </row>
    <row r="139" customFormat="false" ht="15" hidden="false" customHeight="false" outlineLevel="0" collapsed="false">
      <c r="A139" s="5" t="n">
        <f aca="false">RANDBETWEEN(2,164)</f>
        <v>138</v>
      </c>
      <c r="B139" s="5" t="n">
        <f aca="false" t="array" ref="B139:B139">INDEX(Data_DBD!$B:$B,$A139)</f>
        <v>13</v>
      </c>
      <c r="C139" s="5" t="n">
        <f aca="false" t="array" ref="C139:C139">INDEX(Data_DBD!$C:$C,$A139)</f>
        <v>3</v>
      </c>
      <c r="D139" s="5" t="n">
        <f aca="false" t="array" ref="D139:D139">INDEX(Data_DBD!$E:$E,$A139)</f>
        <v>1</v>
      </c>
      <c r="E139" s="5" t="str">
        <f aca="false" t="array" ref="E139:E139">INDEX(Data_DBD!$F:$F,$A139)</f>
        <v>Tinggi</v>
      </c>
      <c r="H139" s="5" t="n">
        <v>78</v>
      </c>
      <c r="I139" s="5" t="n">
        <v>6</v>
      </c>
      <c r="J139" s="5" t="n">
        <v>3</v>
      </c>
      <c r="K139" s="5" t="n">
        <v>0</v>
      </c>
      <c r="L139" s="5" t="s">
        <v>7</v>
      </c>
    </row>
    <row r="140" customFormat="false" ht="15" hidden="false" customHeight="false" outlineLevel="0" collapsed="false">
      <c r="A140" s="5" t="n">
        <f aca="false">RANDBETWEEN(2,164)</f>
        <v>38</v>
      </c>
      <c r="B140" s="5" t="n">
        <f aca="false" t="array" ref="B140:B140">INDEX(Data_DBD!$B:$B,$A140)</f>
        <v>52</v>
      </c>
      <c r="C140" s="5" t="n">
        <f aca="false" t="array" ref="C140:C140">INDEX(Data_DBD!$C:$C,$A140)</f>
        <v>3</v>
      </c>
      <c r="D140" s="5" t="n">
        <f aca="false" t="array" ref="D140:D140">INDEX(Data_DBD!$E:$E,$A140)</f>
        <v>1</v>
      </c>
      <c r="E140" s="5" t="str">
        <f aca="false" t="array" ref="E140:E140">INDEX(Data_DBD!$F:$F,$A140)</f>
        <v>Rendah</v>
      </c>
      <c r="H140" s="5" t="n">
        <v>11</v>
      </c>
      <c r="I140" s="5" t="n">
        <v>24</v>
      </c>
      <c r="J140" s="5" t="n">
        <v>5</v>
      </c>
      <c r="K140" s="5" t="n">
        <v>1</v>
      </c>
      <c r="L140" s="5" t="s">
        <v>7</v>
      </c>
    </row>
    <row r="141" customFormat="false" ht="15" hidden="false" customHeight="false" outlineLevel="0" collapsed="false">
      <c r="A141" s="5" t="n">
        <f aca="false">RANDBETWEEN(2,164)</f>
        <v>112</v>
      </c>
      <c r="B141" s="5" t="n">
        <f aca="false" t="array" ref="B141:B141">INDEX(Data_DBD!$B:$B,$A141)</f>
        <v>61</v>
      </c>
      <c r="C141" s="5" t="n">
        <f aca="false" t="array" ref="C141:C141">INDEX(Data_DBD!$C:$C,$A141)</f>
        <v>3</v>
      </c>
      <c r="D141" s="5" t="n">
        <f aca="false" t="array" ref="D141:D141">INDEX(Data_DBD!$E:$E,$A141)</f>
        <v>1</v>
      </c>
      <c r="E141" s="5" t="str">
        <f aca="false" t="array" ref="E141:E141">INDEX(Data_DBD!$F:$F,$A141)</f>
        <v>Tinggi</v>
      </c>
      <c r="H141" s="5" t="n">
        <v>95</v>
      </c>
      <c r="I141" s="5" t="n">
        <v>11</v>
      </c>
      <c r="J141" s="5" t="n">
        <v>3</v>
      </c>
      <c r="K141" s="5" t="n">
        <v>1</v>
      </c>
      <c r="L141" s="5" t="s">
        <v>115</v>
      </c>
    </row>
    <row r="142" customFormat="false" ht="15" hidden="false" customHeight="false" outlineLevel="0" collapsed="false">
      <c r="A142" s="5" t="n">
        <f aca="false">RANDBETWEEN(2,164)</f>
        <v>91</v>
      </c>
      <c r="B142" s="5" t="n">
        <f aca="false" t="array" ref="B142:B142">INDEX(Data_DBD!$B:$B,$A142)</f>
        <v>35</v>
      </c>
      <c r="C142" s="5" t="n">
        <f aca="false" t="array" ref="C142:C142">INDEX(Data_DBD!$C:$C,$A142)</f>
        <v>1</v>
      </c>
      <c r="D142" s="5" t="n">
        <f aca="false" t="array" ref="D142:D142">INDEX(Data_DBD!$E:$E,$A142)</f>
        <v>1</v>
      </c>
      <c r="E142" s="5" t="str">
        <f aca="false" t="array" ref="E142:E142">INDEX(Data_DBD!$F:$F,$A142)</f>
        <v>Sedang</v>
      </c>
      <c r="H142" s="5" t="n">
        <v>65</v>
      </c>
      <c r="I142" s="5" t="n">
        <v>49</v>
      </c>
      <c r="J142" s="5" t="n">
        <v>3</v>
      </c>
      <c r="K142" s="5" t="n">
        <v>0</v>
      </c>
      <c r="L142" s="5" t="s">
        <v>7</v>
      </c>
    </row>
    <row r="143" customFormat="false" ht="15" hidden="false" customHeight="false" outlineLevel="0" collapsed="false">
      <c r="A143" s="5" t="n">
        <f aca="false">RANDBETWEEN(2,164)</f>
        <v>11</v>
      </c>
      <c r="B143" s="5" t="n">
        <f aca="false" t="array" ref="B143:B143">INDEX(Data_DBD!$B:$B,$A143)</f>
        <v>24</v>
      </c>
      <c r="C143" s="5" t="n">
        <f aca="false" t="array" ref="C143:C143">INDEX(Data_DBD!$C:$C,$A143)</f>
        <v>5</v>
      </c>
      <c r="D143" s="5" t="n">
        <f aca="false" t="array" ref="D143:D143">INDEX(Data_DBD!$E:$E,$A143)</f>
        <v>1</v>
      </c>
      <c r="E143" s="5" t="str">
        <f aca="false" t="array" ref="E143:E143">INDEX(Data_DBD!$F:$F,$A143)</f>
        <v>Sedang</v>
      </c>
      <c r="H143" s="5" t="n">
        <v>57</v>
      </c>
      <c r="I143" s="5" t="n">
        <v>2</v>
      </c>
      <c r="J143" s="5" t="n">
        <v>2</v>
      </c>
      <c r="K143" s="5" t="n">
        <v>1</v>
      </c>
      <c r="L143" s="5" t="s">
        <v>7</v>
      </c>
    </row>
    <row r="144" customFormat="false" ht="15" hidden="false" customHeight="false" outlineLevel="0" collapsed="false">
      <c r="A144" s="5" t="n">
        <f aca="false">RANDBETWEEN(2,164)</f>
        <v>160</v>
      </c>
      <c r="B144" s="5" t="n">
        <f aca="false" t="array" ref="B144:B144">INDEX(Data_DBD!$B:$B,$A144)</f>
        <v>16</v>
      </c>
      <c r="C144" s="5" t="n">
        <f aca="false" t="array" ref="C144:C144">INDEX(Data_DBD!$C:$C,$A144)</f>
        <v>3</v>
      </c>
      <c r="D144" s="5" t="n">
        <f aca="false" t="array" ref="D144:D144">INDEX(Data_DBD!$E:$E,$A144)</f>
        <v>0</v>
      </c>
      <c r="E144" s="5" t="str">
        <f aca="false" t="array" ref="E144:E144">INDEX(Data_DBD!$F:$F,$A144)</f>
        <v>Tinggi</v>
      </c>
      <c r="H144" s="5" t="n">
        <v>113</v>
      </c>
      <c r="I144" s="5" t="n">
        <v>69</v>
      </c>
      <c r="J144" s="5" t="n">
        <v>1</v>
      </c>
      <c r="K144" s="5" t="n">
        <v>1</v>
      </c>
      <c r="L144" s="5" t="s">
        <v>115</v>
      </c>
    </row>
    <row r="145" customFormat="false" ht="15" hidden="false" customHeight="false" outlineLevel="0" collapsed="false">
      <c r="A145" s="5" t="n">
        <f aca="false">RANDBETWEEN(2,164)</f>
        <v>163</v>
      </c>
      <c r="B145" s="5" t="n">
        <f aca="false" t="array" ref="B145:B145">INDEX(Data_DBD!$B:$B,$A145)</f>
        <v>34</v>
      </c>
      <c r="C145" s="5" t="n">
        <f aca="false" t="array" ref="C145:C145">INDEX(Data_DBD!$C:$C,$A145)</f>
        <v>4</v>
      </c>
      <c r="D145" s="5" t="n">
        <f aca="false" t="array" ref="D145:D145">INDEX(Data_DBD!$E:$E,$A145)</f>
        <v>1</v>
      </c>
      <c r="E145" s="5" t="str">
        <f aca="false" t="array" ref="E145:E145">INDEX(Data_DBD!$F:$F,$A145)</f>
        <v>Rendah</v>
      </c>
      <c r="H145" s="5" t="n">
        <v>58</v>
      </c>
      <c r="I145" s="5" t="n">
        <v>17</v>
      </c>
      <c r="J145" s="5" t="n">
        <v>3</v>
      </c>
      <c r="K145" s="5" t="n">
        <v>0</v>
      </c>
      <c r="L145" s="5" t="s">
        <v>7</v>
      </c>
    </row>
    <row r="146" customFormat="false" ht="15" hidden="false" customHeight="false" outlineLevel="0" collapsed="false">
      <c r="A146" s="5" t="n">
        <f aca="false">RANDBETWEEN(2,164)</f>
        <v>120</v>
      </c>
      <c r="B146" s="5" t="n">
        <f aca="false" t="array" ref="B146:B146">INDEX(Data_DBD!$B:$B,$A146)</f>
        <v>26</v>
      </c>
      <c r="C146" s="5" t="n">
        <f aca="false" t="array" ref="C146:C146">INDEX(Data_DBD!$C:$C,$A146)</f>
        <v>4</v>
      </c>
      <c r="D146" s="5" t="n">
        <f aca="false" t="array" ref="D146:D146">INDEX(Data_DBD!$E:$E,$A146)</f>
        <v>1</v>
      </c>
      <c r="E146" s="5" t="str">
        <f aca="false" t="array" ref="E146:E146">INDEX(Data_DBD!$F:$F,$A146)</f>
        <v>Tinggi</v>
      </c>
      <c r="H146" s="5" t="n">
        <v>111</v>
      </c>
      <c r="I146" s="5" t="n">
        <v>25</v>
      </c>
      <c r="J146" s="5" t="n">
        <v>4</v>
      </c>
      <c r="K146" s="5" t="n">
        <v>0</v>
      </c>
      <c r="L146" s="5" t="s">
        <v>115</v>
      </c>
    </row>
    <row r="147" customFormat="false" ht="15" hidden="false" customHeight="false" outlineLevel="0" collapsed="false">
      <c r="A147" s="5" t="n">
        <f aca="false">RANDBETWEEN(2,164)</f>
        <v>32</v>
      </c>
      <c r="B147" s="5" t="n">
        <f aca="false" t="array" ref="B147:B147">INDEX(Data_DBD!$B:$B,$A147)</f>
        <v>54</v>
      </c>
      <c r="C147" s="5" t="n">
        <f aca="false" t="array" ref="C147:C147">INDEX(Data_DBD!$C:$C,$A147)</f>
        <v>4</v>
      </c>
      <c r="D147" s="5" t="n">
        <f aca="false" t="array" ref="D147:D147">INDEX(Data_DBD!$E:$E,$A147)</f>
        <v>0</v>
      </c>
      <c r="E147" s="5" t="str">
        <f aca="false" t="array" ref="E147:E147">INDEX(Data_DBD!$F:$F,$A147)</f>
        <v>Sedang</v>
      </c>
      <c r="H147" s="5" t="n">
        <v>6</v>
      </c>
      <c r="I147" s="5" t="n">
        <v>14</v>
      </c>
      <c r="J147" s="5" t="n">
        <v>4</v>
      </c>
      <c r="K147" s="5" t="n">
        <v>0</v>
      </c>
      <c r="L147" s="5" t="s">
        <v>7</v>
      </c>
    </row>
    <row r="148" customFormat="false" ht="15" hidden="false" customHeight="false" outlineLevel="0" collapsed="false">
      <c r="A148" s="5" t="n">
        <f aca="false">RANDBETWEEN(2,164)</f>
        <v>134</v>
      </c>
      <c r="B148" s="5" t="n">
        <f aca="false" t="array" ref="B148:B148">INDEX(Data_DBD!$B:$B,$A148)</f>
        <v>4</v>
      </c>
      <c r="C148" s="5" t="n">
        <f aca="false" t="array" ref="C148:C148">INDEX(Data_DBD!$C:$C,$A148)</f>
        <v>2</v>
      </c>
      <c r="D148" s="5" t="n">
        <f aca="false" t="array" ref="D148:D148">INDEX(Data_DBD!$E:$E,$A148)</f>
        <v>1</v>
      </c>
      <c r="E148" s="5" t="str">
        <f aca="false" t="array" ref="E148:E148">INDEX(Data_DBD!$F:$F,$A148)</f>
        <v>Tinggi</v>
      </c>
      <c r="H148" s="5" t="n">
        <v>43</v>
      </c>
      <c r="I148" s="5" t="n">
        <v>15</v>
      </c>
      <c r="J148" s="5" t="n">
        <v>4</v>
      </c>
      <c r="K148" s="5" t="n">
        <v>0</v>
      </c>
      <c r="L148" s="5" t="s">
        <v>7</v>
      </c>
    </row>
    <row r="149" customFormat="false" ht="15" hidden="false" customHeight="false" outlineLevel="0" collapsed="false">
      <c r="A149" s="5" t="n">
        <f aca="false">RANDBETWEEN(2,164)</f>
        <v>105</v>
      </c>
      <c r="B149" s="5" t="n">
        <f aca="false" t="array" ref="B149:B149">INDEX(Data_DBD!$B:$B,$A149)</f>
        <v>61</v>
      </c>
      <c r="C149" s="5" t="n">
        <f aca="false" t="array" ref="C149:C149">INDEX(Data_DBD!$C:$C,$A149)</f>
        <v>3</v>
      </c>
      <c r="D149" s="5" t="n">
        <f aca="false" t="array" ref="D149:D149">INDEX(Data_DBD!$E:$E,$A149)</f>
        <v>1</v>
      </c>
      <c r="E149" s="5" t="str">
        <f aca="false" t="array" ref="E149:E149">INDEX(Data_DBD!$F:$F,$A149)</f>
        <v>Sedang</v>
      </c>
      <c r="H149" s="5" t="n">
        <v>101</v>
      </c>
      <c r="I149" s="5" t="n">
        <v>42</v>
      </c>
      <c r="J149" s="5" t="n">
        <v>5</v>
      </c>
      <c r="K149" s="5" t="n">
        <v>0</v>
      </c>
      <c r="L149" s="5" t="s">
        <v>115</v>
      </c>
    </row>
    <row r="150" customFormat="false" ht="15" hidden="false" customHeight="false" outlineLevel="0" collapsed="false">
      <c r="A150" s="5" t="n">
        <f aca="false">RANDBETWEEN(2,164)</f>
        <v>85</v>
      </c>
      <c r="B150" s="5" t="n">
        <f aca="false" t="array" ref="B150:B150">INDEX(Data_DBD!$B:$B,$A150)</f>
        <v>27</v>
      </c>
      <c r="C150" s="5" t="n">
        <f aca="false" t="array" ref="C150:C150">INDEX(Data_DBD!$C:$C,$A150)</f>
        <v>9</v>
      </c>
      <c r="D150" s="5" t="n">
        <f aca="false" t="array" ref="D150:D150">INDEX(Data_DBD!$E:$E,$A150)</f>
        <v>0</v>
      </c>
      <c r="E150" s="5" t="str">
        <f aca="false" t="array" ref="E150:E150">INDEX(Data_DBD!$F:$F,$A150)</f>
        <v>Sedang</v>
      </c>
      <c r="H150" s="5" t="n">
        <v>7</v>
      </c>
      <c r="I150" s="5" t="n">
        <v>12</v>
      </c>
      <c r="J150" s="5" t="n">
        <v>1</v>
      </c>
      <c r="K150" s="5" t="n">
        <v>1</v>
      </c>
      <c r="L150" s="5" t="s">
        <v>7</v>
      </c>
    </row>
    <row r="151" customFormat="false" ht="15" hidden="false" customHeight="false" outlineLevel="0" collapsed="false">
      <c r="A151" s="5" t="n">
        <f aca="false">RANDBETWEEN(2,164)</f>
        <v>8</v>
      </c>
      <c r="B151" s="5" t="n">
        <f aca="false" t="array" ref="B151:B151">INDEX(Data_DBD!$B:$B,$A151)</f>
        <v>4</v>
      </c>
      <c r="C151" s="5" t="n">
        <f aca="false" t="array" ref="C151:C151">INDEX(Data_DBD!$C:$C,$A151)</f>
        <v>2</v>
      </c>
      <c r="D151" s="5" t="n">
        <f aca="false" t="array" ref="D151:D151">INDEX(Data_DBD!$E:$E,$A151)</f>
        <v>0</v>
      </c>
      <c r="E151" s="5" t="str">
        <f aca="false" t="array" ref="E151:E151">INDEX(Data_DBD!$F:$F,$A151)</f>
        <v>Sedang</v>
      </c>
      <c r="H151" s="5" t="n">
        <v>85</v>
      </c>
      <c r="I151" s="5" t="n">
        <v>27</v>
      </c>
      <c r="J151" s="5" t="n">
        <v>9</v>
      </c>
      <c r="K151" s="5" t="n">
        <v>0</v>
      </c>
      <c r="L151" s="5" t="s">
        <v>7</v>
      </c>
    </row>
    <row r="152" customFormat="false" ht="15" hidden="false" customHeight="false" outlineLevel="0" collapsed="false">
      <c r="A152" s="5" t="n">
        <f aca="false">RANDBETWEEN(2,164)</f>
        <v>127</v>
      </c>
      <c r="B152" s="5" t="n">
        <f aca="false" t="array" ref="B152:B152">INDEX(Data_DBD!$B:$B,$A152)</f>
        <v>21</v>
      </c>
      <c r="C152" s="5" t="n">
        <f aca="false" t="array" ref="C152:C152">INDEX(Data_DBD!$C:$C,$A152)</f>
        <v>2</v>
      </c>
      <c r="D152" s="5" t="n">
        <f aca="false" t="array" ref="D152:D152">INDEX(Data_DBD!$E:$E,$A152)</f>
        <v>0</v>
      </c>
      <c r="E152" s="5" t="str">
        <f aca="false" t="array" ref="E152:E152">INDEX(Data_DBD!$F:$F,$A152)</f>
        <v>Tinggi</v>
      </c>
      <c r="H152" s="5" t="n">
        <v>122</v>
      </c>
      <c r="I152" s="5" t="n">
        <v>28</v>
      </c>
      <c r="J152" s="5" t="n">
        <v>3</v>
      </c>
      <c r="K152" s="5" t="n">
        <v>1</v>
      </c>
      <c r="L152" s="5" t="s">
        <v>115</v>
      </c>
    </row>
    <row r="153" customFormat="false" ht="15" hidden="false" customHeight="false" outlineLevel="0" collapsed="false">
      <c r="A153" s="5" t="n">
        <f aca="false">RANDBETWEEN(2,164)</f>
        <v>147</v>
      </c>
      <c r="B153" s="5" t="n">
        <f aca="false" t="array" ref="B153:B153">INDEX(Data_DBD!$B:$B,$A153)</f>
        <v>66</v>
      </c>
      <c r="C153" s="5" t="n">
        <f aca="false" t="array" ref="C153:C153">INDEX(Data_DBD!$C:$C,$A153)</f>
        <v>10</v>
      </c>
      <c r="D153" s="5" t="n">
        <f aca="false" t="array" ref="D153:D153">INDEX(Data_DBD!$E:$E,$A153)</f>
        <v>1</v>
      </c>
      <c r="E153" s="5" t="str">
        <f aca="false" t="array" ref="E153:E153">INDEX(Data_DBD!$F:$F,$A153)</f>
        <v>Tinggi</v>
      </c>
      <c r="H153" s="5" t="n">
        <v>35</v>
      </c>
      <c r="I153" s="5" t="n">
        <v>40</v>
      </c>
      <c r="J153" s="5" t="n">
        <v>3</v>
      </c>
      <c r="K153" s="5" t="n">
        <v>1</v>
      </c>
      <c r="L153" s="5" t="s">
        <v>20</v>
      </c>
    </row>
    <row r="154" customFormat="false" ht="15.75" hidden="false" customHeight="true" outlineLevel="0" collapsed="false">
      <c r="A154" s="5" t="n">
        <f aca="false">RANDBETWEEN(2,164)</f>
        <v>118</v>
      </c>
      <c r="B154" s="5" t="n">
        <f aca="false" t="array" ref="B154:B154">INDEX(Data_DBD!$B:$B,$A154)</f>
        <v>67</v>
      </c>
      <c r="C154" s="5" t="n">
        <f aca="false" t="array" ref="C154:C154">INDEX(Data_DBD!$C:$C,$A154)</f>
        <v>4</v>
      </c>
      <c r="D154" s="5" t="n">
        <f aca="false" t="array" ref="D154:D154">INDEX(Data_DBD!$E:$E,$A154)</f>
        <v>1</v>
      </c>
      <c r="E154" s="5" t="str">
        <f aca="false" t="array" ref="E154:E154">INDEX(Data_DBD!$F:$F,$A154)</f>
        <v>Tinggi</v>
      </c>
      <c r="H154" s="5" t="n">
        <v>161</v>
      </c>
      <c r="I154" s="5" t="n">
        <v>12</v>
      </c>
      <c r="J154" s="5" t="n">
        <v>3</v>
      </c>
      <c r="K154" s="5" t="n">
        <v>1</v>
      </c>
      <c r="L154" s="5" t="s">
        <v>115</v>
      </c>
      <c r="V154" s="7" t="s">
        <v>203</v>
      </c>
    </row>
    <row r="155" customFormat="false" ht="15.75" hidden="false" customHeight="true" outlineLevel="0" collapsed="false">
      <c r="A155" s="5" t="n">
        <f aca="false">RANDBETWEEN(2,164)</f>
        <v>117</v>
      </c>
      <c r="B155" s="5" t="n">
        <f aca="false" t="array" ref="B155:B155">INDEX(Data_DBD!$B:$B,$A155)</f>
        <v>49</v>
      </c>
      <c r="C155" s="5" t="n">
        <f aca="false" t="array" ref="C155:C155">INDEX(Data_DBD!$C:$C,$A155)</f>
        <v>4</v>
      </c>
      <c r="D155" s="5" t="n">
        <f aca="false" t="array" ref="D155:D155">INDEX(Data_DBD!$E:$E,$A155)</f>
        <v>1</v>
      </c>
      <c r="E155" s="5" t="str">
        <f aca="false" t="array" ref="E155:E155">INDEX(Data_DBD!$F:$F,$A155)</f>
        <v>Tinggi</v>
      </c>
      <c r="H155" s="5" t="n">
        <v>31</v>
      </c>
      <c r="I155" s="5" t="n">
        <v>64</v>
      </c>
      <c r="J155" s="5" t="n">
        <v>4</v>
      </c>
      <c r="K155" s="5" t="n">
        <v>1</v>
      </c>
      <c r="L155" s="5" t="s">
        <v>7</v>
      </c>
      <c r="V155" s="8" t="s">
        <v>177</v>
      </c>
    </row>
    <row r="156" customFormat="false" ht="15.75" hidden="false" customHeight="true" outlineLevel="0" collapsed="false">
      <c r="A156" s="5" t="n">
        <f aca="false">RANDBETWEEN(2,164)</f>
        <v>136</v>
      </c>
      <c r="B156" s="5" t="n">
        <f aca="false" t="array" ref="B156:B156">INDEX(Data_DBD!$B:$B,$A156)</f>
        <v>6</v>
      </c>
      <c r="C156" s="5" t="n">
        <f aca="false" t="array" ref="C156:C156">INDEX(Data_DBD!$C:$C,$A156)</f>
        <v>2</v>
      </c>
      <c r="D156" s="5" t="n">
        <f aca="false" t="array" ref="D156:D156">INDEX(Data_DBD!$E:$E,$A156)</f>
        <v>0</v>
      </c>
      <c r="E156" s="5" t="str">
        <f aca="false" t="array" ref="E156:E156">INDEX(Data_DBD!$F:$F,$A156)</f>
        <v>Tinggi</v>
      </c>
      <c r="H156" s="5" t="n">
        <v>144</v>
      </c>
      <c r="I156" s="5" t="n">
        <v>61</v>
      </c>
      <c r="J156" s="5" t="n">
        <v>4</v>
      </c>
      <c r="K156" s="5" t="n">
        <v>1</v>
      </c>
      <c r="L156" s="5" t="s">
        <v>115</v>
      </c>
      <c r="V156" s="9" t="s">
        <v>204</v>
      </c>
    </row>
    <row r="157" customFormat="false" ht="15.75" hidden="false" customHeight="true" outlineLevel="0" collapsed="false">
      <c r="A157" s="5" t="n">
        <f aca="false">RANDBETWEEN(2,164)</f>
        <v>154</v>
      </c>
      <c r="B157" s="5" t="n">
        <f aca="false" t="array" ref="B157:B157">INDEX(Data_DBD!$B:$B,$A157)</f>
        <v>18</v>
      </c>
      <c r="C157" s="5" t="n">
        <f aca="false" t="array" ref="C157:C157">INDEX(Data_DBD!$C:$C,$A157)</f>
        <v>5</v>
      </c>
      <c r="D157" s="5" t="n">
        <f aca="false" t="array" ref="D157:D157">INDEX(Data_DBD!$E:$E,$A157)</f>
        <v>1</v>
      </c>
      <c r="E157" s="5" t="str">
        <f aca="false" t="array" ref="E157:E157">INDEX(Data_DBD!$F:$F,$A157)</f>
        <v>Tinggi</v>
      </c>
      <c r="H157" s="5" t="n">
        <v>77</v>
      </c>
      <c r="I157" s="5" t="n">
        <v>16</v>
      </c>
      <c r="J157" s="5" t="n">
        <v>4</v>
      </c>
      <c r="K157" s="5" t="n">
        <v>1</v>
      </c>
      <c r="L157" s="5" t="s">
        <v>7</v>
      </c>
      <c r="V157" s="9" t="s">
        <v>205</v>
      </c>
    </row>
    <row r="158" customFormat="false" ht="15.75" hidden="false" customHeight="true" outlineLevel="0" collapsed="false">
      <c r="A158" s="5" t="n">
        <f aca="false">RANDBETWEEN(2,164)</f>
        <v>104</v>
      </c>
      <c r="B158" s="5" t="n">
        <f aca="false" t="array" ref="B158:B158">INDEX(Data_DBD!$B:$B,$A158)</f>
        <v>37</v>
      </c>
      <c r="C158" s="5" t="n">
        <f aca="false" t="array" ref="C158:C158">INDEX(Data_DBD!$C:$C,$A158)</f>
        <v>4</v>
      </c>
      <c r="D158" s="5" t="n">
        <f aca="false" t="array" ref="D158:D158">INDEX(Data_DBD!$E:$E,$A158)</f>
        <v>1</v>
      </c>
      <c r="E158" s="5" t="str">
        <f aca="false" t="array" ref="E158:E158">INDEX(Data_DBD!$F:$F,$A158)</f>
        <v>Sedang</v>
      </c>
      <c r="H158" s="5" t="n">
        <v>79</v>
      </c>
      <c r="I158" s="5" t="n">
        <v>29</v>
      </c>
      <c r="J158" s="5" t="n">
        <v>3</v>
      </c>
      <c r="K158" s="5" t="n">
        <v>0</v>
      </c>
      <c r="L158" s="5" t="s">
        <v>7</v>
      </c>
      <c r="V158" s="8" t="s">
        <v>180</v>
      </c>
    </row>
    <row r="159" customFormat="false" ht="15.75" hidden="false" customHeight="true" outlineLevel="0" collapsed="false">
      <c r="A159" s="5" t="n">
        <f aca="false">RANDBETWEEN(2,164)</f>
        <v>22</v>
      </c>
      <c r="B159" s="5" t="n">
        <f aca="false" t="array" ref="B159:B159">INDEX(Data_DBD!$B:$B,$A159)</f>
        <v>6</v>
      </c>
      <c r="C159" s="5" t="n">
        <f aca="false" t="array" ref="C159:C159">INDEX(Data_DBD!$C:$C,$A159)</f>
        <v>3</v>
      </c>
      <c r="D159" s="5" t="n">
        <f aca="false" t="array" ref="D159:D159">INDEX(Data_DBD!$E:$E,$A159)</f>
        <v>0</v>
      </c>
      <c r="E159" s="5" t="str">
        <f aca="false" t="array" ref="E159:E159">INDEX(Data_DBD!$F:$F,$A159)</f>
        <v>Sedang</v>
      </c>
      <c r="H159" s="5" t="n">
        <v>103</v>
      </c>
      <c r="I159" s="5" t="n">
        <v>22</v>
      </c>
      <c r="J159" s="5" t="n">
        <v>5</v>
      </c>
      <c r="K159" s="5" t="n">
        <v>0</v>
      </c>
      <c r="L159" s="5" t="s">
        <v>115</v>
      </c>
      <c r="V159" s="9" t="s">
        <v>206</v>
      </c>
    </row>
    <row r="160" customFormat="false" ht="15.75" hidden="false" customHeight="true" outlineLevel="0" collapsed="false">
      <c r="A160" s="5" t="n">
        <f aca="false">RANDBETWEEN(2,164)</f>
        <v>111</v>
      </c>
      <c r="B160" s="5" t="n">
        <f aca="false" t="array" ref="B160:B160">INDEX(Data_DBD!$B:$B,$A160)</f>
        <v>25</v>
      </c>
      <c r="C160" s="5" t="n">
        <f aca="false" t="array" ref="C160:C160">INDEX(Data_DBD!$C:$C,$A160)</f>
        <v>4</v>
      </c>
      <c r="D160" s="5" t="n">
        <f aca="false" t="array" ref="D160:D160">INDEX(Data_DBD!$E:$E,$A160)</f>
        <v>0</v>
      </c>
      <c r="E160" s="5" t="str">
        <f aca="false" t="array" ref="E160:E160">INDEX(Data_DBD!$F:$F,$A160)</f>
        <v>Tinggi</v>
      </c>
      <c r="H160" s="5" t="n">
        <v>94</v>
      </c>
      <c r="I160" s="5" t="n">
        <v>12</v>
      </c>
      <c r="J160" s="5" t="n">
        <v>4</v>
      </c>
      <c r="K160" s="5" t="n">
        <v>0</v>
      </c>
      <c r="L160" s="5" t="s">
        <v>115</v>
      </c>
      <c r="V160" s="9" t="s">
        <v>207</v>
      </c>
    </row>
    <row r="161" customFormat="false" ht="15.75" hidden="false" customHeight="true" outlineLevel="0" collapsed="false">
      <c r="A161" s="5" t="n">
        <f aca="false">RANDBETWEEN(2,164)</f>
        <v>84</v>
      </c>
      <c r="B161" s="5" t="n">
        <f aca="false" t="array" ref="B161:B161">INDEX(Data_DBD!$B:$B,$A161)</f>
        <v>42</v>
      </c>
      <c r="C161" s="5" t="n">
        <f aca="false" t="array" ref="C161:C161">INDEX(Data_DBD!$C:$C,$A161)</f>
        <v>4</v>
      </c>
      <c r="D161" s="5" t="n">
        <f aca="false" t="array" ref="D161:D161">INDEX(Data_DBD!$E:$E,$A161)</f>
        <v>1</v>
      </c>
      <c r="E161" s="5" t="str">
        <f aca="false" t="array" ref="E161:E161">INDEX(Data_DBD!$F:$F,$A161)</f>
        <v>Sedang</v>
      </c>
      <c r="H161" s="5" t="n">
        <v>81</v>
      </c>
      <c r="I161" s="5" t="n">
        <v>23</v>
      </c>
      <c r="J161" s="5" t="n">
        <v>5</v>
      </c>
      <c r="K161" s="5" t="n">
        <v>1</v>
      </c>
      <c r="L161" s="5" t="s">
        <v>7</v>
      </c>
      <c r="V161" s="8" t="s">
        <v>183</v>
      </c>
    </row>
    <row r="162" customFormat="false" ht="15.75" hidden="false" customHeight="true" outlineLevel="0" collapsed="false">
      <c r="A162" s="5" t="n">
        <f aca="false">RANDBETWEEN(2,164)</f>
        <v>155</v>
      </c>
      <c r="B162" s="5" t="n">
        <f aca="false" t="array" ref="B162:B162">INDEX(Data_DBD!$B:$B,$A162)</f>
        <v>19</v>
      </c>
      <c r="C162" s="5" t="n">
        <f aca="false" t="array" ref="C162:C162">INDEX(Data_DBD!$C:$C,$A162)</f>
        <v>5</v>
      </c>
      <c r="D162" s="5" t="n">
        <f aca="false" t="array" ref="D162:D162">INDEX(Data_DBD!$E:$E,$A162)</f>
        <v>1</v>
      </c>
      <c r="E162" s="5" t="str">
        <f aca="false" t="array" ref="E162:E162">INDEX(Data_DBD!$F:$F,$A162)</f>
        <v>Tinggi</v>
      </c>
      <c r="H162" s="5" t="n">
        <v>17</v>
      </c>
      <c r="I162" s="5" t="n">
        <v>2</v>
      </c>
      <c r="J162" s="5" t="n">
        <v>3</v>
      </c>
      <c r="K162" s="5" t="n">
        <v>0</v>
      </c>
      <c r="L162" s="5" t="s">
        <v>20</v>
      </c>
      <c r="V162" s="9" t="s">
        <v>208</v>
      </c>
    </row>
    <row r="163" customFormat="false" ht="15" hidden="false" customHeight="false" outlineLevel="0" collapsed="false">
      <c r="A163" s="5" t="n">
        <f aca="false">RANDBETWEEN(2,164)</f>
        <v>51</v>
      </c>
      <c r="B163" s="5" t="n">
        <f aca="false" t="array" ref="B163:B163">INDEX(Data_DBD!$B:$B,$A163)</f>
        <v>48</v>
      </c>
      <c r="C163" s="5" t="n">
        <f aca="false" t="array" ref="C163:C163">INDEX(Data_DBD!$C:$C,$A163)</f>
        <v>4</v>
      </c>
      <c r="D163" s="5" t="n">
        <f aca="false" t="array" ref="D163:D163">INDEX(Data_DBD!$E:$E,$A163)</f>
        <v>0</v>
      </c>
      <c r="E163" s="5" t="str">
        <f aca="false" t="array" ref="E163:E163">INDEX(Data_DBD!$F:$F,$A163)</f>
        <v>Sedang</v>
      </c>
      <c r="H163" s="5" t="n">
        <v>2</v>
      </c>
      <c r="I163" s="5" t="n">
        <v>34</v>
      </c>
      <c r="J163" s="5" t="n">
        <v>3</v>
      </c>
      <c r="K163" s="5" t="n">
        <v>0</v>
      </c>
      <c r="L163" s="5" t="s">
        <v>7</v>
      </c>
    </row>
    <row r="164" customFormat="false" ht="15" hidden="false" customHeight="false" outlineLevel="0" collapsed="false">
      <c r="A164" s="5" t="n">
        <f aca="false">RANDBETWEEN(2,164)</f>
        <v>117</v>
      </c>
      <c r="B164" s="5" t="n">
        <f aca="false" t="array" ref="B164:B164">INDEX(Data_DBD!$B:$B,$A164)</f>
        <v>49</v>
      </c>
      <c r="C164" s="5" t="n">
        <f aca="false" t="array" ref="C164:C164">INDEX(Data_DBD!$C:$C,$A164)</f>
        <v>4</v>
      </c>
      <c r="D164" s="5" t="n">
        <f aca="false" t="array" ref="D164:D164">INDEX(Data_DBD!$E:$E,$A164)</f>
        <v>1</v>
      </c>
      <c r="E164" s="5" t="str">
        <f aca="false" t="array" ref="E164:E164">INDEX(Data_DBD!$F:$F,$A164)</f>
        <v>Tinggi</v>
      </c>
      <c r="H164" s="5" t="n">
        <v>138</v>
      </c>
      <c r="I164" s="5" t="n">
        <v>13</v>
      </c>
      <c r="J164" s="5" t="n">
        <v>3</v>
      </c>
      <c r="K164" s="5" t="n">
        <v>1</v>
      </c>
      <c r="L164" s="5" t="s">
        <v>115</v>
      </c>
    </row>
    <row r="165" customFormat="false" ht="15" hidden="false" customHeight="false" outlineLevel="0" collapsed="false">
      <c r="I165" s="0" t="n">
        <f aca="false">AVERAGE(I2:I164)</f>
        <v>31.4846625766871</v>
      </c>
      <c r="J165" s="0" t="n">
        <f aca="false">AVERAGE(J2:J164)</f>
        <v>3.59509202453988</v>
      </c>
      <c r="K165" s="0" t="n">
        <f aca="false">AVERAGE(K2:K164)</f>
        <v>0.521472392638037</v>
      </c>
    </row>
    <row r="167" customFormat="false" ht="15" hidden="false" customHeight="false" outlineLevel="0" collapsed="false">
      <c r="B167" s="0" t="n">
        <v>2</v>
      </c>
    </row>
    <row r="168" customFormat="false" ht="15" hidden="false" customHeight="false" outlineLevel="0" collapsed="false">
      <c r="E168" s="11" t="s">
        <v>185</v>
      </c>
      <c r="J168" s="11" t="s">
        <v>186</v>
      </c>
      <c r="O168" s="11"/>
      <c r="T168" s="11" t="s">
        <v>188</v>
      </c>
    </row>
    <row r="169" customFormat="false" ht="15" hidden="false" customHeight="false" outlineLevel="0" collapsed="false">
      <c r="E169" s="5" t="s">
        <v>1</v>
      </c>
      <c r="F169" s="5" t="n">
        <f aca="false">AVERAGEIF($I$2:$I$164,"&lt;="&amp;$I$165)</f>
        <v>16.6161616161616</v>
      </c>
      <c r="G169" s="5" t="n">
        <f aca="false">AVERAGEIF($I$2:$I$164,"&gt;"&amp;$I$165)</f>
        <v>54.484375</v>
      </c>
      <c r="J169" s="5" t="s">
        <v>189</v>
      </c>
      <c r="K169" s="5" t="n">
        <f aca="false">AVERAGEIF($J$2:$J$164,"&lt;="&amp;$J$165)</f>
        <v>2.61363636363636</v>
      </c>
      <c r="L169" s="5" t="n">
        <f aca="false">AVERAGEIF($J$2:$J$164,"&gt;"&amp;$J$165)</f>
        <v>4.74666666666667</v>
      </c>
      <c r="O169" s="5"/>
      <c r="P169" s="5"/>
      <c r="Q169" s="5"/>
      <c r="T169" s="5" t="s">
        <v>191</v>
      </c>
      <c r="U169" s="5" t="n">
        <f aca="false">AVERAGEIF($K$2:$K$164,"&lt;="&amp;$K$165)</f>
        <v>0</v>
      </c>
      <c r="V169" s="5" t="n">
        <f aca="false">AVERAGEIF($K$2:$K$164,"&gt;"&amp;$K$165)</f>
        <v>1</v>
      </c>
    </row>
    <row r="170" customFormat="false" ht="15" hidden="false" customHeight="false" outlineLevel="0" collapsed="false">
      <c r="E170" s="5" t="str">
        <f aca="false" t="array" ref="E170:E332">IF($I$2:$I$164&lt;$F$169,"kiri",IF($I$2:$I$164&lt;$G$169,"tengah","kanan"))</f>
        <v>kiri</v>
      </c>
      <c r="F170" s="5" t="s">
        <v>209</v>
      </c>
      <c r="G170" s="5"/>
      <c r="J170" s="5" t="str">
        <f aca="false" t="array" ref="J170:J332">IF($J$2:$J$164&lt;$K$169,"kiri",IF($J$2:$J$164&lt;$L$169,"tengah","kanan"))</f>
        <v>tengah</v>
      </c>
      <c r="K170" s="5" t="s">
        <v>210</v>
      </c>
      <c r="L170" s="5"/>
      <c r="O170" s="5"/>
      <c r="P170" s="5"/>
      <c r="Q170" s="5"/>
      <c r="T170" s="5" t="str">
        <f aca="false" t="array" ref="T170:T332">IF($K$2:$K$164&lt;$U$169,"kiri",IF($K$2:$K$164&lt;$V$169,"tengah","kanan"))</f>
        <v>kanan</v>
      </c>
      <c r="U170" s="5" t="s">
        <v>195</v>
      </c>
      <c r="V170" s="5"/>
    </row>
    <row r="171" customFormat="false" ht="15" hidden="false" customHeight="false" outlineLevel="0" collapsed="false">
      <c r="E171" s="5" t="str">
        <v>tengah</v>
      </c>
      <c r="F171" s="5" t="n">
        <f aca="false">COUNTIFS($E$170:$E$332,"Kanan",$L$2:$L$164,"Tinggi")</f>
        <v>14</v>
      </c>
      <c r="G171" s="5" t="n">
        <f aca="false">F171/30</f>
        <v>0.466666666666667</v>
      </c>
      <c r="J171" s="5" t="str">
        <v>tengah</v>
      </c>
      <c r="K171" s="5" t="n">
        <f aca="false">COUNTIFS($J$170:$J$332,"Kanan",$L$2:$L$164,"Tinggi")</f>
        <v>12</v>
      </c>
      <c r="L171" s="5" t="n">
        <f aca="false">K171/27</f>
        <v>0.444444444444444</v>
      </c>
      <c r="O171" s="5"/>
      <c r="P171" s="5"/>
      <c r="Q171" s="5"/>
      <c r="T171" s="5" t="str">
        <v>tengah</v>
      </c>
      <c r="U171" s="5" t="n">
        <f aca="false">COUNTIFS($T$170:$T$332,"Kanan",$L$2:$L$164,"Tinggi")</f>
        <v>40</v>
      </c>
      <c r="V171" s="5" t="n">
        <f aca="false">U171/85</f>
        <v>0.470588235294118</v>
      </c>
    </row>
    <row r="172" customFormat="false" ht="15" hidden="false" customHeight="false" outlineLevel="0" collapsed="false">
      <c r="E172" s="5" t="str">
        <v>kiri</v>
      </c>
      <c r="F172" s="5" t="n">
        <f aca="false">COUNTIFS($E$170:$E$332,"Kanan",$L$2:$L$164,"Sedang")</f>
        <v>16</v>
      </c>
      <c r="G172" s="5" t="n">
        <f aca="false">F172/30</f>
        <v>0.533333333333333</v>
      </c>
      <c r="J172" s="5" t="str">
        <v>kiri</v>
      </c>
      <c r="K172" s="5" t="n">
        <f aca="false">COUNTIFS($J$170:$J$332,"Kanan",$L$2:$L$164,"Sedang")</f>
        <v>14</v>
      </c>
      <c r="L172" s="5" t="n">
        <f aca="false">K172/27</f>
        <v>0.518518518518519</v>
      </c>
      <c r="O172" s="5"/>
      <c r="P172" s="5"/>
      <c r="Q172" s="5"/>
      <c r="T172" s="5" t="str">
        <v>kanan</v>
      </c>
      <c r="U172" s="5" t="n">
        <f aca="false">COUNTIFS($T$170:$T$332,"Kanan",$L$2:$L$164,"Sedang")</f>
        <v>36</v>
      </c>
      <c r="V172" s="5" t="n">
        <f aca="false">U172/85</f>
        <v>0.423529411764706</v>
      </c>
    </row>
    <row r="173" customFormat="false" ht="15" hidden="false" customHeight="false" outlineLevel="0" collapsed="false">
      <c r="E173" s="5" t="str">
        <v>kanan</v>
      </c>
      <c r="F173" s="5" t="n">
        <f aca="false">COUNTIFS($E$170:$E$332,"Kanan",$L$2:$L$164,"Rendah")</f>
        <v>0</v>
      </c>
      <c r="G173" s="5" t="n">
        <f aca="false">F173/30</f>
        <v>0</v>
      </c>
      <c r="J173" s="5" t="str">
        <v>kiri</v>
      </c>
      <c r="K173" s="5" t="n">
        <f aca="false">COUNTIFS($J$170:$J$332,"Kanan",$L$2:$L$164,"Rendah")</f>
        <v>1</v>
      </c>
      <c r="L173" s="5" t="n">
        <f aca="false">K173/27</f>
        <v>0.037037037037037</v>
      </c>
      <c r="O173" s="5"/>
      <c r="P173" s="5"/>
      <c r="Q173" s="5"/>
      <c r="T173" s="5" t="str">
        <v>tengah</v>
      </c>
      <c r="U173" s="5" t="n">
        <f aca="false">COUNTIFS($T$170:$T$332,"Kanan",$L$2:$L$164,"Rendah")</f>
        <v>9</v>
      </c>
      <c r="V173" s="5" t="n">
        <f aca="false">U173/85</f>
        <v>0.105882352941176</v>
      </c>
    </row>
    <row r="174" customFormat="false" ht="15" hidden="false" customHeight="false" outlineLevel="0" collapsed="false">
      <c r="E174" s="5" t="str">
        <v>tengah</v>
      </c>
      <c r="F174" s="5" t="s">
        <v>196</v>
      </c>
      <c r="G174" s="5" t="n">
        <f aca="false">-(IFERROR(G171*LOG(G171,2),0)+IFERROR(G172*LOG(G172,2),0)+IFERROR(G173*LOG(G173,2),0))</f>
        <v>0.996791631981637</v>
      </c>
      <c r="J174" s="5" t="str">
        <v>kanan</v>
      </c>
      <c r="K174" s="5" t="s">
        <v>196</v>
      </c>
      <c r="L174" s="5" t="n">
        <f aca="false">-(IFERROR(L171*LOG(L171,2),0)+IFERROR(L172*LOG(L172,2),0)+IFERROR(L173*LOG(L173,2),0))</f>
        <v>1.18738680151679</v>
      </c>
      <c r="O174" s="5"/>
      <c r="P174" s="5"/>
      <c r="Q174" s="5"/>
      <c r="T174" s="5" t="str">
        <v>tengah</v>
      </c>
      <c r="U174" s="5" t="s">
        <v>196</v>
      </c>
      <c r="V174" s="5" t="n">
        <f aca="false">-(IFERROR(V171*LOG(V171,2),0)+IFERROR(V172*LOG(V172,2),0)+IFERROR(V173*LOG(V173,2),0))</f>
        <v>1.37969977307419</v>
      </c>
    </row>
    <row r="175" customFormat="false" ht="15" hidden="false" customHeight="false" outlineLevel="0" collapsed="false">
      <c r="E175" s="5" t="str">
        <v>kiri</v>
      </c>
      <c r="F175" s="5"/>
      <c r="G175" s="5" t="n">
        <f aca="false">SUM(F171:F173)/163</f>
        <v>0.184049079754601</v>
      </c>
      <c r="J175" s="5" t="str">
        <v>tengah</v>
      </c>
      <c r="K175" s="5"/>
      <c r="L175" s="5" t="n">
        <f aca="false">SUM(K171:K173)/163</f>
        <v>0.165644171779141</v>
      </c>
      <c r="O175" s="5"/>
      <c r="P175" s="5"/>
      <c r="Q175" s="5"/>
      <c r="T175" s="5" t="str">
        <v>kanan</v>
      </c>
      <c r="U175" s="5"/>
      <c r="V175" s="5" t="n">
        <f aca="false">SUM(U171:U173)/163</f>
        <v>0.521472392638037</v>
      </c>
    </row>
    <row r="176" customFormat="false" ht="15" hidden="false" customHeight="false" outlineLevel="0" collapsed="false">
      <c r="E176" s="5" t="str">
        <v>tengah</v>
      </c>
      <c r="F176" s="5"/>
      <c r="G176" s="12" t="n">
        <f aca="false">G174*G175</f>
        <v>0.183458582573307</v>
      </c>
      <c r="J176" s="5" t="str">
        <v>tengah</v>
      </c>
      <c r="K176" s="5"/>
      <c r="L176" s="12" t="n">
        <f aca="false">L174*L175</f>
        <v>0.196683703318732</v>
      </c>
      <c r="O176" s="5"/>
      <c r="P176" s="5"/>
      <c r="Q176" s="12"/>
      <c r="T176" s="5" t="str">
        <v>tengah</v>
      </c>
      <c r="U176" s="5"/>
      <c r="V176" s="12" t="n">
        <f aca="false">V174*V175</f>
        <v>0.719475341787154</v>
      </c>
    </row>
    <row r="177" customFormat="false" ht="15" hidden="false" customHeight="false" outlineLevel="0" collapsed="false">
      <c r="E177" s="5" t="str">
        <v>kanan</v>
      </c>
      <c r="F177" s="5"/>
      <c r="G177" s="5"/>
      <c r="J177" s="5" t="str">
        <v>kanan</v>
      </c>
      <c r="K177" s="5"/>
      <c r="L177" s="5"/>
      <c r="O177" s="5"/>
      <c r="P177" s="5"/>
      <c r="Q177" s="5"/>
      <c r="T177" s="5" t="str">
        <v>kanan</v>
      </c>
      <c r="U177" s="5"/>
      <c r="V177" s="5"/>
    </row>
    <row r="178" customFormat="false" ht="15" hidden="false" customHeight="false" outlineLevel="0" collapsed="false">
      <c r="E178" s="5" t="str">
        <v>kiri</v>
      </c>
      <c r="F178" s="5"/>
      <c r="G178" s="5"/>
      <c r="J178" s="5" t="str">
        <v>kanan</v>
      </c>
      <c r="K178" s="5"/>
      <c r="L178" s="5"/>
      <c r="O178" s="5"/>
      <c r="P178" s="5"/>
      <c r="Q178" s="5"/>
      <c r="T178" s="5" t="str">
        <v>kanan</v>
      </c>
      <c r="U178" s="5"/>
      <c r="V178" s="5"/>
    </row>
    <row r="179" customFormat="false" ht="15" hidden="false" customHeight="false" outlineLevel="0" collapsed="false">
      <c r="E179" s="5" t="str">
        <v>kanan</v>
      </c>
      <c r="F179" s="5" t="s">
        <v>211</v>
      </c>
      <c r="G179" s="5"/>
      <c r="J179" s="5" t="str">
        <v>kanan</v>
      </c>
      <c r="K179" s="5" t="s">
        <v>212</v>
      </c>
      <c r="L179" s="5"/>
      <c r="O179" s="5"/>
      <c r="P179" s="5"/>
      <c r="Q179" s="5"/>
      <c r="T179" s="5" t="str">
        <v>kanan</v>
      </c>
      <c r="U179" s="5" t="s">
        <v>200</v>
      </c>
      <c r="V179" s="5"/>
    </row>
    <row r="180" customFormat="false" ht="15" hidden="false" customHeight="false" outlineLevel="0" collapsed="false">
      <c r="E180" s="5" t="str">
        <v>tengah</v>
      </c>
      <c r="F180" s="5" t="n">
        <f aca="false">COUNTIFS($E$170:$E$332,"Kiri",$L$2:$L$164,"Tinggi")</f>
        <v>21</v>
      </c>
      <c r="G180" s="5" t="n">
        <f aca="false">F180/48</f>
        <v>0.4375</v>
      </c>
      <c r="J180" s="5" t="str">
        <v>tengah</v>
      </c>
      <c r="K180" s="5" t="n">
        <f aca="false">COUNTIFS($J$170:$J$332,"Kiri",$L$2:$L$164,"Tinggi")</f>
        <v>13</v>
      </c>
      <c r="L180" s="5" t="n">
        <f aca="false">K180/27</f>
        <v>0.481481481481481</v>
      </c>
      <c r="O180" s="5"/>
      <c r="P180" s="5"/>
      <c r="Q180" s="5"/>
      <c r="T180" s="5" t="str">
        <v>kanan</v>
      </c>
      <c r="U180" s="5" t="n">
        <f aca="false">COUNTIFS($T$170:$T$332,"Kiri",$L$2:$L$164,"Tinggi")</f>
        <v>0</v>
      </c>
      <c r="V180" s="5" t="n">
        <f aca="false">U180/57</f>
        <v>0</v>
      </c>
    </row>
    <row r="181" customFormat="false" ht="15" hidden="false" customHeight="false" outlineLevel="0" collapsed="false">
      <c r="E181" s="5" t="str">
        <v>tengah</v>
      </c>
      <c r="F181" s="5" t="n">
        <f aca="false">COUNTIFS($E$170:$E$332,"Kiri",$L$2:$L$164,"Sedang")</f>
        <v>23</v>
      </c>
      <c r="G181" s="5" t="n">
        <f aca="false">F181/48</f>
        <v>0.479166666666667</v>
      </c>
      <c r="J181" s="5" t="str">
        <v>kanan</v>
      </c>
      <c r="K181" s="5" t="n">
        <f aca="false">COUNTIFS($J$170:$J$332,"Kiri",$L$2:$L$164,"Sedang")</f>
        <v>12</v>
      </c>
      <c r="L181" s="5" t="n">
        <f aca="false">K181/27</f>
        <v>0.444444444444444</v>
      </c>
      <c r="O181" s="5"/>
      <c r="P181" s="5"/>
      <c r="Q181" s="5"/>
      <c r="T181" s="5" t="str">
        <v>tengah</v>
      </c>
      <c r="U181" s="5" t="n">
        <f aca="false">COUNTIFS($T$170:$T$332,"Kiri",$L$2:$L$164,"Sedang")</f>
        <v>0</v>
      </c>
      <c r="V181" s="5" t="n">
        <f aca="false">U181/57</f>
        <v>0</v>
      </c>
    </row>
    <row r="182" customFormat="false" ht="15" hidden="false" customHeight="false" outlineLevel="0" collapsed="false">
      <c r="E182" s="5" t="str">
        <v>kiri</v>
      </c>
      <c r="F182" s="5" t="n">
        <f aca="false">COUNTIFS($E$170:$E$332,"Kiri",$L$2:$L$164,"Rendah")</f>
        <v>4</v>
      </c>
      <c r="G182" s="5" t="n">
        <f aca="false">F182/48</f>
        <v>0.0833333333333333</v>
      </c>
      <c r="J182" s="5" t="str">
        <v>tengah</v>
      </c>
      <c r="K182" s="5" t="n">
        <f aca="false">COUNTIFS($J$170:$J$332,"Kiri",$L$2:$L$164,"Rendah")</f>
        <v>2</v>
      </c>
      <c r="L182" s="5" t="n">
        <f aca="false">K182/27</f>
        <v>0.0740740740740741</v>
      </c>
      <c r="O182" s="5"/>
      <c r="P182" s="5"/>
      <c r="Q182" s="5"/>
      <c r="T182" s="5" t="str">
        <v>tengah</v>
      </c>
      <c r="U182" s="5" t="n">
        <f aca="false">COUNTIFS($T$170:$T$332,"Kiri",$L$2:$L$164,"Rendah")</f>
        <v>0</v>
      </c>
      <c r="V182" s="5" t="n">
        <f aca="false">U182/57</f>
        <v>0</v>
      </c>
    </row>
    <row r="183" customFormat="false" ht="15" hidden="false" customHeight="false" outlineLevel="0" collapsed="false">
      <c r="E183" s="5" t="str">
        <v>tengah</v>
      </c>
      <c r="F183" s="5" t="s">
        <v>196</v>
      </c>
      <c r="G183" s="5" t="n">
        <f aca="false">-(IFERROR(G180*LOG(G180,2),0)+IFERROR(G181*LOG(G181,2),0)+IFERROR(G182*LOG(G182,2),0))</f>
        <v>1.3291168576448</v>
      </c>
      <c r="J183" s="5" t="str">
        <v>kiri</v>
      </c>
      <c r="K183" s="5" t="s">
        <v>196</v>
      </c>
      <c r="L183" s="5" t="n">
        <f aca="false">-(IFERROR(L180*LOG(L180,2),0)+IFERROR(L181*LOG(L181,2),0)+IFERROR(L182*LOG(L182,2),0))</f>
        <v>1.30580356347873</v>
      </c>
      <c r="O183" s="5"/>
      <c r="P183" s="5"/>
      <c r="Q183" s="5"/>
      <c r="T183" s="5" t="str">
        <v>tengah</v>
      </c>
      <c r="U183" s="5" t="s">
        <v>196</v>
      </c>
      <c r="V183" s="5" t="n">
        <f aca="false">-(IFERROR(V180*LOG(V180,2),0)+IFERROR(V181*LOG(V181,2),0)+IFERROR(V182*LOG(V182,2),0))</f>
        <v>-0</v>
      </c>
    </row>
    <row r="184" customFormat="false" ht="15" hidden="false" customHeight="false" outlineLevel="0" collapsed="false">
      <c r="E184" s="5" t="str">
        <v>tengah</v>
      </c>
      <c r="F184" s="5"/>
      <c r="G184" s="5" t="n">
        <f aca="false">SUM(F180:F182)/163</f>
        <v>0.294478527607362</v>
      </c>
      <c r="J184" s="5" t="str">
        <v>kiri</v>
      </c>
      <c r="K184" s="5"/>
      <c r="L184" s="5" t="n">
        <f aca="false">SUM(K180:K182)/163</f>
        <v>0.165644171779141</v>
      </c>
      <c r="O184" s="5"/>
      <c r="P184" s="5"/>
      <c r="Q184" s="5"/>
      <c r="T184" s="5" t="str">
        <v>kanan</v>
      </c>
      <c r="U184" s="5"/>
      <c r="V184" s="5" t="n">
        <f aca="false">SUM(U180:U182)/163</f>
        <v>0</v>
      </c>
    </row>
    <row r="185" customFormat="false" ht="15" hidden="false" customHeight="false" outlineLevel="0" collapsed="false">
      <c r="E185" s="5" t="str">
        <v>tengah</v>
      </c>
      <c r="F185" s="5"/>
      <c r="G185" s="12" t="n">
        <f aca="false">G183*G184</f>
        <v>0.391396375257363</v>
      </c>
      <c r="J185" s="5" t="str">
        <v>kiri</v>
      </c>
      <c r="K185" s="5"/>
      <c r="L185" s="12" t="n">
        <f aca="false">L183*L184</f>
        <v>0.216298749778685</v>
      </c>
      <c r="O185" s="5"/>
      <c r="P185" s="5"/>
      <c r="Q185" s="12"/>
      <c r="T185" s="5" t="str">
        <v>tengah</v>
      </c>
      <c r="U185" s="5"/>
      <c r="V185" s="12" t="n">
        <f aca="false">V183*V184</f>
        <v>-0</v>
      </c>
    </row>
    <row r="186" customFormat="false" ht="15" hidden="false" customHeight="false" outlineLevel="0" collapsed="false">
      <c r="E186" s="5" t="str">
        <v>kiri</v>
      </c>
      <c r="F186" s="5"/>
      <c r="G186" s="5"/>
      <c r="J186" s="5" t="str">
        <v>kiri</v>
      </c>
      <c r="K186" s="5"/>
      <c r="L186" s="5"/>
      <c r="O186" s="5"/>
      <c r="P186" s="5"/>
      <c r="Q186" s="5"/>
      <c r="T186" s="5" t="str">
        <v>tengah</v>
      </c>
      <c r="U186" s="5"/>
      <c r="V186" s="5"/>
    </row>
    <row r="187" customFormat="false" ht="15" hidden="false" customHeight="false" outlineLevel="0" collapsed="false">
      <c r="E187" s="5" t="str">
        <v>kanan</v>
      </c>
      <c r="F187" s="5"/>
      <c r="G187" s="5"/>
      <c r="J187" s="5" t="str">
        <v>tengah</v>
      </c>
      <c r="K187" s="5"/>
      <c r="L187" s="5"/>
      <c r="O187" s="5"/>
      <c r="P187" s="5"/>
      <c r="Q187" s="5"/>
      <c r="T187" s="5" t="str">
        <v>kanan</v>
      </c>
      <c r="U187" s="5"/>
      <c r="V187" s="5"/>
    </row>
    <row r="188" customFormat="false" ht="15" hidden="false" customHeight="false" outlineLevel="0" collapsed="false">
      <c r="E188" s="5" t="str">
        <v>tengah</v>
      </c>
      <c r="F188" s="5" t="s">
        <v>201</v>
      </c>
      <c r="G188" s="5"/>
      <c r="J188" s="5" t="str">
        <v>tengah</v>
      </c>
      <c r="K188" s="5" t="s">
        <v>201</v>
      </c>
      <c r="L188" s="5"/>
      <c r="O188" s="5"/>
      <c r="P188" s="5"/>
      <c r="Q188" s="5"/>
      <c r="T188" s="5" t="str">
        <v>kanan</v>
      </c>
      <c r="U188" s="5" t="s">
        <v>201</v>
      </c>
      <c r="V188" s="5"/>
    </row>
    <row r="189" customFormat="false" ht="15" hidden="false" customHeight="false" outlineLevel="0" collapsed="false">
      <c r="E189" s="5" t="str">
        <v>kiri</v>
      </c>
      <c r="F189" s="5" t="n">
        <f aca="false">COUNTIFS($E$170:$E$332,"Tengah",$L$2:$L$164,"Tinggi")</f>
        <v>30</v>
      </c>
      <c r="G189" s="5" t="n">
        <f aca="false">F189/85</f>
        <v>0.352941176470588</v>
      </c>
      <c r="J189" s="5" t="str">
        <v>tengah</v>
      </c>
      <c r="K189" s="5" t="n">
        <f aca="false">COUNTIFS($J$170:$J$332,"Tengah",$L$2:$L$164,"Tinggi")</f>
        <v>40</v>
      </c>
      <c r="L189" s="5" t="n">
        <f aca="false">K189/109</f>
        <v>0.36697247706422</v>
      </c>
      <c r="O189" s="5"/>
      <c r="P189" s="5"/>
      <c r="Q189" s="5"/>
      <c r="T189" s="5" t="str">
        <v>kanan</v>
      </c>
      <c r="U189" s="5" t="n">
        <f aca="false">COUNTIFS($T$170:$T$332,"Tengah",$L$2:$L$164,"Tinggi")</f>
        <v>25</v>
      </c>
      <c r="V189" s="5" t="n">
        <f aca="false">U189/78</f>
        <v>0.320512820512821</v>
      </c>
    </row>
    <row r="190" customFormat="false" ht="15" hidden="false" customHeight="false" outlineLevel="0" collapsed="false">
      <c r="E190" s="5" t="str">
        <v>kiri</v>
      </c>
      <c r="F190" s="5" t="n">
        <f aca="false">COUNTIFS($E$170:$E$332,"Tengah",$L$2:$L$164,"Sedang")</f>
        <v>44</v>
      </c>
      <c r="G190" s="5" t="n">
        <f aca="false">F190/85</f>
        <v>0.51764705882353</v>
      </c>
      <c r="J190" s="5" t="str">
        <v>tengah</v>
      </c>
      <c r="K190" s="5" t="n">
        <f aca="false">COUNTIFS($J$170:$J$332,"Tengah",$L$2:$L$164,"Sedang")</f>
        <v>57</v>
      </c>
      <c r="L190" s="5" t="n">
        <f aca="false">K190/109</f>
        <v>0.522935779816514</v>
      </c>
      <c r="O190" s="5"/>
      <c r="P190" s="5"/>
      <c r="Q190" s="5"/>
      <c r="T190" s="5" t="str">
        <v>kanan</v>
      </c>
      <c r="U190" s="5" t="n">
        <f aca="false">COUNTIFS($T$170:$T$332,"Tengah",$L$2:$L$164,"Sedang")</f>
        <v>47</v>
      </c>
      <c r="V190" s="5" t="n">
        <f aca="false">U190/78</f>
        <v>0.602564102564103</v>
      </c>
    </row>
    <row r="191" customFormat="false" ht="15" hidden="false" customHeight="false" outlineLevel="0" collapsed="false">
      <c r="E191" s="5" t="str">
        <v>kanan</v>
      </c>
      <c r="F191" s="5" t="n">
        <f aca="false">COUNTIFS($E$170:$E$332,"Tengah",$L$2:$L$164,"Rendah")</f>
        <v>11</v>
      </c>
      <c r="G191" s="5" t="n">
        <f aca="false">F191/85</f>
        <v>0.129411764705882</v>
      </c>
      <c r="J191" s="5" t="str">
        <v>tengah</v>
      </c>
      <c r="K191" s="5" t="n">
        <f aca="false">COUNTIFS($J$170:$J$332,"Tengah",$L$2:$L$164,"Rendah")</f>
        <v>12</v>
      </c>
      <c r="L191" s="5" t="n">
        <f aca="false">K191/109</f>
        <v>0.110091743119266</v>
      </c>
      <c r="O191" s="5"/>
      <c r="P191" s="5"/>
      <c r="Q191" s="5"/>
      <c r="T191" s="5" t="str">
        <v>tengah</v>
      </c>
      <c r="U191" s="5" t="n">
        <f aca="false">COUNTIFS($T$170:$T$332,"Tengah",$L$2:$L$164,"Rendah")</f>
        <v>6</v>
      </c>
      <c r="V191" s="5" t="n">
        <f aca="false">U191/78</f>
        <v>0.0769230769230769</v>
      </c>
    </row>
    <row r="192" customFormat="false" ht="15" hidden="false" customHeight="false" outlineLevel="0" collapsed="false">
      <c r="E192" s="5" t="str">
        <v>kiri</v>
      </c>
      <c r="F192" s="5" t="s">
        <v>196</v>
      </c>
      <c r="G192" s="5" t="n">
        <f aca="false">-(IFERROR(G189*LOG(G189,2),0)+IFERROR(G190*LOG(G190,2),0)+IFERROR(G191*LOG(G191,2),0))</f>
        <v>1.40379732562821</v>
      </c>
      <c r="J192" s="5" t="str">
        <v>tengah</v>
      </c>
      <c r="K192" s="5" t="s">
        <v>196</v>
      </c>
      <c r="L192" s="5" t="n">
        <f aca="false">-(IFERROR(L189*LOG(L189,2),0)+IFERROR(L190*LOG(L190,2),0)+IFERROR(L191*LOG(L191,2),0))</f>
        <v>1.37028153017565</v>
      </c>
      <c r="O192" s="5"/>
      <c r="P192" s="5"/>
      <c r="Q192" s="5"/>
      <c r="T192" s="5" t="str">
        <v>tengah</v>
      </c>
      <c r="U192" s="5" t="s">
        <v>196</v>
      </c>
      <c r="V192" s="5" t="n">
        <f aca="false">-(IFERROR(V189*LOG(V189,2),0)+IFERROR(V190*LOG(V190,2),0)+IFERROR(V191*LOG(V191,2),0))</f>
        <v>1.25114765761168</v>
      </c>
    </row>
    <row r="193" customFormat="false" ht="15" hidden="false" customHeight="false" outlineLevel="0" collapsed="false">
      <c r="E193" s="5" t="str">
        <v>tengah</v>
      </c>
      <c r="F193" s="5"/>
      <c r="G193" s="5" t="n">
        <f aca="false">SUM(F189:F191)/163</f>
        <v>0.521472392638037</v>
      </c>
      <c r="J193" s="5" t="str">
        <v>tengah</v>
      </c>
      <c r="K193" s="5"/>
      <c r="L193" s="5" t="n">
        <f aca="false">SUM(K189:K191)/163</f>
        <v>0.668711656441718</v>
      </c>
      <c r="O193" s="5"/>
      <c r="P193" s="5"/>
      <c r="Q193" s="5"/>
      <c r="T193" s="5" t="str">
        <v>kanan</v>
      </c>
      <c r="U193" s="5"/>
      <c r="V193" s="5" t="n">
        <f aca="false">SUM(U189:U191)/163</f>
        <v>0.478527607361963</v>
      </c>
    </row>
    <row r="194" customFormat="false" ht="15" hidden="false" customHeight="false" outlineLevel="0" collapsed="false">
      <c r="E194" s="5" t="str">
        <v>kanan</v>
      </c>
      <c r="F194" s="5"/>
      <c r="G194" s="12" t="n">
        <f aca="false">G192*G193</f>
        <v>0.732041550174219</v>
      </c>
      <c r="J194" s="5" t="str">
        <v>tengah</v>
      </c>
      <c r="K194" s="5"/>
      <c r="L194" s="12" t="n">
        <f aca="false">L192*L193</f>
        <v>0.916323231835254</v>
      </c>
      <c r="O194" s="5"/>
      <c r="P194" s="5"/>
      <c r="Q194" s="12"/>
      <c r="T194" s="5" t="str">
        <v>tengah</v>
      </c>
      <c r="U194" s="5"/>
      <c r="V194" s="12" t="n">
        <f aca="false">V192*V193</f>
        <v>0.598708695053444</v>
      </c>
    </row>
    <row r="195" customFormat="false" ht="15" hidden="false" customHeight="false" outlineLevel="0" collapsed="false">
      <c r="E195" s="5" t="str">
        <v>tengah</v>
      </c>
      <c r="F195" s="5"/>
      <c r="G195" s="5"/>
      <c r="J195" s="5" t="str">
        <v>kiri</v>
      </c>
      <c r="K195" s="5"/>
      <c r="L195" s="5"/>
      <c r="O195" s="5"/>
      <c r="P195" s="5"/>
      <c r="Q195" s="5"/>
      <c r="T195" s="5" t="str">
        <v>tengah</v>
      </c>
      <c r="U195" s="5"/>
      <c r="V195" s="5"/>
    </row>
    <row r="196" customFormat="false" ht="15" hidden="false" customHeight="false" outlineLevel="0" collapsed="false">
      <c r="E196" s="5" t="str">
        <v>tengah</v>
      </c>
      <c r="F196" s="5" t="s">
        <v>202</v>
      </c>
      <c r="G196" s="5"/>
      <c r="J196" s="5" t="str">
        <v>tengah</v>
      </c>
      <c r="K196" s="5" t="s">
        <v>202</v>
      </c>
      <c r="L196" s="5"/>
      <c r="O196" s="5"/>
      <c r="P196" s="5"/>
      <c r="Q196" s="5"/>
      <c r="T196" s="5" t="str">
        <v>tengah</v>
      </c>
      <c r="U196" s="5" t="s">
        <v>202</v>
      </c>
      <c r="V196" s="5"/>
    </row>
    <row r="197" customFormat="false" ht="15" hidden="false" customHeight="false" outlineLevel="0" collapsed="false">
      <c r="E197" s="5" t="str">
        <v>kanan</v>
      </c>
      <c r="F197" s="13" t="n">
        <f aca="false">P5-(G176+G185+$G$194)</f>
        <v>0.0345583972521255</v>
      </c>
      <c r="G197" s="5"/>
      <c r="J197" s="5" t="str">
        <v>tengah</v>
      </c>
      <c r="K197" s="13" t="n">
        <f aca="false">P5-(L176+L185+L194)</f>
        <v>0.0121492203243456</v>
      </c>
      <c r="L197" s="5"/>
      <c r="O197" s="5"/>
      <c r="P197" s="13"/>
      <c r="Q197" s="5"/>
      <c r="T197" s="5" t="str">
        <v>tengah</v>
      </c>
      <c r="U197" s="13" t="n">
        <f aca="false">P5-(V176+V185+V194)</f>
        <v>0.0232708684164178</v>
      </c>
      <c r="V197" s="5"/>
    </row>
    <row r="198" customFormat="false" ht="15" hidden="false" customHeight="false" outlineLevel="0" collapsed="false">
      <c r="E198" s="5" t="str">
        <v>kiri</v>
      </c>
      <c r="F198" s="5"/>
      <c r="G198" s="5"/>
      <c r="J198" s="5" t="str">
        <v>kiri</v>
      </c>
      <c r="K198" s="5"/>
      <c r="L198" s="5"/>
      <c r="O198" s="5"/>
      <c r="P198" s="5"/>
      <c r="Q198" s="5"/>
      <c r="T198" s="5" t="str">
        <v>kanan</v>
      </c>
      <c r="U198" s="5"/>
      <c r="V198" s="5"/>
    </row>
    <row r="199" customFormat="false" ht="15" hidden="false" customHeight="false" outlineLevel="0" collapsed="false">
      <c r="E199" s="5" t="str">
        <v>tengah</v>
      </c>
      <c r="F199" s="5"/>
      <c r="G199" s="5"/>
      <c r="J199" s="5" t="str">
        <v>tengah</v>
      </c>
      <c r="K199" s="5"/>
      <c r="L199" s="5"/>
      <c r="O199" s="5"/>
      <c r="P199" s="5"/>
      <c r="Q199" s="5"/>
      <c r="T199" s="5" t="str">
        <v>kanan</v>
      </c>
      <c r="U199" s="5"/>
      <c r="V199" s="5"/>
    </row>
    <row r="200" customFormat="false" ht="15" hidden="false" customHeight="false" outlineLevel="0" collapsed="false">
      <c r="E200" s="5" t="str">
        <v>tengah</v>
      </c>
      <c r="F200" s="5"/>
      <c r="G200" s="5"/>
      <c r="J200" s="5" t="str">
        <v>kiri</v>
      </c>
      <c r="K200" s="5"/>
      <c r="L200" s="5"/>
      <c r="O200" s="5"/>
      <c r="P200" s="5"/>
      <c r="Q200" s="5"/>
      <c r="T200" s="5" t="str">
        <v>kanan</v>
      </c>
      <c r="U200" s="5"/>
      <c r="V200" s="5"/>
    </row>
    <row r="201" customFormat="false" ht="15" hidden="false" customHeight="false" outlineLevel="0" collapsed="false">
      <c r="E201" s="5" t="str">
        <v>tengah</v>
      </c>
      <c r="F201" s="5"/>
      <c r="G201" s="5"/>
      <c r="J201" s="5" t="str">
        <v>kiri</v>
      </c>
      <c r="K201" s="5"/>
      <c r="L201" s="5"/>
      <c r="O201" s="5"/>
      <c r="P201" s="5"/>
      <c r="Q201" s="5"/>
      <c r="T201" s="5" t="str">
        <v>kanan</v>
      </c>
      <c r="U201" s="5"/>
      <c r="V201" s="5"/>
    </row>
    <row r="202" customFormat="false" ht="15" hidden="false" customHeight="false" outlineLevel="0" collapsed="false">
      <c r="E202" s="5" t="str">
        <v>kiri</v>
      </c>
      <c r="F202" s="5"/>
      <c r="G202" s="5"/>
      <c r="J202" s="5" t="str">
        <v>kiri</v>
      </c>
      <c r="K202" s="5"/>
      <c r="L202" s="5"/>
      <c r="O202" s="5"/>
      <c r="P202" s="5"/>
      <c r="Q202" s="5"/>
      <c r="T202" s="5" t="str">
        <v>kanan</v>
      </c>
      <c r="U202" s="5"/>
      <c r="V202" s="5"/>
    </row>
    <row r="203" customFormat="false" ht="15" hidden="false" customHeight="false" outlineLevel="0" collapsed="false">
      <c r="E203" s="5" t="str">
        <v>tengah</v>
      </c>
      <c r="F203" s="5"/>
      <c r="G203" s="5"/>
      <c r="J203" s="5" t="str">
        <v>tengah</v>
      </c>
      <c r="K203" s="5"/>
      <c r="L203" s="5"/>
      <c r="O203" s="5"/>
      <c r="P203" s="5"/>
      <c r="Q203" s="5"/>
      <c r="T203" s="5" t="str">
        <v>tengah</v>
      </c>
      <c r="U203" s="5"/>
      <c r="V203" s="5"/>
    </row>
    <row r="204" customFormat="false" ht="15" hidden="false" customHeight="false" outlineLevel="0" collapsed="false">
      <c r="E204" s="5" t="str">
        <v>tengah</v>
      </c>
      <c r="F204" s="5"/>
      <c r="G204" s="5"/>
      <c r="J204" s="5" t="str">
        <v>tengah</v>
      </c>
      <c r="K204" s="5"/>
      <c r="L204" s="5"/>
      <c r="O204" s="5"/>
      <c r="P204" s="5"/>
      <c r="Q204" s="5"/>
      <c r="T204" s="5" t="str">
        <v>kanan</v>
      </c>
      <c r="U204" s="5"/>
      <c r="V204" s="5"/>
    </row>
    <row r="205" customFormat="false" ht="15" hidden="false" customHeight="false" outlineLevel="0" collapsed="false">
      <c r="E205" s="5" t="str">
        <v>tengah</v>
      </c>
      <c r="F205" s="5"/>
      <c r="G205" s="5"/>
      <c r="J205" s="5" t="str">
        <v>tengah</v>
      </c>
      <c r="K205" s="5"/>
      <c r="L205" s="5"/>
      <c r="O205" s="5"/>
      <c r="P205" s="5"/>
      <c r="Q205" s="5"/>
      <c r="T205" s="5" t="str">
        <v>kanan</v>
      </c>
      <c r="U205" s="5"/>
      <c r="V205" s="5"/>
    </row>
    <row r="206" customFormat="false" ht="15" hidden="false" customHeight="false" outlineLevel="0" collapsed="false">
      <c r="E206" s="5" t="str">
        <v>tengah</v>
      </c>
      <c r="F206" s="5"/>
      <c r="G206" s="5"/>
      <c r="J206" s="5" t="str">
        <v>tengah</v>
      </c>
      <c r="K206" s="5"/>
      <c r="L206" s="5"/>
      <c r="O206" s="5"/>
      <c r="P206" s="5"/>
      <c r="Q206" s="5"/>
      <c r="T206" s="5" t="str">
        <v>kanan</v>
      </c>
      <c r="U206" s="5"/>
      <c r="V206" s="5"/>
    </row>
    <row r="207" customFormat="false" ht="15" hidden="false" customHeight="false" outlineLevel="0" collapsed="false">
      <c r="E207" s="5" t="str">
        <v>kiri</v>
      </c>
      <c r="F207" s="5"/>
      <c r="G207" s="5"/>
      <c r="J207" s="5" t="str">
        <v>tengah</v>
      </c>
      <c r="K207" s="5"/>
      <c r="L207" s="5"/>
      <c r="O207" s="5"/>
      <c r="P207" s="5"/>
      <c r="Q207" s="5"/>
      <c r="T207" s="5" t="str">
        <v>tengah</v>
      </c>
      <c r="U207" s="5"/>
      <c r="V207" s="5"/>
    </row>
    <row r="208" customFormat="false" ht="15" hidden="false" customHeight="false" outlineLevel="0" collapsed="false">
      <c r="E208" s="5" t="str">
        <v>tengah</v>
      </c>
      <c r="F208" s="5"/>
      <c r="G208" s="5"/>
      <c r="J208" s="5" t="str">
        <v>tengah</v>
      </c>
      <c r="K208" s="5"/>
      <c r="L208" s="5"/>
      <c r="O208" s="5"/>
      <c r="P208" s="5"/>
      <c r="Q208" s="5"/>
      <c r="T208" s="5" t="str">
        <v>kanan</v>
      </c>
      <c r="U208" s="5"/>
      <c r="V208" s="5"/>
    </row>
    <row r="209" customFormat="false" ht="15" hidden="false" customHeight="false" outlineLevel="0" collapsed="false">
      <c r="E209" s="5" t="str">
        <v>tengah</v>
      </c>
      <c r="F209" s="5"/>
      <c r="G209" s="5"/>
      <c r="J209" s="5" t="str">
        <v>tengah</v>
      </c>
      <c r="K209" s="5"/>
      <c r="L209" s="5"/>
      <c r="O209" s="5"/>
      <c r="P209" s="5"/>
      <c r="Q209" s="5"/>
      <c r="T209" s="5" t="str">
        <v>kanan</v>
      </c>
      <c r="U209" s="5"/>
      <c r="V209" s="5"/>
    </row>
    <row r="210" customFormat="false" ht="15" hidden="false" customHeight="false" outlineLevel="0" collapsed="false">
      <c r="E210" s="5" t="str">
        <v>kiri</v>
      </c>
      <c r="F210" s="5"/>
      <c r="G210" s="5"/>
      <c r="J210" s="5" t="str">
        <v>kanan</v>
      </c>
      <c r="K210" s="5"/>
      <c r="L210" s="5"/>
      <c r="O210" s="5"/>
      <c r="P210" s="5"/>
      <c r="Q210" s="5"/>
      <c r="T210" s="5" t="str">
        <v>kanan</v>
      </c>
      <c r="U210" s="5"/>
      <c r="V210" s="5"/>
    </row>
    <row r="211" customFormat="false" ht="15" hidden="false" customHeight="false" outlineLevel="0" collapsed="false">
      <c r="E211" s="5" t="str">
        <v>kiri</v>
      </c>
      <c r="F211" s="5"/>
      <c r="G211" s="5"/>
      <c r="J211" s="5" t="str">
        <v>tengah</v>
      </c>
      <c r="K211" s="5"/>
      <c r="L211" s="5"/>
      <c r="O211" s="5"/>
      <c r="P211" s="5"/>
      <c r="Q211" s="5"/>
      <c r="T211" s="5" t="str">
        <v>kanan</v>
      </c>
      <c r="U211" s="5"/>
      <c r="V211" s="5"/>
    </row>
    <row r="212" customFormat="false" ht="15" hidden="false" customHeight="false" outlineLevel="0" collapsed="false">
      <c r="E212" s="5" t="str">
        <v>tengah</v>
      </c>
      <c r="F212" s="5"/>
      <c r="G212" s="5"/>
      <c r="J212" s="5" t="str">
        <v>kanan</v>
      </c>
      <c r="K212" s="5"/>
      <c r="L212" s="5"/>
      <c r="O212" s="5"/>
      <c r="P212" s="5"/>
      <c r="Q212" s="5"/>
      <c r="T212" s="5" t="str">
        <v>tengah</v>
      </c>
      <c r="U212" s="5"/>
      <c r="V212" s="5"/>
    </row>
    <row r="213" customFormat="false" ht="15" hidden="false" customHeight="false" outlineLevel="0" collapsed="false">
      <c r="E213" s="5" t="str">
        <v>tengah</v>
      </c>
      <c r="F213" s="5"/>
      <c r="G213" s="5"/>
      <c r="J213" s="5" t="str">
        <v>tengah</v>
      </c>
      <c r="K213" s="5"/>
      <c r="L213" s="5"/>
      <c r="O213" s="5"/>
      <c r="P213" s="5"/>
      <c r="Q213" s="5"/>
      <c r="T213" s="5" t="str">
        <v>kanan</v>
      </c>
      <c r="U213" s="5"/>
      <c r="V213" s="5"/>
    </row>
    <row r="214" customFormat="false" ht="15" hidden="false" customHeight="false" outlineLevel="0" collapsed="false">
      <c r="E214" s="5" t="str">
        <v>kiri</v>
      </c>
      <c r="F214" s="5"/>
      <c r="G214" s="5"/>
      <c r="J214" s="5" t="str">
        <v>kiri</v>
      </c>
      <c r="K214" s="5"/>
      <c r="L214" s="5"/>
      <c r="O214" s="5"/>
      <c r="P214" s="5"/>
      <c r="Q214" s="5"/>
      <c r="T214" s="5" t="str">
        <v>kanan</v>
      </c>
      <c r="U214" s="5"/>
      <c r="V214" s="5"/>
    </row>
    <row r="215" customFormat="false" ht="15" hidden="false" customHeight="false" outlineLevel="0" collapsed="false">
      <c r="E215" s="5" t="str">
        <v>kanan</v>
      </c>
      <c r="F215" s="5"/>
      <c r="G215" s="5"/>
      <c r="J215" s="5" t="str">
        <v>kanan</v>
      </c>
      <c r="K215" s="5"/>
      <c r="L215" s="5"/>
      <c r="O215" s="5"/>
      <c r="P215" s="5"/>
      <c r="Q215" s="5"/>
      <c r="T215" s="5" t="str">
        <v>kanan</v>
      </c>
      <c r="U215" s="5"/>
      <c r="V215" s="5"/>
    </row>
    <row r="216" customFormat="false" ht="15" hidden="false" customHeight="false" outlineLevel="0" collapsed="false">
      <c r="E216" s="5" t="str">
        <v>kanan</v>
      </c>
      <c r="F216" s="5"/>
      <c r="G216" s="5"/>
      <c r="J216" s="5" t="str">
        <v>tengah</v>
      </c>
      <c r="K216" s="5"/>
      <c r="L216" s="5"/>
      <c r="O216" s="5"/>
      <c r="P216" s="5"/>
      <c r="Q216" s="5"/>
      <c r="T216" s="5" t="str">
        <v>kanan</v>
      </c>
      <c r="U216" s="5"/>
      <c r="V216" s="5"/>
    </row>
    <row r="217" customFormat="false" ht="15" hidden="false" customHeight="false" outlineLevel="0" collapsed="false">
      <c r="E217" s="5" t="str">
        <v>tengah</v>
      </c>
      <c r="F217" s="5"/>
      <c r="G217" s="5"/>
      <c r="J217" s="5" t="str">
        <v>tengah</v>
      </c>
      <c r="K217" s="5"/>
      <c r="L217" s="5"/>
      <c r="O217" s="5"/>
      <c r="P217" s="5"/>
      <c r="Q217" s="5"/>
      <c r="T217" s="5" t="str">
        <v>kanan</v>
      </c>
      <c r="U217" s="5"/>
      <c r="V217" s="5"/>
    </row>
    <row r="218" customFormat="false" ht="15" hidden="false" customHeight="false" outlineLevel="0" collapsed="false">
      <c r="E218" s="5" t="str">
        <v>kanan</v>
      </c>
      <c r="F218" s="5"/>
      <c r="G218" s="5"/>
      <c r="J218" s="5" t="str">
        <v>tengah</v>
      </c>
      <c r="K218" s="5"/>
      <c r="L218" s="5"/>
      <c r="O218" s="5"/>
      <c r="P218" s="5"/>
      <c r="Q218" s="5"/>
      <c r="T218" s="5" t="str">
        <v>kanan</v>
      </c>
      <c r="U218" s="5"/>
      <c r="V218" s="5"/>
    </row>
    <row r="219" customFormat="false" ht="15" hidden="false" customHeight="false" outlineLevel="0" collapsed="false">
      <c r="E219" s="5" t="str">
        <v>kiri</v>
      </c>
      <c r="F219" s="5"/>
      <c r="G219" s="5"/>
      <c r="J219" s="5" t="str">
        <v>tengah</v>
      </c>
      <c r="K219" s="5"/>
      <c r="L219" s="5"/>
      <c r="O219" s="5"/>
      <c r="P219" s="5"/>
      <c r="Q219" s="5"/>
      <c r="T219" s="5" t="str">
        <v>tengah</v>
      </c>
      <c r="U219" s="5"/>
      <c r="V219" s="5"/>
    </row>
    <row r="220" customFormat="false" ht="15" hidden="false" customHeight="false" outlineLevel="0" collapsed="false">
      <c r="E220" s="5" t="str">
        <v>kanan</v>
      </c>
      <c r="F220" s="5"/>
      <c r="G220" s="5"/>
      <c r="J220" s="5" t="str">
        <v>tengah</v>
      </c>
      <c r="K220" s="5"/>
      <c r="L220" s="5"/>
      <c r="O220" s="5"/>
      <c r="P220" s="5"/>
      <c r="Q220" s="5"/>
      <c r="T220" s="5" t="str">
        <v>kanan</v>
      </c>
      <c r="U220" s="5"/>
      <c r="V220" s="5"/>
    </row>
    <row r="221" customFormat="false" ht="15" hidden="false" customHeight="false" outlineLevel="0" collapsed="false">
      <c r="E221" s="5" t="str">
        <v>tengah</v>
      </c>
      <c r="F221" s="5"/>
      <c r="G221" s="5"/>
      <c r="J221" s="5" t="str">
        <v>tengah</v>
      </c>
      <c r="K221" s="5"/>
      <c r="L221" s="5"/>
      <c r="O221" s="5"/>
      <c r="P221" s="5"/>
      <c r="Q221" s="5"/>
      <c r="T221" s="5" t="str">
        <v>tengah</v>
      </c>
      <c r="U221" s="5"/>
      <c r="V221" s="5"/>
    </row>
    <row r="222" customFormat="false" ht="15" hidden="false" customHeight="false" outlineLevel="0" collapsed="false">
      <c r="E222" s="5" t="str">
        <v>tengah</v>
      </c>
      <c r="F222" s="5"/>
      <c r="G222" s="5"/>
      <c r="J222" s="5" t="str">
        <v>kanan</v>
      </c>
      <c r="K222" s="5"/>
      <c r="L222" s="5"/>
      <c r="O222" s="5"/>
      <c r="P222" s="5"/>
      <c r="Q222" s="5"/>
      <c r="T222" s="5" t="str">
        <v>kanan</v>
      </c>
      <c r="U222" s="5"/>
      <c r="V222" s="5"/>
    </row>
    <row r="223" customFormat="false" ht="15" hidden="false" customHeight="false" outlineLevel="0" collapsed="false">
      <c r="E223" s="5" t="str">
        <v>kanan</v>
      </c>
      <c r="F223" s="5"/>
      <c r="G223" s="5"/>
      <c r="J223" s="5" t="str">
        <v>tengah</v>
      </c>
      <c r="K223" s="5"/>
      <c r="L223" s="5"/>
      <c r="O223" s="5"/>
      <c r="P223" s="5"/>
      <c r="Q223" s="5"/>
      <c r="T223" s="5" t="str">
        <v>kanan</v>
      </c>
      <c r="U223" s="5"/>
      <c r="V223" s="5"/>
    </row>
    <row r="224" customFormat="false" ht="15" hidden="false" customHeight="false" outlineLevel="0" collapsed="false">
      <c r="E224" s="5" t="str">
        <v>tengah</v>
      </c>
      <c r="F224" s="5"/>
      <c r="G224" s="5"/>
      <c r="J224" s="5" t="str">
        <v>kiri</v>
      </c>
      <c r="K224" s="5"/>
      <c r="L224" s="5"/>
      <c r="O224" s="5"/>
      <c r="P224" s="5"/>
      <c r="Q224" s="5"/>
      <c r="T224" s="5" t="str">
        <v>kanan</v>
      </c>
      <c r="U224" s="5"/>
      <c r="V224" s="5"/>
    </row>
    <row r="225" customFormat="false" ht="15" hidden="false" customHeight="false" outlineLevel="0" collapsed="false">
      <c r="E225" s="5" t="str">
        <v>kanan</v>
      </c>
      <c r="F225" s="5"/>
      <c r="G225" s="5"/>
      <c r="J225" s="5" t="str">
        <v>tengah</v>
      </c>
      <c r="K225" s="5"/>
      <c r="L225" s="5"/>
      <c r="O225" s="5"/>
      <c r="P225" s="5"/>
      <c r="Q225" s="5"/>
      <c r="T225" s="5" t="str">
        <v>tengah</v>
      </c>
      <c r="U225" s="5"/>
      <c r="V225" s="5"/>
    </row>
    <row r="226" customFormat="false" ht="15" hidden="false" customHeight="false" outlineLevel="0" collapsed="false">
      <c r="E226" s="5" t="str">
        <v>kanan</v>
      </c>
      <c r="F226" s="5"/>
      <c r="G226" s="5"/>
      <c r="J226" s="5" t="str">
        <v>kiri</v>
      </c>
      <c r="K226" s="5"/>
      <c r="L226" s="5"/>
      <c r="O226" s="5"/>
      <c r="P226" s="5"/>
      <c r="Q226" s="5"/>
      <c r="T226" s="5" t="str">
        <v>tengah</v>
      </c>
      <c r="U226" s="5"/>
      <c r="V226" s="5"/>
    </row>
    <row r="227" customFormat="false" ht="15" hidden="false" customHeight="false" outlineLevel="0" collapsed="false">
      <c r="E227" s="5" t="str">
        <v>tengah</v>
      </c>
      <c r="F227" s="5"/>
      <c r="G227" s="5"/>
      <c r="J227" s="5" t="str">
        <v>tengah</v>
      </c>
      <c r="K227" s="5"/>
      <c r="L227" s="5"/>
      <c r="O227" s="5"/>
      <c r="P227" s="5"/>
      <c r="Q227" s="5"/>
      <c r="T227" s="5" t="str">
        <v>kanan</v>
      </c>
      <c r="U227" s="5"/>
      <c r="V227" s="5"/>
    </row>
    <row r="228" customFormat="false" ht="15" hidden="false" customHeight="false" outlineLevel="0" collapsed="false">
      <c r="E228" s="5" t="str">
        <v>tengah</v>
      </c>
      <c r="F228" s="5"/>
      <c r="G228" s="5"/>
      <c r="J228" s="5" t="str">
        <v>kanan</v>
      </c>
      <c r="K228" s="5"/>
      <c r="L228" s="5"/>
      <c r="O228" s="5"/>
      <c r="P228" s="5"/>
      <c r="Q228" s="5"/>
      <c r="T228" s="5" t="str">
        <v>kanan</v>
      </c>
      <c r="U228" s="5"/>
      <c r="V228" s="5"/>
    </row>
    <row r="229" customFormat="false" ht="15" hidden="false" customHeight="false" outlineLevel="0" collapsed="false">
      <c r="E229" s="5" t="str">
        <v>tengah</v>
      </c>
      <c r="F229" s="5"/>
      <c r="G229" s="5"/>
      <c r="J229" s="5" t="str">
        <v>tengah</v>
      </c>
      <c r="K229" s="5"/>
      <c r="L229" s="5"/>
      <c r="O229" s="5"/>
      <c r="P229" s="5"/>
      <c r="Q229" s="5"/>
      <c r="T229" s="5" t="str">
        <v>tengah</v>
      </c>
      <c r="U229" s="5"/>
      <c r="V229" s="5"/>
    </row>
    <row r="230" customFormat="false" ht="15" hidden="false" customHeight="false" outlineLevel="0" collapsed="false">
      <c r="E230" s="5" t="str">
        <v>kiri</v>
      </c>
      <c r="F230" s="5"/>
      <c r="G230" s="5"/>
      <c r="J230" s="5" t="str">
        <v>tengah</v>
      </c>
      <c r="K230" s="5"/>
      <c r="L230" s="5"/>
      <c r="O230" s="5"/>
      <c r="P230" s="5"/>
      <c r="Q230" s="5"/>
      <c r="T230" s="5" t="str">
        <v>tengah</v>
      </c>
      <c r="U230" s="5"/>
      <c r="V230" s="5"/>
    </row>
    <row r="231" customFormat="false" ht="15" hidden="false" customHeight="false" outlineLevel="0" collapsed="false">
      <c r="E231" s="5" t="str">
        <v>kiri</v>
      </c>
      <c r="F231" s="5"/>
      <c r="G231" s="5"/>
      <c r="J231" s="5" t="str">
        <v>tengah</v>
      </c>
      <c r="K231" s="5"/>
      <c r="L231" s="5"/>
      <c r="O231" s="5"/>
      <c r="P231" s="5"/>
      <c r="Q231" s="5"/>
      <c r="T231" s="5" t="str">
        <v>kanan</v>
      </c>
      <c r="U231" s="5"/>
      <c r="V231" s="5"/>
    </row>
    <row r="232" customFormat="false" ht="15" hidden="false" customHeight="false" outlineLevel="0" collapsed="false">
      <c r="E232" s="5" t="str">
        <v>tengah</v>
      </c>
      <c r="F232" s="5"/>
      <c r="G232" s="5"/>
      <c r="J232" s="5" t="str">
        <v>tengah</v>
      </c>
      <c r="K232" s="5"/>
      <c r="L232" s="5"/>
      <c r="O232" s="5"/>
      <c r="P232" s="5"/>
      <c r="Q232" s="5"/>
      <c r="T232" s="5" t="str">
        <v>tengah</v>
      </c>
      <c r="U232" s="5"/>
      <c r="V232" s="5"/>
    </row>
    <row r="233" customFormat="false" ht="15" hidden="false" customHeight="false" outlineLevel="0" collapsed="false">
      <c r="E233" s="5" t="str">
        <v>tengah</v>
      </c>
      <c r="F233" s="5"/>
      <c r="G233" s="5"/>
      <c r="J233" s="5" t="str">
        <v>tengah</v>
      </c>
      <c r="K233" s="5"/>
      <c r="L233" s="5"/>
      <c r="O233" s="5"/>
      <c r="P233" s="5"/>
      <c r="Q233" s="5"/>
      <c r="T233" s="5" t="str">
        <v>kanan</v>
      </c>
      <c r="U233" s="5"/>
      <c r="V233" s="5"/>
    </row>
    <row r="234" customFormat="false" ht="15" hidden="false" customHeight="false" outlineLevel="0" collapsed="false">
      <c r="E234" s="5" t="str">
        <v>tengah</v>
      </c>
      <c r="F234" s="5"/>
      <c r="G234" s="5"/>
      <c r="J234" s="5" t="str">
        <v>tengah</v>
      </c>
      <c r="K234" s="5"/>
      <c r="L234" s="5"/>
      <c r="O234" s="5"/>
      <c r="P234" s="5"/>
      <c r="Q234" s="5"/>
      <c r="T234" s="5" t="str">
        <v>tengah</v>
      </c>
      <c r="U234" s="5"/>
      <c r="V234" s="5"/>
    </row>
    <row r="235" customFormat="false" ht="15" hidden="false" customHeight="false" outlineLevel="0" collapsed="false">
      <c r="E235" s="5" t="str">
        <v>kanan</v>
      </c>
      <c r="F235" s="5"/>
      <c r="G235" s="5"/>
      <c r="J235" s="5" t="str">
        <v>kanan</v>
      </c>
      <c r="K235" s="5"/>
      <c r="L235" s="5"/>
      <c r="O235" s="5"/>
      <c r="P235" s="5"/>
      <c r="Q235" s="5"/>
      <c r="T235" s="5" t="str">
        <v>kanan</v>
      </c>
      <c r="U235" s="5"/>
      <c r="V235" s="5"/>
    </row>
    <row r="236" customFormat="false" ht="15" hidden="false" customHeight="false" outlineLevel="0" collapsed="false">
      <c r="E236" s="5" t="str">
        <v>kanan</v>
      </c>
      <c r="F236" s="5"/>
      <c r="G236" s="5"/>
      <c r="J236" s="5" t="str">
        <v>tengah</v>
      </c>
      <c r="K236" s="5"/>
      <c r="L236" s="5"/>
      <c r="O236" s="5"/>
      <c r="P236" s="5"/>
      <c r="Q236" s="5"/>
      <c r="T236" s="5" t="str">
        <v>tengah</v>
      </c>
      <c r="U236" s="5"/>
      <c r="V236" s="5"/>
    </row>
    <row r="237" customFormat="false" ht="15" hidden="false" customHeight="false" outlineLevel="0" collapsed="false">
      <c r="E237" s="5" t="str">
        <v>tengah</v>
      </c>
      <c r="F237" s="5"/>
      <c r="G237" s="5"/>
      <c r="J237" s="5" t="str">
        <v>kiri</v>
      </c>
      <c r="K237" s="5"/>
      <c r="L237" s="5"/>
      <c r="O237" s="5"/>
      <c r="P237" s="5"/>
      <c r="Q237" s="5"/>
      <c r="T237" s="5" t="str">
        <v>tengah</v>
      </c>
      <c r="U237" s="5"/>
      <c r="V237" s="5"/>
    </row>
    <row r="238" customFormat="false" ht="15" hidden="false" customHeight="false" outlineLevel="0" collapsed="false">
      <c r="E238" s="5" t="str">
        <v>tengah</v>
      </c>
      <c r="F238" s="5"/>
      <c r="G238" s="5"/>
      <c r="J238" s="5" t="str">
        <v>tengah</v>
      </c>
      <c r="K238" s="5"/>
      <c r="L238" s="5"/>
      <c r="O238" s="5"/>
      <c r="P238" s="5"/>
      <c r="Q238" s="5"/>
      <c r="T238" s="5" t="str">
        <v>kanan</v>
      </c>
      <c r="U238" s="5"/>
      <c r="V238" s="5"/>
    </row>
    <row r="239" customFormat="false" ht="15" hidden="false" customHeight="false" outlineLevel="0" collapsed="false">
      <c r="E239" s="5" t="str">
        <v>tengah</v>
      </c>
      <c r="F239" s="5"/>
      <c r="G239" s="5"/>
      <c r="J239" s="5" t="str">
        <v>tengah</v>
      </c>
      <c r="K239" s="5"/>
      <c r="L239" s="5"/>
      <c r="O239" s="5"/>
      <c r="P239" s="5"/>
      <c r="Q239" s="5"/>
      <c r="T239" s="5" t="str">
        <v>kanan</v>
      </c>
      <c r="U239" s="5"/>
      <c r="V239" s="5"/>
    </row>
    <row r="240" customFormat="false" ht="15" hidden="false" customHeight="false" outlineLevel="0" collapsed="false">
      <c r="E240" s="5" t="str">
        <v>kiri</v>
      </c>
      <c r="F240" s="5"/>
      <c r="G240" s="5"/>
      <c r="J240" s="5" t="str">
        <v>tengah</v>
      </c>
      <c r="K240" s="5"/>
      <c r="L240" s="5"/>
      <c r="O240" s="5"/>
      <c r="P240" s="5"/>
      <c r="Q240" s="5"/>
      <c r="T240" s="5" t="str">
        <v>tengah</v>
      </c>
      <c r="U240" s="5"/>
      <c r="V240" s="5"/>
    </row>
    <row r="241" customFormat="false" ht="15" hidden="false" customHeight="false" outlineLevel="0" collapsed="false">
      <c r="E241" s="5" t="str">
        <v>kiri</v>
      </c>
      <c r="F241" s="5"/>
      <c r="G241" s="5"/>
      <c r="J241" s="5" t="str">
        <v>tengah</v>
      </c>
      <c r="K241" s="5"/>
      <c r="L241" s="5"/>
      <c r="O241" s="5"/>
      <c r="P241" s="5"/>
      <c r="Q241" s="5"/>
      <c r="T241" s="5" t="str">
        <v>tengah</v>
      </c>
      <c r="U241" s="5"/>
      <c r="V241" s="5"/>
    </row>
    <row r="242" customFormat="false" ht="15" hidden="false" customHeight="false" outlineLevel="0" collapsed="false">
      <c r="E242" s="5" t="str">
        <v>tengah</v>
      </c>
      <c r="F242" s="5"/>
      <c r="G242" s="5"/>
      <c r="J242" s="5" t="str">
        <v>tengah</v>
      </c>
      <c r="K242" s="5"/>
      <c r="L242" s="5"/>
      <c r="O242" s="5"/>
      <c r="P242" s="5"/>
      <c r="Q242" s="5"/>
      <c r="T242" s="5" t="str">
        <v>tengah</v>
      </c>
      <c r="U242" s="5"/>
      <c r="V242" s="5"/>
    </row>
    <row r="243" customFormat="false" ht="15" hidden="false" customHeight="false" outlineLevel="0" collapsed="false">
      <c r="E243" s="5" t="str">
        <v>kiri</v>
      </c>
      <c r="F243" s="5"/>
      <c r="G243" s="5"/>
      <c r="J243" s="5" t="str">
        <v>kiri</v>
      </c>
      <c r="K243" s="5"/>
      <c r="L243" s="5"/>
      <c r="O243" s="5"/>
      <c r="P243" s="5"/>
      <c r="Q243" s="5"/>
      <c r="T243" s="5" t="str">
        <v>tengah</v>
      </c>
      <c r="U243" s="5"/>
      <c r="V243" s="5"/>
    </row>
    <row r="244" customFormat="false" ht="15" hidden="false" customHeight="false" outlineLevel="0" collapsed="false">
      <c r="E244" s="5" t="str">
        <v>tengah</v>
      </c>
      <c r="F244" s="5"/>
      <c r="G244" s="5"/>
      <c r="J244" s="5" t="str">
        <v>kiri</v>
      </c>
      <c r="K244" s="5"/>
      <c r="L244" s="5"/>
      <c r="O244" s="5"/>
      <c r="P244" s="5"/>
      <c r="Q244" s="5"/>
      <c r="T244" s="5" t="str">
        <v>tengah</v>
      </c>
      <c r="U244" s="5"/>
      <c r="V244" s="5"/>
    </row>
    <row r="245" customFormat="false" ht="15" hidden="false" customHeight="false" outlineLevel="0" collapsed="false">
      <c r="E245" s="5" t="str">
        <v>kiri</v>
      </c>
      <c r="F245" s="5"/>
      <c r="G245" s="5"/>
      <c r="J245" s="5" t="str">
        <v>tengah</v>
      </c>
      <c r="K245" s="5"/>
      <c r="L245" s="5"/>
      <c r="O245" s="5"/>
      <c r="P245" s="5"/>
      <c r="Q245" s="5"/>
      <c r="T245" s="5" t="str">
        <v>kanan</v>
      </c>
      <c r="U245" s="5"/>
      <c r="V245" s="5"/>
    </row>
    <row r="246" customFormat="false" ht="15" hidden="false" customHeight="false" outlineLevel="0" collapsed="false">
      <c r="E246" s="5" t="str">
        <v>tengah</v>
      </c>
      <c r="F246" s="5"/>
      <c r="G246" s="5"/>
      <c r="J246" s="5" t="str">
        <v>kiri</v>
      </c>
      <c r="K246" s="5"/>
      <c r="L246" s="5"/>
      <c r="O246" s="5"/>
      <c r="P246" s="5"/>
      <c r="Q246" s="5"/>
      <c r="T246" s="5" t="str">
        <v>kanan</v>
      </c>
      <c r="U246" s="5"/>
      <c r="V246" s="5"/>
    </row>
    <row r="247" customFormat="false" ht="15" hidden="false" customHeight="false" outlineLevel="0" collapsed="false">
      <c r="E247" s="5" t="str">
        <v>tengah</v>
      </c>
      <c r="F247" s="5"/>
      <c r="G247" s="5"/>
      <c r="J247" s="5" t="str">
        <v>tengah</v>
      </c>
      <c r="K247" s="5"/>
      <c r="L247" s="5"/>
      <c r="O247" s="5"/>
      <c r="P247" s="5"/>
      <c r="Q247" s="5"/>
      <c r="T247" s="5" t="str">
        <v>tengah</v>
      </c>
      <c r="U247" s="5"/>
      <c r="V247" s="5"/>
    </row>
    <row r="248" customFormat="false" ht="15" hidden="false" customHeight="false" outlineLevel="0" collapsed="false">
      <c r="E248" s="5" t="str">
        <v>kanan</v>
      </c>
      <c r="F248" s="5"/>
      <c r="G248" s="5"/>
      <c r="J248" s="5" t="str">
        <v>kanan</v>
      </c>
      <c r="K248" s="5"/>
      <c r="L248" s="5"/>
      <c r="O248" s="5"/>
      <c r="P248" s="5"/>
      <c r="Q248" s="5"/>
      <c r="T248" s="5" t="str">
        <v>kanan</v>
      </c>
      <c r="U248" s="5"/>
      <c r="V248" s="5"/>
    </row>
    <row r="249" customFormat="false" ht="15" hidden="false" customHeight="false" outlineLevel="0" collapsed="false">
      <c r="E249" s="5" t="str">
        <v>kiri</v>
      </c>
      <c r="F249" s="5"/>
      <c r="G249" s="5"/>
      <c r="J249" s="5" t="str">
        <v>tengah</v>
      </c>
      <c r="K249" s="5"/>
      <c r="L249" s="5"/>
      <c r="O249" s="5"/>
      <c r="P249" s="5"/>
      <c r="Q249" s="5"/>
      <c r="T249" s="5" t="str">
        <v>tengah</v>
      </c>
      <c r="U249" s="5"/>
      <c r="V249" s="5"/>
    </row>
    <row r="250" customFormat="false" ht="15" hidden="false" customHeight="false" outlineLevel="0" collapsed="false">
      <c r="E250" s="5" t="str">
        <v>tengah</v>
      </c>
      <c r="F250" s="5"/>
      <c r="G250" s="5"/>
      <c r="J250" s="5" t="str">
        <v>kanan</v>
      </c>
      <c r="K250" s="5"/>
      <c r="L250" s="5"/>
      <c r="O250" s="5"/>
      <c r="P250" s="5"/>
      <c r="Q250" s="5"/>
      <c r="T250" s="5" t="str">
        <v>tengah</v>
      </c>
      <c r="U250" s="5"/>
      <c r="V250" s="5"/>
    </row>
    <row r="251" customFormat="false" ht="15" hidden="false" customHeight="false" outlineLevel="0" collapsed="false">
      <c r="E251" s="5" t="str">
        <v>tengah</v>
      </c>
      <c r="F251" s="5"/>
      <c r="G251" s="5"/>
      <c r="J251" s="5" t="str">
        <v>tengah</v>
      </c>
      <c r="K251" s="5"/>
      <c r="L251" s="5"/>
      <c r="O251" s="5"/>
      <c r="P251" s="5"/>
      <c r="Q251" s="5"/>
      <c r="T251" s="5" t="str">
        <v>tengah</v>
      </c>
      <c r="U251" s="5"/>
      <c r="V251" s="5"/>
    </row>
    <row r="252" customFormat="false" ht="15" hidden="false" customHeight="false" outlineLevel="0" collapsed="false">
      <c r="E252" s="5" t="str">
        <v>tengah</v>
      </c>
      <c r="F252" s="5"/>
      <c r="G252" s="5"/>
      <c r="J252" s="5" t="str">
        <v>tengah</v>
      </c>
      <c r="K252" s="5"/>
      <c r="L252" s="5"/>
      <c r="O252" s="5"/>
      <c r="P252" s="5"/>
      <c r="Q252" s="5"/>
      <c r="T252" s="5" t="str">
        <v>kanan</v>
      </c>
      <c r="U252" s="5"/>
      <c r="V252" s="5"/>
    </row>
    <row r="253" customFormat="false" ht="15" hidden="false" customHeight="false" outlineLevel="0" collapsed="false">
      <c r="E253" s="5" t="str">
        <v>kanan</v>
      </c>
      <c r="F253" s="5"/>
      <c r="G253" s="5"/>
      <c r="J253" s="5" t="str">
        <v>tengah</v>
      </c>
      <c r="K253" s="5"/>
      <c r="L253" s="5"/>
      <c r="O253" s="5"/>
      <c r="P253" s="5"/>
      <c r="Q253" s="5"/>
      <c r="T253" s="5" t="str">
        <v>kanan</v>
      </c>
      <c r="U253" s="5"/>
      <c r="V253" s="5"/>
    </row>
    <row r="254" customFormat="false" ht="15" hidden="false" customHeight="false" outlineLevel="0" collapsed="false">
      <c r="E254" s="5" t="str">
        <v>kiri</v>
      </c>
      <c r="F254" s="5"/>
      <c r="G254" s="5"/>
      <c r="J254" s="5" t="str">
        <v>tengah</v>
      </c>
      <c r="K254" s="5"/>
      <c r="L254" s="5"/>
      <c r="O254" s="5"/>
      <c r="P254" s="5"/>
      <c r="Q254" s="5"/>
      <c r="T254" s="5" t="str">
        <v>tengah</v>
      </c>
      <c r="U254" s="5"/>
      <c r="V254" s="5"/>
    </row>
    <row r="255" customFormat="false" ht="15" hidden="false" customHeight="false" outlineLevel="0" collapsed="false">
      <c r="E255" s="5" t="str">
        <v>tengah</v>
      </c>
      <c r="F255" s="5"/>
      <c r="G255" s="5"/>
      <c r="J255" s="5" t="str">
        <v>tengah</v>
      </c>
      <c r="K255" s="5"/>
      <c r="L255" s="5"/>
      <c r="O255" s="5"/>
      <c r="P255" s="5"/>
      <c r="Q255" s="5"/>
      <c r="T255" s="5" t="str">
        <v>kanan</v>
      </c>
      <c r="U255" s="5"/>
      <c r="V255" s="5"/>
    </row>
    <row r="256" customFormat="false" ht="15" hidden="false" customHeight="false" outlineLevel="0" collapsed="false">
      <c r="E256" s="5" t="str">
        <v>kiri</v>
      </c>
      <c r="F256" s="5"/>
      <c r="G256" s="5"/>
      <c r="J256" s="5" t="str">
        <v>tengah</v>
      </c>
      <c r="K256" s="5"/>
      <c r="L256" s="5"/>
      <c r="O256" s="5"/>
      <c r="P256" s="5"/>
      <c r="Q256" s="5"/>
      <c r="T256" s="5" t="str">
        <v>tengah</v>
      </c>
      <c r="U256" s="5"/>
      <c r="V256" s="5"/>
    </row>
    <row r="257" customFormat="false" ht="15" hidden="false" customHeight="false" outlineLevel="0" collapsed="false">
      <c r="E257" s="5" t="str">
        <v>tengah</v>
      </c>
      <c r="F257" s="5"/>
      <c r="G257" s="5"/>
      <c r="J257" s="5" t="str">
        <v>tengah</v>
      </c>
      <c r="K257" s="5"/>
      <c r="L257" s="5"/>
      <c r="O257" s="5"/>
      <c r="P257" s="5"/>
      <c r="Q257" s="5"/>
      <c r="T257" s="5" t="str">
        <v>kanan</v>
      </c>
      <c r="U257" s="5"/>
      <c r="V257" s="5"/>
    </row>
    <row r="258" customFormat="false" ht="15" hidden="false" customHeight="false" outlineLevel="0" collapsed="false">
      <c r="E258" s="5" t="str">
        <v>kanan</v>
      </c>
      <c r="F258" s="5"/>
      <c r="G258" s="5"/>
      <c r="J258" s="5" t="str">
        <v>tengah</v>
      </c>
      <c r="K258" s="5"/>
      <c r="L258" s="5"/>
      <c r="O258" s="5"/>
      <c r="P258" s="5"/>
      <c r="Q258" s="5"/>
      <c r="T258" s="5" t="str">
        <v>kanan</v>
      </c>
      <c r="U258" s="5"/>
      <c r="V258" s="5"/>
    </row>
    <row r="259" customFormat="false" ht="15" hidden="false" customHeight="false" outlineLevel="0" collapsed="false">
      <c r="E259" s="5" t="str">
        <v>kiri</v>
      </c>
      <c r="F259" s="5"/>
      <c r="G259" s="5"/>
      <c r="J259" s="5" t="str">
        <v>tengah</v>
      </c>
      <c r="K259" s="5"/>
      <c r="L259" s="5"/>
      <c r="O259" s="5"/>
      <c r="P259" s="5"/>
      <c r="Q259" s="5"/>
      <c r="T259" s="5" t="str">
        <v>tengah</v>
      </c>
      <c r="U259" s="5"/>
      <c r="V259" s="5"/>
    </row>
    <row r="260" customFormat="false" ht="15" hidden="false" customHeight="false" outlineLevel="0" collapsed="false">
      <c r="E260" s="5" t="str">
        <v>kanan</v>
      </c>
      <c r="F260" s="5"/>
      <c r="G260" s="5"/>
      <c r="J260" s="5" t="str">
        <v>tengah</v>
      </c>
      <c r="K260" s="5"/>
      <c r="L260" s="5"/>
      <c r="O260" s="5"/>
      <c r="P260" s="5"/>
      <c r="Q260" s="5"/>
      <c r="T260" s="5" t="str">
        <v>tengah</v>
      </c>
      <c r="U260" s="5"/>
      <c r="V260" s="5"/>
    </row>
    <row r="261" customFormat="false" ht="15" hidden="false" customHeight="false" outlineLevel="0" collapsed="false">
      <c r="E261" s="5" t="str">
        <v>tengah</v>
      </c>
      <c r="F261" s="5"/>
      <c r="G261" s="5"/>
      <c r="J261" s="5" t="str">
        <v>tengah</v>
      </c>
      <c r="K261" s="5"/>
      <c r="L261" s="5"/>
      <c r="O261" s="5"/>
      <c r="P261" s="5"/>
      <c r="Q261" s="5"/>
      <c r="T261" s="5" t="str">
        <v>kanan</v>
      </c>
      <c r="U261" s="5"/>
      <c r="V261" s="5"/>
    </row>
    <row r="262" customFormat="false" ht="15" hidden="false" customHeight="false" outlineLevel="0" collapsed="false">
      <c r="E262" s="5" t="str">
        <v>kanan</v>
      </c>
      <c r="F262" s="5"/>
      <c r="G262" s="5"/>
      <c r="J262" s="5" t="str">
        <v>tengah</v>
      </c>
      <c r="K262" s="5"/>
      <c r="L262" s="5"/>
      <c r="O262" s="5"/>
      <c r="P262" s="5"/>
      <c r="Q262" s="5"/>
      <c r="T262" s="5" t="str">
        <v>tengah</v>
      </c>
      <c r="U262" s="5"/>
      <c r="V262" s="5"/>
    </row>
    <row r="263" customFormat="false" ht="15" hidden="false" customHeight="false" outlineLevel="0" collapsed="false">
      <c r="E263" s="5" t="str">
        <v>tengah</v>
      </c>
      <c r="F263" s="5"/>
      <c r="G263" s="5"/>
      <c r="J263" s="5" t="str">
        <v>kanan</v>
      </c>
      <c r="K263" s="5"/>
      <c r="L263" s="5"/>
      <c r="O263" s="5"/>
      <c r="P263" s="5"/>
      <c r="Q263" s="5"/>
      <c r="T263" s="5" t="str">
        <v>tengah</v>
      </c>
      <c r="U263" s="5"/>
      <c r="V263" s="5"/>
    </row>
    <row r="264" customFormat="false" ht="15" hidden="false" customHeight="false" outlineLevel="0" collapsed="false">
      <c r="E264" s="5" t="str">
        <v>tengah</v>
      </c>
      <c r="F264" s="5"/>
      <c r="G264" s="5"/>
      <c r="J264" s="5" t="str">
        <v>tengah</v>
      </c>
      <c r="K264" s="5"/>
      <c r="L264" s="5"/>
      <c r="O264" s="5"/>
      <c r="P264" s="5"/>
      <c r="Q264" s="5"/>
      <c r="T264" s="5" t="str">
        <v>tengah</v>
      </c>
      <c r="U264" s="5"/>
      <c r="V264" s="5"/>
    </row>
    <row r="265" customFormat="false" ht="15" hidden="false" customHeight="false" outlineLevel="0" collapsed="false">
      <c r="E265" s="5" t="str">
        <v>kiri</v>
      </c>
      <c r="F265" s="5"/>
      <c r="G265" s="5"/>
      <c r="J265" s="5" t="str">
        <v>tengah</v>
      </c>
      <c r="K265" s="5"/>
      <c r="L265" s="5"/>
      <c r="O265" s="5"/>
      <c r="P265" s="5"/>
      <c r="Q265" s="5"/>
      <c r="T265" s="5" t="str">
        <v>tengah</v>
      </c>
      <c r="U265" s="5"/>
      <c r="V265" s="5"/>
    </row>
    <row r="266" customFormat="false" ht="15" hidden="false" customHeight="false" outlineLevel="0" collapsed="false">
      <c r="E266" s="5" t="str">
        <v>tengah</v>
      </c>
      <c r="F266" s="5"/>
      <c r="G266" s="5"/>
      <c r="J266" s="5" t="str">
        <v>tengah</v>
      </c>
      <c r="K266" s="5"/>
      <c r="L266" s="5"/>
      <c r="O266" s="5"/>
      <c r="P266" s="5"/>
      <c r="Q266" s="5"/>
      <c r="T266" s="5" t="str">
        <v>kanan</v>
      </c>
      <c r="U266" s="5"/>
      <c r="V266" s="5"/>
    </row>
    <row r="267" customFormat="false" ht="15" hidden="false" customHeight="false" outlineLevel="0" collapsed="false">
      <c r="E267" s="5" t="str">
        <v>kanan</v>
      </c>
      <c r="F267" s="5"/>
      <c r="G267" s="5"/>
      <c r="J267" s="5" t="str">
        <v>kanan</v>
      </c>
      <c r="K267" s="5"/>
      <c r="L267" s="5"/>
      <c r="O267" s="5"/>
      <c r="P267" s="5"/>
      <c r="Q267" s="5"/>
      <c r="T267" s="5" t="str">
        <v>tengah</v>
      </c>
      <c r="U267" s="5"/>
      <c r="V267" s="5"/>
    </row>
    <row r="268" customFormat="false" ht="15" hidden="false" customHeight="false" outlineLevel="0" collapsed="false">
      <c r="E268" s="5" t="str">
        <v>tengah</v>
      </c>
      <c r="F268" s="5"/>
      <c r="G268" s="5"/>
      <c r="J268" s="5" t="str">
        <v>tengah</v>
      </c>
      <c r="K268" s="5"/>
      <c r="L268" s="5"/>
      <c r="O268" s="5"/>
      <c r="P268" s="5"/>
      <c r="Q268" s="5"/>
      <c r="T268" s="5" t="str">
        <v>kanan</v>
      </c>
      <c r="U268" s="5"/>
      <c r="V268" s="5"/>
    </row>
    <row r="269" customFormat="false" ht="15" hidden="false" customHeight="false" outlineLevel="0" collapsed="false">
      <c r="E269" s="5" t="str">
        <v>kiri</v>
      </c>
      <c r="F269" s="5"/>
      <c r="G269" s="5"/>
      <c r="J269" s="5" t="str">
        <v>kiri</v>
      </c>
      <c r="K269" s="5"/>
      <c r="L269" s="5"/>
      <c r="O269" s="5"/>
      <c r="P269" s="5"/>
      <c r="Q269" s="5"/>
      <c r="T269" s="5" t="str">
        <v>kanan</v>
      </c>
      <c r="U269" s="5"/>
      <c r="V269" s="5"/>
    </row>
    <row r="270" customFormat="false" ht="15" hidden="false" customHeight="false" outlineLevel="0" collapsed="false">
      <c r="E270" s="5" t="str">
        <v>tengah</v>
      </c>
      <c r="F270" s="5"/>
      <c r="G270" s="5"/>
      <c r="J270" s="5" t="str">
        <v>tengah</v>
      </c>
      <c r="K270" s="5"/>
      <c r="L270" s="5"/>
      <c r="O270" s="5"/>
      <c r="P270" s="5"/>
      <c r="Q270" s="5"/>
      <c r="T270" s="5" t="str">
        <v>kanan</v>
      </c>
      <c r="U270" s="5"/>
      <c r="V270" s="5"/>
    </row>
    <row r="271" customFormat="false" ht="15" hidden="false" customHeight="false" outlineLevel="0" collapsed="false">
      <c r="E271" s="5" t="str">
        <v>kiri</v>
      </c>
      <c r="F271" s="5"/>
      <c r="G271" s="5"/>
      <c r="J271" s="5" t="str">
        <v>tengah</v>
      </c>
      <c r="K271" s="5"/>
      <c r="L271" s="5"/>
      <c r="O271" s="5"/>
      <c r="P271" s="5"/>
      <c r="Q271" s="5"/>
      <c r="T271" s="5" t="str">
        <v>kanan</v>
      </c>
      <c r="U271" s="5"/>
      <c r="V271" s="5"/>
    </row>
    <row r="272" customFormat="false" ht="15" hidden="false" customHeight="false" outlineLevel="0" collapsed="false">
      <c r="E272" s="5" t="str">
        <v>tengah</v>
      </c>
      <c r="F272" s="5"/>
      <c r="G272" s="5"/>
      <c r="J272" s="5" t="str">
        <v>kanan</v>
      </c>
      <c r="K272" s="5"/>
      <c r="L272" s="5"/>
      <c r="O272" s="5"/>
      <c r="P272" s="5"/>
      <c r="Q272" s="5"/>
      <c r="T272" s="5" t="str">
        <v>kanan</v>
      </c>
      <c r="U272" s="5"/>
      <c r="V272" s="5"/>
    </row>
    <row r="273" customFormat="false" ht="15" hidden="false" customHeight="false" outlineLevel="0" collapsed="false">
      <c r="E273" s="5" t="str">
        <v>kiri</v>
      </c>
      <c r="F273" s="5"/>
      <c r="G273" s="5"/>
      <c r="J273" s="5" t="str">
        <v>kanan</v>
      </c>
      <c r="K273" s="5"/>
      <c r="L273" s="5"/>
      <c r="O273" s="5"/>
      <c r="P273" s="5"/>
      <c r="Q273" s="5"/>
      <c r="T273" s="5" t="str">
        <v>tengah</v>
      </c>
      <c r="U273" s="5"/>
      <c r="V273" s="5"/>
    </row>
    <row r="274" customFormat="false" ht="15" hidden="false" customHeight="false" outlineLevel="0" collapsed="false">
      <c r="E274" s="5" t="str">
        <v>tengah</v>
      </c>
      <c r="F274" s="5"/>
      <c r="G274" s="5"/>
      <c r="J274" s="5" t="str">
        <v>tengah</v>
      </c>
      <c r="K274" s="5"/>
      <c r="L274" s="5"/>
      <c r="O274" s="5"/>
      <c r="P274" s="5"/>
      <c r="Q274" s="5"/>
      <c r="T274" s="5" t="str">
        <v>kanan</v>
      </c>
      <c r="U274" s="5"/>
      <c r="V274" s="5"/>
    </row>
    <row r="275" customFormat="false" ht="15" hidden="false" customHeight="false" outlineLevel="0" collapsed="false">
      <c r="E275" s="5" t="str">
        <v>kiri</v>
      </c>
      <c r="F275" s="5"/>
      <c r="G275" s="5"/>
      <c r="J275" s="5" t="str">
        <v>tengah</v>
      </c>
      <c r="K275" s="5"/>
      <c r="L275" s="5"/>
      <c r="O275" s="5"/>
      <c r="P275" s="5"/>
      <c r="Q275" s="5"/>
      <c r="T275" s="5" t="str">
        <v>tengah</v>
      </c>
      <c r="U275" s="5"/>
      <c r="V275" s="5"/>
    </row>
    <row r="276" customFormat="false" ht="15" hidden="false" customHeight="false" outlineLevel="0" collapsed="false">
      <c r="E276" s="5" t="str">
        <v>tengah</v>
      </c>
      <c r="F276" s="5"/>
      <c r="G276" s="5"/>
      <c r="J276" s="5" t="str">
        <v>tengah</v>
      </c>
      <c r="K276" s="5"/>
      <c r="L276" s="5"/>
      <c r="O276" s="5"/>
      <c r="P276" s="5"/>
      <c r="Q276" s="5"/>
      <c r="T276" s="5" t="str">
        <v>tengah</v>
      </c>
      <c r="U276" s="5"/>
      <c r="V276" s="5"/>
    </row>
    <row r="277" customFormat="false" ht="15" hidden="false" customHeight="false" outlineLevel="0" collapsed="false">
      <c r="E277" s="5" t="str">
        <v>kanan</v>
      </c>
      <c r="F277" s="5"/>
      <c r="G277" s="5"/>
      <c r="J277" s="5" t="str">
        <v>kanan</v>
      </c>
      <c r="K277" s="5"/>
      <c r="L277" s="5"/>
      <c r="O277" s="5"/>
      <c r="P277" s="5"/>
      <c r="Q277" s="5"/>
      <c r="T277" s="5" t="str">
        <v>kanan</v>
      </c>
      <c r="U277" s="5"/>
      <c r="V277" s="5"/>
    </row>
    <row r="278" customFormat="false" ht="15" hidden="false" customHeight="false" outlineLevel="0" collapsed="false">
      <c r="E278" s="5" t="str">
        <v>tengah</v>
      </c>
      <c r="F278" s="5"/>
      <c r="G278" s="5"/>
      <c r="J278" s="5" t="str">
        <v>kanan</v>
      </c>
      <c r="K278" s="5"/>
      <c r="L278" s="5"/>
      <c r="O278" s="5"/>
      <c r="P278" s="5"/>
      <c r="Q278" s="5"/>
      <c r="T278" s="5" t="str">
        <v>tengah</v>
      </c>
      <c r="U278" s="5"/>
      <c r="V278" s="5"/>
    </row>
    <row r="279" customFormat="false" ht="15" hidden="false" customHeight="false" outlineLevel="0" collapsed="false">
      <c r="E279" s="5" t="str">
        <v>tengah</v>
      </c>
      <c r="F279" s="5"/>
      <c r="G279" s="5"/>
      <c r="J279" s="5" t="str">
        <v>tengah</v>
      </c>
      <c r="K279" s="5"/>
      <c r="L279" s="5"/>
      <c r="O279" s="5"/>
      <c r="P279" s="5"/>
      <c r="Q279" s="5"/>
      <c r="T279" s="5" t="str">
        <v>tengah</v>
      </c>
      <c r="U279" s="5"/>
      <c r="V279" s="5"/>
    </row>
    <row r="280" customFormat="false" ht="15" hidden="false" customHeight="false" outlineLevel="0" collapsed="false">
      <c r="E280" s="5" t="str">
        <v>kanan</v>
      </c>
      <c r="F280" s="5"/>
      <c r="G280" s="5"/>
      <c r="J280" s="5" t="str">
        <v>tengah</v>
      </c>
      <c r="K280" s="5"/>
      <c r="L280" s="5"/>
      <c r="O280" s="5"/>
      <c r="P280" s="5"/>
      <c r="Q280" s="5"/>
      <c r="T280" s="5" t="str">
        <v>kanan</v>
      </c>
      <c r="U280" s="5"/>
      <c r="V280" s="5"/>
    </row>
    <row r="281" customFormat="false" ht="15" hidden="false" customHeight="false" outlineLevel="0" collapsed="false">
      <c r="E281" s="5" t="str">
        <v>tengah</v>
      </c>
      <c r="F281" s="5"/>
      <c r="G281" s="5"/>
      <c r="J281" s="5" t="str">
        <v>tengah</v>
      </c>
      <c r="K281" s="5"/>
      <c r="L281" s="5"/>
      <c r="O281" s="5"/>
      <c r="P281" s="5"/>
      <c r="Q281" s="5"/>
      <c r="T281" s="5" t="str">
        <v>kanan</v>
      </c>
      <c r="U281" s="5"/>
      <c r="V281" s="5"/>
    </row>
    <row r="282" customFormat="false" ht="15" hidden="false" customHeight="false" outlineLevel="0" collapsed="false">
      <c r="E282" s="5" t="str">
        <v>tengah</v>
      </c>
      <c r="F282" s="5"/>
      <c r="G282" s="5"/>
      <c r="J282" s="5" t="str">
        <v>kiri</v>
      </c>
      <c r="K282" s="5"/>
      <c r="L282" s="5"/>
      <c r="O282" s="5"/>
      <c r="P282" s="5"/>
      <c r="Q282" s="5"/>
      <c r="T282" s="5" t="str">
        <v>tengah</v>
      </c>
      <c r="U282" s="5"/>
      <c r="V282" s="5"/>
    </row>
    <row r="283" customFormat="false" ht="15" hidden="false" customHeight="false" outlineLevel="0" collapsed="false">
      <c r="E283" s="5" t="str">
        <v>kiri</v>
      </c>
      <c r="F283" s="5"/>
      <c r="G283" s="5"/>
      <c r="J283" s="5" t="str">
        <v>tengah</v>
      </c>
      <c r="K283" s="5"/>
      <c r="L283" s="5"/>
      <c r="O283" s="5"/>
      <c r="P283" s="5"/>
      <c r="Q283" s="5"/>
      <c r="T283" s="5" t="str">
        <v>tengah</v>
      </c>
      <c r="U283" s="5"/>
      <c r="V283" s="5"/>
    </row>
    <row r="284" customFormat="false" ht="15" hidden="false" customHeight="false" outlineLevel="0" collapsed="false">
      <c r="E284" s="5" t="str">
        <v>tengah</v>
      </c>
      <c r="F284" s="5"/>
      <c r="G284" s="5"/>
      <c r="J284" s="5" t="str">
        <v>tengah</v>
      </c>
      <c r="K284" s="5"/>
      <c r="L284" s="5"/>
      <c r="O284" s="5"/>
      <c r="P284" s="5"/>
      <c r="Q284" s="5"/>
      <c r="T284" s="5" t="str">
        <v>kanan</v>
      </c>
      <c r="U284" s="5"/>
      <c r="V284" s="5"/>
    </row>
    <row r="285" customFormat="false" ht="15" hidden="false" customHeight="false" outlineLevel="0" collapsed="false">
      <c r="E285" s="5" t="str">
        <v>tengah</v>
      </c>
      <c r="F285" s="5"/>
      <c r="G285" s="5"/>
      <c r="J285" s="5" t="str">
        <v>kiri</v>
      </c>
      <c r="K285" s="5"/>
      <c r="L285" s="5"/>
      <c r="O285" s="5"/>
      <c r="P285" s="5"/>
      <c r="Q285" s="5"/>
      <c r="T285" s="5" t="str">
        <v>tengah</v>
      </c>
      <c r="U285" s="5"/>
      <c r="V285" s="5"/>
    </row>
    <row r="286" customFormat="false" ht="15" hidden="false" customHeight="false" outlineLevel="0" collapsed="false">
      <c r="E286" s="5" t="str">
        <v>tengah</v>
      </c>
      <c r="F286" s="5"/>
      <c r="G286" s="5"/>
      <c r="J286" s="5" t="str">
        <v>tengah</v>
      </c>
      <c r="K286" s="5"/>
      <c r="L286" s="5"/>
      <c r="O286" s="5"/>
      <c r="P286" s="5"/>
      <c r="Q286" s="5"/>
      <c r="T286" s="5" t="str">
        <v>kanan</v>
      </c>
      <c r="U286" s="5"/>
      <c r="V286" s="5"/>
    </row>
    <row r="287" customFormat="false" ht="15" hidden="false" customHeight="false" outlineLevel="0" collapsed="false">
      <c r="E287" s="5" t="str">
        <v>tengah</v>
      </c>
      <c r="F287" s="5"/>
      <c r="G287" s="5"/>
      <c r="J287" s="5" t="str">
        <v>kanan</v>
      </c>
      <c r="K287" s="5"/>
      <c r="L287" s="5"/>
      <c r="O287" s="5"/>
      <c r="P287" s="5"/>
      <c r="Q287" s="5"/>
      <c r="T287" s="5" t="str">
        <v>tengah</v>
      </c>
      <c r="U287" s="5"/>
      <c r="V287" s="5"/>
    </row>
    <row r="288" customFormat="false" ht="15" hidden="false" customHeight="false" outlineLevel="0" collapsed="false">
      <c r="E288" s="5" t="str">
        <v>tengah</v>
      </c>
      <c r="F288" s="5"/>
      <c r="G288" s="5"/>
      <c r="J288" s="5" t="str">
        <v>kanan</v>
      </c>
      <c r="K288" s="5"/>
      <c r="L288" s="5"/>
      <c r="O288" s="5"/>
      <c r="P288" s="5"/>
      <c r="Q288" s="5"/>
      <c r="T288" s="5" t="str">
        <v>tengah</v>
      </c>
      <c r="U288" s="5"/>
      <c r="V288" s="5"/>
    </row>
    <row r="289" customFormat="false" ht="15" hidden="false" customHeight="false" outlineLevel="0" collapsed="false">
      <c r="E289" s="5" t="str">
        <v>tengah</v>
      </c>
      <c r="F289" s="5"/>
      <c r="G289" s="5"/>
      <c r="J289" s="5" t="str">
        <v>tengah</v>
      </c>
      <c r="K289" s="5"/>
      <c r="L289" s="5"/>
      <c r="O289" s="5"/>
      <c r="P289" s="5"/>
      <c r="Q289" s="5"/>
      <c r="T289" s="5" t="str">
        <v>kanan</v>
      </c>
      <c r="U289" s="5"/>
      <c r="V289" s="5"/>
    </row>
    <row r="290" customFormat="false" ht="15" hidden="false" customHeight="false" outlineLevel="0" collapsed="false">
      <c r="E290" s="5" t="str">
        <v>kiri</v>
      </c>
      <c r="F290" s="5"/>
      <c r="G290" s="5"/>
      <c r="J290" s="5" t="str">
        <v>kiri</v>
      </c>
      <c r="K290" s="5"/>
      <c r="L290" s="5"/>
      <c r="O290" s="5"/>
      <c r="P290" s="5"/>
      <c r="Q290" s="5"/>
      <c r="T290" s="5" t="str">
        <v>tengah</v>
      </c>
      <c r="U290" s="5"/>
      <c r="V290" s="5"/>
    </row>
    <row r="291" customFormat="false" ht="15" hidden="false" customHeight="false" outlineLevel="0" collapsed="false">
      <c r="E291" s="5" t="str">
        <v>tengah</v>
      </c>
      <c r="F291" s="5"/>
      <c r="G291" s="5"/>
      <c r="J291" s="5" t="str">
        <v>tengah</v>
      </c>
      <c r="K291" s="5"/>
      <c r="L291" s="5"/>
      <c r="O291" s="5"/>
      <c r="P291" s="5"/>
      <c r="Q291" s="5"/>
      <c r="T291" s="5" t="str">
        <v>kanan</v>
      </c>
      <c r="U291" s="5"/>
      <c r="V291" s="5"/>
    </row>
    <row r="292" customFormat="false" ht="15" hidden="false" customHeight="false" outlineLevel="0" collapsed="false">
      <c r="E292" s="5" t="str">
        <v>kanan</v>
      </c>
      <c r="F292" s="5"/>
      <c r="G292" s="5"/>
      <c r="J292" s="5" t="str">
        <v>tengah</v>
      </c>
      <c r="K292" s="5"/>
      <c r="L292" s="5"/>
      <c r="O292" s="5"/>
      <c r="P292" s="5"/>
      <c r="Q292" s="5"/>
      <c r="T292" s="5" t="str">
        <v>tengah</v>
      </c>
      <c r="U292" s="5"/>
      <c r="V292" s="5"/>
    </row>
    <row r="293" customFormat="false" ht="15" hidden="false" customHeight="false" outlineLevel="0" collapsed="false">
      <c r="E293" s="5" t="str">
        <v>kiri</v>
      </c>
      <c r="F293" s="5"/>
      <c r="G293" s="5"/>
      <c r="J293" s="5" t="str">
        <v>kiri</v>
      </c>
      <c r="K293" s="5"/>
      <c r="L293" s="5"/>
      <c r="O293" s="5"/>
      <c r="P293" s="5"/>
      <c r="Q293" s="5"/>
      <c r="T293" s="5" t="str">
        <v>tengah</v>
      </c>
      <c r="U293" s="5"/>
      <c r="V293" s="5"/>
    </row>
    <row r="294" customFormat="false" ht="15" hidden="false" customHeight="false" outlineLevel="0" collapsed="false">
      <c r="E294" s="5" t="str">
        <v>kiri</v>
      </c>
      <c r="F294" s="5"/>
      <c r="G294" s="5"/>
      <c r="J294" s="5" t="str">
        <v>kiri</v>
      </c>
      <c r="K294" s="5"/>
      <c r="L294" s="5"/>
      <c r="O294" s="5"/>
      <c r="P294" s="5"/>
      <c r="Q294" s="5"/>
      <c r="T294" s="5" t="str">
        <v>kanan</v>
      </c>
      <c r="U294" s="5"/>
      <c r="V294" s="5"/>
    </row>
    <row r="295" customFormat="false" ht="15" hidden="false" customHeight="false" outlineLevel="0" collapsed="false">
      <c r="E295" s="5" t="str">
        <v>tengah</v>
      </c>
      <c r="F295" s="5"/>
      <c r="G295" s="5"/>
      <c r="J295" s="5" t="str">
        <v>tengah</v>
      </c>
      <c r="K295" s="5"/>
      <c r="L295" s="5"/>
      <c r="O295" s="5"/>
      <c r="P295" s="5"/>
      <c r="Q295" s="5"/>
      <c r="T295" s="5" t="str">
        <v>kanan</v>
      </c>
      <c r="U295" s="5"/>
      <c r="V295" s="5"/>
    </row>
    <row r="296" customFormat="false" ht="15" hidden="false" customHeight="false" outlineLevel="0" collapsed="false">
      <c r="E296" s="5" t="str">
        <v>kiri</v>
      </c>
      <c r="F296" s="5"/>
      <c r="G296" s="5"/>
      <c r="J296" s="5" t="str">
        <v>tengah</v>
      </c>
      <c r="K296" s="5"/>
      <c r="L296" s="5"/>
      <c r="O296" s="5"/>
      <c r="P296" s="5"/>
      <c r="Q296" s="5"/>
      <c r="T296" s="5" t="str">
        <v>kanan</v>
      </c>
      <c r="U296" s="5"/>
      <c r="V296" s="5"/>
    </row>
    <row r="297" customFormat="false" ht="15" hidden="false" customHeight="false" outlineLevel="0" collapsed="false">
      <c r="E297" s="5" t="str">
        <v>tengah</v>
      </c>
      <c r="F297" s="5"/>
      <c r="G297" s="5"/>
      <c r="J297" s="5" t="str">
        <v>tengah</v>
      </c>
      <c r="K297" s="5"/>
      <c r="L297" s="5"/>
      <c r="O297" s="5"/>
      <c r="P297" s="5"/>
      <c r="Q297" s="5"/>
      <c r="T297" s="5" t="str">
        <v>kanan</v>
      </c>
      <c r="U297" s="5"/>
      <c r="V297" s="5"/>
    </row>
    <row r="298" customFormat="false" ht="15" hidden="false" customHeight="false" outlineLevel="0" collapsed="false">
      <c r="E298" s="5" t="str">
        <v>tengah</v>
      </c>
      <c r="F298" s="5"/>
      <c r="G298" s="5"/>
      <c r="J298" s="5" t="str">
        <v>tengah</v>
      </c>
      <c r="K298" s="5"/>
      <c r="L298" s="5"/>
      <c r="O298" s="5"/>
      <c r="P298" s="5"/>
      <c r="Q298" s="5"/>
      <c r="T298" s="5" t="str">
        <v>tengah</v>
      </c>
      <c r="U298" s="5"/>
      <c r="V298" s="5"/>
    </row>
    <row r="299" customFormat="false" ht="15" hidden="false" customHeight="false" outlineLevel="0" collapsed="false">
      <c r="E299" s="5" t="str">
        <v>kanan</v>
      </c>
      <c r="F299" s="5"/>
      <c r="G299" s="5"/>
      <c r="J299" s="5" t="str">
        <v>tengah</v>
      </c>
      <c r="K299" s="5"/>
      <c r="L299" s="5"/>
      <c r="O299" s="5"/>
      <c r="P299" s="5"/>
      <c r="Q299" s="5"/>
      <c r="T299" s="5" t="str">
        <v>kanan</v>
      </c>
      <c r="U299" s="5"/>
      <c r="V299" s="5"/>
    </row>
    <row r="300" customFormat="false" ht="15" hidden="false" customHeight="false" outlineLevel="0" collapsed="false">
      <c r="E300" s="5" t="str">
        <v>kanan</v>
      </c>
      <c r="F300" s="5"/>
      <c r="G300" s="5"/>
      <c r="J300" s="5" t="str">
        <v>kanan</v>
      </c>
      <c r="K300" s="5"/>
      <c r="L300" s="5"/>
      <c r="O300" s="5"/>
      <c r="P300" s="5"/>
      <c r="Q300" s="5"/>
      <c r="T300" s="5" t="str">
        <v>kanan</v>
      </c>
      <c r="U300" s="5"/>
      <c r="V300" s="5"/>
    </row>
    <row r="301" customFormat="false" ht="15" hidden="false" customHeight="false" outlineLevel="0" collapsed="false">
      <c r="E301" s="5" t="str">
        <v>tengah</v>
      </c>
      <c r="F301" s="5"/>
      <c r="G301" s="5"/>
      <c r="J301" s="5" t="str">
        <v>tengah</v>
      </c>
      <c r="K301" s="5"/>
      <c r="L301" s="5"/>
      <c r="O301" s="5"/>
      <c r="P301" s="5"/>
      <c r="Q301" s="5"/>
      <c r="T301" s="5" t="str">
        <v>tengah</v>
      </c>
      <c r="U301" s="5"/>
      <c r="V301" s="5"/>
    </row>
    <row r="302" customFormat="false" ht="15" hidden="false" customHeight="false" outlineLevel="0" collapsed="false">
      <c r="E302" s="5" t="str">
        <v>tengah</v>
      </c>
      <c r="F302" s="5"/>
      <c r="G302" s="5"/>
      <c r="J302" s="5" t="str">
        <v>tengah</v>
      </c>
      <c r="K302" s="5"/>
      <c r="L302" s="5"/>
      <c r="O302" s="5"/>
      <c r="P302" s="5"/>
      <c r="Q302" s="5"/>
      <c r="T302" s="5" t="str">
        <v>tengah</v>
      </c>
      <c r="U302" s="5"/>
      <c r="V302" s="5"/>
    </row>
    <row r="303" customFormat="false" ht="15" hidden="false" customHeight="false" outlineLevel="0" collapsed="false">
      <c r="E303" s="5" t="str">
        <v>tengah</v>
      </c>
      <c r="F303" s="5"/>
      <c r="G303" s="5"/>
      <c r="J303" s="5" t="str">
        <v>tengah</v>
      </c>
      <c r="K303" s="5"/>
      <c r="L303" s="5"/>
      <c r="O303" s="5"/>
      <c r="P303" s="5"/>
      <c r="Q303" s="5"/>
      <c r="T303" s="5" t="str">
        <v>tengah</v>
      </c>
      <c r="U303" s="5"/>
      <c r="V303" s="5"/>
    </row>
    <row r="304" customFormat="false" ht="15" hidden="false" customHeight="false" outlineLevel="0" collapsed="false">
      <c r="E304" s="5" t="str">
        <v>tengah</v>
      </c>
      <c r="F304" s="5"/>
      <c r="G304" s="5"/>
      <c r="J304" s="5" t="str">
        <v>tengah</v>
      </c>
      <c r="K304" s="5"/>
      <c r="L304" s="5"/>
      <c r="O304" s="5"/>
      <c r="P304" s="5"/>
      <c r="Q304" s="5"/>
      <c r="T304" s="5" t="str">
        <v>kanan</v>
      </c>
      <c r="U304" s="5"/>
      <c r="V304" s="5"/>
    </row>
    <row r="305" customFormat="false" ht="15" hidden="false" customHeight="false" outlineLevel="0" collapsed="false">
      <c r="E305" s="5" t="str">
        <v>tengah</v>
      </c>
      <c r="F305" s="5"/>
      <c r="G305" s="5"/>
      <c r="J305" s="5" t="str">
        <v>tengah</v>
      </c>
      <c r="K305" s="5"/>
      <c r="L305" s="5"/>
      <c r="O305" s="5"/>
      <c r="P305" s="5"/>
      <c r="Q305" s="5"/>
      <c r="T305" s="5" t="str">
        <v>tengah</v>
      </c>
      <c r="U305" s="5"/>
      <c r="V305" s="5"/>
    </row>
    <row r="306" customFormat="false" ht="15" hidden="false" customHeight="false" outlineLevel="0" collapsed="false">
      <c r="E306" s="5" t="str">
        <v>kiri</v>
      </c>
      <c r="F306" s="5"/>
      <c r="G306" s="5"/>
      <c r="J306" s="5" t="str">
        <v>tengah</v>
      </c>
      <c r="K306" s="5"/>
      <c r="L306" s="5"/>
      <c r="O306" s="5"/>
      <c r="P306" s="5"/>
      <c r="Q306" s="5"/>
      <c r="T306" s="5" t="str">
        <v>tengah</v>
      </c>
      <c r="U306" s="5"/>
      <c r="V306" s="5"/>
    </row>
    <row r="307" customFormat="false" ht="15" hidden="false" customHeight="false" outlineLevel="0" collapsed="false">
      <c r="E307" s="5" t="str">
        <v>kiri</v>
      </c>
      <c r="F307" s="5"/>
      <c r="G307" s="5"/>
      <c r="J307" s="5" t="str">
        <v>tengah</v>
      </c>
      <c r="K307" s="5"/>
      <c r="L307" s="5"/>
      <c r="O307" s="5"/>
      <c r="P307" s="5"/>
      <c r="Q307" s="5"/>
      <c r="T307" s="5" t="str">
        <v>tengah</v>
      </c>
      <c r="U307" s="5"/>
      <c r="V307" s="5"/>
    </row>
    <row r="308" customFormat="false" ht="15" hidden="false" customHeight="false" outlineLevel="0" collapsed="false">
      <c r="E308" s="5" t="str">
        <v>tengah</v>
      </c>
      <c r="F308" s="5"/>
      <c r="G308" s="5"/>
      <c r="J308" s="5" t="str">
        <v>kanan</v>
      </c>
      <c r="K308" s="5"/>
      <c r="L308" s="5"/>
      <c r="O308" s="5"/>
      <c r="P308" s="5"/>
      <c r="Q308" s="5"/>
      <c r="T308" s="5" t="str">
        <v>kanan</v>
      </c>
      <c r="U308" s="5"/>
      <c r="V308" s="5"/>
    </row>
    <row r="309" customFormat="false" ht="15" hidden="false" customHeight="false" outlineLevel="0" collapsed="false">
      <c r="E309" s="5" t="str">
        <v>kiri</v>
      </c>
      <c r="F309" s="5"/>
      <c r="G309" s="5"/>
      <c r="J309" s="5" t="str">
        <v>tengah</v>
      </c>
      <c r="K309" s="5"/>
      <c r="L309" s="5"/>
      <c r="O309" s="5"/>
      <c r="P309" s="5"/>
      <c r="Q309" s="5"/>
      <c r="T309" s="5" t="str">
        <v>kanan</v>
      </c>
      <c r="U309" s="5"/>
      <c r="V309" s="5"/>
    </row>
    <row r="310" customFormat="false" ht="15" hidden="false" customHeight="false" outlineLevel="0" collapsed="false">
      <c r="E310" s="5" t="str">
        <v>tengah</v>
      </c>
      <c r="F310" s="5"/>
      <c r="G310" s="5"/>
      <c r="J310" s="5" t="str">
        <v>tengah</v>
      </c>
      <c r="K310" s="5"/>
      <c r="L310" s="5"/>
      <c r="O310" s="5"/>
      <c r="P310" s="5"/>
      <c r="Q310" s="5"/>
      <c r="T310" s="5" t="str">
        <v>tengah</v>
      </c>
      <c r="U310" s="5"/>
      <c r="V310" s="5"/>
    </row>
    <row r="311" customFormat="false" ht="15" hidden="false" customHeight="false" outlineLevel="0" collapsed="false">
      <c r="E311" s="5" t="str">
        <v>kiri</v>
      </c>
      <c r="F311" s="5"/>
      <c r="G311" s="5"/>
      <c r="J311" s="5" t="str">
        <v>kiri</v>
      </c>
      <c r="K311" s="5"/>
      <c r="L311" s="5"/>
      <c r="O311" s="5"/>
      <c r="P311" s="5"/>
      <c r="Q311" s="5"/>
      <c r="T311" s="5" t="str">
        <v>kanan</v>
      </c>
      <c r="U311" s="5"/>
      <c r="V311" s="5"/>
    </row>
    <row r="312" customFormat="false" ht="15" hidden="false" customHeight="false" outlineLevel="0" collapsed="false">
      <c r="E312" s="5" t="str">
        <v>kanan</v>
      </c>
      <c r="F312" s="5"/>
      <c r="G312" s="5"/>
      <c r="J312" s="5" t="str">
        <v>kiri</v>
      </c>
      <c r="K312" s="5"/>
      <c r="L312" s="5"/>
      <c r="O312" s="5"/>
      <c r="P312" s="5"/>
      <c r="Q312" s="5"/>
      <c r="T312" s="5" t="str">
        <v>kanan</v>
      </c>
      <c r="U312" s="5"/>
      <c r="V312" s="5"/>
    </row>
    <row r="313" customFormat="false" ht="15" hidden="false" customHeight="false" outlineLevel="0" collapsed="false">
      <c r="E313" s="5" t="str">
        <v>tengah</v>
      </c>
      <c r="F313" s="5"/>
      <c r="G313" s="5"/>
      <c r="J313" s="5" t="str">
        <v>tengah</v>
      </c>
      <c r="K313" s="5"/>
      <c r="L313" s="5"/>
      <c r="O313" s="5"/>
      <c r="P313" s="5"/>
      <c r="Q313" s="5"/>
      <c r="T313" s="5" t="str">
        <v>tengah</v>
      </c>
      <c r="U313" s="5"/>
      <c r="V313" s="5"/>
    </row>
    <row r="314" customFormat="false" ht="15" hidden="false" customHeight="false" outlineLevel="0" collapsed="false">
      <c r="E314" s="5" t="str">
        <v>tengah</v>
      </c>
      <c r="F314" s="5"/>
      <c r="G314" s="5"/>
      <c r="J314" s="5" t="str">
        <v>tengah</v>
      </c>
      <c r="K314" s="5"/>
      <c r="L314" s="5"/>
      <c r="O314" s="5"/>
      <c r="P314" s="5"/>
      <c r="Q314" s="5"/>
      <c r="T314" s="5" t="str">
        <v>tengah</v>
      </c>
      <c r="U314" s="5"/>
      <c r="V314" s="5"/>
    </row>
    <row r="315" customFormat="false" ht="15" hidden="false" customHeight="false" outlineLevel="0" collapsed="false">
      <c r="E315" s="5" t="str">
        <v>kiri</v>
      </c>
      <c r="F315" s="5"/>
      <c r="G315" s="5"/>
      <c r="J315" s="5" t="str">
        <v>tengah</v>
      </c>
      <c r="K315" s="5"/>
      <c r="L315" s="5"/>
      <c r="O315" s="5"/>
      <c r="P315" s="5"/>
      <c r="Q315" s="5"/>
      <c r="T315" s="5" t="str">
        <v>tengah</v>
      </c>
      <c r="U315" s="5"/>
      <c r="V315" s="5"/>
    </row>
    <row r="316" customFormat="false" ht="15" hidden="false" customHeight="false" outlineLevel="0" collapsed="false">
      <c r="E316" s="5" t="str">
        <v>kiri</v>
      </c>
      <c r="F316" s="5"/>
      <c r="G316" s="5"/>
      <c r="J316" s="5" t="str">
        <v>tengah</v>
      </c>
      <c r="K316" s="5"/>
      <c r="L316" s="5"/>
      <c r="O316" s="5"/>
      <c r="P316" s="5"/>
      <c r="Q316" s="5"/>
      <c r="T316" s="5" t="str">
        <v>tengah</v>
      </c>
      <c r="U316" s="5"/>
      <c r="V316" s="5"/>
    </row>
    <row r="317" customFormat="false" ht="15" hidden="false" customHeight="false" outlineLevel="0" collapsed="false">
      <c r="E317" s="5" t="str">
        <v>tengah</v>
      </c>
      <c r="F317" s="5"/>
      <c r="G317" s="5"/>
      <c r="J317" s="5" t="str">
        <v>kanan</v>
      </c>
      <c r="K317" s="5"/>
      <c r="L317" s="5"/>
      <c r="O317" s="5"/>
      <c r="P317" s="5"/>
      <c r="Q317" s="5"/>
      <c r="T317" s="5" t="str">
        <v>tengah</v>
      </c>
      <c r="U317" s="5"/>
      <c r="V317" s="5"/>
    </row>
    <row r="318" customFormat="false" ht="15" hidden="false" customHeight="false" outlineLevel="0" collapsed="false">
      <c r="E318" s="5" t="str">
        <v>kiri</v>
      </c>
      <c r="F318" s="5"/>
      <c r="G318" s="5"/>
      <c r="J318" s="5" t="str">
        <v>kiri</v>
      </c>
      <c r="K318" s="5"/>
      <c r="L318" s="5"/>
      <c r="O318" s="5"/>
      <c r="P318" s="5"/>
      <c r="Q318" s="5"/>
      <c r="T318" s="5" t="str">
        <v>kanan</v>
      </c>
      <c r="U318" s="5"/>
      <c r="V318" s="5"/>
    </row>
    <row r="319" customFormat="false" ht="15" hidden="false" customHeight="false" outlineLevel="0" collapsed="false">
      <c r="E319" s="5" t="str">
        <v>tengah</v>
      </c>
      <c r="F319" s="5"/>
      <c r="G319" s="5"/>
      <c r="J319" s="5" t="str">
        <v>kanan</v>
      </c>
      <c r="K319" s="5"/>
      <c r="L319" s="5"/>
      <c r="O319" s="5"/>
      <c r="P319" s="5"/>
      <c r="Q319" s="5"/>
      <c r="T319" s="5" t="str">
        <v>tengah</v>
      </c>
      <c r="U319" s="5"/>
      <c r="V319" s="5"/>
    </row>
    <row r="320" customFormat="false" ht="15" hidden="false" customHeight="false" outlineLevel="0" collapsed="false">
      <c r="E320" s="5" t="str">
        <v>tengah</v>
      </c>
      <c r="F320" s="5"/>
      <c r="G320" s="5"/>
      <c r="J320" s="5" t="str">
        <v>tengah</v>
      </c>
      <c r="K320" s="5"/>
      <c r="L320" s="5"/>
      <c r="O320" s="5"/>
      <c r="P320" s="5"/>
      <c r="Q320" s="5"/>
      <c r="T320" s="5" t="str">
        <v>kanan</v>
      </c>
      <c r="U320" s="5"/>
      <c r="V320" s="5"/>
    </row>
    <row r="321" customFormat="false" ht="15" hidden="false" customHeight="false" outlineLevel="0" collapsed="false">
      <c r="E321" s="5" t="str">
        <v>tengah</v>
      </c>
      <c r="F321" s="5"/>
      <c r="G321" s="5"/>
      <c r="J321" s="5" t="str">
        <v>tengah</v>
      </c>
      <c r="K321" s="5"/>
      <c r="L321" s="5"/>
      <c r="O321" s="5"/>
      <c r="P321" s="5"/>
      <c r="Q321" s="5"/>
      <c r="T321" s="5" t="str">
        <v>kanan</v>
      </c>
      <c r="U321" s="5"/>
      <c r="V321" s="5"/>
    </row>
    <row r="322" customFormat="false" ht="15" hidden="false" customHeight="false" outlineLevel="0" collapsed="false">
      <c r="E322" s="5" t="str">
        <v>kiri</v>
      </c>
      <c r="F322" s="5"/>
      <c r="G322" s="5"/>
      <c r="J322" s="5" t="str">
        <v>tengah</v>
      </c>
      <c r="K322" s="5"/>
      <c r="L322" s="5"/>
      <c r="O322" s="5"/>
      <c r="P322" s="5"/>
      <c r="Q322" s="5"/>
      <c r="T322" s="5" t="str">
        <v>kanan</v>
      </c>
      <c r="U322" s="5"/>
      <c r="V322" s="5"/>
    </row>
    <row r="323" customFormat="false" ht="15" hidden="false" customHeight="false" outlineLevel="0" collapsed="false">
      <c r="E323" s="5" t="str">
        <v>kanan</v>
      </c>
      <c r="F323" s="5"/>
      <c r="G323" s="5"/>
      <c r="J323" s="5" t="str">
        <v>tengah</v>
      </c>
      <c r="K323" s="5"/>
      <c r="L323" s="5"/>
      <c r="O323" s="5"/>
      <c r="P323" s="5"/>
      <c r="Q323" s="5"/>
      <c r="T323" s="5" t="str">
        <v>kanan</v>
      </c>
      <c r="U323" s="5"/>
      <c r="V323" s="5"/>
    </row>
    <row r="324" customFormat="false" ht="15" hidden="false" customHeight="false" outlineLevel="0" collapsed="false">
      <c r="E324" s="5" t="str">
        <v>kanan</v>
      </c>
      <c r="F324" s="5"/>
      <c r="G324" s="5"/>
      <c r="J324" s="5" t="str">
        <v>tengah</v>
      </c>
      <c r="K324" s="5"/>
      <c r="L324" s="5"/>
      <c r="O324" s="5"/>
      <c r="P324" s="5"/>
      <c r="Q324" s="5"/>
      <c r="T324" s="5" t="str">
        <v>kanan</v>
      </c>
      <c r="U324" s="5"/>
      <c r="V324" s="5"/>
    </row>
    <row r="325" customFormat="false" ht="15" hidden="false" customHeight="false" outlineLevel="0" collapsed="false">
      <c r="E325" s="5" t="str">
        <v>kiri</v>
      </c>
      <c r="F325" s="5"/>
      <c r="G325" s="5"/>
      <c r="J325" s="5" t="str">
        <v>tengah</v>
      </c>
      <c r="K325" s="5"/>
      <c r="L325" s="5"/>
      <c r="O325" s="5"/>
      <c r="P325" s="5"/>
      <c r="Q325" s="5"/>
      <c r="T325" s="5" t="str">
        <v>kanan</v>
      </c>
      <c r="U325" s="5"/>
      <c r="V325" s="5"/>
    </row>
    <row r="326" customFormat="false" ht="15" hidden="false" customHeight="false" outlineLevel="0" collapsed="false">
      <c r="E326" s="5" t="str">
        <v>tengah</v>
      </c>
      <c r="F326" s="5"/>
      <c r="G326" s="5"/>
      <c r="J326" s="5" t="str">
        <v>tengah</v>
      </c>
      <c r="K326" s="5"/>
      <c r="L326" s="5"/>
      <c r="O326" s="5"/>
      <c r="P326" s="5"/>
      <c r="Q326" s="5"/>
      <c r="T326" s="5" t="str">
        <v>tengah</v>
      </c>
      <c r="U326" s="5"/>
      <c r="V326" s="5"/>
    </row>
    <row r="327" customFormat="false" ht="15" hidden="false" customHeight="false" outlineLevel="0" collapsed="false">
      <c r="E327" s="5" t="str">
        <v>tengah</v>
      </c>
      <c r="F327" s="5"/>
      <c r="G327" s="5"/>
      <c r="J327" s="5" t="str">
        <v>kanan</v>
      </c>
      <c r="K327" s="5"/>
      <c r="L327" s="5"/>
      <c r="O327" s="5"/>
      <c r="P327" s="5"/>
      <c r="Q327" s="5"/>
      <c r="T327" s="5" t="str">
        <v>tengah</v>
      </c>
      <c r="U327" s="5"/>
      <c r="V327" s="5"/>
    </row>
    <row r="328" customFormat="false" ht="15" hidden="false" customHeight="false" outlineLevel="0" collapsed="false">
      <c r="E328" s="5" t="str">
        <v>kiri</v>
      </c>
      <c r="F328" s="5"/>
      <c r="G328" s="5"/>
      <c r="J328" s="5" t="str">
        <v>tengah</v>
      </c>
      <c r="K328" s="5"/>
      <c r="L328" s="5"/>
      <c r="O328" s="5"/>
      <c r="P328" s="5"/>
      <c r="Q328" s="5"/>
      <c r="T328" s="5" t="str">
        <v>tengah</v>
      </c>
      <c r="U328" s="5"/>
      <c r="V328" s="5"/>
    </row>
    <row r="329" customFormat="false" ht="15" hidden="false" customHeight="false" outlineLevel="0" collapsed="false">
      <c r="E329" s="5" t="str">
        <v>tengah</v>
      </c>
      <c r="F329" s="5"/>
      <c r="G329" s="5"/>
      <c r="J329" s="5" t="str">
        <v>kanan</v>
      </c>
      <c r="K329" s="5"/>
      <c r="L329" s="5"/>
      <c r="O329" s="5"/>
      <c r="P329" s="5"/>
      <c r="Q329" s="5"/>
      <c r="T329" s="5" t="str">
        <v>kanan</v>
      </c>
      <c r="U329" s="5"/>
      <c r="V329" s="5"/>
    </row>
    <row r="330" customFormat="false" ht="15" hidden="false" customHeight="false" outlineLevel="0" collapsed="false">
      <c r="E330" s="5" t="str">
        <v>kiri</v>
      </c>
      <c r="F330" s="5"/>
      <c r="G330" s="5"/>
      <c r="J330" s="5" t="str">
        <v>tengah</v>
      </c>
      <c r="K330" s="5"/>
      <c r="L330" s="5"/>
      <c r="O330" s="5"/>
      <c r="P330" s="5"/>
      <c r="Q330" s="5"/>
      <c r="T330" s="5" t="str">
        <v>tengah</v>
      </c>
      <c r="U330" s="5"/>
      <c r="V330" s="5"/>
    </row>
    <row r="331" customFormat="false" ht="15" hidden="false" customHeight="false" outlineLevel="0" collapsed="false">
      <c r="E331" s="5" t="str">
        <v>tengah</v>
      </c>
      <c r="F331" s="5"/>
      <c r="G331" s="5"/>
      <c r="J331" s="5" t="str">
        <v>tengah</v>
      </c>
      <c r="K331" s="5"/>
      <c r="L331" s="5"/>
      <c r="O331" s="5"/>
      <c r="P331" s="5"/>
      <c r="Q331" s="5"/>
      <c r="T331" s="5" t="str">
        <v>tengah</v>
      </c>
      <c r="U331" s="5"/>
      <c r="V331" s="5"/>
    </row>
    <row r="332" customFormat="false" ht="15" hidden="false" customHeight="false" outlineLevel="0" collapsed="false">
      <c r="E332" s="5" t="str">
        <v>kiri</v>
      </c>
      <c r="F332" s="5"/>
      <c r="G332" s="5"/>
      <c r="J332" s="5" t="str">
        <v>tengah</v>
      </c>
      <c r="K332" s="5"/>
      <c r="L332" s="5"/>
      <c r="O332" s="5"/>
      <c r="P332" s="5"/>
      <c r="Q332" s="5"/>
      <c r="T332" s="5" t="str">
        <v>kanan</v>
      </c>
      <c r="U332" s="5"/>
      <c r="V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32"/>
  <sheetViews>
    <sheetView showFormulas="false" showGridLines="true" showRowColHeaders="true" showZeros="true" rightToLeft="false" tabSelected="false" showOutlineSymbols="true" defaultGridColor="true" view="normal" topLeftCell="K152" colorId="64" zoomScale="98" zoomScaleNormal="98" zoomScalePageLayoutView="100" workbookViewId="0">
      <selection pane="topLeft" activeCell="U163" activeCellId="0" sqref="U163"/>
    </sheetView>
  </sheetViews>
  <sheetFormatPr defaultColWidth="9.00390625" defaultRowHeight="15" customHeight="false" zeroHeight="false" outlineLevelRow="0" outlineLevelCol="0"/>
  <cols>
    <col collapsed="false" customWidth="true" hidden="false" outlineLevel="0" max="3" min="2" style="0" width="15.86"/>
    <col collapsed="false" customWidth="true" hidden="false" outlineLevel="0" max="5" min="4" style="0" width="13.86"/>
    <col collapsed="false" customWidth="true" hidden="false" outlineLevel="0" max="9" min="9" style="0" width="15.86"/>
    <col collapsed="false" customWidth="true" hidden="false" outlineLevel="0" max="10" min="10" style="0" width="13.29"/>
    <col collapsed="false" customWidth="true" hidden="false" outlineLevel="0" max="11" min="11" style="0" width="13.86"/>
    <col collapsed="false" customWidth="true" hidden="false" outlineLevel="0" max="14" min="14" style="0" width="12.57"/>
    <col collapsed="false" customWidth="true" hidden="false" outlineLevel="0" max="15" min="15" style="0" width="16.14"/>
  </cols>
  <sheetData>
    <row r="1" customFormat="false" ht="15" hidden="false" customHeight="false" outlineLevel="0" collapsed="false">
      <c r="A1" s="4" t="s">
        <v>173</v>
      </c>
      <c r="B1" s="4" t="s">
        <v>2</v>
      </c>
      <c r="C1" s="4" t="s">
        <v>4</v>
      </c>
      <c r="D1" s="4" t="s">
        <v>5</v>
      </c>
      <c r="H1" s="16" t="s">
        <v>173</v>
      </c>
      <c r="I1" s="16" t="s">
        <v>2</v>
      </c>
      <c r="J1" s="16" t="s">
        <v>4</v>
      </c>
      <c r="K1" s="16" t="s">
        <v>5</v>
      </c>
      <c r="O1" s="4" t="s">
        <v>174</v>
      </c>
      <c r="P1" s="3"/>
      <c r="Q1" s="3"/>
    </row>
    <row r="2" customFormat="false" ht="15" hidden="false" customHeight="false" outlineLevel="0" collapsed="false">
      <c r="A2" s="5" t="n">
        <f aca="false">RANDBETWEEN(2,164)</f>
        <v>53</v>
      </c>
      <c r="B2" s="5" t="n">
        <f aca="false" t="array" ref="B2:B2">INDEX(Data_DBD!$C:$C,$A2)</f>
        <v>4</v>
      </c>
      <c r="C2" s="5" t="n">
        <f aca="false" t="array" ref="C2:C2">INDEX(Data_DBD!$E:$E,$A2)</f>
        <v>1</v>
      </c>
      <c r="D2" s="5" t="str">
        <f aca="false" t="array" ref="D2:D2">INDEX(Data_DBD!$F:$F,$A2)</f>
        <v>Sedang</v>
      </c>
      <c r="H2" s="5" t="n">
        <v>98</v>
      </c>
      <c r="I2" s="5" t="n">
        <v>2</v>
      </c>
      <c r="J2" s="5" t="n">
        <v>1</v>
      </c>
      <c r="K2" s="5" t="s">
        <v>115</v>
      </c>
      <c r="O2" s="3" t="s">
        <v>115</v>
      </c>
      <c r="P2" s="3" t="n">
        <f aca="false">COUNTIF(K2:K164,"Tinggi")</f>
        <v>70</v>
      </c>
      <c r="Q2" s="3" t="n">
        <f aca="false">P2/163</f>
        <v>0.429447852760736</v>
      </c>
    </row>
    <row r="3" customFormat="false" ht="15" hidden="false" customHeight="false" outlineLevel="0" collapsed="false">
      <c r="A3" s="5" t="n">
        <f aca="false">RANDBETWEEN(2,164)</f>
        <v>108</v>
      </c>
      <c r="B3" s="5" t="n">
        <f aca="false" t="array" ref="B3:B3">INDEX(Data_DBD!$C:$C,$A3)</f>
        <v>7</v>
      </c>
      <c r="C3" s="5" t="n">
        <f aca="false" t="array" ref="C3:C3">INDEX(Data_DBD!$E:$E,$A3)</f>
        <v>1</v>
      </c>
      <c r="D3" s="5" t="str">
        <f aca="false" t="array" ref="D3:D3">INDEX(Data_DBD!$F:$F,$A3)</f>
        <v>Tinggi</v>
      </c>
      <c r="H3" s="5" t="n">
        <v>126</v>
      </c>
      <c r="I3" s="5" t="n">
        <v>3</v>
      </c>
      <c r="J3" s="5" t="n">
        <v>1</v>
      </c>
      <c r="K3" s="5" t="s">
        <v>115</v>
      </c>
      <c r="O3" s="3" t="s">
        <v>7</v>
      </c>
      <c r="P3" s="3" t="n">
        <f aca="false">COUNTIF(K2:K164,"Sedang")</f>
        <v>81</v>
      </c>
      <c r="Q3" s="3" t="n">
        <f aca="false">P3/163</f>
        <v>0.496932515337423</v>
      </c>
    </row>
    <row r="4" customFormat="false" ht="15" hidden="false" customHeight="false" outlineLevel="0" collapsed="false">
      <c r="A4" s="5" t="n">
        <f aca="false">RANDBETWEEN(2,164)</f>
        <v>55</v>
      </c>
      <c r="B4" s="5" t="n">
        <f aca="false" t="array" ref="B4:B4">INDEX(Data_DBD!$C:$C,$A4)</f>
        <v>4</v>
      </c>
      <c r="C4" s="5" t="n">
        <f aca="false" t="array" ref="C4:C4">INDEX(Data_DBD!$E:$E,$A4)</f>
        <v>1</v>
      </c>
      <c r="D4" s="5" t="str">
        <f aca="false" t="array" ref="D4:D4">INDEX(Data_DBD!$F:$F,$A4)</f>
        <v>Sedang</v>
      </c>
      <c r="H4" s="5" t="n">
        <v>49</v>
      </c>
      <c r="I4" s="5" t="n">
        <v>5</v>
      </c>
      <c r="J4" s="5" t="n">
        <v>0</v>
      </c>
      <c r="K4" s="5" t="s">
        <v>7</v>
      </c>
      <c r="O4" s="3" t="s">
        <v>20</v>
      </c>
      <c r="P4" s="3" t="n">
        <f aca="false">COUNTIF(K2:K164,"Rendah")</f>
        <v>12</v>
      </c>
      <c r="Q4" s="3" t="n">
        <f aca="false">P4/163</f>
        <v>0.0736196319018405</v>
      </c>
    </row>
    <row r="5" customFormat="false" ht="15" hidden="false" customHeight="false" outlineLevel="0" collapsed="false">
      <c r="A5" s="5" t="n">
        <f aca="false">RANDBETWEEN(2,164)</f>
        <v>95</v>
      </c>
      <c r="B5" s="5" t="n">
        <f aca="false" t="array" ref="B5:B5">INDEX(Data_DBD!$C:$C,$A5)</f>
        <v>3</v>
      </c>
      <c r="C5" s="5" t="n">
        <f aca="false" t="array" ref="C5:C5">INDEX(Data_DBD!$E:$E,$A5)</f>
        <v>1</v>
      </c>
      <c r="D5" s="5" t="str">
        <f aca="false" t="array" ref="D5:D5">INDEX(Data_DBD!$F:$F,$A5)</f>
        <v>Sedang</v>
      </c>
      <c r="H5" s="5" t="n">
        <v>14</v>
      </c>
      <c r="I5" s="5" t="n">
        <v>4</v>
      </c>
      <c r="J5" s="5" t="n">
        <v>1</v>
      </c>
      <c r="K5" s="5" t="s">
        <v>20</v>
      </c>
      <c r="O5" s="6" t="s">
        <v>175</v>
      </c>
      <c r="P5" s="0" t="n">
        <f aca="false">-(IFERROR(Q2*LOG(Q2,2),0)+IFERROR(Q3*LOG(Q3,2),0)+IFERROR(Q4*LOG(Q4,2),0))</f>
        <v>1.30211949516079</v>
      </c>
    </row>
    <row r="6" customFormat="false" ht="15" hidden="false" customHeight="false" outlineLevel="0" collapsed="false">
      <c r="A6" s="5" t="n">
        <f aca="false">RANDBETWEEN(2,164)</f>
        <v>70</v>
      </c>
      <c r="B6" s="5" t="n">
        <f aca="false" t="array" ref="B6:B6">INDEX(Data_DBD!$C:$C,$A6)</f>
        <v>3</v>
      </c>
      <c r="C6" s="5" t="n">
        <f aca="false" t="array" ref="C6:C6">INDEX(Data_DBD!$E:$E,$A6)</f>
        <v>1</v>
      </c>
      <c r="D6" s="5" t="str">
        <f aca="false" t="array" ref="D6:D6">INDEX(Data_DBD!$F:$F,$A6)</f>
        <v>Rendah</v>
      </c>
      <c r="H6" s="5" t="n">
        <v>54</v>
      </c>
      <c r="I6" s="5" t="n">
        <v>3</v>
      </c>
      <c r="J6" s="5" t="n">
        <v>0</v>
      </c>
      <c r="K6" s="5" t="s">
        <v>7</v>
      </c>
    </row>
    <row r="7" customFormat="false" ht="15" hidden="false" customHeight="false" outlineLevel="0" collapsed="false">
      <c r="A7" s="5" t="n">
        <f aca="false">RANDBETWEEN(2,164)</f>
        <v>38</v>
      </c>
      <c r="B7" s="5" t="n">
        <f aca="false" t="array" ref="B7:B7">INDEX(Data_DBD!$C:$C,$A7)</f>
        <v>3</v>
      </c>
      <c r="C7" s="5" t="n">
        <f aca="false" t="array" ref="C7:C7">INDEX(Data_DBD!$E:$E,$A7)</f>
        <v>1</v>
      </c>
      <c r="D7" s="5" t="str">
        <f aca="false" t="array" ref="D7:D7">INDEX(Data_DBD!$F:$F,$A7)</f>
        <v>Rendah</v>
      </c>
      <c r="H7" s="5" t="n">
        <v>80</v>
      </c>
      <c r="I7" s="5" t="n">
        <v>3</v>
      </c>
      <c r="J7" s="5" t="n">
        <v>1</v>
      </c>
      <c r="K7" s="5" t="s">
        <v>7</v>
      </c>
    </row>
    <row r="8" customFormat="false" ht="15" hidden="false" customHeight="false" outlineLevel="0" collapsed="false">
      <c r="A8" s="5" t="n">
        <f aca="false">RANDBETWEEN(2,164)</f>
        <v>127</v>
      </c>
      <c r="B8" s="5" t="n">
        <f aca="false" t="array" ref="B8:B8">INDEX(Data_DBD!$C:$C,$A8)</f>
        <v>2</v>
      </c>
      <c r="C8" s="5" t="n">
        <f aca="false" t="array" ref="C8:C8">INDEX(Data_DBD!$E:$E,$A8)</f>
        <v>0</v>
      </c>
      <c r="D8" s="5" t="str">
        <f aca="false" t="array" ref="D8:D8">INDEX(Data_DBD!$F:$F,$A8)</f>
        <v>Tinggi</v>
      </c>
      <c r="H8" s="5" t="n">
        <v>36</v>
      </c>
      <c r="I8" s="5" t="n">
        <v>1</v>
      </c>
      <c r="J8" s="5" t="n">
        <v>1</v>
      </c>
      <c r="K8" s="5" t="s">
        <v>20</v>
      </c>
    </row>
    <row r="9" customFormat="false" ht="15" hidden="false" customHeight="false" outlineLevel="0" collapsed="false">
      <c r="A9" s="5" t="n">
        <f aca="false">RANDBETWEEN(2,164)</f>
        <v>143</v>
      </c>
      <c r="B9" s="5" t="n">
        <f aca="false" t="array" ref="B9:B9">INDEX(Data_DBD!$C:$C,$A9)</f>
        <v>4</v>
      </c>
      <c r="C9" s="5" t="n">
        <f aca="false" t="array" ref="C9:C9">INDEX(Data_DBD!$E:$E,$A9)</f>
        <v>1</v>
      </c>
      <c r="D9" s="5" t="str">
        <f aca="false" t="array" ref="D9:D9">INDEX(Data_DBD!$F:$F,$A9)</f>
        <v>Tinggi</v>
      </c>
      <c r="H9" s="5" t="n">
        <v>105</v>
      </c>
      <c r="I9" s="5" t="n">
        <v>3</v>
      </c>
      <c r="J9" s="5" t="n">
        <v>1</v>
      </c>
      <c r="K9" s="5" t="s">
        <v>115</v>
      </c>
    </row>
    <row r="10" customFormat="false" ht="15" hidden="false" customHeight="false" outlineLevel="0" collapsed="false">
      <c r="A10" s="5" t="n">
        <f aca="false">RANDBETWEEN(2,164)</f>
        <v>141</v>
      </c>
      <c r="B10" s="5" t="n">
        <f aca="false" t="array" ref="B10:B10">INDEX(Data_DBD!$C:$C,$A10)</f>
        <v>2</v>
      </c>
      <c r="C10" s="5" t="n">
        <f aca="false" t="array" ref="C10:C10">INDEX(Data_DBD!$E:$E,$A10)</f>
        <v>0</v>
      </c>
      <c r="D10" s="5" t="str">
        <f aca="false" t="array" ref="D10:D10">INDEX(Data_DBD!$F:$F,$A10)</f>
        <v>Tinggi</v>
      </c>
      <c r="H10" s="5" t="n">
        <v>26</v>
      </c>
      <c r="I10" s="5" t="n">
        <v>4</v>
      </c>
      <c r="J10" s="5" t="n">
        <v>1</v>
      </c>
      <c r="K10" s="5" t="s">
        <v>7</v>
      </c>
    </row>
    <row r="11" customFormat="false" ht="15" hidden="false" customHeight="false" outlineLevel="0" collapsed="false">
      <c r="A11" s="5" t="n">
        <f aca="false">RANDBETWEEN(2,164)</f>
        <v>108</v>
      </c>
      <c r="B11" s="5" t="n">
        <f aca="false" t="array" ref="B11:B11">INDEX(Data_DBD!$C:$C,$A11)</f>
        <v>7</v>
      </c>
      <c r="C11" s="5" t="n">
        <f aca="false" t="array" ref="C11:C11">INDEX(Data_DBD!$E:$E,$A11)</f>
        <v>1</v>
      </c>
      <c r="D11" s="5" t="str">
        <f aca="false" t="array" ref="D11:D11">INDEX(Data_DBD!$F:$F,$A11)</f>
        <v>Tinggi</v>
      </c>
      <c r="H11" s="5" t="n">
        <v>63</v>
      </c>
      <c r="I11" s="5" t="n">
        <v>3</v>
      </c>
      <c r="J11" s="5" t="n">
        <v>0</v>
      </c>
      <c r="K11" s="5" t="s">
        <v>7</v>
      </c>
    </row>
    <row r="12" customFormat="false" ht="15" hidden="false" customHeight="false" outlineLevel="0" collapsed="false">
      <c r="A12" s="5" t="n">
        <f aca="false">RANDBETWEEN(2,164)</f>
        <v>17</v>
      </c>
      <c r="B12" s="5" t="n">
        <f aca="false" t="array" ref="B12:B12">INDEX(Data_DBD!$C:$C,$A12)</f>
        <v>3</v>
      </c>
      <c r="C12" s="5" t="n">
        <f aca="false" t="array" ref="C12:C12">INDEX(Data_DBD!$E:$E,$A12)</f>
        <v>0</v>
      </c>
      <c r="D12" s="5" t="str">
        <f aca="false" t="array" ref="D12:D12">INDEX(Data_DBD!$F:$F,$A12)</f>
        <v>Rendah</v>
      </c>
      <c r="H12" s="5" t="n">
        <v>107</v>
      </c>
      <c r="I12" s="5" t="n">
        <v>5</v>
      </c>
      <c r="J12" s="5" t="n">
        <v>0</v>
      </c>
      <c r="K12" s="5" t="s">
        <v>115</v>
      </c>
    </row>
    <row r="13" customFormat="false" ht="15" hidden="false" customHeight="false" outlineLevel="0" collapsed="false">
      <c r="A13" s="5" t="n">
        <f aca="false">RANDBETWEEN(2,164)</f>
        <v>126</v>
      </c>
      <c r="B13" s="5" t="n">
        <f aca="false" t="array" ref="B13:B13">INDEX(Data_DBD!$C:$C,$A13)</f>
        <v>3</v>
      </c>
      <c r="C13" s="5" t="n">
        <f aca="false" t="array" ref="C13:C13">INDEX(Data_DBD!$E:$E,$A13)</f>
        <v>1</v>
      </c>
      <c r="D13" s="5" t="str">
        <f aca="false" t="array" ref="D13:D13">INDEX(Data_DBD!$F:$F,$A13)</f>
        <v>Tinggi</v>
      </c>
      <c r="H13" s="5" t="n">
        <v>50</v>
      </c>
      <c r="I13" s="5" t="n">
        <v>5</v>
      </c>
      <c r="J13" s="5" t="n">
        <v>0</v>
      </c>
      <c r="K13" s="5" t="s">
        <v>7</v>
      </c>
    </row>
    <row r="14" customFormat="false" ht="15" hidden="false" customHeight="false" outlineLevel="0" collapsed="false">
      <c r="A14" s="5" t="n">
        <f aca="false">RANDBETWEEN(2,164)</f>
        <v>106</v>
      </c>
      <c r="B14" s="5" t="n">
        <f aca="false" t="array" ref="B14:B14">INDEX(Data_DBD!$C:$C,$A14)</f>
        <v>3</v>
      </c>
      <c r="C14" s="5" t="n">
        <f aca="false" t="array" ref="C14:C14">INDEX(Data_DBD!$E:$E,$A14)</f>
        <v>1</v>
      </c>
      <c r="D14" s="5" t="str">
        <f aca="false" t="array" ref="D14:D14">INDEX(Data_DBD!$F:$F,$A14)</f>
        <v>Sedang</v>
      </c>
      <c r="H14" s="5" t="n">
        <v>99</v>
      </c>
      <c r="I14" s="5" t="n">
        <v>2</v>
      </c>
      <c r="J14" s="5" t="n">
        <v>1</v>
      </c>
      <c r="K14" s="5" t="s">
        <v>115</v>
      </c>
    </row>
    <row r="15" customFormat="false" ht="15" hidden="false" customHeight="false" outlineLevel="0" collapsed="false">
      <c r="A15" s="5" t="n">
        <f aca="false">RANDBETWEEN(2,164)</f>
        <v>130</v>
      </c>
      <c r="B15" s="5" t="n">
        <f aca="false" t="array" ref="B15:B15">INDEX(Data_DBD!$C:$C,$A15)</f>
        <v>4</v>
      </c>
      <c r="C15" s="5" t="n">
        <f aca="false" t="array" ref="C15:C15">INDEX(Data_DBD!$E:$E,$A15)</f>
        <v>0</v>
      </c>
      <c r="D15" s="5" t="str">
        <f aca="false" t="array" ref="D15:D15">INDEX(Data_DBD!$F:$F,$A15)</f>
        <v>Tinggi</v>
      </c>
      <c r="H15" s="5" t="n">
        <v>149</v>
      </c>
      <c r="I15" s="5" t="n">
        <v>5</v>
      </c>
      <c r="J15" s="5" t="n">
        <v>0</v>
      </c>
      <c r="K15" s="5" t="s">
        <v>115</v>
      </c>
    </row>
    <row r="16" customFormat="false" ht="15" hidden="false" customHeight="false" outlineLevel="0" collapsed="false">
      <c r="A16" s="5" t="n">
        <f aca="false">RANDBETWEEN(2,164)</f>
        <v>43</v>
      </c>
      <c r="B16" s="5" t="n">
        <f aca="false" t="array" ref="B16:B16">INDEX(Data_DBD!$C:$C,$A16)</f>
        <v>4</v>
      </c>
      <c r="C16" s="5" t="n">
        <f aca="false" t="array" ref="C16:C16">INDEX(Data_DBD!$E:$E,$A16)</f>
        <v>0</v>
      </c>
      <c r="D16" s="5" t="str">
        <f aca="false" t="array" ref="D16:D16">INDEX(Data_DBD!$F:$F,$A16)</f>
        <v>Sedang</v>
      </c>
      <c r="H16" s="5" t="n">
        <v>72</v>
      </c>
      <c r="I16" s="5" t="n">
        <v>5</v>
      </c>
      <c r="J16" s="5" t="n">
        <v>1</v>
      </c>
      <c r="K16" s="5" t="s">
        <v>7</v>
      </c>
    </row>
    <row r="17" customFormat="false" ht="15" hidden="false" customHeight="false" outlineLevel="0" collapsed="false">
      <c r="A17" s="5" t="n">
        <f aca="false">RANDBETWEEN(2,164)</f>
        <v>139</v>
      </c>
      <c r="B17" s="5" t="n">
        <f aca="false" t="array" ref="B17:B17">INDEX(Data_DBD!$C:$C,$A17)</f>
        <v>7</v>
      </c>
      <c r="C17" s="5" t="n">
        <f aca="false" t="array" ref="C17:C17">INDEX(Data_DBD!$E:$E,$A17)</f>
        <v>0</v>
      </c>
      <c r="D17" s="5" t="str">
        <f aca="false" t="array" ref="D17:D17">INDEX(Data_DBD!$F:$F,$A17)</f>
        <v>Tinggi</v>
      </c>
      <c r="H17" s="5" t="n">
        <v>109</v>
      </c>
      <c r="I17" s="5" t="n">
        <v>3</v>
      </c>
      <c r="J17" s="5" t="n">
        <v>1</v>
      </c>
      <c r="K17" s="5" t="s">
        <v>115</v>
      </c>
    </row>
    <row r="18" customFormat="false" ht="15" hidden="false" customHeight="false" outlineLevel="0" collapsed="false">
      <c r="A18" s="5" t="n">
        <f aca="false">RANDBETWEEN(2,164)</f>
        <v>77</v>
      </c>
      <c r="B18" s="5" t="n">
        <f aca="false" t="array" ref="B18:B18">INDEX(Data_DBD!$C:$C,$A18)</f>
        <v>4</v>
      </c>
      <c r="C18" s="5" t="n">
        <f aca="false" t="array" ref="C18:C18">INDEX(Data_DBD!$E:$E,$A18)</f>
        <v>1</v>
      </c>
      <c r="D18" s="5" t="str">
        <f aca="false" t="array" ref="D18:D18">INDEX(Data_DBD!$F:$F,$A18)</f>
        <v>Sedang</v>
      </c>
      <c r="H18" s="5" t="n">
        <v>88</v>
      </c>
      <c r="I18" s="5" t="n">
        <v>4</v>
      </c>
      <c r="J18" s="5" t="n">
        <v>1</v>
      </c>
      <c r="K18" s="5" t="s">
        <v>7</v>
      </c>
    </row>
    <row r="19" customFormat="false" ht="15" hidden="false" customHeight="false" outlineLevel="0" collapsed="false">
      <c r="A19" s="5" t="n">
        <f aca="false">RANDBETWEEN(2,164)</f>
        <v>134</v>
      </c>
      <c r="B19" s="5" t="n">
        <f aca="false" t="array" ref="B19:B19">INDEX(Data_DBD!$C:$C,$A19)</f>
        <v>2</v>
      </c>
      <c r="C19" s="5" t="n">
        <f aca="false" t="array" ref="C19:C19">INDEX(Data_DBD!$E:$E,$A19)</f>
        <v>1</v>
      </c>
      <c r="D19" s="5" t="str">
        <f aca="false" t="array" ref="D19:D19">INDEX(Data_DBD!$F:$F,$A19)</f>
        <v>Tinggi</v>
      </c>
      <c r="H19" s="5" t="n">
        <v>56</v>
      </c>
      <c r="I19" s="5" t="n">
        <v>3</v>
      </c>
      <c r="J19" s="5" t="n">
        <v>0</v>
      </c>
      <c r="K19" s="5" t="s">
        <v>7</v>
      </c>
    </row>
    <row r="20" customFormat="false" ht="15" hidden="false" customHeight="false" outlineLevel="0" collapsed="false">
      <c r="A20" s="5" t="n">
        <f aca="false">RANDBETWEEN(2,164)</f>
        <v>24</v>
      </c>
      <c r="B20" s="5" t="n">
        <f aca="false" t="array" ref="B20:B20">INDEX(Data_DBD!$C:$C,$A20)</f>
        <v>4</v>
      </c>
      <c r="C20" s="5" t="n">
        <f aca="false" t="array" ref="C20:C20">INDEX(Data_DBD!$E:$E,$A20)</f>
        <v>0</v>
      </c>
      <c r="D20" s="5" t="str">
        <f aca="false" t="array" ref="D20:D20">INDEX(Data_DBD!$F:$F,$A20)</f>
        <v>Sedang</v>
      </c>
      <c r="H20" s="5" t="n">
        <v>39</v>
      </c>
      <c r="I20" s="5" t="n">
        <v>5</v>
      </c>
      <c r="J20" s="5" t="n">
        <v>1</v>
      </c>
      <c r="K20" s="5" t="s">
        <v>7</v>
      </c>
    </row>
    <row r="21" customFormat="false" ht="15" hidden="false" customHeight="false" outlineLevel="0" collapsed="false">
      <c r="A21" s="5" t="n">
        <f aca="false">RANDBETWEEN(2,164)</f>
        <v>101</v>
      </c>
      <c r="B21" s="5" t="n">
        <f aca="false" t="array" ref="B21:B21">INDEX(Data_DBD!$C:$C,$A21)</f>
        <v>5</v>
      </c>
      <c r="C21" s="5" t="n">
        <f aca="false" t="array" ref="C21:C21">INDEX(Data_DBD!$E:$E,$A21)</f>
        <v>0</v>
      </c>
      <c r="D21" s="5" t="str">
        <f aca="false" t="array" ref="D21:D21">INDEX(Data_DBD!$F:$F,$A21)</f>
        <v>Sedang</v>
      </c>
      <c r="H21" s="5" t="n">
        <v>72</v>
      </c>
      <c r="I21" s="5" t="n">
        <v>5</v>
      </c>
      <c r="J21" s="5" t="n">
        <v>1</v>
      </c>
      <c r="K21" s="5" t="s">
        <v>7</v>
      </c>
    </row>
    <row r="22" customFormat="false" ht="15" hidden="false" customHeight="false" outlineLevel="0" collapsed="false">
      <c r="A22" s="5" t="n">
        <f aca="false">RANDBETWEEN(2,164)</f>
        <v>163</v>
      </c>
      <c r="B22" s="5" t="n">
        <f aca="false" t="array" ref="B22:B22">INDEX(Data_DBD!$C:$C,$A22)</f>
        <v>4</v>
      </c>
      <c r="C22" s="5" t="n">
        <f aca="false" t="array" ref="C22:C22">INDEX(Data_DBD!$E:$E,$A22)</f>
        <v>1</v>
      </c>
      <c r="D22" s="5" t="str">
        <f aca="false" t="array" ref="D22:D22">INDEX(Data_DBD!$F:$F,$A22)</f>
        <v>Rendah</v>
      </c>
      <c r="H22" s="5" t="n">
        <v>128</v>
      </c>
      <c r="I22" s="5" t="n">
        <v>2</v>
      </c>
      <c r="J22" s="5" t="n">
        <v>0</v>
      </c>
      <c r="K22" s="5" t="s">
        <v>115</v>
      </c>
    </row>
    <row r="23" customFormat="false" ht="15" hidden="false" customHeight="false" outlineLevel="0" collapsed="false">
      <c r="A23" s="5" t="n">
        <f aca="false">RANDBETWEEN(2,164)</f>
        <v>15</v>
      </c>
      <c r="B23" s="5" t="n">
        <f aca="false" t="array" ref="B23:B23">INDEX(Data_DBD!$C:$C,$A23)</f>
        <v>2</v>
      </c>
      <c r="C23" s="5" t="n">
        <f aca="false" t="array" ref="C23:C23">INDEX(Data_DBD!$E:$E,$A23)</f>
        <v>0</v>
      </c>
      <c r="D23" s="5" t="str">
        <f aca="false" t="array" ref="D23:D23">INDEX(Data_DBD!$F:$F,$A23)</f>
        <v>Rendah</v>
      </c>
      <c r="H23" s="5" t="n">
        <v>35</v>
      </c>
      <c r="I23" s="5" t="n">
        <v>3</v>
      </c>
      <c r="J23" s="5" t="n">
        <v>1</v>
      </c>
      <c r="K23" s="5" t="s">
        <v>20</v>
      </c>
    </row>
    <row r="24" customFormat="false" ht="15" hidden="false" customHeight="false" outlineLevel="0" collapsed="false">
      <c r="A24" s="5" t="n">
        <f aca="false">RANDBETWEEN(2,164)</f>
        <v>147</v>
      </c>
      <c r="B24" s="5" t="n">
        <f aca="false" t="array" ref="B24:B24">INDEX(Data_DBD!$C:$C,$A24)</f>
        <v>10</v>
      </c>
      <c r="C24" s="5" t="n">
        <f aca="false" t="array" ref="C24:C24">INDEX(Data_DBD!$E:$E,$A24)</f>
        <v>1</v>
      </c>
      <c r="D24" s="5" t="str">
        <f aca="false" t="array" ref="D24:D24">INDEX(Data_DBD!$F:$F,$A24)</f>
        <v>Tinggi</v>
      </c>
      <c r="H24" s="5" t="n">
        <v>98</v>
      </c>
      <c r="I24" s="5" t="n">
        <v>2</v>
      </c>
      <c r="J24" s="5" t="n">
        <v>1</v>
      </c>
      <c r="K24" s="5" t="s">
        <v>115</v>
      </c>
    </row>
    <row r="25" customFormat="false" ht="15" hidden="false" customHeight="false" outlineLevel="0" collapsed="false">
      <c r="A25" s="5" t="n">
        <f aca="false">RANDBETWEEN(2,164)</f>
        <v>24</v>
      </c>
      <c r="B25" s="5" t="n">
        <f aca="false" t="array" ref="B25:B25">INDEX(Data_DBD!$C:$C,$A25)</f>
        <v>4</v>
      </c>
      <c r="C25" s="5" t="n">
        <f aca="false" t="array" ref="C25:C25">INDEX(Data_DBD!$E:$E,$A25)</f>
        <v>0</v>
      </c>
      <c r="D25" s="5" t="str">
        <f aca="false" t="array" ref="D25:D25">INDEX(Data_DBD!$F:$F,$A25)</f>
        <v>Sedang</v>
      </c>
      <c r="H25" s="5" t="n">
        <v>12</v>
      </c>
      <c r="I25" s="5" t="n">
        <v>3</v>
      </c>
      <c r="J25" s="5" t="n">
        <v>0</v>
      </c>
      <c r="K25" s="5" t="s">
        <v>7</v>
      </c>
    </row>
    <row r="26" customFormat="false" ht="15" hidden="false" customHeight="false" outlineLevel="0" collapsed="false">
      <c r="A26" s="5" t="n">
        <f aca="false">RANDBETWEEN(2,164)</f>
        <v>148</v>
      </c>
      <c r="B26" s="5" t="n">
        <f aca="false" t="array" ref="B26:B26">INDEX(Data_DBD!$C:$C,$A26)</f>
        <v>3</v>
      </c>
      <c r="C26" s="5" t="n">
        <f aca="false" t="array" ref="C26:C26">INDEX(Data_DBD!$E:$E,$A26)</f>
        <v>1</v>
      </c>
      <c r="D26" s="5" t="str">
        <f aca="false" t="array" ref="D26:D26">INDEX(Data_DBD!$F:$F,$A26)</f>
        <v>Tinggi</v>
      </c>
      <c r="H26" s="5" t="n">
        <v>7</v>
      </c>
      <c r="I26" s="5" t="n">
        <v>1</v>
      </c>
      <c r="J26" s="5" t="n">
        <v>1</v>
      </c>
      <c r="K26" s="5" t="s">
        <v>7</v>
      </c>
    </row>
    <row r="27" customFormat="false" ht="15" hidden="false" customHeight="false" outlineLevel="0" collapsed="false">
      <c r="A27" s="5" t="n">
        <f aca="false">RANDBETWEEN(2,164)</f>
        <v>152</v>
      </c>
      <c r="B27" s="5" t="n">
        <f aca="false" t="array" ref="B27:B27">INDEX(Data_DBD!$C:$C,$A27)</f>
        <v>3</v>
      </c>
      <c r="C27" s="5" t="n">
        <f aca="false" t="array" ref="C27:C27">INDEX(Data_DBD!$E:$E,$A27)</f>
        <v>1</v>
      </c>
      <c r="D27" s="5" t="str">
        <f aca="false" t="array" ref="D27:D27">INDEX(Data_DBD!$F:$F,$A27)</f>
        <v>Tinggi</v>
      </c>
      <c r="H27" s="5" t="n">
        <v>71</v>
      </c>
      <c r="I27" s="5" t="n">
        <v>3</v>
      </c>
      <c r="J27" s="5" t="n">
        <v>0</v>
      </c>
      <c r="K27" s="5" t="s">
        <v>7</v>
      </c>
    </row>
    <row r="28" customFormat="false" ht="15" hidden="false" customHeight="false" outlineLevel="0" collapsed="false">
      <c r="A28" s="5" t="n">
        <f aca="false">RANDBETWEEN(2,164)</f>
        <v>47</v>
      </c>
      <c r="B28" s="5" t="n">
        <f aca="false" t="array" ref="B28:B28">INDEX(Data_DBD!$C:$C,$A28)</f>
        <v>2</v>
      </c>
      <c r="C28" s="5" t="n">
        <f aca="false" t="array" ref="C28:C28">INDEX(Data_DBD!$E:$E,$A28)</f>
        <v>0</v>
      </c>
      <c r="D28" s="5" t="str">
        <f aca="false" t="array" ref="D28:D28">INDEX(Data_DBD!$F:$F,$A28)</f>
        <v>Sedang</v>
      </c>
      <c r="H28" s="5" t="n">
        <v>34</v>
      </c>
      <c r="I28" s="5" t="n">
        <v>3</v>
      </c>
      <c r="J28" s="5" t="n">
        <v>0</v>
      </c>
      <c r="K28" s="5" t="s">
        <v>7</v>
      </c>
    </row>
    <row r="29" customFormat="false" ht="15" hidden="false" customHeight="false" outlineLevel="0" collapsed="false">
      <c r="A29" s="5" t="n">
        <f aca="false">RANDBETWEEN(2,164)</f>
        <v>94</v>
      </c>
      <c r="B29" s="5" t="n">
        <f aca="false" t="array" ref="B29:B29">INDEX(Data_DBD!$C:$C,$A29)</f>
        <v>4</v>
      </c>
      <c r="C29" s="5" t="n">
        <f aca="false" t="array" ref="C29:C29">INDEX(Data_DBD!$E:$E,$A29)</f>
        <v>0</v>
      </c>
      <c r="D29" s="5" t="str">
        <f aca="false" t="array" ref="D29:D29">INDEX(Data_DBD!$F:$F,$A29)</f>
        <v>Sedang</v>
      </c>
      <c r="H29" s="5" t="n">
        <v>62</v>
      </c>
      <c r="I29" s="5" t="n">
        <v>4</v>
      </c>
      <c r="J29" s="5" t="n">
        <v>1</v>
      </c>
      <c r="K29" s="5" t="s">
        <v>7</v>
      </c>
    </row>
    <row r="30" customFormat="false" ht="15" hidden="false" customHeight="false" outlineLevel="0" collapsed="false">
      <c r="A30" s="5" t="n">
        <f aca="false">RANDBETWEEN(2,164)</f>
        <v>73</v>
      </c>
      <c r="B30" s="5" t="n">
        <f aca="false" t="array" ref="B30:B30">INDEX(Data_DBD!$C:$C,$A30)</f>
        <v>3</v>
      </c>
      <c r="C30" s="5" t="n">
        <f aca="false" t="array" ref="C30:C30">INDEX(Data_DBD!$E:$E,$A30)</f>
        <v>1</v>
      </c>
      <c r="D30" s="5" t="str">
        <f aca="false" t="array" ref="D30:D30">INDEX(Data_DBD!$F:$F,$A30)</f>
        <v>Rendah</v>
      </c>
      <c r="H30" s="5" t="n">
        <v>3</v>
      </c>
      <c r="I30" s="5" t="n">
        <v>3</v>
      </c>
      <c r="J30" s="5" t="n">
        <v>1</v>
      </c>
      <c r="K30" s="5" t="s">
        <v>7</v>
      </c>
    </row>
    <row r="31" customFormat="false" ht="15" hidden="false" customHeight="false" outlineLevel="0" collapsed="false">
      <c r="A31" s="5" t="n">
        <f aca="false">RANDBETWEEN(2,164)</f>
        <v>109</v>
      </c>
      <c r="B31" s="5" t="n">
        <f aca="false" t="array" ref="B31:B31">INDEX(Data_DBD!$C:$C,$A31)</f>
        <v>3</v>
      </c>
      <c r="C31" s="5" t="n">
        <f aca="false" t="array" ref="C31:C31">INDEX(Data_DBD!$E:$E,$A31)</f>
        <v>1</v>
      </c>
      <c r="D31" s="5" t="str">
        <f aca="false" t="array" ref="D31:D31">INDEX(Data_DBD!$F:$F,$A31)</f>
        <v>Tinggi</v>
      </c>
      <c r="H31" s="5" t="n">
        <v>3</v>
      </c>
      <c r="I31" s="5" t="n">
        <v>3</v>
      </c>
      <c r="J31" s="5" t="n">
        <v>1</v>
      </c>
      <c r="K31" s="5" t="s">
        <v>7</v>
      </c>
    </row>
    <row r="32" customFormat="false" ht="15" hidden="false" customHeight="false" outlineLevel="0" collapsed="false">
      <c r="A32" s="5" t="n">
        <f aca="false">RANDBETWEEN(2,164)</f>
        <v>164</v>
      </c>
      <c r="B32" s="5" t="n">
        <f aca="false" t="array" ref="B32:B32">INDEX(Data_DBD!$C:$C,$A32)</f>
        <v>6</v>
      </c>
      <c r="C32" s="5" t="n">
        <f aca="false" t="array" ref="C32:C32">INDEX(Data_DBD!$E:$E,$A32)</f>
        <v>0</v>
      </c>
      <c r="D32" s="5" t="str">
        <f aca="false" t="array" ref="D32:D32">INDEX(Data_DBD!$F:$F,$A32)</f>
        <v>Rendah</v>
      </c>
      <c r="H32" s="5" t="n">
        <v>41</v>
      </c>
      <c r="I32" s="5" t="n">
        <v>4</v>
      </c>
      <c r="J32" s="5" t="n">
        <v>0</v>
      </c>
      <c r="K32" s="5" t="s">
        <v>7</v>
      </c>
    </row>
    <row r="33" customFormat="false" ht="15" hidden="false" customHeight="false" outlineLevel="0" collapsed="false">
      <c r="A33" s="5" t="n">
        <f aca="false">RANDBETWEEN(2,164)</f>
        <v>153</v>
      </c>
      <c r="B33" s="5" t="n">
        <f aca="false" t="array" ref="B33:B33">INDEX(Data_DBD!$C:$C,$A33)</f>
        <v>7</v>
      </c>
      <c r="C33" s="5" t="n">
        <f aca="false" t="array" ref="C33:C33">INDEX(Data_DBD!$E:$E,$A33)</f>
        <v>1</v>
      </c>
      <c r="D33" s="5" t="str">
        <f aca="false" t="array" ref="D33:D33">INDEX(Data_DBD!$F:$F,$A33)</f>
        <v>Tinggi</v>
      </c>
      <c r="H33" s="5" t="n">
        <v>146</v>
      </c>
      <c r="I33" s="5" t="n">
        <v>2</v>
      </c>
      <c r="J33" s="5" t="n">
        <v>1</v>
      </c>
      <c r="K33" s="5" t="s">
        <v>115</v>
      </c>
    </row>
    <row r="34" customFormat="false" ht="15" hidden="false" customHeight="false" outlineLevel="0" collapsed="false">
      <c r="A34" s="5" t="n">
        <f aca="false">RANDBETWEEN(2,164)</f>
        <v>108</v>
      </c>
      <c r="B34" s="5" t="n">
        <f aca="false" t="array" ref="B34:B34">INDEX(Data_DBD!$C:$C,$A34)</f>
        <v>7</v>
      </c>
      <c r="C34" s="5" t="n">
        <f aca="false" t="array" ref="C34:C34">INDEX(Data_DBD!$E:$E,$A34)</f>
        <v>1</v>
      </c>
      <c r="D34" s="5" t="str">
        <f aca="false" t="array" ref="D34:D34">INDEX(Data_DBD!$F:$F,$A34)</f>
        <v>Tinggi</v>
      </c>
      <c r="H34" s="5" t="n">
        <v>107</v>
      </c>
      <c r="I34" s="5" t="n">
        <v>5</v>
      </c>
      <c r="J34" s="5" t="n">
        <v>0</v>
      </c>
      <c r="K34" s="5" t="s">
        <v>115</v>
      </c>
    </row>
    <row r="35" customFormat="false" ht="15" hidden="false" customHeight="false" outlineLevel="0" collapsed="false">
      <c r="A35" s="5" t="n">
        <f aca="false">RANDBETWEEN(2,164)</f>
        <v>55</v>
      </c>
      <c r="B35" s="5" t="n">
        <f aca="false" t="array" ref="B35:B35">INDEX(Data_DBD!$C:$C,$A35)</f>
        <v>4</v>
      </c>
      <c r="C35" s="5" t="n">
        <f aca="false" t="array" ref="C35:C35">INDEX(Data_DBD!$E:$E,$A35)</f>
        <v>1</v>
      </c>
      <c r="D35" s="5" t="str">
        <f aca="false" t="array" ref="D35:D35">INDEX(Data_DBD!$F:$F,$A35)</f>
        <v>Sedang</v>
      </c>
      <c r="H35" s="5" t="n">
        <v>114</v>
      </c>
      <c r="I35" s="5" t="n">
        <v>2</v>
      </c>
      <c r="J35" s="5" t="n">
        <v>1</v>
      </c>
      <c r="K35" s="5" t="s">
        <v>115</v>
      </c>
    </row>
    <row r="36" customFormat="false" ht="15" hidden="false" customHeight="false" outlineLevel="0" collapsed="false">
      <c r="A36" s="5" t="n">
        <f aca="false">RANDBETWEEN(2,164)</f>
        <v>86</v>
      </c>
      <c r="B36" s="5" t="n">
        <f aca="false" t="array" ref="B36:B36">INDEX(Data_DBD!$C:$C,$A36)</f>
        <v>3</v>
      </c>
      <c r="C36" s="5" t="n">
        <f aca="false" t="array" ref="C36:C36">INDEX(Data_DBD!$E:$E,$A36)</f>
        <v>0</v>
      </c>
      <c r="D36" s="5" t="str">
        <f aca="false" t="array" ref="D36:D36">INDEX(Data_DBD!$F:$F,$A36)</f>
        <v>Sedang</v>
      </c>
      <c r="H36" s="5" t="n">
        <v>47</v>
      </c>
      <c r="I36" s="5" t="n">
        <v>2</v>
      </c>
      <c r="J36" s="5" t="n">
        <v>0</v>
      </c>
      <c r="K36" s="5" t="s">
        <v>7</v>
      </c>
    </row>
    <row r="37" customFormat="false" ht="15" hidden="false" customHeight="false" outlineLevel="0" collapsed="false">
      <c r="A37" s="5" t="n">
        <f aca="false">RANDBETWEEN(2,164)</f>
        <v>82</v>
      </c>
      <c r="B37" s="5" t="n">
        <f aca="false" t="array" ref="B37:B37">INDEX(Data_DBD!$C:$C,$A37)</f>
        <v>3</v>
      </c>
      <c r="C37" s="5" t="n">
        <f aca="false" t="array" ref="C37:C37">INDEX(Data_DBD!$E:$E,$A37)</f>
        <v>1</v>
      </c>
      <c r="D37" s="5" t="str">
        <f aca="false" t="array" ref="D37:D37">INDEX(Data_DBD!$F:$F,$A37)</f>
        <v>Sedang</v>
      </c>
      <c r="H37" s="5" t="n">
        <v>40</v>
      </c>
      <c r="I37" s="5" t="n">
        <v>3</v>
      </c>
      <c r="J37" s="5" t="n">
        <v>1</v>
      </c>
      <c r="K37" s="5" t="s">
        <v>7</v>
      </c>
    </row>
    <row r="38" customFormat="false" ht="15" hidden="false" customHeight="false" outlineLevel="0" collapsed="false">
      <c r="A38" s="5" t="n">
        <f aca="false">RANDBETWEEN(2,164)</f>
        <v>61</v>
      </c>
      <c r="B38" s="5" t="n">
        <f aca="false" t="array" ref="B38:B38">INDEX(Data_DBD!$C:$C,$A38)</f>
        <v>3</v>
      </c>
      <c r="C38" s="5" t="n">
        <f aca="false" t="array" ref="C38:C38">INDEX(Data_DBD!$E:$E,$A38)</f>
        <v>1</v>
      </c>
      <c r="D38" s="5" t="str">
        <f aca="false" t="array" ref="D38:D38">INDEX(Data_DBD!$F:$F,$A38)</f>
        <v>Sedang</v>
      </c>
      <c r="H38" s="5" t="n">
        <v>104</v>
      </c>
      <c r="I38" s="5" t="n">
        <v>4</v>
      </c>
      <c r="J38" s="5" t="n">
        <v>1</v>
      </c>
      <c r="K38" s="5" t="s">
        <v>115</v>
      </c>
    </row>
    <row r="39" customFormat="false" ht="15" hidden="false" customHeight="false" outlineLevel="0" collapsed="false">
      <c r="A39" s="5" t="n">
        <f aca="false">RANDBETWEEN(2,164)</f>
        <v>154</v>
      </c>
      <c r="B39" s="5" t="n">
        <f aca="false" t="array" ref="B39:B39">INDEX(Data_DBD!$C:$C,$A39)</f>
        <v>5</v>
      </c>
      <c r="C39" s="5" t="n">
        <f aca="false" t="array" ref="C39:C39">INDEX(Data_DBD!$E:$E,$A39)</f>
        <v>1</v>
      </c>
      <c r="D39" s="5" t="str">
        <f aca="false" t="array" ref="D39:D39">INDEX(Data_DBD!$F:$F,$A39)</f>
        <v>Tinggi</v>
      </c>
      <c r="H39" s="5" t="n">
        <v>78</v>
      </c>
      <c r="I39" s="5" t="n">
        <v>3</v>
      </c>
      <c r="J39" s="5" t="n">
        <v>0</v>
      </c>
      <c r="K39" s="5" t="s">
        <v>7</v>
      </c>
    </row>
    <row r="40" customFormat="false" ht="15" hidden="false" customHeight="false" outlineLevel="0" collapsed="false">
      <c r="A40" s="5" t="n">
        <f aca="false">RANDBETWEEN(2,164)</f>
        <v>108</v>
      </c>
      <c r="B40" s="5" t="n">
        <f aca="false" t="array" ref="B40:B40">INDEX(Data_DBD!$C:$C,$A40)</f>
        <v>7</v>
      </c>
      <c r="C40" s="5" t="n">
        <f aca="false" t="array" ref="C40:C40">INDEX(Data_DBD!$E:$E,$A40)</f>
        <v>1</v>
      </c>
      <c r="D40" s="5" t="str">
        <f aca="false" t="array" ref="D40:D40">INDEX(Data_DBD!$F:$F,$A40)</f>
        <v>Tinggi</v>
      </c>
      <c r="H40" s="5" t="n">
        <v>149</v>
      </c>
      <c r="I40" s="5" t="n">
        <v>5</v>
      </c>
      <c r="J40" s="5" t="n">
        <v>0</v>
      </c>
      <c r="K40" s="5" t="s">
        <v>115</v>
      </c>
    </row>
    <row r="41" customFormat="false" ht="15" hidden="false" customHeight="false" outlineLevel="0" collapsed="false">
      <c r="A41" s="5" t="n">
        <f aca="false">RANDBETWEEN(2,164)</f>
        <v>62</v>
      </c>
      <c r="B41" s="5" t="n">
        <f aca="false" t="array" ref="B41:B41">INDEX(Data_DBD!$C:$C,$A41)</f>
        <v>4</v>
      </c>
      <c r="C41" s="5" t="n">
        <f aca="false" t="array" ref="C41:C41">INDEX(Data_DBD!$E:$E,$A41)</f>
        <v>1</v>
      </c>
      <c r="D41" s="5" t="str">
        <f aca="false" t="array" ref="D41:D41">INDEX(Data_DBD!$F:$F,$A41)</f>
        <v>Sedang</v>
      </c>
      <c r="H41" s="5" t="n">
        <v>154</v>
      </c>
      <c r="I41" s="5" t="n">
        <v>5</v>
      </c>
      <c r="J41" s="5" t="n">
        <v>1</v>
      </c>
      <c r="K41" s="5" t="s">
        <v>115</v>
      </c>
    </row>
    <row r="42" customFormat="false" ht="15" hidden="false" customHeight="false" outlineLevel="0" collapsed="false">
      <c r="A42" s="5" t="n">
        <f aca="false">RANDBETWEEN(2,164)</f>
        <v>77</v>
      </c>
      <c r="B42" s="5" t="n">
        <f aca="false" t="array" ref="B42:B42">INDEX(Data_DBD!$C:$C,$A42)</f>
        <v>4</v>
      </c>
      <c r="C42" s="5" t="n">
        <f aca="false" t="array" ref="C42:C42">INDEX(Data_DBD!$E:$E,$A42)</f>
        <v>1</v>
      </c>
      <c r="D42" s="5" t="str">
        <f aca="false" t="array" ref="D42:D42">INDEX(Data_DBD!$F:$F,$A42)</f>
        <v>Sedang</v>
      </c>
      <c r="H42" s="5" t="n">
        <v>37</v>
      </c>
      <c r="I42" s="5" t="n">
        <v>4</v>
      </c>
      <c r="J42" s="5" t="n">
        <v>1</v>
      </c>
      <c r="K42" s="5" t="s">
        <v>20</v>
      </c>
    </row>
    <row r="43" customFormat="false" ht="15" hidden="false" customHeight="false" outlineLevel="0" collapsed="false">
      <c r="A43" s="5" t="n">
        <f aca="false">RANDBETWEEN(2,164)</f>
        <v>74</v>
      </c>
      <c r="B43" s="5" t="n">
        <f aca="false" t="array" ref="B43:B43">INDEX(Data_DBD!$C:$C,$A43)</f>
        <v>4</v>
      </c>
      <c r="C43" s="5" t="n">
        <f aca="false" t="array" ref="C43:C43">INDEX(Data_DBD!$E:$E,$A43)</f>
        <v>0</v>
      </c>
      <c r="D43" s="5" t="str">
        <f aca="false" t="array" ref="D43:D43">INDEX(Data_DBD!$F:$F,$A43)</f>
        <v>Rendah</v>
      </c>
      <c r="H43" s="5" t="n">
        <v>52</v>
      </c>
      <c r="I43" s="5" t="n">
        <v>4</v>
      </c>
      <c r="J43" s="5" t="n">
        <v>1</v>
      </c>
      <c r="K43" s="5" t="s">
        <v>7</v>
      </c>
    </row>
    <row r="44" customFormat="false" ht="15" hidden="false" customHeight="false" outlineLevel="0" collapsed="false">
      <c r="A44" s="5" t="n">
        <f aca="false">RANDBETWEEN(2,164)</f>
        <v>107</v>
      </c>
      <c r="B44" s="5" t="n">
        <f aca="false" t="array" ref="B44:B44">INDEX(Data_DBD!$C:$C,$A44)</f>
        <v>5</v>
      </c>
      <c r="C44" s="5" t="n">
        <f aca="false" t="array" ref="C44:C44">INDEX(Data_DBD!$E:$E,$A44)</f>
        <v>0</v>
      </c>
      <c r="D44" s="5" t="str">
        <f aca="false" t="array" ref="D44:D44">INDEX(Data_DBD!$F:$F,$A44)</f>
        <v>Sedang</v>
      </c>
      <c r="H44" s="5" t="n">
        <v>30</v>
      </c>
      <c r="I44" s="5" t="n">
        <v>2</v>
      </c>
      <c r="J44" s="5" t="n">
        <v>1</v>
      </c>
      <c r="K44" s="5" t="s">
        <v>7</v>
      </c>
    </row>
    <row r="45" customFormat="false" ht="15" hidden="false" customHeight="false" outlineLevel="0" collapsed="false">
      <c r="A45" s="5" t="n">
        <f aca="false">RANDBETWEEN(2,164)</f>
        <v>68</v>
      </c>
      <c r="B45" s="5" t="n">
        <f aca="false" t="array" ref="B45:B45">INDEX(Data_DBD!$C:$C,$A45)</f>
        <v>5</v>
      </c>
      <c r="C45" s="5" t="n">
        <f aca="false" t="array" ref="C45:C45">INDEX(Data_DBD!$E:$E,$A45)</f>
        <v>0</v>
      </c>
      <c r="D45" s="5" t="str">
        <f aca="false" t="array" ref="D45:D45">INDEX(Data_DBD!$F:$F,$A45)</f>
        <v>Rendah</v>
      </c>
      <c r="H45" s="5" t="n">
        <v>71</v>
      </c>
      <c r="I45" s="5" t="n">
        <v>3</v>
      </c>
      <c r="J45" s="5" t="n">
        <v>0</v>
      </c>
      <c r="K45" s="5" t="s">
        <v>7</v>
      </c>
    </row>
    <row r="46" customFormat="false" ht="15" hidden="false" customHeight="false" outlineLevel="0" collapsed="false">
      <c r="A46" s="5" t="n">
        <f aca="false">RANDBETWEEN(2,164)</f>
        <v>34</v>
      </c>
      <c r="B46" s="5" t="n">
        <f aca="false" t="array" ref="B46:B46">INDEX(Data_DBD!$C:$C,$A46)</f>
        <v>3</v>
      </c>
      <c r="C46" s="5" t="n">
        <f aca="false" t="array" ref="C46:C46">INDEX(Data_DBD!$E:$E,$A46)</f>
        <v>0</v>
      </c>
      <c r="D46" s="5" t="str">
        <f aca="false" t="array" ref="D46:D46">INDEX(Data_DBD!$F:$F,$A46)</f>
        <v>Sedang</v>
      </c>
      <c r="H46" s="5" t="n">
        <v>139</v>
      </c>
      <c r="I46" s="5" t="n">
        <v>7</v>
      </c>
      <c r="J46" s="5" t="n">
        <v>0</v>
      </c>
      <c r="K46" s="5" t="s">
        <v>115</v>
      </c>
    </row>
    <row r="47" customFormat="false" ht="15" hidden="false" customHeight="false" outlineLevel="0" collapsed="false">
      <c r="A47" s="5" t="n">
        <f aca="false">RANDBETWEEN(2,164)</f>
        <v>87</v>
      </c>
      <c r="B47" s="5" t="n">
        <f aca="false" t="array" ref="B47:B47">INDEX(Data_DBD!$C:$C,$A47)</f>
        <v>3</v>
      </c>
      <c r="C47" s="5" t="n">
        <f aca="false" t="array" ref="C47:C47">INDEX(Data_DBD!$E:$E,$A47)</f>
        <v>0</v>
      </c>
      <c r="D47" s="5" t="str">
        <f aca="false" t="array" ref="D47:D47">INDEX(Data_DBD!$F:$F,$A47)</f>
        <v>Sedang</v>
      </c>
      <c r="H47" s="5" t="n">
        <v>109</v>
      </c>
      <c r="I47" s="5" t="n">
        <v>3</v>
      </c>
      <c r="J47" s="5" t="n">
        <v>1</v>
      </c>
      <c r="K47" s="5" t="s">
        <v>115</v>
      </c>
    </row>
    <row r="48" customFormat="false" ht="15" hidden="false" customHeight="false" outlineLevel="0" collapsed="false">
      <c r="A48" s="5" t="n">
        <f aca="false">RANDBETWEEN(2,164)</f>
        <v>49</v>
      </c>
      <c r="B48" s="5" t="n">
        <f aca="false" t="array" ref="B48:B48">INDEX(Data_DBD!$C:$C,$A48)</f>
        <v>5</v>
      </c>
      <c r="C48" s="5" t="n">
        <f aca="false" t="array" ref="C48:C48">INDEX(Data_DBD!$E:$E,$A48)</f>
        <v>0</v>
      </c>
      <c r="D48" s="5" t="str">
        <f aca="false" t="array" ref="D48:D48">INDEX(Data_DBD!$F:$F,$A48)</f>
        <v>Sedang</v>
      </c>
      <c r="H48" s="5" t="n">
        <v>147</v>
      </c>
      <c r="I48" s="5" t="n">
        <v>10</v>
      </c>
      <c r="J48" s="5" t="n">
        <v>1</v>
      </c>
      <c r="K48" s="5" t="s">
        <v>115</v>
      </c>
    </row>
    <row r="49" customFormat="false" ht="15" hidden="false" customHeight="false" outlineLevel="0" collapsed="false">
      <c r="A49" s="5" t="n">
        <f aca="false">RANDBETWEEN(2,164)</f>
        <v>113</v>
      </c>
      <c r="B49" s="5" t="n">
        <f aca="false" t="array" ref="B49:B49">INDEX(Data_DBD!$C:$C,$A49)</f>
        <v>1</v>
      </c>
      <c r="C49" s="5" t="n">
        <f aca="false" t="array" ref="C49:C49">INDEX(Data_DBD!$E:$E,$A49)</f>
        <v>1</v>
      </c>
      <c r="D49" s="5" t="str">
        <f aca="false" t="array" ref="D49:D49">INDEX(Data_DBD!$F:$F,$A49)</f>
        <v>Tinggi</v>
      </c>
      <c r="H49" s="5" t="n">
        <v>76</v>
      </c>
      <c r="I49" s="5" t="n">
        <v>2</v>
      </c>
      <c r="J49" s="5" t="n">
        <v>0</v>
      </c>
      <c r="K49" s="5" t="s">
        <v>7</v>
      </c>
    </row>
    <row r="50" customFormat="false" ht="15" hidden="false" customHeight="false" outlineLevel="0" collapsed="false">
      <c r="A50" s="5" t="n">
        <f aca="false">RANDBETWEEN(2,164)</f>
        <v>127</v>
      </c>
      <c r="B50" s="5" t="n">
        <f aca="false" t="array" ref="B50:B50">INDEX(Data_DBD!$C:$C,$A50)</f>
        <v>2</v>
      </c>
      <c r="C50" s="5" t="n">
        <f aca="false" t="array" ref="C50:C50">INDEX(Data_DBD!$E:$E,$A50)</f>
        <v>0</v>
      </c>
      <c r="D50" s="5" t="str">
        <f aca="false" t="array" ref="D50:D50">INDEX(Data_DBD!$F:$F,$A50)</f>
        <v>Tinggi</v>
      </c>
      <c r="H50" s="5" t="n">
        <v>137</v>
      </c>
      <c r="I50" s="5" t="n">
        <v>1</v>
      </c>
      <c r="J50" s="5" t="n">
        <v>1</v>
      </c>
      <c r="K50" s="5" t="s">
        <v>115</v>
      </c>
    </row>
    <row r="51" customFormat="false" ht="15" hidden="false" customHeight="false" outlineLevel="0" collapsed="false">
      <c r="A51" s="5" t="n">
        <f aca="false">RANDBETWEEN(2,164)</f>
        <v>143</v>
      </c>
      <c r="B51" s="5" t="n">
        <f aca="false" t="array" ref="B51:B51">INDEX(Data_DBD!$C:$C,$A51)</f>
        <v>4</v>
      </c>
      <c r="C51" s="5" t="n">
        <f aca="false" t="array" ref="C51:C51">INDEX(Data_DBD!$E:$E,$A51)</f>
        <v>1</v>
      </c>
      <c r="D51" s="5" t="str">
        <f aca="false" t="array" ref="D51:D51">INDEX(Data_DBD!$F:$F,$A51)</f>
        <v>Tinggi</v>
      </c>
      <c r="H51" s="5" t="n">
        <v>72</v>
      </c>
      <c r="I51" s="5" t="n">
        <v>5</v>
      </c>
      <c r="J51" s="5" t="n">
        <v>1</v>
      </c>
      <c r="K51" s="5" t="s">
        <v>7</v>
      </c>
    </row>
    <row r="52" customFormat="false" ht="15" hidden="false" customHeight="false" outlineLevel="0" collapsed="false">
      <c r="A52" s="5" t="n">
        <f aca="false">RANDBETWEEN(2,164)</f>
        <v>19</v>
      </c>
      <c r="B52" s="5" t="n">
        <f aca="false" t="array" ref="B52:B52">INDEX(Data_DBD!$C:$C,$A52)</f>
        <v>4</v>
      </c>
      <c r="C52" s="5" t="n">
        <f aca="false" t="array" ref="C52:C52">INDEX(Data_DBD!$E:$E,$A52)</f>
        <v>0</v>
      </c>
      <c r="D52" s="5" t="str">
        <f aca="false" t="array" ref="D52:D52">INDEX(Data_DBD!$F:$F,$A52)</f>
        <v>Rendah</v>
      </c>
      <c r="H52" s="5" t="n">
        <v>11</v>
      </c>
      <c r="I52" s="5" t="n">
        <v>5</v>
      </c>
      <c r="J52" s="5" t="n">
        <v>1</v>
      </c>
      <c r="K52" s="5" t="s">
        <v>7</v>
      </c>
    </row>
    <row r="53" customFormat="false" ht="15" hidden="false" customHeight="false" outlineLevel="0" collapsed="false">
      <c r="A53" s="5" t="n">
        <f aca="false">RANDBETWEEN(2,164)</f>
        <v>119</v>
      </c>
      <c r="B53" s="5" t="n">
        <f aca="false" t="array" ref="B53:B53">INDEX(Data_DBD!$C:$C,$A53)</f>
        <v>7</v>
      </c>
      <c r="C53" s="5" t="n">
        <f aca="false" t="array" ref="C53:C53">INDEX(Data_DBD!$E:$E,$A53)</f>
        <v>0</v>
      </c>
      <c r="D53" s="5" t="str">
        <f aca="false" t="array" ref="D53:D53">INDEX(Data_DBD!$F:$F,$A53)</f>
        <v>Tinggi</v>
      </c>
      <c r="H53" s="5" t="n">
        <v>123</v>
      </c>
      <c r="I53" s="5" t="n">
        <v>4</v>
      </c>
      <c r="J53" s="5" t="n">
        <v>0</v>
      </c>
      <c r="K53" s="5" t="s">
        <v>115</v>
      </c>
    </row>
    <row r="54" customFormat="false" ht="15" hidden="false" customHeight="false" outlineLevel="0" collapsed="false">
      <c r="A54" s="5" t="n">
        <f aca="false">RANDBETWEEN(2,164)</f>
        <v>110</v>
      </c>
      <c r="B54" s="5" t="n">
        <f aca="false" t="array" ref="B54:B54">INDEX(Data_DBD!$C:$C,$A54)</f>
        <v>2</v>
      </c>
      <c r="C54" s="5" t="n">
        <f aca="false" t="array" ref="C54:C54">INDEX(Data_DBD!$E:$E,$A54)</f>
        <v>1</v>
      </c>
      <c r="D54" s="5" t="str">
        <f aca="false" t="array" ref="D54:D54">INDEX(Data_DBD!$F:$F,$A54)</f>
        <v>Tinggi</v>
      </c>
      <c r="H54" s="5" t="n">
        <v>51</v>
      </c>
      <c r="I54" s="5" t="n">
        <v>4</v>
      </c>
      <c r="J54" s="5" t="n">
        <v>0</v>
      </c>
      <c r="K54" s="5" t="s">
        <v>7</v>
      </c>
    </row>
    <row r="55" customFormat="false" ht="15" hidden="false" customHeight="false" outlineLevel="0" collapsed="false">
      <c r="A55" s="5" t="n">
        <f aca="false">RANDBETWEEN(2,164)</f>
        <v>66</v>
      </c>
      <c r="B55" s="5" t="n">
        <f aca="false" t="array" ref="B55:B55">INDEX(Data_DBD!$C:$C,$A55)</f>
        <v>5</v>
      </c>
      <c r="C55" s="5" t="n">
        <f aca="false" t="array" ref="C55:C55">INDEX(Data_DBD!$E:$E,$A55)</f>
        <v>1</v>
      </c>
      <c r="D55" s="5" t="str">
        <f aca="false" t="array" ref="D55:D55">INDEX(Data_DBD!$F:$F,$A55)</f>
        <v>Sedang</v>
      </c>
      <c r="H55" s="5" t="n">
        <v>70</v>
      </c>
      <c r="I55" s="5" t="n">
        <v>3</v>
      </c>
      <c r="J55" s="5" t="n">
        <v>1</v>
      </c>
      <c r="K55" s="5" t="s">
        <v>7</v>
      </c>
    </row>
    <row r="56" customFormat="false" ht="15" hidden="false" customHeight="false" outlineLevel="0" collapsed="false">
      <c r="A56" s="5" t="n">
        <f aca="false">RANDBETWEEN(2,164)</f>
        <v>100</v>
      </c>
      <c r="B56" s="5" t="n">
        <f aca="false" t="array" ref="B56:B56">INDEX(Data_DBD!$C:$C,$A56)</f>
        <v>6</v>
      </c>
      <c r="C56" s="5" t="n">
        <f aca="false" t="array" ref="C56:C56">INDEX(Data_DBD!$E:$E,$A56)</f>
        <v>0</v>
      </c>
      <c r="D56" s="5" t="str">
        <f aca="false" t="array" ref="D56:D56">INDEX(Data_DBD!$F:$F,$A56)</f>
        <v>Sedang</v>
      </c>
      <c r="H56" s="5" t="n">
        <v>81</v>
      </c>
      <c r="I56" s="5" t="n">
        <v>5</v>
      </c>
      <c r="J56" s="5" t="n">
        <v>1</v>
      </c>
      <c r="K56" s="5" t="s">
        <v>7</v>
      </c>
    </row>
    <row r="57" customFormat="false" ht="15" hidden="false" customHeight="false" outlineLevel="0" collapsed="false">
      <c r="A57" s="5" t="n">
        <f aca="false">RANDBETWEEN(2,164)</f>
        <v>82</v>
      </c>
      <c r="B57" s="5" t="n">
        <f aca="false" t="array" ref="B57:B57">INDEX(Data_DBD!$C:$C,$A57)</f>
        <v>3</v>
      </c>
      <c r="C57" s="5" t="n">
        <f aca="false" t="array" ref="C57:C57">INDEX(Data_DBD!$E:$E,$A57)</f>
        <v>1</v>
      </c>
      <c r="D57" s="5" t="str">
        <f aca="false" t="array" ref="D57:D57">INDEX(Data_DBD!$F:$F,$A57)</f>
        <v>Sedang</v>
      </c>
      <c r="H57" s="5" t="n">
        <v>51</v>
      </c>
      <c r="I57" s="5" t="n">
        <v>4</v>
      </c>
      <c r="J57" s="5" t="n">
        <v>0</v>
      </c>
      <c r="K57" s="5" t="s">
        <v>7</v>
      </c>
    </row>
    <row r="58" customFormat="false" ht="15" hidden="false" customHeight="false" outlineLevel="0" collapsed="false">
      <c r="A58" s="5" t="n">
        <f aca="false">RANDBETWEEN(2,164)</f>
        <v>108</v>
      </c>
      <c r="B58" s="5" t="n">
        <f aca="false" t="array" ref="B58:B58">INDEX(Data_DBD!$C:$C,$A58)</f>
        <v>7</v>
      </c>
      <c r="C58" s="5" t="n">
        <f aca="false" t="array" ref="C58:C58">INDEX(Data_DBD!$E:$E,$A58)</f>
        <v>1</v>
      </c>
      <c r="D58" s="5" t="str">
        <f aca="false" t="array" ref="D58:D58">INDEX(Data_DBD!$F:$F,$A58)</f>
        <v>Tinggi</v>
      </c>
      <c r="H58" s="5" t="n">
        <v>92</v>
      </c>
      <c r="I58" s="5" t="n">
        <v>7</v>
      </c>
      <c r="J58" s="5" t="n">
        <v>0</v>
      </c>
      <c r="K58" s="5" t="s">
        <v>115</v>
      </c>
    </row>
    <row r="59" customFormat="false" ht="15" hidden="false" customHeight="false" outlineLevel="0" collapsed="false">
      <c r="A59" s="5" t="n">
        <f aca="false">RANDBETWEEN(2,164)</f>
        <v>9</v>
      </c>
      <c r="B59" s="5" t="n">
        <f aca="false" t="array" ref="B59:B59">INDEX(Data_DBD!$C:$C,$A59)</f>
        <v>6</v>
      </c>
      <c r="C59" s="5" t="n">
        <f aca="false" t="array" ref="C59:C59">INDEX(Data_DBD!$E:$E,$A59)</f>
        <v>1</v>
      </c>
      <c r="D59" s="5" t="str">
        <f aca="false" t="array" ref="D59:D59">INDEX(Data_DBD!$F:$F,$A59)</f>
        <v>Sedang</v>
      </c>
      <c r="H59" s="5" t="n">
        <v>60</v>
      </c>
      <c r="I59" s="5" t="n">
        <v>4</v>
      </c>
      <c r="J59" s="5" t="n">
        <v>0</v>
      </c>
      <c r="K59" s="5" t="s">
        <v>7</v>
      </c>
    </row>
    <row r="60" customFormat="false" ht="15" hidden="false" customHeight="false" outlineLevel="0" collapsed="false">
      <c r="A60" s="5" t="n">
        <f aca="false">RANDBETWEEN(2,164)</f>
        <v>66</v>
      </c>
      <c r="B60" s="5" t="n">
        <f aca="false" t="array" ref="B60:B60">INDEX(Data_DBD!$C:$C,$A60)</f>
        <v>5</v>
      </c>
      <c r="C60" s="5" t="n">
        <f aca="false" t="array" ref="C60:C60">INDEX(Data_DBD!$E:$E,$A60)</f>
        <v>1</v>
      </c>
      <c r="D60" s="5" t="str">
        <f aca="false" t="array" ref="D60:D60">INDEX(Data_DBD!$F:$F,$A60)</f>
        <v>Sedang</v>
      </c>
      <c r="H60" s="5" t="n">
        <v>103</v>
      </c>
      <c r="I60" s="5" t="n">
        <v>5</v>
      </c>
      <c r="J60" s="5" t="n">
        <v>0</v>
      </c>
      <c r="K60" s="5" t="s">
        <v>115</v>
      </c>
    </row>
    <row r="61" customFormat="false" ht="15" hidden="false" customHeight="false" outlineLevel="0" collapsed="false">
      <c r="A61" s="5" t="n">
        <f aca="false">RANDBETWEEN(2,164)</f>
        <v>106</v>
      </c>
      <c r="B61" s="5" t="n">
        <f aca="false" t="array" ref="B61:B61">INDEX(Data_DBD!$C:$C,$A61)</f>
        <v>3</v>
      </c>
      <c r="C61" s="5" t="n">
        <f aca="false" t="array" ref="C61:C61">INDEX(Data_DBD!$E:$E,$A61)</f>
        <v>1</v>
      </c>
      <c r="D61" s="5" t="str">
        <f aca="false" t="array" ref="D61:D61">INDEX(Data_DBD!$F:$F,$A61)</f>
        <v>Sedang</v>
      </c>
      <c r="H61" s="5" t="n">
        <v>70</v>
      </c>
      <c r="I61" s="5" t="n">
        <v>3</v>
      </c>
      <c r="J61" s="5" t="n">
        <v>1</v>
      </c>
      <c r="K61" s="5" t="s">
        <v>7</v>
      </c>
    </row>
    <row r="62" customFormat="false" ht="15" hidden="false" customHeight="false" outlineLevel="0" collapsed="false">
      <c r="A62" s="5" t="n">
        <f aca="false">RANDBETWEEN(2,164)</f>
        <v>14</v>
      </c>
      <c r="B62" s="5" t="n">
        <f aca="false" t="array" ref="B62:B62">INDEX(Data_DBD!$C:$C,$A62)</f>
        <v>4</v>
      </c>
      <c r="C62" s="5" t="n">
        <f aca="false" t="array" ref="C62:C62">INDEX(Data_DBD!$E:$E,$A62)</f>
        <v>1</v>
      </c>
      <c r="D62" s="5" t="str">
        <f aca="false" t="array" ref="D62:D62">INDEX(Data_DBD!$F:$F,$A62)</f>
        <v>Rendah</v>
      </c>
      <c r="H62" s="5" t="n">
        <v>101</v>
      </c>
      <c r="I62" s="5" t="n">
        <v>5</v>
      </c>
      <c r="J62" s="5" t="n">
        <v>0</v>
      </c>
      <c r="K62" s="5" t="s">
        <v>115</v>
      </c>
    </row>
    <row r="63" customFormat="false" ht="15" hidden="false" customHeight="false" outlineLevel="0" collapsed="false">
      <c r="A63" s="5" t="n">
        <f aca="false">RANDBETWEEN(2,164)</f>
        <v>65</v>
      </c>
      <c r="B63" s="5" t="n">
        <f aca="false" t="array" ref="B63:B63">INDEX(Data_DBD!$C:$C,$A63)</f>
        <v>3</v>
      </c>
      <c r="C63" s="5" t="n">
        <f aca="false" t="array" ref="C63:C63">INDEX(Data_DBD!$E:$E,$A63)</f>
        <v>0</v>
      </c>
      <c r="D63" s="5" t="str">
        <f aca="false" t="array" ref="D63:D63">INDEX(Data_DBD!$F:$F,$A63)</f>
        <v>Sedang</v>
      </c>
      <c r="H63" s="5" t="n">
        <v>72</v>
      </c>
      <c r="I63" s="5" t="n">
        <v>5</v>
      </c>
      <c r="J63" s="5" t="n">
        <v>1</v>
      </c>
      <c r="K63" s="5" t="s">
        <v>7</v>
      </c>
    </row>
    <row r="64" customFormat="false" ht="15" hidden="false" customHeight="false" outlineLevel="0" collapsed="false">
      <c r="A64" s="5" t="n">
        <f aca="false">RANDBETWEEN(2,164)</f>
        <v>90</v>
      </c>
      <c r="B64" s="5" t="n">
        <f aca="false" t="array" ref="B64:B64">INDEX(Data_DBD!$C:$C,$A64)</f>
        <v>3</v>
      </c>
      <c r="C64" s="5" t="n">
        <f aca="false" t="array" ref="C64:C64">INDEX(Data_DBD!$E:$E,$A64)</f>
        <v>0</v>
      </c>
      <c r="D64" s="5" t="str">
        <f aca="false" t="array" ref="D64:D64">INDEX(Data_DBD!$F:$F,$A64)</f>
        <v>Sedang</v>
      </c>
      <c r="H64" s="5" t="n">
        <v>130</v>
      </c>
      <c r="I64" s="5" t="n">
        <v>4</v>
      </c>
      <c r="J64" s="5" t="n">
        <v>0</v>
      </c>
      <c r="K64" s="5" t="s">
        <v>115</v>
      </c>
    </row>
    <row r="65" customFormat="false" ht="15" hidden="false" customHeight="false" outlineLevel="0" collapsed="false">
      <c r="A65" s="5" t="n">
        <f aca="false">RANDBETWEEN(2,164)</f>
        <v>87</v>
      </c>
      <c r="B65" s="5" t="n">
        <f aca="false" t="array" ref="B65:B65">INDEX(Data_DBD!$C:$C,$A65)</f>
        <v>3</v>
      </c>
      <c r="C65" s="5" t="n">
        <f aca="false" t="array" ref="C65:C65">INDEX(Data_DBD!$E:$E,$A65)</f>
        <v>0</v>
      </c>
      <c r="D65" s="5" t="str">
        <f aca="false" t="array" ref="D65:D65">INDEX(Data_DBD!$F:$F,$A65)</f>
        <v>Sedang</v>
      </c>
      <c r="H65" s="5" t="n">
        <v>20</v>
      </c>
      <c r="I65" s="5" t="n">
        <v>5</v>
      </c>
      <c r="J65" s="5" t="n">
        <v>0</v>
      </c>
      <c r="K65" s="5" t="s">
        <v>20</v>
      </c>
    </row>
    <row r="66" customFormat="false" ht="15" hidden="false" customHeight="false" outlineLevel="0" collapsed="false">
      <c r="A66" s="5" t="n">
        <f aca="false">RANDBETWEEN(2,164)</f>
        <v>96</v>
      </c>
      <c r="B66" s="5" t="n">
        <f aca="false" t="array" ref="B66:B66">INDEX(Data_DBD!$C:$C,$A66)</f>
        <v>4</v>
      </c>
      <c r="C66" s="5" t="n">
        <f aca="false" t="array" ref="C66:C66">INDEX(Data_DBD!$E:$E,$A66)</f>
        <v>0</v>
      </c>
      <c r="D66" s="5" t="str">
        <f aca="false" t="array" ref="D66:D66">INDEX(Data_DBD!$F:$F,$A66)</f>
        <v>Sedang</v>
      </c>
      <c r="H66" s="5" t="n">
        <v>75</v>
      </c>
      <c r="I66" s="5" t="n">
        <v>2</v>
      </c>
      <c r="J66" s="5" t="n">
        <v>1</v>
      </c>
      <c r="K66" s="5" t="s">
        <v>7</v>
      </c>
    </row>
    <row r="67" customFormat="false" ht="15" hidden="false" customHeight="false" outlineLevel="0" collapsed="false">
      <c r="A67" s="5" t="n">
        <f aca="false">RANDBETWEEN(2,164)</f>
        <v>156</v>
      </c>
      <c r="B67" s="5" t="n">
        <f aca="false" t="array" ref="B67:B67">INDEX(Data_DBD!$C:$C,$A67)</f>
        <v>2</v>
      </c>
      <c r="C67" s="5" t="n">
        <f aca="false" t="array" ref="C67:C67">INDEX(Data_DBD!$E:$E,$A67)</f>
        <v>0</v>
      </c>
      <c r="D67" s="5" t="str">
        <f aca="false" t="array" ref="D67:D67">INDEX(Data_DBD!$F:$F,$A67)</f>
        <v>Tinggi</v>
      </c>
      <c r="H67" s="5" t="n">
        <v>94</v>
      </c>
      <c r="I67" s="5" t="n">
        <v>4</v>
      </c>
      <c r="J67" s="5" t="n">
        <v>0</v>
      </c>
      <c r="K67" s="5" t="s">
        <v>115</v>
      </c>
    </row>
    <row r="68" customFormat="false" ht="15" hidden="false" customHeight="false" outlineLevel="0" collapsed="false">
      <c r="A68" s="5" t="n">
        <f aca="false">RANDBETWEEN(2,164)</f>
        <v>152</v>
      </c>
      <c r="B68" s="5" t="n">
        <f aca="false" t="array" ref="B68:B68">INDEX(Data_DBD!$C:$C,$A68)</f>
        <v>3</v>
      </c>
      <c r="C68" s="5" t="n">
        <f aca="false" t="array" ref="C68:C68">INDEX(Data_DBD!$E:$E,$A68)</f>
        <v>1</v>
      </c>
      <c r="D68" s="5" t="str">
        <f aca="false" t="array" ref="D68:D68">INDEX(Data_DBD!$F:$F,$A68)</f>
        <v>Tinggi</v>
      </c>
      <c r="H68" s="5" t="n">
        <v>37</v>
      </c>
      <c r="I68" s="5" t="n">
        <v>4</v>
      </c>
      <c r="J68" s="5" t="n">
        <v>1</v>
      </c>
      <c r="K68" s="5" t="s">
        <v>20</v>
      </c>
    </row>
    <row r="69" customFormat="false" ht="15" hidden="false" customHeight="false" outlineLevel="0" collapsed="false">
      <c r="A69" s="5" t="n">
        <f aca="false">RANDBETWEEN(2,164)</f>
        <v>111</v>
      </c>
      <c r="B69" s="5" t="n">
        <f aca="false" t="array" ref="B69:B69">INDEX(Data_DBD!$C:$C,$A69)</f>
        <v>4</v>
      </c>
      <c r="C69" s="5" t="n">
        <f aca="false" t="array" ref="C69:C69">INDEX(Data_DBD!$E:$E,$A69)</f>
        <v>0</v>
      </c>
      <c r="D69" s="5" t="str">
        <f aca="false" t="array" ref="D69:D69">INDEX(Data_DBD!$F:$F,$A69)</f>
        <v>Tinggi</v>
      </c>
      <c r="H69" s="5" t="n">
        <v>144</v>
      </c>
      <c r="I69" s="5" t="n">
        <v>4</v>
      </c>
      <c r="J69" s="5" t="n">
        <v>1</v>
      </c>
      <c r="K69" s="5" t="s">
        <v>115</v>
      </c>
    </row>
    <row r="70" customFormat="false" ht="15" hidden="false" customHeight="false" outlineLevel="0" collapsed="false">
      <c r="A70" s="5" t="n">
        <f aca="false">RANDBETWEEN(2,164)</f>
        <v>26</v>
      </c>
      <c r="B70" s="5" t="n">
        <f aca="false" t="array" ref="B70:B70">INDEX(Data_DBD!$C:$C,$A70)</f>
        <v>4</v>
      </c>
      <c r="C70" s="5" t="n">
        <f aca="false" t="array" ref="C70:C70">INDEX(Data_DBD!$E:$E,$A70)</f>
        <v>1</v>
      </c>
      <c r="D70" s="5" t="str">
        <f aca="false" t="array" ref="D70:D70">INDEX(Data_DBD!$F:$F,$A70)</f>
        <v>Sedang</v>
      </c>
      <c r="H70" s="5" t="n">
        <v>154</v>
      </c>
      <c r="I70" s="5" t="n">
        <v>5</v>
      </c>
      <c r="J70" s="5" t="n">
        <v>1</v>
      </c>
      <c r="K70" s="5" t="s">
        <v>115</v>
      </c>
    </row>
    <row r="71" customFormat="false" ht="15" hidden="false" customHeight="false" outlineLevel="0" collapsed="false">
      <c r="A71" s="5" t="n">
        <f aca="false">RANDBETWEEN(2,164)</f>
        <v>65</v>
      </c>
      <c r="B71" s="5" t="n">
        <f aca="false" t="array" ref="B71:B71">INDEX(Data_DBD!$C:$C,$A71)</f>
        <v>3</v>
      </c>
      <c r="C71" s="5" t="n">
        <f aca="false" t="array" ref="C71:C71">INDEX(Data_DBD!$E:$E,$A71)</f>
        <v>0</v>
      </c>
      <c r="D71" s="5" t="str">
        <f aca="false" t="array" ref="D71:D71">INDEX(Data_DBD!$F:$F,$A71)</f>
        <v>Sedang</v>
      </c>
      <c r="H71" s="5" t="n">
        <v>111</v>
      </c>
      <c r="I71" s="5" t="n">
        <v>4</v>
      </c>
      <c r="J71" s="5" t="n">
        <v>0</v>
      </c>
      <c r="K71" s="5" t="s">
        <v>115</v>
      </c>
    </row>
    <row r="72" customFormat="false" ht="15" hidden="false" customHeight="false" outlineLevel="0" collapsed="false">
      <c r="A72" s="5" t="n">
        <f aca="false">RANDBETWEEN(2,164)</f>
        <v>88</v>
      </c>
      <c r="B72" s="5" t="n">
        <f aca="false" t="array" ref="B72:B72">INDEX(Data_DBD!$C:$C,$A72)</f>
        <v>4</v>
      </c>
      <c r="C72" s="5" t="n">
        <f aca="false" t="array" ref="C72:C72">INDEX(Data_DBD!$E:$E,$A72)</f>
        <v>1</v>
      </c>
      <c r="D72" s="5" t="str">
        <f aca="false" t="array" ref="D72:D72">INDEX(Data_DBD!$F:$F,$A72)</f>
        <v>Sedang</v>
      </c>
      <c r="H72" s="5" t="n">
        <v>149</v>
      </c>
      <c r="I72" s="5" t="n">
        <v>5</v>
      </c>
      <c r="J72" s="5" t="n">
        <v>0</v>
      </c>
      <c r="K72" s="5" t="s">
        <v>115</v>
      </c>
    </row>
    <row r="73" customFormat="false" ht="15" hidden="false" customHeight="false" outlineLevel="0" collapsed="false">
      <c r="A73" s="5" t="n">
        <f aca="false">RANDBETWEEN(2,164)</f>
        <v>133</v>
      </c>
      <c r="B73" s="5" t="n">
        <f aca="false" t="array" ref="B73:B73">INDEX(Data_DBD!$C:$C,$A73)</f>
        <v>4</v>
      </c>
      <c r="C73" s="5" t="n">
        <f aca="false" t="array" ref="C73:C73">INDEX(Data_DBD!$E:$E,$A73)</f>
        <v>0</v>
      </c>
      <c r="D73" s="5" t="str">
        <f aca="false" t="array" ref="D73:D73">INDEX(Data_DBD!$F:$F,$A73)</f>
        <v>Tinggi</v>
      </c>
      <c r="H73" s="5" t="n">
        <v>52</v>
      </c>
      <c r="I73" s="5" t="n">
        <v>4</v>
      </c>
      <c r="J73" s="5" t="n">
        <v>1</v>
      </c>
      <c r="K73" s="5" t="s">
        <v>7</v>
      </c>
    </row>
    <row r="74" customFormat="false" ht="15" hidden="false" customHeight="false" outlineLevel="0" collapsed="false">
      <c r="A74" s="5" t="n">
        <f aca="false">RANDBETWEEN(2,164)</f>
        <v>56</v>
      </c>
      <c r="B74" s="5" t="n">
        <f aca="false" t="array" ref="B74:B74">INDEX(Data_DBD!$C:$C,$A74)</f>
        <v>3</v>
      </c>
      <c r="C74" s="5" t="n">
        <f aca="false" t="array" ref="C74:C74">INDEX(Data_DBD!$E:$E,$A74)</f>
        <v>0</v>
      </c>
      <c r="D74" s="5" t="str">
        <f aca="false" t="array" ref="D74:D74">INDEX(Data_DBD!$F:$F,$A74)</f>
        <v>Sedang</v>
      </c>
      <c r="H74" s="5" t="n">
        <v>65</v>
      </c>
      <c r="I74" s="5" t="n">
        <v>3</v>
      </c>
      <c r="J74" s="5" t="n">
        <v>0</v>
      </c>
      <c r="K74" s="5" t="s">
        <v>7</v>
      </c>
    </row>
    <row r="75" customFormat="false" ht="15" hidden="false" customHeight="false" outlineLevel="0" collapsed="false">
      <c r="A75" s="5" t="n">
        <f aca="false">RANDBETWEEN(2,164)</f>
        <v>163</v>
      </c>
      <c r="B75" s="5" t="n">
        <f aca="false" t="array" ref="B75:B75">INDEX(Data_DBD!$C:$C,$A75)</f>
        <v>4</v>
      </c>
      <c r="C75" s="5" t="n">
        <f aca="false" t="array" ref="C75:C75">INDEX(Data_DBD!$E:$E,$A75)</f>
        <v>1</v>
      </c>
      <c r="D75" s="5" t="str">
        <f aca="false" t="array" ref="D75:D75">INDEX(Data_DBD!$F:$F,$A75)</f>
        <v>Rendah</v>
      </c>
      <c r="H75" s="5" t="n">
        <v>112</v>
      </c>
      <c r="I75" s="5" t="n">
        <v>3</v>
      </c>
      <c r="J75" s="5" t="n">
        <v>1</v>
      </c>
      <c r="K75" s="5" t="s">
        <v>115</v>
      </c>
    </row>
    <row r="76" customFormat="false" ht="15" hidden="false" customHeight="false" outlineLevel="0" collapsed="false">
      <c r="A76" s="5" t="n">
        <f aca="false">RANDBETWEEN(2,164)</f>
        <v>97</v>
      </c>
      <c r="B76" s="5" t="n">
        <f aca="false" t="array" ref="B76:B76">INDEX(Data_DBD!$C:$C,$A76)</f>
        <v>2</v>
      </c>
      <c r="C76" s="5" t="n">
        <f aca="false" t="array" ref="C76:C76">INDEX(Data_DBD!$E:$E,$A76)</f>
        <v>1</v>
      </c>
      <c r="D76" s="5" t="str">
        <f aca="false" t="array" ref="D76:D76">INDEX(Data_DBD!$F:$F,$A76)</f>
        <v>Sedang</v>
      </c>
      <c r="H76" s="5" t="n">
        <v>25</v>
      </c>
      <c r="I76" s="5" t="n">
        <v>5</v>
      </c>
      <c r="J76" s="5" t="n">
        <v>0</v>
      </c>
      <c r="K76" s="5" t="s">
        <v>7</v>
      </c>
    </row>
    <row r="77" customFormat="false" ht="15" hidden="false" customHeight="false" outlineLevel="0" collapsed="false">
      <c r="A77" s="5" t="n">
        <f aca="false">RANDBETWEEN(2,164)</f>
        <v>71</v>
      </c>
      <c r="B77" s="5" t="n">
        <f aca="false" t="array" ref="B77:B77">INDEX(Data_DBD!$C:$C,$A77)</f>
        <v>3</v>
      </c>
      <c r="C77" s="5" t="n">
        <f aca="false" t="array" ref="C77:C77">INDEX(Data_DBD!$E:$E,$A77)</f>
        <v>0</v>
      </c>
      <c r="D77" s="5" t="str">
        <f aca="false" t="array" ref="D77:D77">INDEX(Data_DBD!$F:$F,$A77)</f>
        <v>Rendah</v>
      </c>
      <c r="H77" s="5" t="n">
        <v>138</v>
      </c>
      <c r="I77" s="5" t="n">
        <v>3</v>
      </c>
      <c r="J77" s="5" t="n">
        <v>1</v>
      </c>
      <c r="K77" s="5" t="s">
        <v>115</v>
      </c>
    </row>
    <row r="78" customFormat="false" ht="15" hidden="false" customHeight="false" outlineLevel="0" collapsed="false">
      <c r="A78" s="5" t="n">
        <f aca="false">RANDBETWEEN(2,164)</f>
        <v>130</v>
      </c>
      <c r="B78" s="5" t="n">
        <f aca="false" t="array" ref="B78:B78">INDEX(Data_DBD!$C:$C,$A78)</f>
        <v>4</v>
      </c>
      <c r="C78" s="5" t="n">
        <f aca="false" t="array" ref="C78:C78">INDEX(Data_DBD!$E:$E,$A78)</f>
        <v>0</v>
      </c>
      <c r="D78" s="5" t="str">
        <f aca="false" t="array" ref="D78:D78">INDEX(Data_DBD!$F:$F,$A78)</f>
        <v>Tinggi</v>
      </c>
      <c r="H78" s="5" t="n">
        <v>133</v>
      </c>
      <c r="I78" s="5" t="n">
        <v>4</v>
      </c>
      <c r="J78" s="5" t="n">
        <v>0</v>
      </c>
      <c r="K78" s="5" t="s">
        <v>115</v>
      </c>
    </row>
    <row r="79" customFormat="false" ht="15" hidden="false" customHeight="false" outlineLevel="0" collapsed="false">
      <c r="A79" s="5" t="n">
        <f aca="false">RANDBETWEEN(2,164)</f>
        <v>48</v>
      </c>
      <c r="B79" s="5" t="n">
        <f aca="false" t="array" ref="B79:B79">INDEX(Data_DBD!$C:$C,$A79)</f>
        <v>5</v>
      </c>
      <c r="C79" s="5" t="n">
        <f aca="false" t="array" ref="C79:C79">INDEX(Data_DBD!$E:$E,$A79)</f>
        <v>1</v>
      </c>
      <c r="D79" s="5" t="str">
        <f aca="false" t="array" ref="D79:D79">INDEX(Data_DBD!$F:$F,$A79)</f>
        <v>Sedang</v>
      </c>
      <c r="H79" s="5" t="n">
        <v>43</v>
      </c>
      <c r="I79" s="5" t="n">
        <v>4</v>
      </c>
      <c r="J79" s="5" t="n">
        <v>0</v>
      </c>
      <c r="K79" s="5" t="s">
        <v>7</v>
      </c>
    </row>
    <row r="80" customFormat="false" ht="15" hidden="false" customHeight="false" outlineLevel="0" collapsed="false">
      <c r="A80" s="5" t="n">
        <f aca="false">RANDBETWEEN(2,164)</f>
        <v>32</v>
      </c>
      <c r="B80" s="5" t="n">
        <f aca="false" t="array" ref="B80:B80">INDEX(Data_DBD!$C:$C,$A80)</f>
        <v>4</v>
      </c>
      <c r="C80" s="5" t="n">
        <f aca="false" t="array" ref="C80:C80">INDEX(Data_DBD!$E:$E,$A80)</f>
        <v>0</v>
      </c>
      <c r="D80" s="5" t="str">
        <f aca="false" t="array" ref="D80:D80">INDEX(Data_DBD!$F:$F,$A80)</f>
        <v>Sedang</v>
      </c>
      <c r="H80" s="5" t="n">
        <v>162</v>
      </c>
      <c r="I80" s="5" t="n">
        <v>3</v>
      </c>
      <c r="J80" s="5" t="n">
        <v>1</v>
      </c>
      <c r="K80" s="5" t="s">
        <v>20</v>
      </c>
    </row>
    <row r="81" customFormat="false" ht="15" hidden="false" customHeight="false" outlineLevel="0" collapsed="false">
      <c r="A81" s="5" t="n">
        <f aca="false">RANDBETWEEN(2,164)</f>
        <v>135</v>
      </c>
      <c r="B81" s="5" t="n">
        <f aca="false" t="array" ref="B81:B81">INDEX(Data_DBD!$C:$C,$A81)</f>
        <v>2</v>
      </c>
      <c r="C81" s="5" t="n">
        <f aca="false" t="array" ref="C81:C81">INDEX(Data_DBD!$E:$E,$A81)</f>
        <v>0</v>
      </c>
      <c r="D81" s="5" t="str">
        <f aca="false" t="array" ref="D81:D81">INDEX(Data_DBD!$F:$F,$A81)</f>
        <v>Tinggi</v>
      </c>
      <c r="H81" s="5" t="n">
        <v>42</v>
      </c>
      <c r="I81" s="5" t="n">
        <v>5</v>
      </c>
      <c r="J81" s="5" t="n">
        <v>1</v>
      </c>
      <c r="K81" s="5" t="s">
        <v>7</v>
      </c>
    </row>
    <row r="82" customFormat="false" ht="15" hidden="false" customHeight="false" outlineLevel="0" collapsed="false">
      <c r="A82" s="5" t="n">
        <f aca="false">RANDBETWEEN(2,164)</f>
        <v>35</v>
      </c>
      <c r="B82" s="5" t="n">
        <f aca="false" t="array" ref="B82:B82">INDEX(Data_DBD!$C:$C,$A82)</f>
        <v>3</v>
      </c>
      <c r="C82" s="5" t="n">
        <f aca="false" t="array" ref="C82:C82">INDEX(Data_DBD!$E:$E,$A82)</f>
        <v>1</v>
      </c>
      <c r="D82" s="5" t="str">
        <f aca="false" t="array" ref="D82:D82">INDEX(Data_DBD!$F:$F,$A82)</f>
        <v>Rendah</v>
      </c>
      <c r="H82" s="5" t="n">
        <v>43</v>
      </c>
      <c r="I82" s="5" t="n">
        <v>4</v>
      </c>
      <c r="J82" s="5" t="n">
        <v>0</v>
      </c>
      <c r="K82" s="5" t="s">
        <v>7</v>
      </c>
    </row>
    <row r="83" customFormat="false" ht="15" hidden="false" customHeight="false" outlineLevel="0" collapsed="false">
      <c r="A83" s="5" t="n">
        <f aca="false">RANDBETWEEN(2,164)</f>
        <v>80</v>
      </c>
      <c r="B83" s="5" t="n">
        <f aca="false" t="array" ref="B83:B83">INDEX(Data_DBD!$C:$C,$A83)</f>
        <v>3</v>
      </c>
      <c r="C83" s="5" t="n">
        <f aca="false" t="array" ref="C83:C83">INDEX(Data_DBD!$E:$E,$A83)</f>
        <v>1</v>
      </c>
      <c r="D83" s="5" t="str">
        <f aca="false" t="array" ref="D83:D83">INDEX(Data_DBD!$F:$F,$A83)</f>
        <v>Sedang</v>
      </c>
      <c r="H83" s="5" t="n">
        <v>80</v>
      </c>
      <c r="I83" s="5" t="n">
        <v>3</v>
      </c>
      <c r="J83" s="5" t="n">
        <v>1</v>
      </c>
      <c r="K83" s="5" t="s">
        <v>7</v>
      </c>
    </row>
    <row r="84" customFormat="false" ht="15" hidden="false" customHeight="false" outlineLevel="0" collapsed="false">
      <c r="A84" s="5" t="n">
        <f aca="false">RANDBETWEEN(2,164)</f>
        <v>101</v>
      </c>
      <c r="B84" s="5" t="n">
        <f aca="false" t="array" ref="B84:B84">INDEX(Data_DBD!$C:$C,$A84)</f>
        <v>5</v>
      </c>
      <c r="C84" s="5" t="n">
        <f aca="false" t="array" ref="C84:C84">INDEX(Data_DBD!$E:$E,$A84)</f>
        <v>0</v>
      </c>
      <c r="D84" s="5" t="str">
        <f aca="false" t="array" ref="D84:D84">INDEX(Data_DBD!$F:$F,$A84)</f>
        <v>Sedang</v>
      </c>
      <c r="H84" s="5" t="n">
        <v>78</v>
      </c>
      <c r="I84" s="5" t="n">
        <v>3</v>
      </c>
      <c r="J84" s="5" t="n">
        <v>0</v>
      </c>
      <c r="K84" s="5" t="s">
        <v>7</v>
      </c>
    </row>
    <row r="85" customFormat="false" ht="15" hidden="false" customHeight="false" outlineLevel="0" collapsed="false">
      <c r="A85" s="5" t="n">
        <f aca="false">RANDBETWEEN(2,164)</f>
        <v>77</v>
      </c>
      <c r="B85" s="5" t="n">
        <f aca="false" t="array" ref="B85:B85">INDEX(Data_DBD!$C:$C,$A85)</f>
        <v>4</v>
      </c>
      <c r="C85" s="5" t="n">
        <f aca="false" t="array" ref="C85:C85">INDEX(Data_DBD!$E:$E,$A85)</f>
        <v>1</v>
      </c>
      <c r="D85" s="5" t="str">
        <f aca="false" t="array" ref="D85:D85">INDEX(Data_DBD!$F:$F,$A85)</f>
        <v>Sedang</v>
      </c>
      <c r="H85" s="5" t="n">
        <v>134</v>
      </c>
      <c r="I85" s="5" t="n">
        <v>2</v>
      </c>
      <c r="J85" s="5" t="n">
        <v>1</v>
      </c>
      <c r="K85" s="5" t="s">
        <v>115</v>
      </c>
    </row>
    <row r="86" customFormat="false" ht="15" hidden="false" customHeight="false" outlineLevel="0" collapsed="false">
      <c r="A86" s="5" t="n">
        <f aca="false">RANDBETWEEN(2,164)</f>
        <v>145</v>
      </c>
      <c r="B86" s="5" t="n">
        <f aca="false" t="array" ref="B86:B86">INDEX(Data_DBD!$C:$C,$A86)</f>
        <v>4</v>
      </c>
      <c r="C86" s="5" t="n">
        <f aca="false" t="array" ref="C86:C86">INDEX(Data_DBD!$E:$E,$A86)</f>
        <v>1</v>
      </c>
      <c r="D86" s="5" t="str">
        <f aca="false" t="array" ref="D86:D86">INDEX(Data_DBD!$F:$F,$A86)</f>
        <v>Tinggi</v>
      </c>
      <c r="H86" s="5" t="n">
        <v>22</v>
      </c>
      <c r="I86" s="5" t="n">
        <v>3</v>
      </c>
      <c r="J86" s="5" t="n">
        <v>0</v>
      </c>
      <c r="K86" s="5" t="s">
        <v>7</v>
      </c>
    </row>
    <row r="87" customFormat="false" ht="15" hidden="false" customHeight="false" outlineLevel="0" collapsed="false">
      <c r="A87" s="5" t="n">
        <f aca="false">RANDBETWEEN(2,164)</f>
        <v>33</v>
      </c>
      <c r="B87" s="5" t="n">
        <f aca="false" t="array" ref="B87:B87">INDEX(Data_DBD!$C:$C,$A87)</f>
        <v>4</v>
      </c>
      <c r="C87" s="5" t="n">
        <f aca="false" t="array" ref="C87:C87">INDEX(Data_DBD!$E:$E,$A87)</f>
        <v>1</v>
      </c>
      <c r="D87" s="5" t="str">
        <f aca="false" t="array" ref="D87:D87">INDEX(Data_DBD!$F:$F,$A87)</f>
        <v>Sedang</v>
      </c>
      <c r="H87" s="5" t="n">
        <v>49</v>
      </c>
      <c r="I87" s="5" t="n">
        <v>5</v>
      </c>
      <c r="J87" s="5" t="n">
        <v>0</v>
      </c>
      <c r="K87" s="5" t="s">
        <v>7</v>
      </c>
    </row>
    <row r="88" customFormat="false" ht="15" hidden="false" customHeight="false" outlineLevel="0" collapsed="false">
      <c r="A88" s="5" t="n">
        <f aca="false">RANDBETWEEN(2,164)</f>
        <v>148</v>
      </c>
      <c r="B88" s="5" t="n">
        <f aca="false" t="array" ref="B88:B88">INDEX(Data_DBD!$C:$C,$A88)</f>
        <v>3</v>
      </c>
      <c r="C88" s="5" t="n">
        <f aca="false" t="array" ref="C88:C88">INDEX(Data_DBD!$E:$E,$A88)</f>
        <v>1</v>
      </c>
      <c r="D88" s="5" t="str">
        <f aca="false" t="array" ref="D88:D88">INDEX(Data_DBD!$F:$F,$A88)</f>
        <v>Tinggi</v>
      </c>
      <c r="H88" s="5" t="n">
        <v>73</v>
      </c>
      <c r="I88" s="5" t="n">
        <v>3</v>
      </c>
      <c r="J88" s="5" t="n">
        <v>1</v>
      </c>
      <c r="K88" s="5" t="s">
        <v>7</v>
      </c>
    </row>
    <row r="89" customFormat="false" ht="15" hidden="false" customHeight="false" outlineLevel="0" collapsed="false">
      <c r="A89" s="5" t="n">
        <f aca="false">RANDBETWEEN(2,164)</f>
        <v>7</v>
      </c>
      <c r="B89" s="5" t="n">
        <f aca="false" t="array" ref="B89:B89">INDEX(Data_DBD!$C:$C,$A89)</f>
        <v>1</v>
      </c>
      <c r="C89" s="5" t="n">
        <f aca="false" t="array" ref="C89:C89">INDEX(Data_DBD!$E:$E,$A89)</f>
        <v>1</v>
      </c>
      <c r="D89" s="5" t="str">
        <f aca="false" t="array" ref="D89:D89">INDEX(Data_DBD!$F:$F,$A89)</f>
        <v>Sedang</v>
      </c>
      <c r="H89" s="5" t="n">
        <v>67</v>
      </c>
      <c r="I89" s="5" t="n">
        <v>3</v>
      </c>
      <c r="J89" s="5" t="n">
        <v>1</v>
      </c>
      <c r="K89" s="5" t="s">
        <v>7</v>
      </c>
    </row>
    <row r="90" customFormat="false" ht="15" hidden="false" customHeight="false" outlineLevel="0" collapsed="false">
      <c r="A90" s="5" t="n">
        <f aca="false">RANDBETWEEN(2,164)</f>
        <v>145</v>
      </c>
      <c r="B90" s="5" t="n">
        <f aca="false" t="array" ref="B90:B90">INDEX(Data_DBD!$C:$C,$A90)</f>
        <v>4</v>
      </c>
      <c r="C90" s="5" t="n">
        <f aca="false" t="array" ref="C90:C90">INDEX(Data_DBD!$E:$E,$A90)</f>
        <v>1</v>
      </c>
      <c r="D90" s="5" t="str">
        <f aca="false" t="array" ref="D90:D90">INDEX(Data_DBD!$F:$F,$A90)</f>
        <v>Tinggi</v>
      </c>
      <c r="H90" s="5" t="n">
        <v>91</v>
      </c>
      <c r="I90" s="5" t="n">
        <v>1</v>
      </c>
      <c r="J90" s="5" t="n">
        <v>1</v>
      </c>
      <c r="K90" s="5" t="s">
        <v>115</v>
      </c>
    </row>
    <row r="91" customFormat="false" ht="15" hidden="false" customHeight="false" outlineLevel="0" collapsed="false">
      <c r="A91" s="5" t="n">
        <f aca="false">RANDBETWEEN(2,164)</f>
        <v>104</v>
      </c>
      <c r="B91" s="5" t="n">
        <f aca="false" t="array" ref="B91:B91">INDEX(Data_DBD!$C:$C,$A91)</f>
        <v>4</v>
      </c>
      <c r="C91" s="5" t="n">
        <f aca="false" t="array" ref="C91:C91">INDEX(Data_DBD!$E:$E,$A91)</f>
        <v>1</v>
      </c>
      <c r="D91" s="5" t="str">
        <f aca="false" t="array" ref="D91:D91">INDEX(Data_DBD!$F:$F,$A91)</f>
        <v>Sedang</v>
      </c>
      <c r="H91" s="5" t="n">
        <v>13</v>
      </c>
      <c r="I91" s="5" t="n">
        <v>2</v>
      </c>
      <c r="J91" s="5" t="n">
        <v>0</v>
      </c>
      <c r="K91" s="5" t="s">
        <v>7</v>
      </c>
    </row>
    <row r="92" customFormat="false" ht="15" hidden="false" customHeight="false" outlineLevel="0" collapsed="false">
      <c r="A92" s="5" t="n">
        <f aca="false">RANDBETWEEN(2,164)</f>
        <v>162</v>
      </c>
      <c r="B92" s="5" t="n">
        <f aca="false" t="array" ref="B92:B92">INDEX(Data_DBD!$C:$C,$A92)</f>
        <v>3</v>
      </c>
      <c r="C92" s="5" t="n">
        <f aca="false" t="array" ref="C92:C92">INDEX(Data_DBD!$E:$E,$A92)</f>
        <v>1</v>
      </c>
      <c r="D92" s="5" t="str">
        <f aca="false" t="array" ref="D92:D92">INDEX(Data_DBD!$F:$F,$A92)</f>
        <v>Rendah</v>
      </c>
      <c r="H92" s="5" t="n">
        <v>149</v>
      </c>
      <c r="I92" s="5" t="n">
        <v>5</v>
      </c>
      <c r="J92" s="5" t="n">
        <v>0</v>
      </c>
      <c r="K92" s="5" t="s">
        <v>115</v>
      </c>
    </row>
    <row r="93" customFormat="false" ht="15" hidden="false" customHeight="false" outlineLevel="0" collapsed="false">
      <c r="A93" s="5" t="n">
        <f aca="false">RANDBETWEEN(2,164)</f>
        <v>2</v>
      </c>
      <c r="B93" s="5" t="n">
        <f aca="false" t="array" ref="B93:B93">INDEX(Data_DBD!$C:$C,$A93)</f>
        <v>3</v>
      </c>
      <c r="C93" s="5" t="n">
        <f aca="false" t="array" ref="C93:C93">INDEX(Data_DBD!$E:$E,$A93)</f>
        <v>0</v>
      </c>
      <c r="D93" s="5" t="str">
        <f aca="false" t="array" ref="D93:D93">INDEX(Data_DBD!$F:$F,$A93)</f>
        <v>Sedang</v>
      </c>
      <c r="H93" s="5" t="n">
        <v>109</v>
      </c>
      <c r="I93" s="5" t="n">
        <v>3</v>
      </c>
      <c r="J93" s="5" t="n">
        <v>1</v>
      </c>
      <c r="K93" s="5" t="s">
        <v>115</v>
      </c>
    </row>
    <row r="94" customFormat="false" ht="15" hidden="false" customHeight="false" outlineLevel="0" collapsed="false">
      <c r="A94" s="5" t="n">
        <f aca="false">RANDBETWEEN(2,164)</f>
        <v>133</v>
      </c>
      <c r="B94" s="5" t="n">
        <f aca="false" t="array" ref="B94:B94">INDEX(Data_DBD!$C:$C,$A94)</f>
        <v>4</v>
      </c>
      <c r="C94" s="5" t="n">
        <f aca="false" t="array" ref="C94:C94">INDEX(Data_DBD!$E:$E,$A94)</f>
        <v>0</v>
      </c>
      <c r="D94" s="5" t="str">
        <f aca="false" t="array" ref="D94:D94">INDEX(Data_DBD!$F:$F,$A94)</f>
        <v>Tinggi</v>
      </c>
      <c r="H94" s="5" t="n">
        <v>135</v>
      </c>
      <c r="I94" s="5" t="n">
        <v>2</v>
      </c>
      <c r="J94" s="5" t="n">
        <v>0</v>
      </c>
      <c r="K94" s="5" t="s">
        <v>115</v>
      </c>
    </row>
    <row r="95" customFormat="false" ht="15" hidden="false" customHeight="false" outlineLevel="0" collapsed="false">
      <c r="A95" s="5" t="n">
        <f aca="false">RANDBETWEEN(2,164)</f>
        <v>139</v>
      </c>
      <c r="B95" s="5" t="n">
        <f aca="false" t="array" ref="B95:B95">INDEX(Data_DBD!$C:$C,$A95)</f>
        <v>7</v>
      </c>
      <c r="C95" s="5" t="n">
        <f aca="false" t="array" ref="C95:C95">INDEX(Data_DBD!$E:$E,$A95)</f>
        <v>0</v>
      </c>
      <c r="D95" s="5" t="str">
        <f aca="false" t="array" ref="D95:D95">INDEX(Data_DBD!$F:$F,$A95)</f>
        <v>Tinggi</v>
      </c>
      <c r="H95" s="5" t="n">
        <v>144</v>
      </c>
      <c r="I95" s="5" t="n">
        <v>4</v>
      </c>
      <c r="J95" s="5" t="n">
        <v>1</v>
      </c>
      <c r="K95" s="5" t="s">
        <v>115</v>
      </c>
    </row>
    <row r="96" customFormat="false" ht="15" hidden="false" customHeight="false" outlineLevel="0" collapsed="false">
      <c r="A96" s="5" t="n">
        <f aca="false">RANDBETWEEN(2,164)</f>
        <v>63</v>
      </c>
      <c r="B96" s="5" t="n">
        <f aca="false" t="array" ref="B96:B96">INDEX(Data_DBD!$C:$C,$A96)</f>
        <v>3</v>
      </c>
      <c r="C96" s="5" t="n">
        <f aca="false" t="array" ref="C96:C96">INDEX(Data_DBD!$E:$E,$A96)</f>
        <v>0</v>
      </c>
      <c r="D96" s="5" t="str">
        <f aca="false" t="array" ref="D96:D96">INDEX(Data_DBD!$F:$F,$A96)</f>
        <v>Sedang</v>
      </c>
      <c r="H96" s="5" t="n">
        <v>91</v>
      </c>
      <c r="I96" s="5" t="n">
        <v>1</v>
      </c>
      <c r="J96" s="5" t="n">
        <v>1</v>
      </c>
      <c r="K96" s="5" t="s">
        <v>115</v>
      </c>
    </row>
    <row r="97" customFormat="false" ht="15" hidden="false" customHeight="false" outlineLevel="0" collapsed="false">
      <c r="A97" s="5" t="n">
        <f aca="false">RANDBETWEEN(2,164)</f>
        <v>128</v>
      </c>
      <c r="B97" s="5" t="n">
        <f aca="false" t="array" ref="B97:B97">INDEX(Data_DBD!$C:$C,$A97)</f>
        <v>2</v>
      </c>
      <c r="C97" s="5" t="n">
        <f aca="false" t="array" ref="C97:C97">INDEX(Data_DBD!$E:$E,$A97)</f>
        <v>0</v>
      </c>
      <c r="D97" s="5" t="str">
        <f aca="false" t="array" ref="D97:D97">INDEX(Data_DBD!$F:$F,$A97)</f>
        <v>Tinggi</v>
      </c>
      <c r="H97" s="5" t="n">
        <v>66</v>
      </c>
      <c r="I97" s="5" t="n">
        <v>5</v>
      </c>
      <c r="J97" s="5" t="n">
        <v>1</v>
      </c>
      <c r="K97" s="5" t="s">
        <v>7</v>
      </c>
    </row>
    <row r="98" customFormat="false" ht="15" hidden="false" customHeight="false" outlineLevel="0" collapsed="false">
      <c r="A98" s="5" t="n">
        <f aca="false">RANDBETWEEN(2,164)</f>
        <v>20</v>
      </c>
      <c r="B98" s="5" t="n">
        <f aca="false" t="array" ref="B98:B98">INDEX(Data_DBD!$C:$C,$A98)</f>
        <v>5</v>
      </c>
      <c r="C98" s="5" t="n">
        <f aca="false" t="array" ref="C98:C98">INDEX(Data_DBD!$E:$E,$A98)</f>
        <v>0</v>
      </c>
      <c r="D98" s="5" t="str">
        <f aca="false" t="array" ref="D98:D98">INDEX(Data_DBD!$F:$F,$A98)</f>
        <v>Rendah</v>
      </c>
      <c r="H98" s="5" t="n">
        <v>3</v>
      </c>
      <c r="I98" s="5" t="n">
        <v>3</v>
      </c>
      <c r="J98" s="5" t="n">
        <v>1</v>
      </c>
      <c r="K98" s="5" t="s">
        <v>7</v>
      </c>
    </row>
    <row r="99" customFormat="false" ht="15" hidden="false" customHeight="false" outlineLevel="0" collapsed="false">
      <c r="A99" s="5" t="n">
        <f aca="false">RANDBETWEEN(2,164)</f>
        <v>47</v>
      </c>
      <c r="B99" s="5" t="n">
        <f aca="false" t="array" ref="B99:B99">INDEX(Data_DBD!$C:$C,$A99)</f>
        <v>2</v>
      </c>
      <c r="C99" s="5" t="n">
        <f aca="false" t="array" ref="C99:C99">INDEX(Data_DBD!$E:$E,$A99)</f>
        <v>0</v>
      </c>
      <c r="D99" s="5" t="str">
        <f aca="false" t="array" ref="D99:D99">INDEX(Data_DBD!$F:$F,$A99)</f>
        <v>Sedang</v>
      </c>
      <c r="H99" s="5" t="n">
        <v>103</v>
      </c>
      <c r="I99" s="5" t="n">
        <v>5</v>
      </c>
      <c r="J99" s="5" t="n">
        <v>0</v>
      </c>
      <c r="K99" s="5" t="s">
        <v>115</v>
      </c>
    </row>
    <row r="100" customFormat="false" ht="15" hidden="false" customHeight="false" outlineLevel="0" collapsed="false">
      <c r="A100" s="5" t="n">
        <f aca="false">RANDBETWEEN(2,164)</f>
        <v>118</v>
      </c>
      <c r="B100" s="5" t="n">
        <f aca="false" t="array" ref="B100:B100">INDEX(Data_DBD!$C:$C,$A100)</f>
        <v>4</v>
      </c>
      <c r="C100" s="5" t="n">
        <f aca="false" t="array" ref="C100:C100">INDEX(Data_DBD!$E:$E,$A100)</f>
        <v>1</v>
      </c>
      <c r="D100" s="5" t="str">
        <f aca="false" t="array" ref="D100:D100">INDEX(Data_DBD!$F:$F,$A100)</f>
        <v>Tinggi</v>
      </c>
      <c r="H100" s="5" t="n">
        <v>15</v>
      </c>
      <c r="I100" s="5" t="n">
        <v>2</v>
      </c>
      <c r="J100" s="5" t="n">
        <v>0</v>
      </c>
      <c r="K100" s="5" t="s">
        <v>20</v>
      </c>
    </row>
    <row r="101" customFormat="false" ht="15" hidden="false" customHeight="false" outlineLevel="0" collapsed="false">
      <c r="A101" s="5" t="n">
        <f aca="false">RANDBETWEEN(2,164)</f>
        <v>27</v>
      </c>
      <c r="B101" s="5" t="n">
        <f aca="false" t="array" ref="B101:B101">INDEX(Data_DBD!$C:$C,$A101)</f>
        <v>4</v>
      </c>
      <c r="C101" s="5" t="n">
        <f aca="false" t="array" ref="C101:C101">INDEX(Data_DBD!$E:$E,$A101)</f>
        <v>1</v>
      </c>
      <c r="D101" s="5" t="str">
        <f aca="false" t="array" ref="D101:D101">INDEX(Data_DBD!$F:$F,$A101)</f>
        <v>Sedang</v>
      </c>
      <c r="H101" s="5" t="n">
        <v>102</v>
      </c>
      <c r="I101" s="5" t="n">
        <v>4</v>
      </c>
      <c r="J101" s="5" t="n">
        <v>0</v>
      </c>
      <c r="K101" s="5" t="s">
        <v>115</v>
      </c>
    </row>
    <row r="102" customFormat="false" ht="15" hidden="false" customHeight="false" outlineLevel="0" collapsed="false">
      <c r="A102" s="5" t="n">
        <f aca="false">RANDBETWEEN(2,164)</f>
        <v>83</v>
      </c>
      <c r="B102" s="5" t="n">
        <f aca="false" t="array" ref="B102:B102">INDEX(Data_DBD!$C:$C,$A102)</f>
        <v>3</v>
      </c>
      <c r="C102" s="5" t="n">
        <f aca="false" t="array" ref="C102:C102">INDEX(Data_DBD!$E:$E,$A102)</f>
        <v>0</v>
      </c>
      <c r="D102" s="5" t="str">
        <f aca="false" t="array" ref="D102:D102">INDEX(Data_DBD!$F:$F,$A102)</f>
        <v>Sedang</v>
      </c>
      <c r="H102" s="5" t="n">
        <v>91</v>
      </c>
      <c r="I102" s="5" t="n">
        <v>1</v>
      </c>
      <c r="J102" s="5" t="n">
        <v>1</v>
      </c>
      <c r="K102" s="5" t="s">
        <v>115</v>
      </c>
    </row>
    <row r="103" customFormat="false" ht="15" hidden="false" customHeight="false" outlineLevel="0" collapsed="false">
      <c r="A103" s="5" t="n">
        <f aca="false">RANDBETWEEN(2,164)</f>
        <v>95</v>
      </c>
      <c r="B103" s="5" t="n">
        <f aca="false" t="array" ref="B103:B103">INDEX(Data_DBD!$C:$C,$A103)</f>
        <v>3</v>
      </c>
      <c r="C103" s="5" t="n">
        <f aca="false" t="array" ref="C103:C103">INDEX(Data_DBD!$E:$E,$A103)</f>
        <v>1</v>
      </c>
      <c r="D103" s="5" t="str">
        <f aca="false" t="array" ref="D103:D103">INDEX(Data_DBD!$F:$F,$A103)</f>
        <v>Sedang</v>
      </c>
      <c r="H103" s="5" t="n">
        <v>137</v>
      </c>
      <c r="I103" s="5" t="n">
        <v>1</v>
      </c>
      <c r="J103" s="5" t="n">
        <v>1</v>
      </c>
      <c r="K103" s="5" t="s">
        <v>115</v>
      </c>
    </row>
    <row r="104" customFormat="false" ht="15" hidden="false" customHeight="false" outlineLevel="0" collapsed="false">
      <c r="A104" s="5" t="n">
        <f aca="false">RANDBETWEEN(2,164)</f>
        <v>68</v>
      </c>
      <c r="B104" s="5" t="n">
        <f aca="false" t="array" ref="B104:B104">INDEX(Data_DBD!$C:$C,$A104)</f>
        <v>5</v>
      </c>
      <c r="C104" s="5" t="n">
        <f aca="false" t="array" ref="C104:C104">INDEX(Data_DBD!$E:$E,$A104)</f>
        <v>0</v>
      </c>
      <c r="D104" s="5" t="str">
        <f aca="false" t="array" ref="D104:D104">INDEX(Data_DBD!$F:$F,$A104)</f>
        <v>Rendah</v>
      </c>
      <c r="H104" s="5" t="n">
        <v>104</v>
      </c>
      <c r="I104" s="5" t="n">
        <v>4</v>
      </c>
      <c r="J104" s="5" t="n">
        <v>1</v>
      </c>
      <c r="K104" s="5" t="s">
        <v>115</v>
      </c>
    </row>
    <row r="105" customFormat="false" ht="15" hidden="false" customHeight="false" outlineLevel="0" collapsed="false">
      <c r="A105" s="5" t="n">
        <f aca="false">RANDBETWEEN(2,164)</f>
        <v>154</v>
      </c>
      <c r="B105" s="5" t="n">
        <f aca="false" t="array" ref="B105:B105">INDEX(Data_DBD!$C:$C,$A105)</f>
        <v>5</v>
      </c>
      <c r="C105" s="5" t="n">
        <f aca="false" t="array" ref="C105:C105">INDEX(Data_DBD!$E:$E,$A105)</f>
        <v>1</v>
      </c>
      <c r="D105" s="5" t="str">
        <f aca="false" t="array" ref="D105:D105">INDEX(Data_DBD!$F:$F,$A105)</f>
        <v>Tinggi</v>
      </c>
      <c r="H105" s="5" t="n">
        <v>118</v>
      </c>
      <c r="I105" s="5" t="n">
        <v>4</v>
      </c>
      <c r="J105" s="5" t="n">
        <v>1</v>
      </c>
      <c r="K105" s="5" t="s">
        <v>115</v>
      </c>
    </row>
    <row r="106" customFormat="false" ht="15" hidden="false" customHeight="false" outlineLevel="0" collapsed="false">
      <c r="A106" s="5" t="n">
        <f aca="false">RANDBETWEEN(2,164)</f>
        <v>134</v>
      </c>
      <c r="B106" s="5" t="n">
        <f aca="false" t="array" ref="B106:B106">INDEX(Data_DBD!$C:$C,$A106)</f>
        <v>2</v>
      </c>
      <c r="C106" s="5" t="n">
        <f aca="false" t="array" ref="C106:C106">INDEX(Data_DBD!$E:$E,$A106)</f>
        <v>1</v>
      </c>
      <c r="D106" s="5" t="str">
        <f aca="false" t="array" ref="D106:D106">INDEX(Data_DBD!$F:$F,$A106)</f>
        <v>Tinggi</v>
      </c>
      <c r="H106" s="5" t="n">
        <v>114</v>
      </c>
      <c r="I106" s="5" t="n">
        <v>2</v>
      </c>
      <c r="J106" s="5" t="n">
        <v>1</v>
      </c>
      <c r="K106" s="5" t="s">
        <v>115</v>
      </c>
    </row>
    <row r="107" customFormat="false" ht="15" hidden="false" customHeight="false" outlineLevel="0" collapsed="false">
      <c r="A107" s="5" t="n">
        <f aca="false">RANDBETWEEN(2,164)</f>
        <v>159</v>
      </c>
      <c r="B107" s="5" t="n">
        <f aca="false" t="array" ref="B107:B107">INDEX(Data_DBD!$C:$C,$A107)</f>
        <v>2</v>
      </c>
      <c r="C107" s="5" t="n">
        <f aca="false" t="array" ref="C107:C107">INDEX(Data_DBD!$E:$E,$A107)</f>
        <v>0</v>
      </c>
      <c r="D107" s="5" t="str">
        <f aca="false" t="array" ref="D107:D107">INDEX(Data_DBD!$F:$F,$A107)</f>
        <v>Tinggi</v>
      </c>
      <c r="H107" s="5" t="n">
        <v>52</v>
      </c>
      <c r="I107" s="5" t="n">
        <v>4</v>
      </c>
      <c r="J107" s="5" t="n">
        <v>1</v>
      </c>
      <c r="K107" s="5" t="s">
        <v>7</v>
      </c>
    </row>
    <row r="108" customFormat="false" ht="15" hidden="false" customHeight="false" outlineLevel="0" collapsed="false">
      <c r="A108" s="5" t="n">
        <f aca="false">RANDBETWEEN(2,164)</f>
        <v>40</v>
      </c>
      <c r="B108" s="5" t="n">
        <f aca="false" t="array" ref="B108:B108">INDEX(Data_DBD!$C:$C,$A108)</f>
        <v>3</v>
      </c>
      <c r="C108" s="5" t="n">
        <f aca="false" t="array" ref="C108:C108">INDEX(Data_DBD!$E:$E,$A108)</f>
        <v>1</v>
      </c>
      <c r="D108" s="5" t="str">
        <f aca="false" t="array" ref="D108:D108">INDEX(Data_DBD!$F:$F,$A108)</f>
        <v>Sedang</v>
      </c>
      <c r="H108" s="5" t="n">
        <v>52</v>
      </c>
      <c r="I108" s="5" t="n">
        <v>4</v>
      </c>
      <c r="J108" s="5" t="n">
        <v>1</v>
      </c>
      <c r="K108" s="5" t="s">
        <v>7</v>
      </c>
    </row>
    <row r="109" customFormat="false" ht="15" hidden="false" customHeight="false" outlineLevel="0" collapsed="false">
      <c r="A109" s="5" t="n">
        <f aca="false">RANDBETWEEN(2,164)</f>
        <v>5</v>
      </c>
      <c r="B109" s="5" t="n">
        <f aca="false" t="array" ref="B109:B109">INDEX(Data_DBD!$C:$C,$A109)</f>
        <v>2</v>
      </c>
      <c r="C109" s="5" t="n">
        <f aca="false" t="array" ref="C109:C109">INDEX(Data_DBD!$E:$E,$A109)</f>
        <v>1</v>
      </c>
      <c r="D109" s="5" t="str">
        <f aca="false" t="array" ref="D109:D109">INDEX(Data_DBD!$F:$F,$A109)</f>
        <v>Sedang</v>
      </c>
      <c r="H109" s="5" t="n">
        <v>140</v>
      </c>
      <c r="I109" s="5" t="n">
        <v>5</v>
      </c>
      <c r="J109" s="5" t="n">
        <v>1</v>
      </c>
      <c r="K109" s="5" t="s">
        <v>115</v>
      </c>
    </row>
    <row r="110" customFormat="false" ht="15" hidden="false" customHeight="false" outlineLevel="0" collapsed="false">
      <c r="A110" s="5" t="n">
        <f aca="false">RANDBETWEEN(2,164)</f>
        <v>98</v>
      </c>
      <c r="B110" s="5" t="n">
        <f aca="false" t="array" ref="B110:B110">INDEX(Data_DBD!$C:$C,$A110)</f>
        <v>2</v>
      </c>
      <c r="C110" s="5" t="n">
        <f aca="false" t="array" ref="C110:C110">INDEX(Data_DBD!$E:$E,$A110)</f>
        <v>1</v>
      </c>
      <c r="D110" s="5" t="str">
        <f aca="false" t="array" ref="D110:D110">INDEX(Data_DBD!$F:$F,$A110)</f>
        <v>Sedang</v>
      </c>
      <c r="H110" s="5" t="n">
        <v>124</v>
      </c>
      <c r="I110" s="5" t="n">
        <v>3</v>
      </c>
      <c r="J110" s="5" t="n">
        <v>1</v>
      </c>
      <c r="K110" s="5" t="s">
        <v>115</v>
      </c>
    </row>
    <row r="111" customFormat="false" ht="15" hidden="false" customHeight="false" outlineLevel="0" collapsed="false">
      <c r="A111" s="5" t="n">
        <f aca="false">RANDBETWEEN(2,164)</f>
        <v>72</v>
      </c>
      <c r="B111" s="5" t="n">
        <f aca="false" t="array" ref="B111:B111">INDEX(Data_DBD!$C:$C,$A111)</f>
        <v>5</v>
      </c>
      <c r="C111" s="5" t="n">
        <f aca="false" t="array" ref="C111:C111">INDEX(Data_DBD!$E:$E,$A111)</f>
        <v>1</v>
      </c>
      <c r="D111" s="5" t="str">
        <f aca="false" t="array" ref="D111:D111">INDEX(Data_DBD!$F:$F,$A111)</f>
        <v>Rendah</v>
      </c>
      <c r="H111" s="5" t="n">
        <v>114</v>
      </c>
      <c r="I111" s="5" t="n">
        <v>2</v>
      </c>
      <c r="J111" s="5" t="n">
        <v>1</v>
      </c>
      <c r="K111" s="5" t="s">
        <v>115</v>
      </c>
    </row>
    <row r="112" customFormat="false" ht="15" hidden="false" customHeight="false" outlineLevel="0" collapsed="false">
      <c r="A112" s="5" t="n">
        <f aca="false">RANDBETWEEN(2,164)</f>
        <v>16</v>
      </c>
      <c r="B112" s="5" t="n">
        <f aca="false" t="array" ref="B112:B112">INDEX(Data_DBD!$C:$C,$A112)</f>
        <v>5</v>
      </c>
      <c r="C112" s="5" t="n">
        <f aca="false" t="array" ref="C112:C112">INDEX(Data_DBD!$E:$E,$A112)</f>
        <v>1</v>
      </c>
      <c r="D112" s="5" t="str">
        <f aca="false" t="array" ref="D112:D112">INDEX(Data_DBD!$F:$F,$A112)</f>
        <v>Rendah</v>
      </c>
      <c r="H112" s="5" t="n">
        <v>22</v>
      </c>
      <c r="I112" s="5" t="n">
        <v>3</v>
      </c>
      <c r="J112" s="5" t="n">
        <v>0</v>
      </c>
      <c r="K112" s="5" t="s">
        <v>7</v>
      </c>
    </row>
    <row r="113" customFormat="false" ht="15" hidden="false" customHeight="false" outlineLevel="0" collapsed="false">
      <c r="A113" s="5" t="n">
        <f aca="false">RANDBETWEEN(2,164)</f>
        <v>14</v>
      </c>
      <c r="B113" s="5" t="n">
        <f aca="false" t="array" ref="B113:B113">INDEX(Data_DBD!$C:$C,$A113)</f>
        <v>4</v>
      </c>
      <c r="C113" s="5" t="n">
        <f aca="false" t="array" ref="C113:C113">INDEX(Data_DBD!$E:$E,$A113)</f>
        <v>1</v>
      </c>
      <c r="D113" s="5" t="str">
        <f aca="false" t="array" ref="D113:D113">INDEX(Data_DBD!$F:$F,$A113)</f>
        <v>Rendah</v>
      </c>
      <c r="H113" s="5" t="n">
        <v>51</v>
      </c>
      <c r="I113" s="5" t="n">
        <v>4</v>
      </c>
      <c r="J113" s="5" t="n">
        <v>0</v>
      </c>
      <c r="K113" s="5" t="s">
        <v>7</v>
      </c>
    </row>
    <row r="114" customFormat="false" ht="15" hidden="false" customHeight="false" outlineLevel="0" collapsed="false">
      <c r="A114" s="5" t="n">
        <f aca="false">RANDBETWEEN(2,164)</f>
        <v>110</v>
      </c>
      <c r="B114" s="5" t="n">
        <f aca="false" t="array" ref="B114:B114">INDEX(Data_DBD!$C:$C,$A114)</f>
        <v>2</v>
      </c>
      <c r="C114" s="5" t="n">
        <f aca="false" t="array" ref="C114:C114">INDEX(Data_DBD!$E:$E,$A114)</f>
        <v>1</v>
      </c>
      <c r="D114" s="5" t="str">
        <f aca="false" t="array" ref="D114:D114">INDEX(Data_DBD!$F:$F,$A114)</f>
        <v>Tinggi</v>
      </c>
      <c r="H114" s="5" t="n">
        <v>158</v>
      </c>
      <c r="I114" s="5" t="n">
        <v>2</v>
      </c>
      <c r="J114" s="5" t="n">
        <v>0</v>
      </c>
      <c r="K114" s="5" t="s">
        <v>115</v>
      </c>
    </row>
    <row r="115" customFormat="false" ht="15" hidden="false" customHeight="false" outlineLevel="0" collapsed="false">
      <c r="A115" s="5" t="n">
        <f aca="false">RANDBETWEEN(2,164)</f>
        <v>91</v>
      </c>
      <c r="B115" s="5" t="n">
        <f aca="false" t="array" ref="B115:B115">INDEX(Data_DBD!$C:$C,$A115)</f>
        <v>1</v>
      </c>
      <c r="C115" s="5" t="n">
        <f aca="false" t="array" ref="C115:C115">INDEX(Data_DBD!$E:$E,$A115)</f>
        <v>1</v>
      </c>
      <c r="D115" s="5" t="str">
        <f aca="false" t="array" ref="D115:D115">INDEX(Data_DBD!$F:$F,$A115)</f>
        <v>Sedang</v>
      </c>
      <c r="H115" s="5" t="n">
        <v>86</v>
      </c>
      <c r="I115" s="5" t="n">
        <v>3</v>
      </c>
      <c r="J115" s="5" t="n">
        <v>0</v>
      </c>
      <c r="K115" s="5" t="s">
        <v>7</v>
      </c>
    </row>
    <row r="116" customFormat="false" ht="15" hidden="false" customHeight="false" outlineLevel="0" collapsed="false">
      <c r="A116" s="5" t="n">
        <f aca="false">RANDBETWEEN(2,164)</f>
        <v>93</v>
      </c>
      <c r="B116" s="5" t="n">
        <f aca="false" t="array" ref="B116:B116">INDEX(Data_DBD!$C:$C,$A116)</f>
        <v>4</v>
      </c>
      <c r="C116" s="5" t="n">
        <f aca="false" t="array" ref="C116:C116">INDEX(Data_DBD!$E:$E,$A116)</f>
        <v>0</v>
      </c>
      <c r="D116" s="5" t="str">
        <f aca="false" t="array" ref="D116:D116">INDEX(Data_DBD!$F:$F,$A116)</f>
        <v>Sedang</v>
      </c>
      <c r="H116" s="5" t="n">
        <v>138</v>
      </c>
      <c r="I116" s="5" t="n">
        <v>3</v>
      </c>
      <c r="J116" s="5" t="n">
        <v>1</v>
      </c>
      <c r="K116" s="5" t="s">
        <v>115</v>
      </c>
    </row>
    <row r="117" customFormat="false" ht="15" hidden="false" customHeight="false" outlineLevel="0" collapsed="false">
      <c r="A117" s="5" t="n">
        <f aca="false">RANDBETWEEN(2,164)</f>
        <v>34</v>
      </c>
      <c r="B117" s="5" t="n">
        <f aca="false" t="array" ref="B117:B117">INDEX(Data_DBD!$C:$C,$A117)</f>
        <v>3</v>
      </c>
      <c r="C117" s="5" t="n">
        <f aca="false" t="array" ref="C117:C117">INDEX(Data_DBD!$E:$E,$A117)</f>
        <v>0</v>
      </c>
      <c r="D117" s="5" t="str">
        <f aca="false" t="array" ref="D117:D117">INDEX(Data_DBD!$F:$F,$A117)</f>
        <v>Sedang</v>
      </c>
      <c r="H117" s="5" t="n">
        <v>142</v>
      </c>
      <c r="I117" s="5" t="n">
        <v>2</v>
      </c>
      <c r="J117" s="5" t="n">
        <v>1</v>
      </c>
      <c r="K117" s="5" t="s">
        <v>115</v>
      </c>
    </row>
    <row r="118" customFormat="false" ht="15" hidden="false" customHeight="false" outlineLevel="0" collapsed="false">
      <c r="A118" s="5" t="n">
        <f aca="false">RANDBETWEEN(2,164)</f>
        <v>62</v>
      </c>
      <c r="B118" s="5" t="n">
        <f aca="false" t="array" ref="B118:B118">INDEX(Data_DBD!$C:$C,$A118)</f>
        <v>4</v>
      </c>
      <c r="C118" s="5" t="n">
        <f aca="false" t="array" ref="C118:C118">INDEX(Data_DBD!$E:$E,$A118)</f>
        <v>1</v>
      </c>
      <c r="D118" s="5" t="str">
        <f aca="false" t="array" ref="D118:D118">INDEX(Data_DBD!$F:$F,$A118)</f>
        <v>Sedang</v>
      </c>
      <c r="H118" s="5" t="n">
        <v>2</v>
      </c>
      <c r="I118" s="5" t="n">
        <v>3</v>
      </c>
      <c r="J118" s="5" t="n">
        <v>0</v>
      </c>
      <c r="K118" s="5" t="s">
        <v>7</v>
      </c>
    </row>
    <row r="119" customFormat="false" ht="15" hidden="false" customHeight="false" outlineLevel="0" collapsed="false">
      <c r="A119" s="5" t="n">
        <f aca="false">RANDBETWEEN(2,164)</f>
        <v>128</v>
      </c>
      <c r="B119" s="5" t="n">
        <f aca="false" t="array" ref="B119:B119">INDEX(Data_DBD!$C:$C,$A119)</f>
        <v>2</v>
      </c>
      <c r="C119" s="5" t="n">
        <f aca="false" t="array" ref="C119:C119">INDEX(Data_DBD!$E:$E,$A119)</f>
        <v>0</v>
      </c>
      <c r="D119" s="5" t="str">
        <f aca="false" t="array" ref="D119:D119">INDEX(Data_DBD!$F:$F,$A119)</f>
        <v>Tinggi</v>
      </c>
      <c r="H119" s="5" t="n">
        <v>53</v>
      </c>
      <c r="I119" s="5" t="n">
        <v>4</v>
      </c>
      <c r="J119" s="5" t="n">
        <v>1</v>
      </c>
      <c r="K119" s="5" t="s">
        <v>7</v>
      </c>
    </row>
    <row r="120" customFormat="false" ht="15" hidden="false" customHeight="false" outlineLevel="0" collapsed="false">
      <c r="A120" s="5" t="n">
        <f aca="false">RANDBETWEEN(2,164)</f>
        <v>88</v>
      </c>
      <c r="B120" s="5" t="n">
        <f aca="false" t="array" ref="B120:B120">INDEX(Data_DBD!$C:$C,$A120)</f>
        <v>4</v>
      </c>
      <c r="C120" s="5" t="n">
        <f aca="false" t="array" ref="C120:C120">INDEX(Data_DBD!$E:$E,$A120)</f>
        <v>1</v>
      </c>
      <c r="D120" s="5" t="str">
        <f aca="false" t="array" ref="D120:D120">INDEX(Data_DBD!$F:$F,$A120)</f>
        <v>Sedang</v>
      </c>
      <c r="H120" s="5" t="n">
        <v>62</v>
      </c>
      <c r="I120" s="5" t="n">
        <v>4</v>
      </c>
      <c r="J120" s="5" t="n">
        <v>1</v>
      </c>
      <c r="K120" s="5" t="s">
        <v>7</v>
      </c>
    </row>
    <row r="121" customFormat="false" ht="15" hidden="false" customHeight="false" outlineLevel="0" collapsed="false">
      <c r="A121" s="5" t="n">
        <f aca="false">RANDBETWEEN(2,164)</f>
        <v>146</v>
      </c>
      <c r="B121" s="5" t="n">
        <f aca="false" t="array" ref="B121:B121">INDEX(Data_DBD!$C:$C,$A121)</f>
        <v>2</v>
      </c>
      <c r="C121" s="5" t="n">
        <f aca="false" t="array" ref="C121:C121">INDEX(Data_DBD!$E:$E,$A121)</f>
        <v>1</v>
      </c>
      <c r="D121" s="5" t="str">
        <f aca="false" t="array" ref="D121:D121">INDEX(Data_DBD!$F:$F,$A121)</f>
        <v>Tinggi</v>
      </c>
      <c r="H121" s="5" t="n">
        <v>68</v>
      </c>
      <c r="I121" s="5" t="n">
        <v>5</v>
      </c>
      <c r="J121" s="5" t="n">
        <v>0</v>
      </c>
      <c r="K121" s="5" t="s">
        <v>7</v>
      </c>
    </row>
    <row r="122" customFormat="false" ht="15" hidden="false" customHeight="false" outlineLevel="0" collapsed="false">
      <c r="A122" s="5" t="n">
        <f aca="false">RANDBETWEEN(2,164)</f>
        <v>66</v>
      </c>
      <c r="B122" s="5" t="n">
        <f aca="false" t="array" ref="B122:B122">INDEX(Data_DBD!$C:$C,$A122)</f>
        <v>5</v>
      </c>
      <c r="C122" s="5" t="n">
        <f aca="false" t="array" ref="C122:C122">INDEX(Data_DBD!$E:$E,$A122)</f>
        <v>1</v>
      </c>
      <c r="D122" s="5" t="str">
        <f aca="false" t="array" ref="D122:D122">INDEX(Data_DBD!$F:$F,$A122)</f>
        <v>Sedang</v>
      </c>
      <c r="H122" s="5" t="n">
        <v>127</v>
      </c>
      <c r="I122" s="5" t="n">
        <v>2</v>
      </c>
      <c r="J122" s="5" t="n">
        <v>0</v>
      </c>
      <c r="K122" s="5" t="s">
        <v>115</v>
      </c>
    </row>
    <row r="123" customFormat="false" ht="15" hidden="false" customHeight="false" outlineLevel="0" collapsed="false">
      <c r="A123" s="5" t="n">
        <f aca="false">RANDBETWEEN(2,164)</f>
        <v>88</v>
      </c>
      <c r="B123" s="5" t="n">
        <f aca="false" t="array" ref="B123:B123">INDEX(Data_DBD!$C:$C,$A123)</f>
        <v>4</v>
      </c>
      <c r="C123" s="5" t="n">
        <f aca="false" t="array" ref="C123:C123">INDEX(Data_DBD!$E:$E,$A123)</f>
        <v>1</v>
      </c>
      <c r="D123" s="5" t="str">
        <f aca="false" t="array" ref="D123:D123">INDEX(Data_DBD!$F:$F,$A123)</f>
        <v>Sedang</v>
      </c>
      <c r="H123" s="5" t="n">
        <v>45</v>
      </c>
      <c r="I123" s="5" t="n">
        <v>3</v>
      </c>
      <c r="J123" s="5" t="n">
        <v>1</v>
      </c>
      <c r="K123" s="5" t="s">
        <v>7</v>
      </c>
    </row>
    <row r="124" customFormat="false" ht="15" hidden="false" customHeight="false" outlineLevel="0" collapsed="false">
      <c r="A124" s="5" t="n">
        <f aca="false">RANDBETWEEN(2,164)</f>
        <v>115</v>
      </c>
      <c r="B124" s="5" t="n">
        <f aca="false" t="array" ref="B124:B124">INDEX(Data_DBD!$C:$C,$A124)</f>
        <v>3</v>
      </c>
      <c r="C124" s="5" t="n">
        <f aca="false" t="array" ref="C124:C124">INDEX(Data_DBD!$E:$E,$A124)</f>
        <v>1</v>
      </c>
      <c r="D124" s="5" t="str">
        <f aca="false" t="array" ref="D124:D124">INDEX(Data_DBD!$F:$F,$A124)</f>
        <v>Tinggi</v>
      </c>
      <c r="H124" s="5" t="n">
        <v>12</v>
      </c>
      <c r="I124" s="5" t="n">
        <v>3</v>
      </c>
      <c r="J124" s="5" t="n">
        <v>0</v>
      </c>
      <c r="K124" s="5" t="s">
        <v>7</v>
      </c>
    </row>
    <row r="125" customFormat="false" ht="15" hidden="false" customHeight="false" outlineLevel="0" collapsed="false">
      <c r="A125" s="5" t="n">
        <f aca="false">RANDBETWEEN(2,164)</f>
        <v>110</v>
      </c>
      <c r="B125" s="5" t="n">
        <f aca="false" t="array" ref="B125:B125">INDEX(Data_DBD!$C:$C,$A125)</f>
        <v>2</v>
      </c>
      <c r="C125" s="5" t="n">
        <f aca="false" t="array" ref="C125:C125">INDEX(Data_DBD!$E:$E,$A125)</f>
        <v>1</v>
      </c>
      <c r="D125" s="5" t="str">
        <f aca="false" t="array" ref="D125:D125">INDEX(Data_DBD!$F:$F,$A125)</f>
        <v>Tinggi</v>
      </c>
      <c r="H125" s="5" t="n">
        <v>15</v>
      </c>
      <c r="I125" s="5" t="n">
        <v>2</v>
      </c>
      <c r="J125" s="5" t="n">
        <v>0</v>
      </c>
      <c r="K125" s="5" t="s">
        <v>20</v>
      </c>
    </row>
    <row r="126" customFormat="false" ht="15" hidden="false" customHeight="false" outlineLevel="0" collapsed="false">
      <c r="A126" s="5" t="n">
        <f aca="false">RANDBETWEEN(2,164)</f>
        <v>139</v>
      </c>
      <c r="B126" s="5" t="n">
        <f aca="false" t="array" ref="B126:B126">INDEX(Data_DBD!$C:$C,$A126)</f>
        <v>7</v>
      </c>
      <c r="C126" s="5" t="n">
        <f aca="false" t="array" ref="C126:C126">INDEX(Data_DBD!$E:$E,$A126)</f>
        <v>0</v>
      </c>
      <c r="D126" s="5" t="str">
        <f aca="false" t="array" ref="D126:D126">INDEX(Data_DBD!$F:$F,$A126)</f>
        <v>Tinggi</v>
      </c>
      <c r="H126" s="5" t="n">
        <v>6</v>
      </c>
      <c r="I126" s="5" t="n">
        <v>4</v>
      </c>
      <c r="J126" s="5" t="n">
        <v>0</v>
      </c>
      <c r="K126" s="5" t="s">
        <v>7</v>
      </c>
    </row>
    <row r="127" customFormat="false" ht="15" hidden="false" customHeight="false" outlineLevel="0" collapsed="false">
      <c r="A127" s="5" t="n">
        <f aca="false">RANDBETWEEN(2,164)</f>
        <v>81</v>
      </c>
      <c r="B127" s="5" t="n">
        <f aca="false" t="array" ref="B127:B127">INDEX(Data_DBD!$C:$C,$A127)</f>
        <v>5</v>
      </c>
      <c r="C127" s="5" t="n">
        <f aca="false" t="array" ref="C127:C127">INDEX(Data_DBD!$E:$E,$A127)</f>
        <v>1</v>
      </c>
      <c r="D127" s="5" t="str">
        <f aca="false" t="array" ref="D127:D127">INDEX(Data_DBD!$F:$F,$A127)</f>
        <v>Sedang</v>
      </c>
      <c r="H127" s="5" t="n">
        <v>143</v>
      </c>
      <c r="I127" s="5" t="n">
        <v>4</v>
      </c>
      <c r="J127" s="5" t="n">
        <v>1</v>
      </c>
      <c r="K127" s="5" t="s">
        <v>115</v>
      </c>
    </row>
    <row r="128" customFormat="false" ht="15" hidden="false" customHeight="false" outlineLevel="0" collapsed="false">
      <c r="A128" s="5" t="n">
        <f aca="false">RANDBETWEEN(2,164)</f>
        <v>86</v>
      </c>
      <c r="B128" s="5" t="n">
        <f aca="false" t="array" ref="B128:B128">INDEX(Data_DBD!$C:$C,$A128)</f>
        <v>3</v>
      </c>
      <c r="C128" s="5" t="n">
        <f aca="false" t="array" ref="C128:C128">INDEX(Data_DBD!$E:$E,$A128)</f>
        <v>0</v>
      </c>
      <c r="D128" s="5" t="str">
        <f aca="false" t="array" ref="D128:D128">INDEX(Data_DBD!$F:$F,$A128)</f>
        <v>Sedang</v>
      </c>
      <c r="H128" s="5" t="n">
        <v>20</v>
      </c>
      <c r="I128" s="5" t="n">
        <v>5</v>
      </c>
      <c r="J128" s="5" t="n">
        <v>0</v>
      </c>
      <c r="K128" s="5" t="s">
        <v>20</v>
      </c>
    </row>
    <row r="129" customFormat="false" ht="15" hidden="false" customHeight="false" outlineLevel="0" collapsed="false">
      <c r="A129" s="5" t="n">
        <f aca="false">RANDBETWEEN(2,164)</f>
        <v>160</v>
      </c>
      <c r="B129" s="5" t="n">
        <f aca="false" t="array" ref="B129:B129">INDEX(Data_DBD!$C:$C,$A129)</f>
        <v>3</v>
      </c>
      <c r="C129" s="5" t="n">
        <f aca="false" t="array" ref="C129:C129">INDEX(Data_DBD!$E:$E,$A129)</f>
        <v>0</v>
      </c>
      <c r="D129" s="5" t="str">
        <f aca="false" t="array" ref="D129:D129">INDEX(Data_DBD!$F:$F,$A129)</f>
        <v>Tinggi</v>
      </c>
      <c r="H129" s="5" t="n">
        <v>67</v>
      </c>
      <c r="I129" s="5" t="n">
        <v>3</v>
      </c>
      <c r="J129" s="5" t="n">
        <v>1</v>
      </c>
      <c r="K129" s="5" t="s">
        <v>7</v>
      </c>
    </row>
    <row r="130" customFormat="false" ht="15" hidden="false" customHeight="false" outlineLevel="0" collapsed="false">
      <c r="A130" s="5" t="n">
        <f aca="false">RANDBETWEEN(2,164)</f>
        <v>27</v>
      </c>
      <c r="B130" s="5" t="n">
        <f aca="false" t="array" ref="B130:B130">INDEX(Data_DBD!$C:$C,$A130)</f>
        <v>4</v>
      </c>
      <c r="C130" s="5" t="n">
        <f aca="false" t="array" ref="C130:C130">INDEX(Data_DBD!$E:$E,$A130)</f>
        <v>1</v>
      </c>
      <c r="D130" s="5" t="str">
        <f aca="false" t="array" ref="D130:D130">INDEX(Data_DBD!$F:$F,$A130)</f>
        <v>Sedang</v>
      </c>
      <c r="H130" s="5" t="n">
        <v>6</v>
      </c>
      <c r="I130" s="5" t="n">
        <v>4</v>
      </c>
      <c r="J130" s="5" t="n">
        <v>0</v>
      </c>
      <c r="K130" s="5" t="s">
        <v>7</v>
      </c>
    </row>
    <row r="131" customFormat="false" ht="15" hidden="false" customHeight="false" outlineLevel="0" collapsed="false">
      <c r="A131" s="5" t="n">
        <f aca="false">RANDBETWEEN(2,164)</f>
        <v>99</v>
      </c>
      <c r="B131" s="5" t="n">
        <f aca="false" t="array" ref="B131:B131">INDEX(Data_DBD!$C:$C,$A131)</f>
        <v>2</v>
      </c>
      <c r="C131" s="5" t="n">
        <f aca="false" t="array" ref="C131:C131">INDEX(Data_DBD!$E:$E,$A131)</f>
        <v>1</v>
      </c>
      <c r="D131" s="5" t="str">
        <f aca="false" t="array" ref="D131:D131">INDEX(Data_DBD!$F:$F,$A131)</f>
        <v>Sedang</v>
      </c>
      <c r="H131" s="5" t="n">
        <v>72</v>
      </c>
      <c r="I131" s="5" t="n">
        <v>5</v>
      </c>
      <c r="J131" s="5" t="n">
        <v>1</v>
      </c>
      <c r="K131" s="5" t="s">
        <v>7</v>
      </c>
    </row>
    <row r="132" customFormat="false" ht="15" hidden="false" customHeight="false" outlineLevel="0" collapsed="false">
      <c r="A132" s="5" t="n">
        <f aca="false">RANDBETWEEN(2,164)</f>
        <v>31</v>
      </c>
      <c r="B132" s="5" t="n">
        <f aca="false" t="array" ref="B132:B132">INDEX(Data_DBD!$C:$C,$A132)</f>
        <v>4</v>
      </c>
      <c r="C132" s="5" t="n">
        <f aca="false" t="array" ref="C132:C132">INDEX(Data_DBD!$E:$E,$A132)</f>
        <v>1</v>
      </c>
      <c r="D132" s="5" t="str">
        <f aca="false" t="array" ref="D132:D132">INDEX(Data_DBD!$F:$F,$A132)</f>
        <v>Sedang</v>
      </c>
      <c r="H132" s="5" t="n">
        <v>44</v>
      </c>
      <c r="I132" s="5" t="n">
        <v>5</v>
      </c>
      <c r="J132" s="5" t="n">
        <v>1</v>
      </c>
      <c r="K132" s="5" t="s">
        <v>7</v>
      </c>
    </row>
    <row r="133" customFormat="false" ht="15" hidden="false" customHeight="false" outlineLevel="0" collapsed="false">
      <c r="A133" s="5" t="n">
        <f aca="false">RANDBETWEEN(2,164)</f>
        <v>23</v>
      </c>
      <c r="B133" s="5" t="n">
        <f aca="false" t="array" ref="B133:B133">INDEX(Data_DBD!$C:$C,$A133)</f>
        <v>4</v>
      </c>
      <c r="C133" s="5" t="n">
        <f aca="false" t="array" ref="C133:C133">INDEX(Data_DBD!$E:$E,$A133)</f>
        <v>1</v>
      </c>
      <c r="D133" s="5" t="str">
        <f aca="false" t="array" ref="D133:D133">INDEX(Data_DBD!$F:$F,$A133)</f>
        <v>Sedang</v>
      </c>
      <c r="H133" s="5" t="n">
        <v>62</v>
      </c>
      <c r="I133" s="5" t="n">
        <v>4</v>
      </c>
      <c r="J133" s="5" t="n">
        <v>1</v>
      </c>
      <c r="K133" s="5" t="s">
        <v>7</v>
      </c>
    </row>
    <row r="134" customFormat="false" ht="15" hidden="false" customHeight="false" outlineLevel="0" collapsed="false">
      <c r="A134" s="5" t="n">
        <f aca="false">RANDBETWEEN(2,164)</f>
        <v>83</v>
      </c>
      <c r="B134" s="5" t="n">
        <f aca="false" t="array" ref="B134:B134">INDEX(Data_DBD!$C:$C,$A134)</f>
        <v>3</v>
      </c>
      <c r="C134" s="5" t="n">
        <f aca="false" t="array" ref="C134:C134">INDEX(Data_DBD!$E:$E,$A134)</f>
        <v>0</v>
      </c>
      <c r="D134" s="5" t="str">
        <f aca="false" t="array" ref="D134:D134">INDEX(Data_DBD!$F:$F,$A134)</f>
        <v>Sedang</v>
      </c>
      <c r="H134" s="5" t="n">
        <v>90</v>
      </c>
      <c r="I134" s="5" t="n">
        <v>3</v>
      </c>
      <c r="J134" s="5" t="n">
        <v>0</v>
      </c>
      <c r="K134" s="5" t="s">
        <v>115</v>
      </c>
    </row>
    <row r="135" customFormat="false" ht="15" hidden="false" customHeight="false" outlineLevel="0" collapsed="false">
      <c r="A135" s="5" t="n">
        <f aca="false">RANDBETWEEN(2,164)</f>
        <v>70</v>
      </c>
      <c r="B135" s="5" t="n">
        <f aca="false" t="array" ref="B135:B135">INDEX(Data_DBD!$C:$C,$A135)</f>
        <v>3</v>
      </c>
      <c r="C135" s="5" t="n">
        <f aca="false" t="array" ref="C135:C135">INDEX(Data_DBD!$E:$E,$A135)</f>
        <v>1</v>
      </c>
      <c r="D135" s="5" t="str">
        <f aca="false" t="array" ref="D135:D135">INDEX(Data_DBD!$F:$F,$A135)</f>
        <v>Rendah</v>
      </c>
      <c r="H135" s="5" t="n">
        <v>55</v>
      </c>
      <c r="I135" s="5" t="n">
        <v>4</v>
      </c>
      <c r="J135" s="5" t="n">
        <v>1</v>
      </c>
      <c r="K135" s="5" t="s">
        <v>7</v>
      </c>
    </row>
    <row r="136" customFormat="false" ht="15" hidden="false" customHeight="false" outlineLevel="0" collapsed="false">
      <c r="A136" s="5" t="n">
        <f aca="false">RANDBETWEEN(2,164)</f>
        <v>161</v>
      </c>
      <c r="B136" s="5" t="n">
        <f aca="false" t="array" ref="B136:B136">INDEX(Data_DBD!$C:$C,$A136)</f>
        <v>3</v>
      </c>
      <c r="C136" s="5" t="n">
        <f aca="false" t="array" ref="C136:C136">INDEX(Data_DBD!$E:$E,$A136)</f>
        <v>1</v>
      </c>
      <c r="D136" s="5" t="str">
        <f aca="false" t="array" ref="D136:D136">INDEX(Data_DBD!$F:$F,$A136)</f>
        <v>Tinggi</v>
      </c>
      <c r="H136" s="5" t="n">
        <v>118</v>
      </c>
      <c r="I136" s="5" t="n">
        <v>4</v>
      </c>
      <c r="J136" s="5" t="n">
        <v>1</v>
      </c>
      <c r="K136" s="5" t="s">
        <v>115</v>
      </c>
    </row>
    <row r="137" customFormat="false" ht="15" hidden="false" customHeight="false" outlineLevel="0" collapsed="false">
      <c r="A137" s="5" t="n">
        <f aca="false">RANDBETWEEN(2,164)</f>
        <v>87</v>
      </c>
      <c r="B137" s="5" t="n">
        <f aca="false" t="array" ref="B137:B137">INDEX(Data_DBD!$C:$C,$A137)</f>
        <v>3</v>
      </c>
      <c r="C137" s="5" t="n">
        <f aca="false" t="array" ref="C137:C137">INDEX(Data_DBD!$E:$E,$A137)</f>
        <v>0</v>
      </c>
      <c r="D137" s="5" t="str">
        <f aca="false" t="array" ref="D137:D137">INDEX(Data_DBD!$F:$F,$A137)</f>
        <v>Sedang</v>
      </c>
      <c r="H137" s="5" t="n">
        <v>41</v>
      </c>
      <c r="I137" s="5" t="n">
        <v>4</v>
      </c>
      <c r="J137" s="5" t="n">
        <v>0</v>
      </c>
      <c r="K137" s="5" t="s">
        <v>7</v>
      </c>
    </row>
    <row r="138" customFormat="false" ht="15" hidden="false" customHeight="false" outlineLevel="0" collapsed="false">
      <c r="A138" s="5" t="n">
        <f aca="false">RANDBETWEEN(2,164)</f>
        <v>50</v>
      </c>
      <c r="B138" s="5" t="n">
        <f aca="false" t="array" ref="B138:B138">INDEX(Data_DBD!$C:$C,$A138)</f>
        <v>5</v>
      </c>
      <c r="C138" s="5" t="n">
        <f aca="false" t="array" ref="C138:C138">INDEX(Data_DBD!$E:$E,$A138)</f>
        <v>0</v>
      </c>
      <c r="D138" s="5" t="str">
        <f aca="false" t="array" ref="D138:D138">INDEX(Data_DBD!$F:$F,$A138)</f>
        <v>Sedang</v>
      </c>
      <c r="H138" s="5" t="n">
        <v>121</v>
      </c>
      <c r="I138" s="5" t="n">
        <v>5</v>
      </c>
      <c r="J138" s="5" t="n">
        <v>1</v>
      </c>
      <c r="K138" s="5" t="s">
        <v>115</v>
      </c>
    </row>
    <row r="139" customFormat="false" ht="15" hidden="false" customHeight="false" outlineLevel="0" collapsed="false">
      <c r="A139" s="5" t="n">
        <f aca="false">RANDBETWEEN(2,164)</f>
        <v>115</v>
      </c>
      <c r="B139" s="5" t="n">
        <f aca="false" t="array" ref="B139:B139">INDEX(Data_DBD!$C:$C,$A139)</f>
        <v>3</v>
      </c>
      <c r="C139" s="5" t="n">
        <f aca="false" t="array" ref="C139:C139">INDEX(Data_DBD!$E:$E,$A139)</f>
        <v>1</v>
      </c>
      <c r="D139" s="5" t="str">
        <f aca="false" t="array" ref="D139:D139">INDEX(Data_DBD!$F:$F,$A139)</f>
        <v>Tinggi</v>
      </c>
      <c r="H139" s="5" t="n">
        <v>126</v>
      </c>
      <c r="I139" s="5" t="n">
        <v>3</v>
      </c>
      <c r="J139" s="5" t="n">
        <v>1</v>
      </c>
      <c r="K139" s="5" t="s">
        <v>115</v>
      </c>
    </row>
    <row r="140" customFormat="false" ht="15" hidden="false" customHeight="false" outlineLevel="0" collapsed="false">
      <c r="A140" s="5" t="n">
        <f aca="false">RANDBETWEEN(2,164)</f>
        <v>65</v>
      </c>
      <c r="B140" s="5" t="n">
        <f aca="false" t="array" ref="B140:B140">INDEX(Data_DBD!$C:$C,$A140)</f>
        <v>3</v>
      </c>
      <c r="C140" s="5" t="n">
        <f aca="false" t="array" ref="C140:C140">INDEX(Data_DBD!$E:$E,$A140)</f>
        <v>0</v>
      </c>
      <c r="D140" s="5" t="str">
        <f aca="false" t="array" ref="D140:D140">INDEX(Data_DBD!$F:$F,$A140)</f>
        <v>Sedang</v>
      </c>
      <c r="H140" s="5" t="n">
        <v>40</v>
      </c>
      <c r="I140" s="5" t="n">
        <v>3</v>
      </c>
      <c r="J140" s="5" t="n">
        <v>1</v>
      </c>
      <c r="K140" s="5" t="s">
        <v>7</v>
      </c>
    </row>
    <row r="141" customFormat="false" ht="15" hidden="false" customHeight="false" outlineLevel="0" collapsed="false">
      <c r="A141" s="5" t="n">
        <f aca="false">RANDBETWEEN(2,164)</f>
        <v>97</v>
      </c>
      <c r="B141" s="5" t="n">
        <f aca="false" t="array" ref="B141:B141">INDEX(Data_DBD!$C:$C,$A141)</f>
        <v>2</v>
      </c>
      <c r="C141" s="5" t="n">
        <f aca="false" t="array" ref="C141:C141">INDEX(Data_DBD!$E:$E,$A141)</f>
        <v>1</v>
      </c>
      <c r="D141" s="5" t="str">
        <f aca="false" t="array" ref="D141:D141">INDEX(Data_DBD!$F:$F,$A141)</f>
        <v>Sedang</v>
      </c>
      <c r="H141" s="5" t="n">
        <v>129</v>
      </c>
      <c r="I141" s="5" t="n">
        <v>3</v>
      </c>
      <c r="J141" s="5" t="n">
        <v>0</v>
      </c>
      <c r="K141" s="5" t="s">
        <v>115</v>
      </c>
    </row>
    <row r="142" customFormat="false" ht="15" hidden="false" customHeight="false" outlineLevel="0" collapsed="false">
      <c r="A142" s="5" t="n">
        <f aca="false">RANDBETWEEN(2,164)</f>
        <v>145</v>
      </c>
      <c r="B142" s="5" t="n">
        <f aca="false" t="array" ref="B142:B142">INDEX(Data_DBD!$C:$C,$A142)</f>
        <v>4</v>
      </c>
      <c r="C142" s="5" t="n">
        <f aca="false" t="array" ref="C142:C142">INDEX(Data_DBD!$E:$E,$A142)</f>
        <v>1</v>
      </c>
      <c r="D142" s="5" t="str">
        <f aca="false" t="array" ref="D142:D142">INDEX(Data_DBD!$F:$F,$A142)</f>
        <v>Tinggi</v>
      </c>
      <c r="H142" s="5" t="n">
        <v>95</v>
      </c>
      <c r="I142" s="5" t="n">
        <v>3</v>
      </c>
      <c r="J142" s="5" t="n">
        <v>1</v>
      </c>
      <c r="K142" s="5" t="s">
        <v>115</v>
      </c>
    </row>
    <row r="143" customFormat="false" ht="15" hidden="false" customHeight="false" outlineLevel="0" collapsed="false">
      <c r="A143" s="5" t="n">
        <f aca="false">RANDBETWEEN(2,164)</f>
        <v>45</v>
      </c>
      <c r="B143" s="5" t="n">
        <f aca="false" t="array" ref="B143:B143">INDEX(Data_DBD!$C:$C,$A143)</f>
        <v>3</v>
      </c>
      <c r="C143" s="5" t="n">
        <f aca="false" t="array" ref="C143:C143">INDEX(Data_DBD!$E:$E,$A143)</f>
        <v>1</v>
      </c>
      <c r="D143" s="5" t="str">
        <f aca="false" t="array" ref="D143:D143">INDEX(Data_DBD!$F:$F,$A143)</f>
        <v>Sedang</v>
      </c>
      <c r="H143" s="5" t="n">
        <v>64</v>
      </c>
      <c r="I143" s="5" t="n">
        <v>1</v>
      </c>
      <c r="J143" s="5" t="n">
        <v>0</v>
      </c>
      <c r="K143" s="5" t="s">
        <v>7</v>
      </c>
    </row>
    <row r="144" customFormat="false" ht="15" hidden="false" customHeight="false" outlineLevel="0" collapsed="false">
      <c r="A144" s="5" t="n">
        <f aca="false">RANDBETWEEN(2,164)</f>
        <v>123</v>
      </c>
      <c r="B144" s="5" t="n">
        <f aca="false" t="array" ref="B144:B144">INDEX(Data_DBD!$C:$C,$A144)</f>
        <v>4</v>
      </c>
      <c r="C144" s="5" t="n">
        <f aca="false" t="array" ref="C144:C144">INDEX(Data_DBD!$E:$E,$A144)</f>
        <v>0</v>
      </c>
      <c r="D144" s="5" t="str">
        <f aca="false" t="array" ref="D144:D144">INDEX(Data_DBD!$F:$F,$A144)</f>
        <v>Tinggi</v>
      </c>
      <c r="H144" s="5" t="n">
        <v>16</v>
      </c>
      <c r="I144" s="5" t="n">
        <v>5</v>
      </c>
      <c r="J144" s="5" t="n">
        <v>1</v>
      </c>
      <c r="K144" s="5" t="s">
        <v>20</v>
      </c>
    </row>
    <row r="145" customFormat="false" ht="15" hidden="false" customHeight="false" outlineLevel="0" collapsed="false">
      <c r="A145" s="5" t="n">
        <f aca="false">RANDBETWEEN(2,164)</f>
        <v>33</v>
      </c>
      <c r="B145" s="5" t="n">
        <f aca="false" t="array" ref="B145:B145">INDEX(Data_DBD!$C:$C,$A145)</f>
        <v>4</v>
      </c>
      <c r="C145" s="5" t="n">
        <f aca="false" t="array" ref="C145:C145">INDEX(Data_DBD!$E:$E,$A145)</f>
        <v>1</v>
      </c>
      <c r="D145" s="5" t="str">
        <f aca="false" t="array" ref="D145:D145">INDEX(Data_DBD!$F:$F,$A145)</f>
        <v>Sedang</v>
      </c>
      <c r="H145" s="5" t="n">
        <v>139</v>
      </c>
      <c r="I145" s="5" t="n">
        <v>7</v>
      </c>
      <c r="J145" s="5" t="n">
        <v>0</v>
      </c>
      <c r="K145" s="5" t="s">
        <v>115</v>
      </c>
    </row>
    <row r="146" customFormat="false" ht="15" hidden="false" customHeight="false" outlineLevel="0" collapsed="false">
      <c r="A146" s="5" t="n">
        <f aca="false">RANDBETWEEN(2,164)</f>
        <v>70</v>
      </c>
      <c r="B146" s="5" t="n">
        <f aca="false" t="array" ref="B146:B146">INDEX(Data_DBD!$C:$C,$A146)</f>
        <v>3</v>
      </c>
      <c r="C146" s="5" t="n">
        <f aca="false" t="array" ref="C146:C146">INDEX(Data_DBD!$E:$E,$A146)</f>
        <v>1</v>
      </c>
      <c r="D146" s="5" t="str">
        <f aca="false" t="array" ref="D146:D146">INDEX(Data_DBD!$F:$F,$A146)</f>
        <v>Rendah</v>
      </c>
      <c r="H146" s="5" t="n">
        <v>128</v>
      </c>
      <c r="I146" s="5" t="n">
        <v>2</v>
      </c>
      <c r="J146" s="5" t="n">
        <v>0</v>
      </c>
      <c r="K146" s="5" t="s">
        <v>115</v>
      </c>
    </row>
    <row r="147" customFormat="false" ht="15" hidden="false" customHeight="false" outlineLevel="0" collapsed="false">
      <c r="A147" s="5" t="n">
        <f aca="false">RANDBETWEEN(2,164)</f>
        <v>64</v>
      </c>
      <c r="B147" s="5" t="n">
        <f aca="false" t="array" ref="B147:B147">INDEX(Data_DBD!$C:$C,$A147)</f>
        <v>1</v>
      </c>
      <c r="C147" s="5" t="n">
        <f aca="false" t="array" ref="C147:C147">INDEX(Data_DBD!$E:$E,$A147)</f>
        <v>0</v>
      </c>
      <c r="D147" s="5" t="str">
        <f aca="false" t="array" ref="D147:D147">INDEX(Data_DBD!$F:$F,$A147)</f>
        <v>Sedang</v>
      </c>
      <c r="H147" s="5" t="n">
        <v>65</v>
      </c>
      <c r="I147" s="5" t="n">
        <v>3</v>
      </c>
      <c r="J147" s="5" t="n">
        <v>0</v>
      </c>
      <c r="K147" s="5" t="s">
        <v>7</v>
      </c>
    </row>
    <row r="148" customFormat="false" ht="15" hidden="false" customHeight="false" outlineLevel="0" collapsed="false">
      <c r="A148" s="5" t="n">
        <f aca="false">RANDBETWEEN(2,164)</f>
        <v>124</v>
      </c>
      <c r="B148" s="5" t="n">
        <f aca="false" t="array" ref="B148:B148">INDEX(Data_DBD!$C:$C,$A148)</f>
        <v>3</v>
      </c>
      <c r="C148" s="5" t="n">
        <f aca="false" t="array" ref="C148:C148">INDEX(Data_DBD!$E:$E,$A148)</f>
        <v>1</v>
      </c>
      <c r="D148" s="5" t="str">
        <f aca="false" t="array" ref="D148:D148">INDEX(Data_DBD!$F:$F,$A148)</f>
        <v>Tinggi</v>
      </c>
      <c r="H148" s="5" t="n">
        <v>39</v>
      </c>
      <c r="I148" s="5" t="n">
        <v>5</v>
      </c>
      <c r="J148" s="5" t="n">
        <v>1</v>
      </c>
      <c r="K148" s="5" t="s">
        <v>7</v>
      </c>
    </row>
    <row r="149" customFormat="false" ht="15" hidden="false" customHeight="false" outlineLevel="0" collapsed="false">
      <c r="A149" s="5" t="n">
        <f aca="false">RANDBETWEEN(2,164)</f>
        <v>95</v>
      </c>
      <c r="B149" s="5" t="n">
        <f aca="false" t="array" ref="B149:B149">INDEX(Data_DBD!$C:$C,$A149)</f>
        <v>3</v>
      </c>
      <c r="C149" s="5" t="n">
        <f aca="false" t="array" ref="C149:C149">INDEX(Data_DBD!$E:$E,$A149)</f>
        <v>1</v>
      </c>
      <c r="D149" s="5" t="str">
        <f aca="false" t="array" ref="D149:D149">INDEX(Data_DBD!$F:$F,$A149)</f>
        <v>Sedang</v>
      </c>
      <c r="H149" s="5" t="n">
        <v>105</v>
      </c>
      <c r="I149" s="5" t="n">
        <v>3</v>
      </c>
      <c r="J149" s="5" t="n">
        <v>1</v>
      </c>
      <c r="K149" s="5" t="s">
        <v>115</v>
      </c>
    </row>
    <row r="150" customFormat="false" ht="15" hidden="false" customHeight="false" outlineLevel="0" collapsed="false">
      <c r="A150" s="5" t="n">
        <f aca="false">RANDBETWEEN(2,164)</f>
        <v>155</v>
      </c>
      <c r="B150" s="5" t="n">
        <f aca="false" t="array" ref="B150:B150">INDEX(Data_DBD!$C:$C,$A150)</f>
        <v>5</v>
      </c>
      <c r="C150" s="5" t="n">
        <f aca="false" t="array" ref="C150:C150">INDEX(Data_DBD!$E:$E,$A150)</f>
        <v>1</v>
      </c>
      <c r="D150" s="5" t="str">
        <f aca="false" t="array" ref="D150:D150">INDEX(Data_DBD!$F:$F,$A150)</f>
        <v>Tinggi</v>
      </c>
      <c r="H150" s="5" t="n">
        <v>85</v>
      </c>
      <c r="I150" s="5" t="n">
        <v>9</v>
      </c>
      <c r="J150" s="5" t="n">
        <v>0</v>
      </c>
      <c r="K150" s="5" t="s">
        <v>7</v>
      </c>
    </row>
    <row r="151" customFormat="false" ht="15" hidden="false" customHeight="false" outlineLevel="0" collapsed="false">
      <c r="A151" s="5" t="n">
        <f aca="false">RANDBETWEEN(2,164)</f>
        <v>49</v>
      </c>
      <c r="B151" s="5" t="n">
        <f aca="false" t="array" ref="B151:B151">INDEX(Data_DBD!$C:$C,$A151)</f>
        <v>5</v>
      </c>
      <c r="C151" s="5" t="n">
        <f aca="false" t="array" ref="C151:C151">INDEX(Data_DBD!$E:$E,$A151)</f>
        <v>0</v>
      </c>
      <c r="D151" s="5" t="str">
        <f aca="false" t="array" ref="D151:D151">INDEX(Data_DBD!$F:$F,$A151)</f>
        <v>Sedang</v>
      </c>
      <c r="H151" s="5" t="n">
        <v>78</v>
      </c>
      <c r="I151" s="5" t="n">
        <v>3</v>
      </c>
      <c r="J151" s="5" t="n">
        <v>0</v>
      </c>
      <c r="K151" s="5" t="s">
        <v>7</v>
      </c>
    </row>
    <row r="152" customFormat="false" ht="15" hidden="false" customHeight="false" outlineLevel="0" collapsed="false">
      <c r="A152" s="5" t="n">
        <f aca="false">RANDBETWEEN(2,164)</f>
        <v>122</v>
      </c>
      <c r="B152" s="5" t="n">
        <f aca="false" t="array" ref="B152:B152">INDEX(Data_DBD!$C:$C,$A152)</f>
        <v>3</v>
      </c>
      <c r="C152" s="5" t="n">
        <f aca="false" t="array" ref="C152:C152">INDEX(Data_DBD!$E:$E,$A152)</f>
        <v>1</v>
      </c>
      <c r="D152" s="5" t="str">
        <f aca="false" t="array" ref="D152:D152">INDEX(Data_DBD!$F:$F,$A152)</f>
        <v>Tinggi</v>
      </c>
      <c r="H152" s="5" t="n">
        <v>15</v>
      </c>
      <c r="I152" s="5" t="n">
        <v>2</v>
      </c>
      <c r="J152" s="5" t="n">
        <v>0</v>
      </c>
      <c r="K152" s="5" t="s">
        <v>20</v>
      </c>
    </row>
    <row r="153" customFormat="false" ht="15" hidden="false" customHeight="false" outlineLevel="0" collapsed="false">
      <c r="A153" s="5" t="n">
        <f aca="false">RANDBETWEEN(2,164)</f>
        <v>121</v>
      </c>
      <c r="B153" s="5" t="n">
        <f aca="false" t="array" ref="B153:B153">INDEX(Data_DBD!$C:$C,$A153)</f>
        <v>5</v>
      </c>
      <c r="C153" s="5" t="n">
        <f aca="false" t="array" ref="C153:C153">INDEX(Data_DBD!$E:$E,$A153)</f>
        <v>1</v>
      </c>
      <c r="D153" s="5" t="str">
        <f aca="false" t="array" ref="D153:D153">INDEX(Data_DBD!$F:$F,$A153)</f>
        <v>Tinggi</v>
      </c>
      <c r="H153" s="5" t="n">
        <v>76</v>
      </c>
      <c r="I153" s="5" t="n">
        <v>2</v>
      </c>
      <c r="J153" s="5" t="n">
        <v>0</v>
      </c>
      <c r="K153" s="5" t="s">
        <v>7</v>
      </c>
    </row>
    <row r="154" customFormat="false" ht="15.75" hidden="false" customHeight="true" outlineLevel="0" collapsed="false">
      <c r="A154" s="5" t="n">
        <f aca="false">RANDBETWEEN(2,164)</f>
        <v>75</v>
      </c>
      <c r="B154" s="5" t="n">
        <f aca="false" t="array" ref="B154:B154">INDEX(Data_DBD!$C:$C,$A154)</f>
        <v>2</v>
      </c>
      <c r="C154" s="5" t="n">
        <f aca="false" t="array" ref="C154:C154">INDEX(Data_DBD!$E:$E,$A154)</f>
        <v>1</v>
      </c>
      <c r="D154" s="5" t="str">
        <f aca="false" t="array" ref="D154:D154">INDEX(Data_DBD!$F:$F,$A154)</f>
        <v>Rendah</v>
      </c>
      <c r="H154" s="5" t="n">
        <v>91</v>
      </c>
      <c r="I154" s="5" t="n">
        <v>1</v>
      </c>
      <c r="J154" s="5" t="n">
        <v>1</v>
      </c>
      <c r="K154" s="5" t="s">
        <v>115</v>
      </c>
      <c r="U154" s="7" t="s">
        <v>213</v>
      </c>
    </row>
    <row r="155" customFormat="false" ht="15.75" hidden="false" customHeight="true" outlineLevel="0" collapsed="false">
      <c r="A155" s="5" t="n">
        <f aca="false">RANDBETWEEN(2,164)</f>
        <v>29</v>
      </c>
      <c r="B155" s="5" t="n">
        <f aca="false" t="array" ref="B155:B155">INDEX(Data_DBD!$C:$C,$A155)</f>
        <v>2</v>
      </c>
      <c r="C155" s="5" t="n">
        <f aca="false" t="array" ref="C155:C155">INDEX(Data_DBD!$E:$E,$A155)</f>
        <v>1</v>
      </c>
      <c r="D155" s="5" t="str">
        <f aca="false" t="array" ref="D155:D155">INDEX(Data_DBD!$F:$F,$A155)</f>
        <v>Sedang</v>
      </c>
      <c r="H155" s="5" t="n">
        <v>150</v>
      </c>
      <c r="I155" s="5" t="n">
        <v>5</v>
      </c>
      <c r="J155" s="5" t="n">
        <v>1</v>
      </c>
      <c r="K155" s="5" t="s">
        <v>115</v>
      </c>
      <c r="U155" s="8" t="s">
        <v>177</v>
      </c>
    </row>
    <row r="156" customFormat="false" ht="15.75" hidden="false" customHeight="true" outlineLevel="0" collapsed="false">
      <c r="A156" s="5" t="n">
        <f aca="false">RANDBETWEEN(2,164)</f>
        <v>54</v>
      </c>
      <c r="B156" s="5" t="n">
        <f aca="false" t="array" ref="B156:B156">INDEX(Data_DBD!$C:$C,$A156)</f>
        <v>3</v>
      </c>
      <c r="C156" s="5" t="n">
        <f aca="false" t="array" ref="C156:C156">INDEX(Data_DBD!$E:$E,$A156)</f>
        <v>0</v>
      </c>
      <c r="D156" s="5" t="str">
        <f aca="false" t="array" ref="D156:D156">INDEX(Data_DBD!$F:$F,$A156)</f>
        <v>Sedang</v>
      </c>
      <c r="H156" s="5" t="n">
        <v>74</v>
      </c>
      <c r="I156" s="5" t="n">
        <v>4</v>
      </c>
      <c r="J156" s="5" t="n">
        <v>0</v>
      </c>
      <c r="K156" s="5" t="s">
        <v>7</v>
      </c>
      <c r="U156" s="9" t="s">
        <v>214</v>
      </c>
    </row>
    <row r="157" customFormat="false" ht="15.75" hidden="false" customHeight="true" outlineLevel="0" collapsed="false">
      <c r="A157" s="5" t="n">
        <f aca="false">RANDBETWEEN(2,164)</f>
        <v>114</v>
      </c>
      <c r="B157" s="5" t="n">
        <f aca="false" t="array" ref="B157:B157">INDEX(Data_DBD!$C:$C,$A157)</f>
        <v>2</v>
      </c>
      <c r="C157" s="5" t="n">
        <f aca="false" t="array" ref="C157:C157">INDEX(Data_DBD!$E:$E,$A157)</f>
        <v>1</v>
      </c>
      <c r="D157" s="5" t="str">
        <f aca="false" t="array" ref="D157:D157">INDEX(Data_DBD!$F:$F,$A157)</f>
        <v>Tinggi</v>
      </c>
      <c r="H157" s="5" t="n">
        <v>41</v>
      </c>
      <c r="I157" s="5" t="n">
        <v>4</v>
      </c>
      <c r="J157" s="5" t="n">
        <v>0</v>
      </c>
      <c r="K157" s="5" t="s">
        <v>7</v>
      </c>
      <c r="U157" s="9" t="s">
        <v>215</v>
      </c>
    </row>
    <row r="158" customFormat="false" ht="15.75" hidden="false" customHeight="true" outlineLevel="0" collapsed="false">
      <c r="A158" s="5" t="n">
        <f aca="false">RANDBETWEEN(2,164)</f>
        <v>141</v>
      </c>
      <c r="B158" s="5" t="n">
        <f aca="false" t="array" ref="B158:B158">INDEX(Data_DBD!$C:$C,$A158)</f>
        <v>2</v>
      </c>
      <c r="C158" s="5" t="n">
        <f aca="false" t="array" ref="C158:C158">INDEX(Data_DBD!$E:$E,$A158)</f>
        <v>0</v>
      </c>
      <c r="D158" s="5" t="str">
        <f aca="false" t="array" ref="D158:D158">INDEX(Data_DBD!$F:$F,$A158)</f>
        <v>Tinggi</v>
      </c>
      <c r="H158" s="5" t="n">
        <v>142</v>
      </c>
      <c r="I158" s="5" t="n">
        <v>2</v>
      </c>
      <c r="J158" s="5" t="n">
        <v>1</v>
      </c>
      <c r="K158" s="5" t="s">
        <v>115</v>
      </c>
      <c r="U158" s="8" t="s">
        <v>180</v>
      </c>
    </row>
    <row r="159" customFormat="false" ht="15.75" hidden="false" customHeight="true" outlineLevel="0" collapsed="false">
      <c r="A159" s="5" t="n">
        <f aca="false">RANDBETWEEN(2,164)</f>
        <v>87</v>
      </c>
      <c r="B159" s="5" t="n">
        <f aca="false" t="array" ref="B159:B159">INDEX(Data_DBD!$C:$C,$A159)</f>
        <v>3</v>
      </c>
      <c r="C159" s="5" t="n">
        <f aca="false" t="array" ref="C159:C159">INDEX(Data_DBD!$E:$E,$A159)</f>
        <v>0</v>
      </c>
      <c r="D159" s="5" t="str">
        <f aca="false" t="array" ref="D159:D159">INDEX(Data_DBD!$F:$F,$A159)</f>
        <v>Sedang</v>
      </c>
      <c r="H159" s="5" t="n">
        <v>155</v>
      </c>
      <c r="I159" s="5" t="n">
        <v>5</v>
      </c>
      <c r="J159" s="5" t="n">
        <v>1</v>
      </c>
      <c r="K159" s="5" t="s">
        <v>115</v>
      </c>
      <c r="U159" s="9" t="s">
        <v>216</v>
      </c>
    </row>
    <row r="160" customFormat="false" ht="15.75" hidden="false" customHeight="true" outlineLevel="0" collapsed="false">
      <c r="A160" s="5" t="n">
        <f aca="false">RANDBETWEEN(2,164)</f>
        <v>44</v>
      </c>
      <c r="B160" s="5" t="n">
        <f aca="false" t="array" ref="B160:B160">INDEX(Data_DBD!$C:$C,$A160)</f>
        <v>5</v>
      </c>
      <c r="C160" s="5" t="n">
        <f aca="false" t="array" ref="C160:C160">INDEX(Data_DBD!$E:$E,$A160)</f>
        <v>1</v>
      </c>
      <c r="D160" s="5" t="str">
        <f aca="false" t="array" ref="D160:D160">INDEX(Data_DBD!$F:$F,$A160)</f>
        <v>Sedang</v>
      </c>
      <c r="H160" s="5" t="n">
        <v>98</v>
      </c>
      <c r="I160" s="5" t="n">
        <v>2</v>
      </c>
      <c r="J160" s="5" t="n">
        <v>1</v>
      </c>
      <c r="K160" s="5" t="s">
        <v>115</v>
      </c>
      <c r="U160" s="9" t="s">
        <v>217</v>
      </c>
    </row>
    <row r="161" customFormat="false" ht="15.75" hidden="false" customHeight="true" outlineLevel="0" collapsed="false">
      <c r="A161" s="5" t="n">
        <f aca="false">RANDBETWEEN(2,164)</f>
        <v>161</v>
      </c>
      <c r="B161" s="5" t="n">
        <f aca="false" t="array" ref="B161:B161">INDEX(Data_DBD!$C:$C,$A161)</f>
        <v>3</v>
      </c>
      <c r="C161" s="5" t="n">
        <f aca="false" t="array" ref="C161:C161">INDEX(Data_DBD!$E:$E,$A161)</f>
        <v>1</v>
      </c>
      <c r="D161" s="5" t="str">
        <f aca="false" t="array" ref="D161:D161">INDEX(Data_DBD!$F:$F,$A161)</f>
        <v>Tinggi</v>
      </c>
      <c r="H161" s="5" t="n">
        <v>28</v>
      </c>
      <c r="I161" s="5" t="n">
        <v>2</v>
      </c>
      <c r="J161" s="5" t="n">
        <v>1</v>
      </c>
      <c r="K161" s="5" t="s">
        <v>7</v>
      </c>
      <c r="U161" s="8" t="s">
        <v>183</v>
      </c>
    </row>
    <row r="162" customFormat="false" ht="15.75" hidden="false" customHeight="true" outlineLevel="0" collapsed="false">
      <c r="A162" s="5" t="n">
        <f aca="false">RANDBETWEEN(2,164)</f>
        <v>38</v>
      </c>
      <c r="B162" s="5" t="n">
        <f aca="false" t="array" ref="B162:B162">INDEX(Data_DBD!$C:$C,$A162)</f>
        <v>3</v>
      </c>
      <c r="C162" s="5" t="n">
        <f aca="false" t="array" ref="C162:C162">INDEX(Data_DBD!$E:$E,$A162)</f>
        <v>1</v>
      </c>
      <c r="D162" s="5" t="str">
        <f aca="false" t="array" ref="D162:D162">INDEX(Data_DBD!$F:$F,$A162)</f>
        <v>Rendah</v>
      </c>
      <c r="H162" s="5" t="n">
        <v>87</v>
      </c>
      <c r="I162" s="5" t="n">
        <v>3</v>
      </c>
      <c r="J162" s="5" t="n">
        <v>0</v>
      </c>
      <c r="K162" s="5" t="s">
        <v>7</v>
      </c>
      <c r="U162" s="9" t="s">
        <v>218</v>
      </c>
    </row>
    <row r="163" customFormat="false" ht="15.75" hidden="false" customHeight="true" outlineLevel="0" collapsed="false">
      <c r="A163" s="5" t="n">
        <f aca="false">RANDBETWEEN(2,164)</f>
        <v>148</v>
      </c>
      <c r="B163" s="5" t="n">
        <f aca="false" t="array" ref="B163:B163">INDEX(Data_DBD!$C:$C,$A163)</f>
        <v>3</v>
      </c>
      <c r="C163" s="5" t="n">
        <f aca="false" t="array" ref="C163:C163">INDEX(Data_DBD!$E:$E,$A163)</f>
        <v>1</v>
      </c>
      <c r="D163" s="5" t="str">
        <f aca="false" t="array" ref="D163:D163">INDEX(Data_DBD!$F:$F,$A163)</f>
        <v>Tinggi</v>
      </c>
      <c r="H163" s="5" t="n">
        <v>120</v>
      </c>
      <c r="I163" s="5" t="n">
        <v>4</v>
      </c>
      <c r="J163" s="5" t="n">
        <v>1</v>
      </c>
      <c r="K163" s="5" t="s">
        <v>115</v>
      </c>
      <c r="U163" s="17"/>
    </row>
    <row r="164" customFormat="false" ht="15" hidden="false" customHeight="false" outlineLevel="0" collapsed="false">
      <c r="A164" s="5" t="n">
        <f aca="false">RANDBETWEEN(2,164)</f>
        <v>28</v>
      </c>
      <c r="B164" s="5" t="n">
        <f aca="false" t="array" ref="B164:B164">INDEX(Data_DBD!$C:$C,$A164)</f>
        <v>2</v>
      </c>
      <c r="C164" s="5" t="n">
        <f aca="false" t="array" ref="C164:C164">INDEX(Data_DBD!$E:$E,$A164)</f>
        <v>1</v>
      </c>
      <c r="D164" s="5" t="str">
        <f aca="false" t="array" ref="D164:D164">INDEX(Data_DBD!$F:$F,$A164)</f>
        <v>Sedang</v>
      </c>
      <c r="H164" s="5" t="n">
        <v>137</v>
      </c>
      <c r="I164" s="5" t="n">
        <v>1</v>
      </c>
      <c r="J164" s="5" t="n">
        <v>1</v>
      </c>
      <c r="K164" s="5" t="s">
        <v>115</v>
      </c>
    </row>
    <row r="165" customFormat="false" ht="15" hidden="false" customHeight="false" outlineLevel="0" collapsed="false">
      <c r="I165" s="0" t="n">
        <f aca="false">AVERAGE(I2:I164)</f>
        <v>3.54601226993865</v>
      </c>
      <c r="J165" s="0" t="n">
        <f aca="false">AVERAGE(J2:J164)</f>
        <v>0.56441717791411</v>
      </c>
    </row>
    <row r="167" customFormat="false" ht="15" hidden="false" customHeight="false" outlineLevel="0" collapsed="false">
      <c r="B167" s="0" t="n">
        <v>6</v>
      </c>
    </row>
    <row r="168" customFormat="false" ht="15" hidden="false" customHeight="false" outlineLevel="0" collapsed="false">
      <c r="I168" s="11" t="s">
        <v>186</v>
      </c>
      <c r="N168" s="11" t="s">
        <v>188</v>
      </c>
    </row>
    <row r="169" customFormat="false" ht="15" hidden="false" customHeight="false" outlineLevel="0" collapsed="false">
      <c r="I169" s="5" t="s">
        <v>189</v>
      </c>
      <c r="J169" s="5" t="n">
        <f aca="false">AVERAGEIF($I$2:$I$164,"&lt;="&amp;$I$165)</f>
        <v>2.44578313253012</v>
      </c>
      <c r="K169" s="5" t="n">
        <f aca="false">AVERAGEIF($I$2:$I$164,"&gt;"&amp;$I$165)</f>
        <v>4.6875</v>
      </c>
      <c r="N169" s="5" t="s">
        <v>191</v>
      </c>
      <c r="O169" s="5" t="n">
        <f aca="false">AVERAGEIF($J$2:$J$164,"&lt;="&amp;$J$165)</f>
        <v>0</v>
      </c>
      <c r="P169" s="5" t="n">
        <f aca="false">AVERAGEIF($J$2:$J$164,"&gt;"&amp;$J$165)</f>
        <v>1</v>
      </c>
    </row>
    <row r="170" customFormat="false" ht="15" hidden="false" customHeight="false" outlineLevel="0" collapsed="false">
      <c r="I170" s="5" t="str">
        <f aca="false" t="array" ref="I170:I332">IF($I$2:$I$164&lt;$J$169,"kiri",IF($I$2:$I$164&lt;$K$169,"tengah","kanan"))</f>
        <v>kiri</v>
      </c>
      <c r="J170" s="5" t="s">
        <v>219</v>
      </c>
      <c r="K170" s="5"/>
      <c r="N170" s="5" t="str">
        <f aca="false" t="array" ref="N170:N332">IF($J$2:$J$164&lt;$O$169,"kiri",IF($J$2:$J$164&lt;$P$169,"tengah","kanan"))</f>
        <v>kanan</v>
      </c>
      <c r="O170" s="5" t="s">
        <v>195</v>
      </c>
      <c r="P170" s="5"/>
    </row>
    <row r="171" customFormat="false" ht="15" hidden="false" customHeight="false" outlineLevel="0" collapsed="false">
      <c r="I171" s="5" t="str">
        <v>tengah</v>
      </c>
      <c r="J171" s="5" t="n">
        <f aca="false">COUNTIFS($I$170:$I$332,"Kanan",$K$2:$K$164,"Tinggi")</f>
        <v>19</v>
      </c>
      <c r="K171" s="5" t="n">
        <f aca="false">J171/40</f>
        <v>0.475</v>
      </c>
      <c r="N171" s="5" t="str">
        <v>kanan</v>
      </c>
      <c r="O171" s="5" t="n">
        <f aca="false">COUNTIFS($N$170:$N$332,"Kanan",$K$2:$K$164,"Tinggi")</f>
        <v>45</v>
      </c>
      <c r="P171" s="5" t="n">
        <f aca="false">O171/92</f>
        <v>0.489130434782609</v>
      </c>
    </row>
    <row r="172" customFormat="false" ht="15" hidden="false" customHeight="false" outlineLevel="0" collapsed="false">
      <c r="I172" s="5" t="str">
        <v>kanan</v>
      </c>
      <c r="J172" s="5" t="n">
        <f aca="false">COUNTIFS($I$170:$I$332,"Kanan",$K$2:$K$164,"Sedang")</f>
        <v>18</v>
      </c>
      <c r="K172" s="5" t="n">
        <f aca="false">J172/40</f>
        <v>0.45</v>
      </c>
      <c r="N172" s="5" t="str">
        <v>tengah</v>
      </c>
      <c r="O172" s="5" t="n">
        <f aca="false">COUNTIFS($N$170:$N$332,"Kanan",$K$2:$K$164,"Sedang")</f>
        <v>40</v>
      </c>
      <c r="P172" s="5" t="n">
        <f aca="false">O172/92</f>
        <v>0.434782608695652</v>
      </c>
    </row>
    <row r="173" customFormat="false" ht="15" hidden="false" customHeight="false" outlineLevel="0" collapsed="false">
      <c r="I173" s="5" t="str">
        <v>tengah</v>
      </c>
      <c r="J173" s="5" t="n">
        <f aca="false">COUNTIFS($I$170:$I$332,"Kanan",$K$2:$K$164,"Rendah")</f>
        <v>3</v>
      </c>
      <c r="K173" s="5" t="n">
        <f aca="false">J173/40</f>
        <v>0.075</v>
      </c>
      <c r="N173" s="5" t="str">
        <v>kanan</v>
      </c>
      <c r="O173" s="5" t="n">
        <f aca="false">COUNTIFS($N$170:$N$332,"Kanan",$K$2:$K$164,"Rendah")</f>
        <v>7</v>
      </c>
      <c r="P173" s="5" t="n">
        <f aca="false">O173/92</f>
        <v>0.0760869565217391</v>
      </c>
    </row>
    <row r="174" customFormat="false" ht="15" hidden="false" customHeight="false" outlineLevel="0" collapsed="false">
      <c r="I174" s="5" t="str">
        <v>tengah</v>
      </c>
      <c r="J174" s="5" t="s">
        <v>196</v>
      </c>
      <c r="K174" s="5" t="n">
        <f aca="false">-(IFERROR(K171*LOG(K171,2),0)+IFERROR(K172*LOG(K172,2),0)+IFERROR(K173*LOG(K173,2),0))</f>
        <v>1.30882408779853</v>
      </c>
      <c r="N174" s="5" t="str">
        <v>tengah</v>
      </c>
      <c r="O174" s="5" t="s">
        <v>196</v>
      </c>
      <c r="P174" s="5" t="n">
        <f aca="false">-(IFERROR(P171*LOG(P171,2),0)+IFERROR(P172*LOG(P172,2),0)+IFERROR(P173*LOG(P173,2),0))</f>
        <v>1.30984459100557</v>
      </c>
    </row>
    <row r="175" customFormat="false" ht="15" hidden="false" customHeight="false" outlineLevel="0" collapsed="false">
      <c r="I175" s="5" t="str">
        <v>tengah</v>
      </c>
      <c r="J175" s="5"/>
      <c r="K175" s="5" t="n">
        <f aca="false">SUM(J171:J173)/163</f>
        <v>0.245398773006135</v>
      </c>
      <c r="N175" s="5" t="str">
        <v>kanan</v>
      </c>
      <c r="O175" s="5"/>
      <c r="P175" s="5" t="n">
        <f aca="false">SUM(O171:O173)/163</f>
        <v>0.56441717791411</v>
      </c>
    </row>
    <row r="176" customFormat="false" ht="15" hidden="false" customHeight="false" outlineLevel="0" collapsed="false">
      <c r="I176" s="5" t="str">
        <v>kiri</v>
      </c>
      <c r="J176" s="5"/>
      <c r="K176" s="12" t="n">
        <f aca="false">K174*K175</f>
        <v>0.321183825226634</v>
      </c>
      <c r="N176" s="5" t="str">
        <v>kanan</v>
      </c>
      <c r="O176" s="5"/>
      <c r="P176" s="12" t="n">
        <f aca="false">P174*P175</f>
        <v>0.739298787561424</v>
      </c>
    </row>
    <row r="177" customFormat="false" ht="15" hidden="false" customHeight="false" outlineLevel="0" collapsed="false">
      <c r="I177" s="5" t="str">
        <v>tengah</v>
      </c>
      <c r="J177" s="5"/>
      <c r="K177" s="5"/>
      <c r="N177" s="5" t="str">
        <v>kanan</v>
      </c>
      <c r="O177" s="5"/>
      <c r="P177" s="5"/>
    </row>
    <row r="178" customFormat="false" ht="15" hidden="false" customHeight="false" outlineLevel="0" collapsed="false">
      <c r="I178" s="5" t="str">
        <v>tengah</v>
      </c>
      <c r="J178" s="5"/>
      <c r="K178" s="5"/>
      <c r="N178" s="5" t="str">
        <v>kanan</v>
      </c>
      <c r="O178" s="5"/>
      <c r="P178" s="5"/>
    </row>
    <row r="179" customFormat="false" ht="15" hidden="false" customHeight="false" outlineLevel="0" collapsed="false">
      <c r="I179" s="5" t="str">
        <v>tengah</v>
      </c>
      <c r="J179" s="5" t="s">
        <v>220</v>
      </c>
      <c r="K179" s="5"/>
      <c r="N179" s="5" t="str">
        <v>tengah</v>
      </c>
      <c r="O179" s="5" t="s">
        <v>200</v>
      </c>
      <c r="P179" s="5"/>
    </row>
    <row r="180" customFormat="false" ht="15" hidden="false" customHeight="false" outlineLevel="0" collapsed="false">
      <c r="I180" s="5" t="str">
        <v>kanan</v>
      </c>
      <c r="J180" s="5" t="n">
        <f aca="false">COUNTIFS($I$170:$I$332,"Kiri",$K$2:$K$164,"Tinggi")</f>
        <v>23</v>
      </c>
      <c r="K180" s="5" t="n">
        <f aca="false">J180/36</f>
        <v>0.638888888888889</v>
      </c>
      <c r="N180" s="5" t="str">
        <v>tengah</v>
      </c>
      <c r="O180" s="5" t="n">
        <f aca="false">COUNTIFS($N$170:$N$332,"Kiri",$K$2:$K$164,"Tinggi")</f>
        <v>0</v>
      </c>
      <c r="P180" s="5" t="n">
        <f aca="false">O180/57</f>
        <v>0</v>
      </c>
    </row>
    <row r="181" customFormat="false" ht="15" hidden="false" customHeight="false" outlineLevel="0" collapsed="false">
      <c r="I181" s="5" t="str">
        <v>kanan</v>
      </c>
      <c r="J181" s="5" t="n">
        <f aca="false">COUNTIFS($I$170:$I$332,"Kiri",$K$2:$K$164,"Sedang")</f>
        <v>9</v>
      </c>
      <c r="K181" s="5" t="n">
        <f aca="false">J181/36</f>
        <v>0.25</v>
      </c>
      <c r="N181" s="5" t="str">
        <v>tengah</v>
      </c>
      <c r="O181" s="5" t="n">
        <f aca="false">COUNTIFS($N$170:$N$332,"Kiri",$K$2:$K$164,"Sedang")</f>
        <v>0</v>
      </c>
      <c r="P181" s="5" t="n">
        <f aca="false">O181/57</f>
        <v>0</v>
      </c>
    </row>
    <row r="182" customFormat="false" ht="15" hidden="false" customHeight="false" outlineLevel="0" collapsed="false">
      <c r="I182" s="5" t="str">
        <v>kiri</v>
      </c>
      <c r="J182" s="5" t="n">
        <f aca="false">COUNTIFS($I$170:$I$332,"Kiri",$K$2:$K$164,"Rendah")</f>
        <v>4</v>
      </c>
      <c r="K182" s="5" t="n">
        <f aca="false">J182/36</f>
        <v>0.111111111111111</v>
      </c>
      <c r="N182" s="5" t="str">
        <v>kanan</v>
      </c>
      <c r="O182" s="5" t="n">
        <f aca="false">COUNTIFS($N$170:$N$332,"Kiri",$K$2:$K$164,"Rendah")</f>
        <v>0</v>
      </c>
      <c r="P182" s="5" t="n">
        <f aca="false">O182/57</f>
        <v>0</v>
      </c>
    </row>
    <row r="183" customFormat="false" ht="15" hidden="false" customHeight="false" outlineLevel="0" collapsed="false">
      <c r="I183" s="5" t="str">
        <v>kanan</v>
      </c>
      <c r="J183" s="5" t="s">
        <v>196</v>
      </c>
      <c r="K183" s="5" t="n">
        <f aca="false">-(IFERROR(K180*LOG(K180,2),0)+IFERROR(K181*LOG(K181,2),0)+IFERROR(K182*LOG(K182,2),0))</f>
        <v>1.2651680569342</v>
      </c>
      <c r="N183" s="5" t="str">
        <v>tengah</v>
      </c>
      <c r="O183" s="5" t="s">
        <v>196</v>
      </c>
      <c r="P183" s="5" t="n">
        <f aca="false">-(IFERROR(P180*LOG(P180,2),0)+IFERROR(P181*LOG(P181,2),0)+IFERROR(P182*LOG(P182,2),0))</f>
        <v>-0</v>
      </c>
    </row>
    <row r="184" customFormat="false" ht="15" hidden="false" customHeight="false" outlineLevel="0" collapsed="false">
      <c r="I184" s="5" t="str">
        <v>kanan</v>
      </c>
      <c r="J184" s="5"/>
      <c r="K184" s="5" t="n">
        <f aca="false">SUM(J180:J182)/163</f>
        <v>0.220858895705521</v>
      </c>
      <c r="N184" s="5" t="str">
        <v>kanan</v>
      </c>
      <c r="O184" s="5"/>
      <c r="P184" s="5" t="n">
        <f aca="false">SUM(O180:O182)/163</f>
        <v>0</v>
      </c>
    </row>
    <row r="185" customFormat="false" ht="15" hidden="false" customHeight="false" outlineLevel="0" collapsed="false">
      <c r="I185" s="5" t="str">
        <v>tengah</v>
      </c>
      <c r="J185" s="5"/>
      <c r="K185" s="12" t="n">
        <f aca="false">K183*K184</f>
        <v>0.279423619936387</v>
      </c>
      <c r="N185" s="5" t="str">
        <v>kanan</v>
      </c>
      <c r="O185" s="5"/>
      <c r="P185" s="12" t="n">
        <f aca="false">P183*P184</f>
        <v>-0</v>
      </c>
    </row>
    <row r="186" customFormat="false" ht="15" hidden="false" customHeight="false" outlineLevel="0" collapsed="false">
      <c r="I186" s="5" t="str">
        <v>tengah</v>
      </c>
      <c r="J186" s="5"/>
      <c r="K186" s="5"/>
      <c r="N186" s="5" t="str">
        <v>kanan</v>
      </c>
      <c r="O186" s="5"/>
      <c r="P186" s="5"/>
    </row>
    <row r="187" customFormat="false" ht="15" hidden="false" customHeight="false" outlineLevel="0" collapsed="false">
      <c r="I187" s="5" t="str">
        <v>tengah</v>
      </c>
      <c r="J187" s="5"/>
      <c r="K187" s="5"/>
      <c r="N187" s="5" t="str">
        <v>tengah</v>
      </c>
      <c r="O187" s="5"/>
      <c r="P187" s="5"/>
    </row>
    <row r="188" customFormat="false" ht="15" hidden="false" customHeight="false" outlineLevel="0" collapsed="false">
      <c r="I188" s="5" t="str">
        <v>kanan</v>
      </c>
      <c r="J188" s="5" t="s">
        <v>201</v>
      </c>
      <c r="K188" s="5"/>
      <c r="N188" s="5" t="str">
        <v>kanan</v>
      </c>
      <c r="O188" s="5" t="s">
        <v>201</v>
      </c>
      <c r="P188" s="5"/>
    </row>
    <row r="189" customFormat="false" ht="15" hidden="false" customHeight="false" outlineLevel="0" collapsed="false">
      <c r="I189" s="5" t="str">
        <v>kanan</v>
      </c>
      <c r="J189" s="5" t="n">
        <f aca="false">COUNTIFS($I$170:$I$332,"Tengah",$K$2:$K$164,"Tinggi")</f>
        <v>28</v>
      </c>
      <c r="K189" s="5" t="n">
        <f aca="false">J189/87</f>
        <v>0.32183908045977</v>
      </c>
      <c r="N189" s="5" t="str">
        <v>kanan</v>
      </c>
      <c r="O189" s="5" t="n">
        <f aca="false">COUNTIFS($N$170:$N$332,"Tengah",$K$2:$K$164,"Tinggi")</f>
        <v>25</v>
      </c>
      <c r="P189" s="5" t="n">
        <f aca="false">O189/71</f>
        <v>0.352112676056338</v>
      </c>
    </row>
    <row r="190" customFormat="false" ht="15" hidden="false" customHeight="false" outlineLevel="0" collapsed="false">
      <c r="I190" s="5" t="str">
        <v>kiri</v>
      </c>
      <c r="J190" s="5" t="n">
        <f aca="false">COUNTIFS($I$170:$I$332,"Tengah",$K$2:$K$164,"Sedang")</f>
        <v>54</v>
      </c>
      <c r="K190" s="5" t="n">
        <f aca="false">J190/87</f>
        <v>0.620689655172414</v>
      </c>
      <c r="N190" s="5" t="str">
        <v>tengah</v>
      </c>
      <c r="O190" s="5" t="n">
        <f aca="false">COUNTIFS($N$170:$N$332,"Tengah",$K$2:$K$164,"Sedang")</f>
        <v>41</v>
      </c>
      <c r="P190" s="5" t="n">
        <f aca="false">O190/71</f>
        <v>0.577464788732394</v>
      </c>
    </row>
    <row r="191" customFormat="false" ht="15" hidden="false" customHeight="false" outlineLevel="0" collapsed="false">
      <c r="I191" s="5" t="str">
        <v>tengah</v>
      </c>
      <c r="J191" s="5" t="n">
        <f aca="false">COUNTIFS($I$170:$I$332,"Tengah",$K$2:$K$164,"Rendah")</f>
        <v>5</v>
      </c>
      <c r="K191" s="5" t="n">
        <f aca="false">J191/87</f>
        <v>0.0574712643678161</v>
      </c>
      <c r="N191" s="5" t="str">
        <v>kanan</v>
      </c>
      <c r="O191" s="5" t="n">
        <f aca="false">COUNTIFS($N$170:$N$332,"Tengah",$K$2:$K$164,"Rendah")</f>
        <v>5</v>
      </c>
      <c r="P191" s="5" t="n">
        <f aca="false">O191/71</f>
        <v>0.0704225352112676</v>
      </c>
    </row>
    <row r="192" customFormat="false" ht="15" hidden="false" customHeight="false" outlineLevel="0" collapsed="false">
      <c r="I192" s="5" t="str">
        <v>kiri</v>
      </c>
      <c r="J192" s="5" t="s">
        <v>196</v>
      </c>
      <c r="K192" s="5" t="n">
        <f aca="false">-(IFERROR(K189*LOG(K189,2),0)+IFERROR(K190*LOG(K190,2),0)+IFERROR(K191*LOG(K191,2),0))</f>
        <v>1.19030552563175</v>
      </c>
      <c r="N192" s="5" t="str">
        <v>kanan</v>
      </c>
      <c r="O192" s="5" t="s">
        <v>196</v>
      </c>
      <c r="P192" s="5" t="n">
        <f aca="false">-(IFERROR(P189*LOG(P189,2),0)+IFERROR(P190*LOG(P190,2),0)+IFERROR(P191*LOG(P191,2),0))</f>
        <v>1.25727278981248</v>
      </c>
    </row>
    <row r="193" customFormat="false" ht="15" hidden="false" customHeight="false" outlineLevel="0" collapsed="false">
      <c r="I193" s="5" t="str">
        <v>tengah</v>
      </c>
      <c r="J193" s="5"/>
      <c r="K193" s="5" t="n">
        <f aca="false">SUM(J189:J191)/163</f>
        <v>0.533742331288344</v>
      </c>
      <c r="N193" s="5" t="str">
        <v>tengah</v>
      </c>
      <c r="O193" s="5"/>
      <c r="P193" s="5" t="n">
        <f aca="false">SUM(O189:O191)/163</f>
        <v>0.43558282208589</v>
      </c>
    </row>
    <row r="194" customFormat="false" ht="15" hidden="false" customHeight="false" outlineLevel="0" collapsed="false">
      <c r="I194" s="5" t="str">
        <v>kiri</v>
      </c>
      <c r="J194" s="5"/>
      <c r="K194" s="12" t="n">
        <f aca="false">K192*K193</f>
        <v>0.635316446196088</v>
      </c>
      <c r="N194" s="5" t="str">
        <v>kanan</v>
      </c>
      <c r="O194" s="5"/>
      <c r="P194" s="12" t="n">
        <f aca="false">P192*P193</f>
        <v>0.547646429918319</v>
      </c>
    </row>
    <row r="195" customFormat="false" ht="15" hidden="false" customHeight="false" outlineLevel="0" collapsed="false">
      <c r="I195" s="5" t="str">
        <v>tengah</v>
      </c>
      <c r="J195" s="5"/>
      <c r="K195" s="5"/>
      <c r="N195" s="5" t="str">
        <v>tengah</v>
      </c>
      <c r="O195" s="5"/>
      <c r="P195" s="5"/>
    </row>
    <row r="196" customFormat="false" ht="15" hidden="false" customHeight="false" outlineLevel="0" collapsed="false">
      <c r="I196" s="5" t="str">
        <v>tengah</v>
      </c>
      <c r="J196" s="5" t="s">
        <v>202</v>
      </c>
      <c r="K196" s="5"/>
      <c r="N196" s="5" t="str">
        <v>tengah</v>
      </c>
      <c r="O196" s="5" t="s">
        <v>202</v>
      </c>
      <c r="P196" s="5"/>
    </row>
    <row r="197" customFormat="false" ht="15" hidden="false" customHeight="false" outlineLevel="0" collapsed="false">
      <c r="I197" s="5" t="str">
        <v>tengah</v>
      </c>
      <c r="J197" s="13" t="n">
        <f aca="false">P5-(K176+K185+K194)</f>
        <v>0.0661956038016858</v>
      </c>
      <c r="K197" s="5"/>
      <c r="N197" s="5" t="str">
        <v>kanan</v>
      </c>
      <c r="O197" s="13" t="n">
        <f aca="false">P5-(P176+P185+P194)</f>
        <v>0.0151742776810513</v>
      </c>
      <c r="P197" s="5"/>
    </row>
    <row r="198" customFormat="false" ht="15" hidden="false" customHeight="false" outlineLevel="0" collapsed="false">
      <c r="I198" s="5" t="str">
        <v>tengah</v>
      </c>
      <c r="J198" s="5"/>
      <c r="K198" s="5"/>
      <c r="N198" s="5" t="str">
        <v>kanan</v>
      </c>
      <c r="O198" s="5"/>
      <c r="P198" s="5"/>
    </row>
    <row r="199" customFormat="false" ht="15" hidden="false" customHeight="false" outlineLevel="0" collapsed="false">
      <c r="I199" s="5" t="str">
        <v>tengah</v>
      </c>
      <c r="J199" s="5"/>
      <c r="K199" s="5"/>
      <c r="N199" s="5" t="str">
        <v>kanan</v>
      </c>
      <c r="O199" s="5"/>
      <c r="P199" s="5"/>
    </row>
    <row r="200" customFormat="false" ht="15" hidden="false" customHeight="false" outlineLevel="0" collapsed="false">
      <c r="I200" s="5" t="str">
        <v>tengah</v>
      </c>
      <c r="J200" s="5"/>
      <c r="K200" s="5"/>
      <c r="N200" s="5" t="str">
        <v>tengah</v>
      </c>
      <c r="O200" s="5"/>
      <c r="P200" s="5"/>
    </row>
    <row r="201" customFormat="false" ht="15" hidden="false" customHeight="false" outlineLevel="0" collapsed="false">
      <c r="I201" s="5" t="str">
        <v>kiri</v>
      </c>
      <c r="J201" s="5"/>
      <c r="K201" s="5"/>
      <c r="N201" s="5" t="str">
        <v>kanan</v>
      </c>
      <c r="O201" s="5"/>
      <c r="P201" s="5"/>
    </row>
    <row r="202" customFormat="false" ht="15" hidden="false" customHeight="false" outlineLevel="0" collapsed="false">
      <c r="I202" s="5" t="str">
        <v>kanan</v>
      </c>
      <c r="J202" s="5"/>
      <c r="K202" s="5"/>
      <c r="N202" s="5" t="str">
        <v>tengah</v>
      </c>
      <c r="O202" s="5"/>
      <c r="P202" s="5"/>
    </row>
    <row r="203" customFormat="false" ht="15" hidden="false" customHeight="false" outlineLevel="0" collapsed="false">
      <c r="I203" s="5" t="str">
        <v>kiri</v>
      </c>
      <c r="J203" s="5"/>
      <c r="K203" s="5"/>
      <c r="N203" s="5" t="str">
        <v>kanan</v>
      </c>
      <c r="O203" s="5"/>
      <c r="P203" s="5"/>
    </row>
    <row r="204" customFormat="false" ht="15" hidden="false" customHeight="false" outlineLevel="0" collapsed="false">
      <c r="I204" s="5" t="str">
        <v>kiri</v>
      </c>
      <c r="J204" s="5"/>
      <c r="K204" s="5"/>
      <c r="N204" s="5" t="str">
        <v>tengah</v>
      </c>
      <c r="O204" s="5"/>
      <c r="P204" s="5"/>
    </row>
    <row r="205" customFormat="false" ht="15" hidden="false" customHeight="false" outlineLevel="0" collapsed="false">
      <c r="I205" s="5" t="str">
        <v>tengah</v>
      </c>
      <c r="J205" s="5"/>
      <c r="K205" s="5"/>
      <c r="N205" s="5" t="str">
        <v>kanan</v>
      </c>
      <c r="O205" s="5"/>
      <c r="P205" s="5"/>
    </row>
    <row r="206" customFormat="false" ht="15" hidden="false" customHeight="false" outlineLevel="0" collapsed="false">
      <c r="I206" s="5" t="str">
        <v>tengah</v>
      </c>
      <c r="J206" s="5"/>
      <c r="K206" s="5"/>
      <c r="N206" s="5" t="str">
        <v>kanan</v>
      </c>
      <c r="O206" s="5"/>
      <c r="P206" s="5"/>
    </row>
    <row r="207" customFormat="false" ht="15" hidden="false" customHeight="false" outlineLevel="0" collapsed="false">
      <c r="I207" s="5" t="str">
        <v>tengah</v>
      </c>
      <c r="J207" s="5"/>
      <c r="K207" s="5"/>
      <c r="N207" s="5" t="str">
        <v>tengah</v>
      </c>
      <c r="O207" s="5"/>
      <c r="P207" s="5"/>
    </row>
    <row r="208" customFormat="false" ht="15" hidden="false" customHeight="false" outlineLevel="0" collapsed="false">
      <c r="I208" s="5" t="str">
        <v>kanan</v>
      </c>
      <c r="J208" s="5"/>
      <c r="K208" s="5"/>
      <c r="N208" s="5" t="str">
        <v>tengah</v>
      </c>
      <c r="O208" s="5"/>
      <c r="P208" s="5"/>
    </row>
    <row r="209" customFormat="false" ht="15" hidden="false" customHeight="false" outlineLevel="0" collapsed="false">
      <c r="I209" s="5" t="str">
        <v>kanan</v>
      </c>
      <c r="J209" s="5"/>
      <c r="K209" s="5"/>
      <c r="N209" s="5" t="str">
        <v>kanan</v>
      </c>
      <c r="O209" s="5"/>
      <c r="P209" s="5"/>
    </row>
    <row r="210" customFormat="false" ht="15" hidden="false" customHeight="false" outlineLevel="0" collapsed="false">
      <c r="I210" s="5" t="str">
        <v>tengah</v>
      </c>
      <c r="J210" s="5"/>
      <c r="K210" s="5"/>
      <c r="N210" s="5" t="str">
        <v>kanan</v>
      </c>
      <c r="O210" s="5"/>
      <c r="P210" s="5"/>
    </row>
    <row r="211" customFormat="false" ht="15" hidden="false" customHeight="false" outlineLevel="0" collapsed="false">
      <c r="I211" s="5" t="str">
        <v>tengah</v>
      </c>
      <c r="J211" s="5"/>
      <c r="K211" s="5"/>
      <c r="N211" s="5" t="str">
        <v>kanan</v>
      </c>
      <c r="O211" s="5"/>
      <c r="P211" s="5"/>
    </row>
    <row r="212" customFormat="false" ht="15" hidden="false" customHeight="false" outlineLevel="0" collapsed="false">
      <c r="I212" s="5" t="str">
        <v>kiri</v>
      </c>
      <c r="J212" s="5"/>
      <c r="K212" s="5"/>
      <c r="N212" s="5" t="str">
        <v>kanan</v>
      </c>
      <c r="O212" s="5"/>
      <c r="P212" s="5"/>
    </row>
    <row r="213" customFormat="false" ht="15" hidden="false" customHeight="false" outlineLevel="0" collapsed="false">
      <c r="I213" s="5" t="str">
        <v>tengah</v>
      </c>
      <c r="J213" s="5"/>
      <c r="K213" s="5"/>
      <c r="N213" s="5" t="str">
        <v>tengah</v>
      </c>
      <c r="O213" s="5"/>
      <c r="P213" s="5"/>
    </row>
    <row r="214" customFormat="false" ht="15" hidden="false" customHeight="false" outlineLevel="0" collapsed="false">
      <c r="I214" s="5" t="str">
        <v>kanan</v>
      </c>
      <c r="J214" s="5"/>
      <c r="K214" s="5"/>
      <c r="N214" s="5" t="str">
        <v>tengah</v>
      </c>
      <c r="O214" s="5"/>
      <c r="P214" s="5"/>
    </row>
    <row r="215" customFormat="false" ht="15" hidden="false" customHeight="false" outlineLevel="0" collapsed="false">
      <c r="I215" s="5" t="str">
        <v>tengah</v>
      </c>
      <c r="J215" s="5"/>
      <c r="K215" s="5"/>
      <c r="N215" s="5" t="str">
        <v>kanan</v>
      </c>
      <c r="O215" s="5"/>
      <c r="P215" s="5"/>
    </row>
    <row r="216" customFormat="false" ht="15" hidden="false" customHeight="false" outlineLevel="0" collapsed="false">
      <c r="I216" s="5" t="str">
        <v>kanan</v>
      </c>
      <c r="J216" s="5"/>
      <c r="K216" s="5"/>
      <c r="N216" s="5" t="str">
        <v>kanan</v>
      </c>
      <c r="O216" s="5"/>
      <c r="P216" s="5"/>
    </row>
    <row r="217" customFormat="false" ht="15" hidden="false" customHeight="false" outlineLevel="0" collapsed="false">
      <c r="I217" s="5" t="str">
        <v>kiri</v>
      </c>
      <c r="J217" s="5"/>
      <c r="K217" s="5"/>
      <c r="N217" s="5" t="str">
        <v>tengah</v>
      </c>
      <c r="O217" s="5"/>
      <c r="P217" s="5"/>
    </row>
    <row r="218" customFormat="false" ht="15" hidden="false" customHeight="false" outlineLevel="0" collapsed="false">
      <c r="I218" s="5" t="str">
        <v>kiri</v>
      </c>
      <c r="J218" s="5"/>
      <c r="K218" s="5"/>
      <c r="N218" s="5" t="str">
        <v>kanan</v>
      </c>
      <c r="O218" s="5"/>
      <c r="P218" s="5"/>
    </row>
    <row r="219" customFormat="false" ht="15" hidden="false" customHeight="false" outlineLevel="0" collapsed="false">
      <c r="I219" s="5" t="str">
        <v>kanan</v>
      </c>
      <c r="J219" s="5"/>
      <c r="K219" s="5"/>
      <c r="N219" s="5" t="str">
        <v>kanan</v>
      </c>
      <c r="O219" s="5"/>
      <c r="P219" s="5"/>
    </row>
    <row r="220" customFormat="false" ht="15" hidden="false" customHeight="false" outlineLevel="0" collapsed="false">
      <c r="I220" s="5" t="str">
        <v>kanan</v>
      </c>
      <c r="J220" s="5"/>
      <c r="K220" s="5"/>
      <c r="N220" s="5" t="str">
        <v>kanan</v>
      </c>
      <c r="O220" s="5"/>
      <c r="P220" s="5"/>
    </row>
    <row r="221" customFormat="false" ht="15" hidden="false" customHeight="false" outlineLevel="0" collapsed="false">
      <c r="I221" s="5" t="str">
        <v>tengah</v>
      </c>
      <c r="J221" s="5"/>
      <c r="K221" s="5"/>
      <c r="N221" s="5" t="str">
        <v>tengah</v>
      </c>
      <c r="O221" s="5"/>
      <c r="P221" s="5"/>
    </row>
    <row r="222" customFormat="false" ht="15" hidden="false" customHeight="false" outlineLevel="0" collapsed="false">
      <c r="I222" s="5" t="str">
        <v>tengah</v>
      </c>
      <c r="J222" s="5"/>
      <c r="K222" s="5"/>
      <c r="N222" s="5" t="str">
        <v>tengah</v>
      </c>
      <c r="O222" s="5"/>
      <c r="P222" s="5"/>
    </row>
    <row r="223" customFormat="false" ht="15" hidden="false" customHeight="false" outlineLevel="0" collapsed="false">
      <c r="I223" s="5" t="str">
        <v>tengah</v>
      </c>
      <c r="J223" s="5"/>
      <c r="K223" s="5"/>
      <c r="N223" s="5" t="str">
        <v>kanan</v>
      </c>
      <c r="O223" s="5"/>
      <c r="P223" s="5"/>
    </row>
    <row r="224" customFormat="false" ht="15" hidden="false" customHeight="false" outlineLevel="0" collapsed="false">
      <c r="I224" s="5" t="str">
        <v>kanan</v>
      </c>
      <c r="J224" s="5"/>
      <c r="K224" s="5"/>
      <c r="N224" s="5" t="str">
        <v>kanan</v>
      </c>
      <c r="O224" s="5"/>
      <c r="P224" s="5"/>
    </row>
    <row r="225" customFormat="false" ht="15" hidden="false" customHeight="false" outlineLevel="0" collapsed="false">
      <c r="I225" s="5" t="str">
        <v>tengah</v>
      </c>
      <c r="J225" s="5"/>
      <c r="K225" s="5"/>
      <c r="N225" s="5" t="str">
        <v>tengah</v>
      </c>
      <c r="O225" s="5"/>
      <c r="P225" s="5"/>
    </row>
    <row r="226" customFormat="false" ht="15" hidden="false" customHeight="false" outlineLevel="0" collapsed="false">
      <c r="I226" s="5" t="str">
        <v>kanan</v>
      </c>
      <c r="J226" s="5"/>
      <c r="K226" s="5"/>
      <c r="N226" s="5" t="str">
        <v>tengah</v>
      </c>
      <c r="O226" s="5"/>
      <c r="P226" s="5"/>
    </row>
    <row r="227" customFormat="false" ht="15" hidden="false" customHeight="false" outlineLevel="0" collapsed="false">
      <c r="I227" s="5" t="str">
        <v>tengah</v>
      </c>
      <c r="J227" s="5"/>
      <c r="K227" s="5"/>
      <c r="N227" s="5" t="str">
        <v>tengah</v>
      </c>
      <c r="O227" s="5"/>
      <c r="P227" s="5"/>
    </row>
    <row r="228" customFormat="false" ht="15" hidden="false" customHeight="false" outlineLevel="0" collapsed="false">
      <c r="I228" s="5" t="str">
        <v>kanan</v>
      </c>
      <c r="J228" s="5"/>
      <c r="K228" s="5"/>
      <c r="N228" s="5" t="str">
        <v>tengah</v>
      </c>
      <c r="O228" s="5"/>
      <c r="P228" s="5"/>
    </row>
    <row r="229" customFormat="false" ht="15" hidden="false" customHeight="false" outlineLevel="0" collapsed="false">
      <c r="I229" s="5" t="str">
        <v>tengah</v>
      </c>
      <c r="J229" s="5"/>
      <c r="K229" s="5"/>
      <c r="N229" s="5" t="str">
        <v>kanan</v>
      </c>
      <c r="O229" s="5"/>
      <c r="P229" s="5"/>
    </row>
    <row r="230" customFormat="false" ht="15" hidden="false" customHeight="false" outlineLevel="0" collapsed="false">
      <c r="I230" s="5" t="str">
        <v>kanan</v>
      </c>
      <c r="J230" s="5"/>
      <c r="K230" s="5"/>
      <c r="N230" s="5" t="str">
        <v>tengah</v>
      </c>
      <c r="O230" s="5"/>
      <c r="P230" s="5"/>
    </row>
    <row r="231" customFormat="false" ht="15" hidden="false" customHeight="false" outlineLevel="0" collapsed="false">
      <c r="I231" s="5" t="str">
        <v>kanan</v>
      </c>
      <c r="J231" s="5"/>
      <c r="K231" s="5"/>
      <c r="N231" s="5" t="str">
        <v>kanan</v>
      </c>
      <c r="O231" s="5"/>
      <c r="P231" s="5"/>
    </row>
    <row r="232" customFormat="false" ht="15" hidden="false" customHeight="false" outlineLevel="0" collapsed="false">
      <c r="I232" s="5" t="str">
        <v>tengah</v>
      </c>
      <c r="J232" s="5"/>
      <c r="K232" s="5"/>
      <c r="N232" s="5" t="str">
        <v>tengah</v>
      </c>
      <c r="O232" s="5"/>
      <c r="P232" s="5"/>
    </row>
    <row r="233" customFormat="false" ht="15" hidden="false" customHeight="false" outlineLevel="0" collapsed="false">
      <c r="I233" s="5" t="str">
        <v>kanan</v>
      </c>
      <c r="J233" s="5"/>
      <c r="K233" s="5"/>
      <c r="N233" s="5" t="str">
        <v>tengah</v>
      </c>
      <c r="O233" s="5"/>
      <c r="P233" s="5"/>
    </row>
    <row r="234" customFormat="false" ht="15" hidden="false" customHeight="false" outlineLevel="0" collapsed="false">
      <c r="I234" s="5" t="str">
        <v>kiri</v>
      </c>
      <c r="J234" s="5"/>
      <c r="K234" s="5"/>
      <c r="N234" s="5" t="str">
        <v>kanan</v>
      </c>
      <c r="O234" s="5"/>
      <c r="P234" s="5"/>
    </row>
    <row r="235" customFormat="false" ht="15" hidden="false" customHeight="false" outlineLevel="0" collapsed="false">
      <c r="I235" s="5" t="str">
        <v>tengah</v>
      </c>
      <c r="J235" s="5"/>
      <c r="K235" s="5"/>
      <c r="N235" s="5" t="str">
        <v>tengah</v>
      </c>
      <c r="O235" s="5"/>
      <c r="P235" s="5"/>
    </row>
    <row r="236" customFormat="false" ht="15" hidden="false" customHeight="false" outlineLevel="0" collapsed="false">
      <c r="I236" s="5" t="str">
        <v>tengah</v>
      </c>
      <c r="J236" s="5"/>
      <c r="K236" s="5"/>
      <c r="N236" s="5" t="str">
        <v>kanan</v>
      </c>
      <c r="O236" s="5"/>
      <c r="P236" s="5"/>
    </row>
    <row r="237" customFormat="false" ht="15" hidden="false" customHeight="false" outlineLevel="0" collapsed="false">
      <c r="I237" s="5" t="str">
        <v>tengah</v>
      </c>
      <c r="J237" s="5"/>
      <c r="K237" s="5"/>
      <c r="N237" s="5" t="str">
        <v>kanan</v>
      </c>
      <c r="O237" s="5"/>
      <c r="P237" s="5"/>
    </row>
    <row r="238" customFormat="false" ht="15" hidden="false" customHeight="false" outlineLevel="0" collapsed="false">
      <c r="I238" s="5" t="str">
        <v>kanan</v>
      </c>
      <c r="J238" s="5"/>
      <c r="K238" s="5"/>
      <c r="N238" s="5" t="str">
        <v>kanan</v>
      </c>
      <c r="O238" s="5"/>
      <c r="P238" s="5"/>
    </row>
    <row r="239" customFormat="false" ht="15" hidden="false" customHeight="false" outlineLevel="0" collapsed="false">
      <c r="I239" s="5" t="str">
        <v>tengah</v>
      </c>
      <c r="J239" s="5"/>
      <c r="K239" s="5"/>
      <c r="N239" s="5" t="str">
        <v>tengah</v>
      </c>
      <c r="O239" s="5"/>
      <c r="P239" s="5"/>
    </row>
    <row r="240" customFormat="false" ht="15" hidden="false" customHeight="false" outlineLevel="0" collapsed="false">
      <c r="I240" s="5" t="str">
        <v>kanan</v>
      </c>
      <c r="J240" s="5"/>
      <c r="K240" s="5"/>
      <c r="N240" s="5" t="str">
        <v>tengah</v>
      </c>
      <c r="O240" s="5"/>
      <c r="P240" s="5"/>
    </row>
    <row r="241" customFormat="false" ht="15" hidden="false" customHeight="false" outlineLevel="0" collapsed="false">
      <c r="I241" s="5" t="str">
        <v>tengah</v>
      </c>
      <c r="J241" s="5"/>
      <c r="K241" s="5"/>
      <c r="N241" s="5" t="str">
        <v>kanan</v>
      </c>
      <c r="O241" s="5"/>
      <c r="P241" s="5"/>
    </row>
    <row r="242" customFormat="false" ht="15" hidden="false" customHeight="false" outlineLevel="0" collapsed="false">
      <c r="I242" s="5" t="str">
        <v>tengah</v>
      </c>
      <c r="J242" s="5"/>
      <c r="K242" s="5"/>
      <c r="N242" s="5" t="str">
        <v>tengah</v>
      </c>
      <c r="O242" s="5"/>
      <c r="P242" s="5"/>
    </row>
    <row r="243" customFormat="false" ht="15" hidden="false" customHeight="false" outlineLevel="0" collapsed="false">
      <c r="I243" s="5" t="str">
        <v>tengah</v>
      </c>
      <c r="J243" s="5"/>
      <c r="K243" s="5"/>
      <c r="N243" s="5" t="str">
        <v>kanan</v>
      </c>
      <c r="O243" s="5"/>
      <c r="P243" s="5"/>
    </row>
    <row r="244" customFormat="false" ht="15" hidden="false" customHeight="false" outlineLevel="0" collapsed="false">
      <c r="I244" s="5" t="str">
        <v>kanan</v>
      </c>
      <c r="J244" s="5"/>
      <c r="K244" s="5"/>
      <c r="N244" s="5" t="str">
        <v>tengah</v>
      </c>
      <c r="O244" s="5"/>
      <c r="P244" s="5"/>
    </row>
    <row r="245" customFormat="false" ht="15" hidden="false" customHeight="false" outlineLevel="0" collapsed="false">
      <c r="I245" s="5" t="str">
        <v>tengah</v>
      </c>
      <c r="J245" s="5"/>
      <c r="K245" s="5"/>
      <c r="N245" s="5" t="str">
        <v>kanan</v>
      </c>
      <c r="O245" s="5"/>
      <c r="P245" s="5"/>
    </row>
    <row r="246" customFormat="false" ht="15" hidden="false" customHeight="false" outlineLevel="0" collapsed="false">
      <c r="I246" s="5" t="str">
        <v>tengah</v>
      </c>
      <c r="J246" s="5"/>
      <c r="K246" s="5"/>
      <c r="N246" s="5" t="str">
        <v>tengah</v>
      </c>
      <c r="O246" s="5"/>
      <c r="P246" s="5"/>
    </row>
    <row r="247" customFormat="false" ht="15" hidden="false" customHeight="false" outlineLevel="0" collapsed="false">
      <c r="I247" s="5" t="str">
        <v>tengah</v>
      </c>
      <c r="J247" s="5"/>
      <c r="K247" s="5"/>
      <c r="N247" s="5" t="str">
        <v>tengah</v>
      </c>
      <c r="O247" s="5"/>
      <c r="P247" s="5"/>
    </row>
    <row r="248" customFormat="false" ht="15" hidden="false" customHeight="false" outlineLevel="0" collapsed="false">
      <c r="I248" s="5" t="str">
        <v>tengah</v>
      </c>
      <c r="J248" s="5"/>
      <c r="K248" s="5"/>
      <c r="N248" s="5" t="str">
        <v>kanan</v>
      </c>
      <c r="O248" s="5"/>
      <c r="P248" s="5"/>
    </row>
    <row r="249" customFormat="false" ht="15" hidden="false" customHeight="false" outlineLevel="0" collapsed="false">
      <c r="I249" s="5" t="str">
        <v>kanan</v>
      </c>
      <c r="J249" s="5"/>
      <c r="K249" s="5"/>
      <c r="N249" s="5" t="str">
        <v>kanan</v>
      </c>
      <c r="O249" s="5"/>
      <c r="P249" s="5"/>
    </row>
    <row r="250" customFormat="false" ht="15" hidden="false" customHeight="false" outlineLevel="0" collapsed="false">
      <c r="I250" s="5" t="str">
        <v>tengah</v>
      </c>
      <c r="J250" s="5"/>
      <c r="K250" s="5"/>
      <c r="N250" s="5" t="str">
        <v>tengah</v>
      </c>
      <c r="O250" s="5"/>
      <c r="P250" s="5"/>
    </row>
    <row r="251" customFormat="false" ht="15" hidden="false" customHeight="false" outlineLevel="0" collapsed="false">
      <c r="I251" s="5" t="str">
        <v>tengah</v>
      </c>
      <c r="J251" s="5"/>
      <c r="K251" s="5"/>
      <c r="N251" s="5" t="str">
        <v>kanan</v>
      </c>
      <c r="O251" s="5"/>
      <c r="P251" s="5"/>
    </row>
    <row r="252" customFormat="false" ht="15" hidden="false" customHeight="false" outlineLevel="0" collapsed="false">
      <c r="I252" s="5" t="str">
        <v>tengah</v>
      </c>
      <c r="J252" s="5"/>
      <c r="K252" s="5"/>
      <c r="N252" s="5" t="str">
        <v>tengah</v>
      </c>
      <c r="O252" s="5"/>
      <c r="P252" s="5"/>
    </row>
    <row r="253" customFormat="false" ht="15" hidden="false" customHeight="false" outlineLevel="0" collapsed="false">
      <c r="I253" s="5" t="str">
        <v>kiri</v>
      </c>
      <c r="J253" s="5"/>
      <c r="K253" s="5"/>
      <c r="N253" s="5" t="str">
        <v>kanan</v>
      </c>
      <c r="O253" s="5"/>
      <c r="P253" s="5"/>
    </row>
    <row r="254" customFormat="false" ht="15" hidden="false" customHeight="false" outlineLevel="0" collapsed="false">
      <c r="I254" s="5" t="str">
        <v>tengah</v>
      </c>
      <c r="J254" s="5"/>
      <c r="K254" s="5"/>
      <c r="N254" s="5" t="str">
        <v>tengah</v>
      </c>
      <c r="O254" s="5"/>
      <c r="P254" s="5"/>
    </row>
    <row r="255" customFormat="false" ht="15" hidden="false" customHeight="false" outlineLevel="0" collapsed="false">
      <c r="I255" s="5" t="str">
        <v>kanan</v>
      </c>
      <c r="J255" s="5"/>
      <c r="K255" s="5"/>
      <c r="N255" s="5" t="str">
        <v>tengah</v>
      </c>
      <c r="O255" s="5"/>
      <c r="P255" s="5"/>
    </row>
    <row r="256" customFormat="false" ht="15" hidden="false" customHeight="false" outlineLevel="0" collapsed="false">
      <c r="I256" s="5" t="str">
        <v>tengah</v>
      </c>
      <c r="J256" s="5"/>
      <c r="K256" s="5"/>
      <c r="N256" s="5" t="str">
        <v>kanan</v>
      </c>
      <c r="O256" s="5"/>
      <c r="P256" s="5"/>
    </row>
    <row r="257" customFormat="false" ht="15" hidden="false" customHeight="false" outlineLevel="0" collapsed="false">
      <c r="I257" s="5" t="str">
        <v>tengah</v>
      </c>
      <c r="J257" s="5"/>
      <c r="K257" s="5"/>
      <c r="N257" s="5" t="str">
        <v>kanan</v>
      </c>
      <c r="O257" s="5"/>
      <c r="P257" s="5"/>
    </row>
    <row r="258" customFormat="false" ht="15" hidden="false" customHeight="false" outlineLevel="0" collapsed="false">
      <c r="I258" s="5" t="str">
        <v>kiri</v>
      </c>
      <c r="J258" s="5"/>
      <c r="K258" s="5"/>
      <c r="N258" s="5" t="str">
        <v>kanan</v>
      </c>
      <c r="O258" s="5"/>
      <c r="P258" s="5"/>
    </row>
    <row r="259" customFormat="false" ht="15" hidden="false" customHeight="false" outlineLevel="0" collapsed="false">
      <c r="I259" s="5" t="str">
        <v>kiri</v>
      </c>
      <c r="J259" s="5"/>
      <c r="K259" s="5"/>
      <c r="N259" s="5" t="str">
        <v>tengah</v>
      </c>
      <c r="O259" s="5"/>
      <c r="P259" s="5"/>
    </row>
    <row r="260" customFormat="false" ht="15" hidden="false" customHeight="false" outlineLevel="0" collapsed="false">
      <c r="I260" s="5" t="str">
        <v>kanan</v>
      </c>
      <c r="J260" s="5"/>
      <c r="K260" s="5"/>
      <c r="N260" s="5" t="str">
        <v>tengah</v>
      </c>
      <c r="O260" s="5"/>
      <c r="P260" s="5"/>
    </row>
    <row r="261" customFormat="false" ht="15" hidden="false" customHeight="false" outlineLevel="0" collapsed="false">
      <c r="I261" s="5" t="str">
        <v>tengah</v>
      </c>
      <c r="J261" s="5"/>
      <c r="K261" s="5"/>
      <c r="N261" s="5" t="str">
        <v>kanan</v>
      </c>
      <c r="O261" s="5"/>
      <c r="P261" s="5"/>
    </row>
    <row r="262" customFormat="false" ht="15" hidden="false" customHeight="false" outlineLevel="0" collapsed="false">
      <c r="I262" s="5" t="str">
        <v>kiri</v>
      </c>
      <c r="J262" s="5"/>
      <c r="K262" s="5"/>
      <c r="N262" s="5" t="str">
        <v>tengah</v>
      </c>
      <c r="O262" s="5"/>
      <c r="P262" s="5"/>
    </row>
    <row r="263" customFormat="false" ht="15" hidden="false" customHeight="false" outlineLevel="0" collapsed="false">
      <c r="I263" s="5" t="str">
        <v>tengah</v>
      </c>
      <c r="J263" s="5"/>
      <c r="K263" s="5"/>
      <c r="N263" s="5" t="str">
        <v>kanan</v>
      </c>
      <c r="O263" s="5"/>
      <c r="P263" s="5"/>
    </row>
    <row r="264" customFormat="false" ht="15" hidden="false" customHeight="false" outlineLevel="0" collapsed="false">
      <c r="I264" s="5" t="str">
        <v>kiri</v>
      </c>
      <c r="J264" s="5"/>
      <c r="K264" s="5"/>
      <c r="N264" s="5" t="str">
        <v>kanan</v>
      </c>
      <c r="O264" s="5"/>
      <c r="P264" s="5"/>
    </row>
    <row r="265" customFormat="false" ht="15" hidden="false" customHeight="false" outlineLevel="0" collapsed="false">
      <c r="I265" s="5" t="str">
        <v>kanan</v>
      </c>
      <c r="J265" s="5"/>
      <c r="K265" s="5"/>
      <c r="N265" s="5" t="str">
        <v>kanan</v>
      </c>
      <c r="O265" s="5"/>
      <c r="P265" s="5"/>
    </row>
    <row r="266" customFormat="false" ht="15" hidden="false" customHeight="false" outlineLevel="0" collapsed="false">
      <c r="I266" s="5" t="str">
        <v>tengah</v>
      </c>
      <c r="J266" s="5"/>
      <c r="K266" s="5"/>
      <c r="N266" s="5" t="str">
        <v>kanan</v>
      </c>
      <c r="O266" s="5"/>
      <c r="P266" s="5"/>
    </row>
    <row r="267" customFormat="false" ht="15" hidden="false" customHeight="false" outlineLevel="0" collapsed="false">
      <c r="I267" s="5" t="str">
        <v>kanan</v>
      </c>
      <c r="J267" s="5"/>
      <c r="K267" s="5"/>
      <c r="N267" s="5" t="str">
        <v>tengah</v>
      </c>
      <c r="O267" s="5"/>
      <c r="P267" s="5"/>
    </row>
    <row r="268" customFormat="false" ht="15" hidden="false" customHeight="false" outlineLevel="0" collapsed="false">
      <c r="I268" s="5" t="str">
        <v>kiri</v>
      </c>
      <c r="J268" s="5"/>
      <c r="K268" s="5"/>
      <c r="N268" s="5" t="str">
        <v>tengah</v>
      </c>
      <c r="O268" s="5"/>
      <c r="P268" s="5"/>
    </row>
    <row r="269" customFormat="false" ht="15" hidden="false" customHeight="false" outlineLevel="0" collapsed="false">
      <c r="I269" s="5" t="str">
        <v>tengah</v>
      </c>
      <c r="J269" s="5"/>
      <c r="K269" s="5"/>
      <c r="N269" s="5" t="str">
        <v>tengah</v>
      </c>
      <c r="O269" s="5"/>
      <c r="P269" s="5"/>
    </row>
    <row r="270" customFormat="false" ht="15" hidden="false" customHeight="false" outlineLevel="0" collapsed="false">
      <c r="I270" s="5" t="str">
        <v>kiri</v>
      </c>
      <c r="J270" s="5"/>
      <c r="K270" s="5"/>
      <c r="N270" s="5" t="str">
        <v>kanan</v>
      </c>
      <c r="O270" s="5"/>
      <c r="P270" s="5"/>
    </row>
    <row r="271" customFormat="false" ht="15" hidden="false" customHeight="false" outlineLevel="0" collapsed="false">
      <c r="I271" s="5" t="str">
        <v>kiri</v>
      </c>
      <c r="J271" s="5"/>
      <c r="K271" s="5"/>
      <c r="N271" s="5" t="str">
        <v>kanan</v>
      </c>
      <c r="O271" s="5"/>
      <c r="P271" s="5"/>
    </row>
    <row r="272" customFormat="false" ht="15" hidden="false" customHeight="false" outlineLevel="0" collapsed="false">
      <c r="I272" s="5" t="str">
        <v>tengah</v>
      </c>
      <c r="J272" s="5"/>
      <c r="K272" s="5"/>
      <c r="N272" s="5" t="str">
        <v>kanan</v>
      </c>
      <c r="O272" s="5"/>
      <c r="P272" s="5"/>
    </row>
    <row r="273" customFormat="false" ht="15" hidden="false" customHeight="false" outlineLevel="0" collapsed="false">
      <c r="I273" s="5" t="str">
        <v>tengah</v>
      </c>
      <c r="J273" s="5"/>
      <c r="K273" s="5"/>
      <c r="N273" s="5" t="str">
        <v>kanan</v>
      </c>
      <c r="O273" s="5"/>
      <c r="P273" s="5"/>
    </row>
    <row r="274" customFormat="false" ht="15" hidden="false" customHeight="false" outlineLevel="0" collapsed="false">
      <c r="I274" s="5" t="str">
        <v>kiri</v>
      </c>
      <c r="J274" s="5"/>
      <c r="K274" s="5"/>
      <c r="N274" s="5" t="str">
        <v>kanan</v>
      </c>
      <c r="O274" s="5"/>
      <c r="P274" s="5"/>
    </row>
    <row r="275" customFormat="false" ht="15" hidden="false" customHeight="false" outlineLevel="0" collapsed="false">
      <c r="I275" s="5" t="str">
        <v>tengah</v>
      </c>
      <c r="J275" s="5"/>
      <c r="K275" s="5"/>
      <c r="N275" s="5" t="str">
        <v>kanan</v>
      </c>
      <c r="O275" s="5"/>
      <c r="P275" s="5"/>
    </row>
    <row r="276" customFormat="false" ht="15" hidden="false" customHeight="false" outlineLevel="0" collapsed="false">
      <c r="I276" s="5" t="str">
        <v>tengah</v>
      </c>
      <c r="J276" s="5"/>
      <c r="K276" s="5"/>
      <c r="N276" s="5" t="str">
        <v>kanan</v>
      </c>
      <c r="O276" s="5"/>
      <c r="P276" s="5"/>
    </row>
    <row r="277" customFormat="false" ht="15" hidden="false" customHeight="false" outlineLevel="0" collapsed="false">
      <c r="I277" s="5" t="str">
        <v>kanan</v>
      </c>
      <c r="J277" s="5"/>
      <c r="K277" s="5"/>
      <c r="N277" s="5" t="str">
        <v>kanan</v>
      </c>
      <c r="O277" s="5"/>
      <c r="P277" s="5"/>
    </row>
    <row r="278" customFormat="false" ht="15" hidden="false" customHeight="false" outlineLevel="0" collapsed="false">
      <c r="I278" s="5" t="str">
        <v>tengah</v>
      </c>
      <c r="J278" s="5"/>
      <c r="K278" s="5"/>
      <c r="N278" s="5" t="str">
        <v>kanan</v>
      </c>
      <c r="O278" s="5"/>
      <c r="P278" s="5"/>
    </row>
    <row r="279" customFormat="false" ht="15" hidden="false" customHeight="false" outlineLevel="0" collapsed="false">
      <c r="I279" s="5" t="str">
        <v>kiri</v>
      </c>
      <c r="J279" s="5"/>
      <c r="K279" s="5"/>
      <c r="N279" s="5" t="str">
        <v>kanan</v>
      </c>
      <c r="O279" s="5"/>
      <c r="P279" s="5"/>
    </row>
    <row r="280" customFormat="false" ht="15" hidden="false" customHeight="false" outlineLevel="0" collapsed="false">
      <c r="I280" s="5" t="str">
        <v>tengah</v>
      </c>
      <c r="J280" s="5"/>
      <c r="K280" s="5"/>
      <c r="N280" s="5" t="str">
        <v>tengah</v>
      </c>
      <c r="O280" s="5"/>
      <c r="P280" s="5"/>
    </row>
    <row r="281" customFormat="false" ht="15" hidden="false" customHeight="false" outlineLevel="0" collapsed="false">
      <c r="I281" s="5" t="str">
        <v>tengah</v>
      </c>
      <c r="J281" s="5"/>
      <c r="K281" s="5"/>
      <c r="N281" s="5" t="str">
        <v>tengah</v>
      </c>
      <c r="O281" s="5"/>
      <c r="P281" s="5"/>
    </row>
    <row r="282" customFormat="false" ht="15" hidden="false" customHeight="false" outlineLevel="0" collapsed="false">
      <c r="I282" s="5" t="str">
        <v>kiri</v>
      </c>
      <c r="J282" s="5"/>
      <c r="K282" s="5"/>
      <c r="N282" s="5" t="str">
        <v>tengah</v>
      </c>
      <c r="O282" s="5"/>
      <c r="P282" s="5"/>
    </row>
    <row r="283" customFormat="false" ht="15" hidden="false" customHeight="false" outlineLevel="0" collapsed="false">
      <c r="I283" s="5" t="str">
        <v>tengah</v>
      </c>
      <c r="J283" s="5"/>
      <c r="K283" s="5"/>
      <c r="N283" s="5" t="str">
        <v>tengah</v>
      </c>
      <c r="O283" s="5"/>
      <c r="P283" s="5"/>
    </row>
    <row r="284" customFormat="false" ht="15" hidden="false" customHeight="false" outlineLevel="0" collapsed="false">
      <c r="I284" s="5" t="str">
        <v>tengah</v>
      </c>
      <c r="J284" s="5"/>
      <c r="K284" s="5"/>
      <c r="N284" s="5" t="str">
        <v>kanan</v>
      </c>
      <c r="O284" s="5"/>
      <c r="P284" s="5"/>
    </row>
    <row r="285" customFormat="false" ht="15" hidden="false" customHeight="false" outlineLevel="0" collapsed="false">
      <c r="I285" s="5" t="str">
        <v>kiri</v>
      </c>
      <c r="J285" s="5"/>
      <c r="K285" s="5"/>
      <c r="N285" s="5" t="str">
        <v>kanan</v>
      </c>
      <c r="O285" s="5"/>
      <c r="P285" s="5"/>
    </row>
    <row r="286" customFormat="false" ht="15" hidden="false" customHeight="false" outlineLevel="0" collapsed="false">
      <c r="I286" s="5" t="str">
        <v>tengah</v>
      </c>
      <c r="J286" s="5"/>
      <c r="K286" s="5"/>
      <c r="N286" s="5" t="str">
        <v>tengah</v>
      </c>
      <c r="O286" s="5"/>
      <c r="P286" s="5"/>
    </row>
    <row r="287" customFormat="false" ht="15" hidden="false" customHeight="false" outlineLevel="0" collapsed="false">
      <c r="I287" s="5" t="str">
        <v>tengah</v>
      </c>
      <c r="J287" s="5"/>
      <c r="K287" s="5"/>
      <c r="N287" s="5" t="str">
        <v>kanan</v>
      </c>
      <c r="O287" s="5"/>
      <c r="P287" s="5"/>
    </row>
    <row r="288" customFormat="false" ht="15" hidden="false" customHeight="false" outlineLevel="0" collapsed="false">
      <c r="I288" s="5" t="str">
        <v>tengah</v>
      </c>
      <c r="J288" s="5"/>
      <c r="K288" s="5"/>
      <c r="N288" s="5" t="str">
        <v>kanan</v>
      </c>
      <c r="O288" s="5"/>
      <c r="P288" s="5"/>
    </row>
    <row r="289" customFormat="false" ht="15" hidden="false" customHeight="false" outlineLevel="0" collapsed="false">
      <c r="I289" s="5" t="str">
        <v>kanan</v>
      </c>
      <c r="J289" s="5"/>
      <c r="K289" s="5"/>
      <c r="N289" s="5" t="str">
        <v>tengah</v>
      </c>
      <c r="O289" s="5"/>
      <c r="P289" s="5"/>
    </row>
    <row r="290" customFormat="false" ht="15" hidden="false" customHeight="false" outlineLevel="0" collapsed="false">
      <c r="I290" s="5" t="str">
        <v>kiri</v>
      </c>
      <c r="J290" s="5"/>
      <c r="K290" s="5"/>
      <c r="N290" s="5" t="str">
        <v>tengah</v>
      </c>
      <c r="O290" s="5"/>
      <c r="P290" s="5"/>
    </row>
    <row r="291" customFormat="false" ht="15" hidden="false" customHeight="false" outlineLevel="0" collapsed="false">
      <c r="I291" s="5" t="str">
        <v>tengah</v>
      </c>
      <c r="J291" s="5"/>
      <c r="K291" s="5"/>
      <c r="N291" s="5" t="str">
        <v>kanan</v>
      </c>
      <c r="O291" s="5"/>
      <c r="P291" s="5"/>
    </row>
    <row r="292" customFormat="false" ht="15" hidden="false" customHeight="false" outlineLevel="0" collapsed="false">
      <c r="I292" s="5" t="str">
        <v>tengah</v>
      </c>
      <c r="J292" s="5"/>
      <c r="K292" s="5"/>
      <c r="N292" s="5" t="str">
        <v>tengah</v>
      </c>
      <c r="O292" s="5"/>
      <c r="P292" s="5"/>
    </row>
    <row r="293" customFormat="false" ht="15" hidden="false" customHeight="false" outlineLevel="0" collapsed="false">
      <c r="I293" s="5" t="str">
        <v>kiri</v>
      </c>
      <c r="J293" s="5"/>
      <c r="K293" s="5"/>
      <c r="N293" s="5" t="str">
        <v>tengah</v>
      </c>
      <c r="O293" s="5"/>
      <c r="P293" s="5"/>
    </row>
    <row r="294" customFormat="false" ht="15" hidden="false" customHeight="false" outlineLevel="0" collapsed="false">
      <c r="I294" s="5" t="str">
        <v>tengah</v>
      </c>
      <c r="J294" s="5"/>
      <c r="K294" s="5"/>
      <c r="N294" s="5" t="str">
        <v>tengah</v>
      </c>
      <c r="O294" s="5"/>
      <c r="P294" s="5"/>
    </row>
    <row r="295" customFormat="false" ht="15" hidden="false" customHeight="false" outlineLevel="0" collapsed="false">
      <c r="I295" s="5" t="str">
        <v>tengah</v>
      </c>
      <c r="J295" s="5"/>
      <c r="K295" s="5"/>
      <c r="N295" s="5" t="str">
        <v>kanan</v>
      </c>
      <c r="O295" s="5"/>
      <c r="P295" s="5"/>
    </row>
    <row r="296" customFormat="false" ht="15" hidden="false" customHeight="false" outlineLevel="0" collapsed="false">
      <c r="I296" s="5" t="str">
        <v>kanan</v>
      </c>
      <c r="J296" s="5"/>
      <c r="K296" s="5"/>
      <c r="N296" s="5" t="str">
        <v>tengah</v>
      </c>
      <c r="O296" s="5"/>
      <c r="P296" s="5"/>
    </row>
    <row r="297" customFormat="false" ht="15" hidden="false" customHeight="false" outlineLevel="0" collapsed="false">
      <c r="I297" s="5" t="str">
        <v>tengah</v>
      </c>
      <c r="J297" s="5"/>
      <c r="K297" s="5"/>
      <c r="N297" s="5" t="str">
        <v>kanan</v>
      </c>
      <c r="O297" s="5"/>
      <c r="P297" s="5"/>
    </row>
    <row r="298" customFormat="false" ht="15" hidden="false" customHeight="false" outlineLevel="0" collapsed="false">
      <c r="I298" s="5" t="str">
        <v>tengah</v>
      </c>
      <c r="J298" s="5"/>
      <c r="K298" s="5"/>
      <c r="N298" s="5" t="str">
        <v>tengah</v>
      </c>
      <c r="O298" s="5"/>
      <c r="P298" s="5"/>
    </row>
    <row r="299" customFormat="false" ht="15" hidden="false" customHeight="false" outlineLevel="0" collapsed="false">
      <c r="I299" s="5" t="str">
        <v>kanan</v>
      </c>
      <c r="J299" s="5"/>
      <c r="K299" s="5"/>
      <c r="N299" s="5" t="str">
        <v>kanan</v>
      </c>
      <c r="O299" s="5"/>
      <c r="P299" s="5"/>
    </row>
    <row r="300" customFormat="false" ht="15" hidden="false" customHeight="false" outlineLevel="0" collapsed="false">
      <c r="I300" s="5" t="str">
        <v>kanan</v>
      </c>
      <c r="J300" s="5"/>
      <c r="K300" s="5"/>
      <c r="N300" s="5" t="str">
        <v>kanan</v>
      </c>
      <c r="O300" s="5"/>
      <c r="P300" s="5"/>
    </row>
    <row r="301" customFormat="false" ht="15" hidden="false" customHeight="false" outlineLevel="0" collapsed="false">
      <c r="I301" s="5" t="str">
        <v>tengah</v>
      </c>
      <c r="J301" s="5"/>
      <c r="K301" s="5"/>
      <c r="N301" s="5" t="str">
        <v>kanan</v>
      </c>
      <c r="O301" s="5"/>
      <c r="P301" s="5"/>
    </row>
    <row r="302" customFormat="false" ht="15" hidden="false" customHeight="false" outlineLevel="0" collapsed="false">
      <c r="I302" s="5" t="str">
        <v>tengah</v>
      </c>
      <c r="J302" s="5"/>
      <c r="K302" s="5"/>
      <c r="N302" s="5" t="str">
        <v>tengah</v>
      </c>
      <c r="O302" s="5"/>
      <c r="P302" s="5"/>
    </row>
    <row r="303" customFormat="false" ht="15" hidden="false" customHeight="false" outlineLevel="0" collapsed="false">
      <c r="I303" s="5" t="str">
        <v>tengah</v>
      </c>
      <c r="J303" s="5"/>
      <c r="K303" s="5"/>
      <c r="N303" s="5" t="str">
        <v>kanan</v>
      </c>
      <c r="O303" s="5"/>
      <c r="P303" s="5"/>
    </row>
    <row r="304" customFormat="false" ht="15" hidden="false" customHeight="false" outlineLevel="0" collapsed="false">
      <c r="I304" s="5" t="str">
        <v>tengah</v>
      </c>
      <c r="J304" s="5"/>
      <c r="K304" s="5"/>
      <c r="N304" s="5" t="str">
        <v>kanan</v>
      </c>
      <c r="O304" s="5"/>
      <c r="P304" s="5"/>
    </row>
    <row r="305" customFormat="false" ht="15" hidden="false" customHeight="false" outlineLevel="0" collapsed="false">
      <c r="I305" s="5" t="str">
        <v>tengah</v>
      </c>
      <c r="J305" s="5"/>
      <c r="K305" s="5"/>
      <c r="N305" s="5" t="str">
        <v>tengah</v>
      </c>
      <c r="O305" s="5"/>
      <c r="P305" s="5"/>
    </row>
    <row r="306" customFormat="false" ht="15" hidden="false" customHeight="false" outlineLevel="0" collapsed="false">
      <c r="I306" s="5" t="str">
        <v>kanan</v>
      </c>
      <c r="J306" s="5"/>
      <c r="K306" s="5"/>
      <c r="N306" s="5" t="str">
        <v>kanan</v>
      </c>
      <c r="O306" s="5"/>
      <c r="P306" s="5"/>
    </row>
    <row r="307" customFormat="false" ht="15" hidden="false" customHeight="false" outlineLevel="0" collapsed="false">
      <c r="I307" s="5" t="str">
        <v>tengah</v>
      </c>
      <c r="J307" s="5"/>
      <c r="K307" s="5"/>
      <c r="N307" s="5" t="str">
        <v>kanan</v>
      </c>
      <c r="O307" s="5"/>
      <c r="P307" s="5"/>
    </row>
    <row r="308" customFormat="false" ht="15" hidden="false" customHeight="false" outlineLevel="0" collapsed="false">
      <c r="I308" s="5" t="str">
        <v>tengah</v>
      </c>
      <c r="J308" s="5"/>
      <c r="K308" s="5"/>
      <c r="N308" s="5" t="str">
        <v>kanan</v>
      </c>
      <c r="O308" s="5"/>
      <c r="P308" s="5"/>
    </row>
    <row r="309" customFormat="false" ht="15" hidden="false" customHeight="false" outlineLevel="0" collapsed="false">
      <c r="I309" s="5" t="str">
        <v>tengah</v>
      </c>
      <c r="J309" s="5"/>
      <c r="K309" s="5"/>
      <c r="N309" s="5" t="str">
        <v>tengah</v>
      </c>
      <c r="O309" s="5"/>
      <c r="P309" s="5"/>
    </row>
    <row r="310" customFormat="false" ht="15" hidden="false" customHeight="false" outlineLevel="0" collapsed="false">
      <c r="I310" s="5" t="str">
        <v>tengah</v>
      </c>
      <c r="J310" s="5"/>
      <c r="K310" s="5"/>
      <c r="N310" s="5" t="str">
        <v>kanan</v>
      </c>
      <c r="O310" s="5"/>
      <c r="P310" s="5"/>
    </row>
    <row r="311" customFormat="false" ht="15" hidden="false" customHeight="false" outlineLevel="0" collapsed="false">
      <c r="I311" s="5" t="str">
        <v>kiri</v>
      </c>
      <c r="J311" s="5"/>
      <c r="K311" s="5"/>
      <c r="N311" s="5" t="str">
        <v>tengah</v>
      </c>
      <c r="O311" s="5"/>
      <c r="P311" s="5"/>
    </row>
    <row r="312" customFormat="false" ht="15" hidden="false" customHeight="false" outlineLevel="0" collapsed="false">
      <c r="I312" s="5" t="str">
        <v>kanan</v>
      </c>
      <c r="J312" s="5"/>
      <c r="K312" s="5"/>
      <c r="N312" s="5" t="str">
        <v>kanan</v>
      </c>
      <c r="O312" s="5"/>
      <c r="P312" s="5"/>
    </row>
    <row r="313" customFormat="false" ht="15" hidden="false" customHeight="false" outlineLevel="0" collapsed="false">
      <c r="I313" s="5" t="str">
        <v>kanan</v>
      </c>
      <c r="J313" s="5"/>
      <c r="K313" s="5"/>
      <c r="N313" s="5" t="str">
        <v>tengah</v>
      </c>
      <c r="O313" s="5"/>
      <c r="P313" s="5"/>
    </row>
    <row r="314" customFormat="false" ht="15" hidden="false" customHeight="false" outlineLevel="0" collapsed="false">
      <c r="I314" s="5" t="str">
        <v>kiri</v>
      </c>
      <c r="J314" s="5"/>
      <c r="K314" s="5"/>
      <c r="N314" s="5" t="str">
        <v>tengah</v>
      </c>
      <c r="O314" s="5"/>
      <c r="P314" s="5"/>
    </row>
    <row r="315" customFormat="false" ht="15" hidden="false" customHeight="false" outlineLevel="0" collapsed="false">
      <c r="I315" s="5" t="str">
        <v>tengah</v>
      </c>
      <c r="J315" s="5"/>
      <c r="K315" s="5"/>
      <c r="N315" s="5" t="str">
        <v>tengah</v>
      </c>
      <c r="O315" s="5"/>
      <c r="P315" s="5"/>
    </row>
    <row r="316" customFormat="false" ht="15" hidden="false" customHeight="false" outlineLevel="0" collapsed="false">
      <c r="I316" s="5" t="str">
        <v>kanan</v>
      </c>
      <c r="J316" s="5"/>
      <c r="K316" s="5"/>
      <c r="N316" s="5" t="str">
        <v>kanan</v>
      </c>
      <c r="O316" s="5"/>
      <c r="P316" s="5"/>
    </row>
    <row r="317" customFormat="false" ht="15" hidden="false" customHeight="false" outlineLevel="0" collapsed="false">
      <c r="I317" s="5" t="str">
        <v>tengah</v>
      </c>
      <c r="J317" s="5"/>
      <c r="K317" s="5"/>
      <c r="N317" s="5" t="str">
        <v>kanan</v>
      </c>
      <c r="O317" s="5"/>
      <c r="P317" s="5"/>
    </row>
    <row r="318" customFormat="false" ht="15" hidden="false" customHeight="false" outlineLevel="0" collapsed="false">
      <c r="I318" s="5" t="str">
        <v>kanan</v>
      </c>
      <c r="J318" s="5"/>
      <c r="K318" s="5"/>
      <c r="N318" s="5" t="str">
        <v>tengah</v>
      </c>
      <c r="O318" s="5"/>
      <c r="P318" s="5"/>
    </row>
    <row r="319" customFormat="false" ht="15" hidden="false" customHeight="false" outlineLevel="0" collapsed="false">
      <c r="I319" s="5" t="str">
        <v>tengah</v>
      </c>
      <c r="J319" s="5"/>
      <c r="K319" s="5"/>
      <c r="N319" s="5" t="str">
        <v>tengah</v>
      </c>
      <c r="O319" s="5"/>
      <c r="P319" s="5"/>
    </row>
    <row r="320" customFormat="false" ht="15" hidden="false" customHeight="false" outlineLevel="0" collapsed="false">
      <c r="I320" s="5" t="str">
        <v>kiri</v>
      </c>
      <c r="J320" s="5"/>
      <c r="K320" s="5"/>
      <c r="N320" s="5" t="str">
        <v>tengah</v>
      </c>
      <c r="O320" s="5"/>
      <c r="P320" s="5"/>
    </row>
    <row r="321" customFormat="false" ht="15" hidden="false" customHeight="false" outlineLevel="0" collapsed="false">
      <c r="I321" s="5" t="str">
        <v>kiri</v>
      </c>
      <c r="J321" s="5"/>
      <c r="K321" s="5"/>
      <c r="N321" s="5" t="str">
        <v>tengah</v>
      </c>
      <c r="O321" s="5"/>
      <c r="P321" s="5"/>
    </row>
    <row r="322" customFormat="false" ht="15" hidden="false" customHeight="false" outlineLevel="0" collapsed="false">
      <c r="I322" s="5" t="str">
        <v>kiri</v>
      </c>
      <c r="J322" s="5"/>
      <c r="K322" s="5"/>
      <c r="N322" s="5" t="str">
        <v>kanan</v>
      </c>
      <c r="O322" s="5"/>
      <c r="P322" s="5"/>
    </row>
    <row r="323" customFormat="false" ht="15" hidden="false" customHeight="false" outlineLevel="0" collapsed="false">
      <c r="I323" s="5" t="str">
        <v>kanan</v>
      </c>
      <c r="J323" s="5"/>
      <c r="K323" s="5"/>
      <c r="N323" s="5" t="str">
        <v>kanan</v>
      </c>
      <c r="O323" s="5"/>
      <c r="P323" s="5"/>
    </row>
    <row r="324" customFormat="false" ht="15" hidden="false" customHeight="false" outlineLevel="0" collapsed="false">
      <c r="I324" s="5" t="str">
        <v>tengah</v>
      </c>
      <c r="J324" s="5"/>
      <c r="K324" s="5"/>
      <c r="N324" s="5" t="str">
        <v>tengah</v>
      </c>
      <c r="O324" s="5"/>
      <c r="P324" s="5"/>
    </row>
    <row r="325" customFormat="false" ht="15" hidden="false" customHeight="false" outlineLevel="0" collapsed="false">
      <c r="I325" s="5" t="str">
        <v>tengah</v>
      </c>
      <c r="J325" s="5"/>
      <c r="K325" s="5"/>
      <c r="N325" s="5" t="str">
        <v>tengah</v>
      </c>
      <c r="O325" s="5"/>
      <c r="P325" s="5"/>
    </row>
    <row r="326" customFormat="false" ht="15" hidden="false" customHeight="false" outlineLevel="0" collapsed="false">
      <c r="I326" s="5" t="str">
        <v>kiri</v>
      </c>
      <c r="J326" s="5"/>
      <c r="K326" s="5"/>
      <c r="N326" s="5" t="str">
        <v>kanan</v>
      </c>
      <c r="O326" s="5"/>
      <c r="P326" s="5"/>
    </row>
    <row r="327" customFormat="false" ht="15" hidden="false" customHeight="false" outlineLevel="0" collapsed="false">
      <c r="I327" s="5" t="str">
        <v>kanan</v>
      </c>
      <c r="J327" s="5"/>
      <c r="K327" s="5"/>
      <c r="N327" s="5" t="str">
        <v>kanan</v>
      </c>
      <c r="O327" s="5"/>
      <c r="P327" s="5"/>
    </row>
    <row r="328" customFormat="false" ht="15" hidden="false" customHeight="false" outlineLevel="0" collapsed="false">
      <c r="I328" s="5" t="str">
        <v>kiri</v>
      </c>
      <c r="J328" s="5"/>
      <c r="K328" s="5"/>
      <c r="N328" s="5" t="str">
        <v>kanan</v>
      </c>
      <c r="O328" s="5"/>
      <c r="P328" s="5"/>
    </row>
    <row r="329" customFormat="false" ht="15" hidden="false" customHeight="false" outlineLevel="0" collapsed="false">
      <c r="I329" s="5" t="str">
        <v>kiri</v>
      </c>
      <c r="J329" s="5"/>
      <c r="K329" s="5"/>
      <c r="N329" s="5" t="str">
        <v>kanan</v>
      </c>
      <c r="O329" s="5"/>
      <c r="P329" s="5"/>
    </row>
    <row r="330" customFormat="false" ht="15" hidden="false" customHeight="false" outlineLevel="0" collapsed="false">
      <c r="I330" s="5" t="str">
        <v>tengah</v>
      </c>
      <c r="J330" s="5"/>
      <c r="K330" s="5"/>
      <c r="N330" s="5" t="str">
        <v>tengah</v>
      </c>
      <c r="O330" s="5"/>
      <c r="P330" s="5"/>
    </row>
    <row r="331" customFormat="false" ht="15" hidden="false" customHeight="false" outlineLevel="0" collapsed="false">
      <c r="I331" s="5" t="str">
        <v>tengah</v>
      </c>
      <c r="J331" s="5"/>
      <c r="K331" s="5"/>
      <c r="N331" s="5" t="str">
        <v>kanan</v>
      </c>
      <c r="O331" s="5"/>
      <c r="P331" s="5"/>
    </row>
    <row r="332" customFormat="false" ht="15" hidden="false" customHeight="false" outlineLevel="0" collapsed="false">
      <c r="I332" s="5" t="str">
        <v>kiri</v>
      </c>
      <c r="J332" s="5"/>
      <c r="K332" s="5"/>
      <c r="N332" s="5" t="str">
        <v>kanan</v>
      </c>
      <c r="O332" s="5"/>
      <c r="P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2"/>
  <sheetViews>
    <sheetView showFormulas="false" showGridLines="true" showRowColHeaders="true" showZeros="true" rightToLeft="false" tabSelected="false" showOutlineSymbols="true" defaultGridColor="true" view="normal" topLeftCell="J151" colorId="64" zoomScale="93" zoomScaleNormal="93" zoomScalePageLayoutView="100" workbookViewId="0">
      <selection pane="topLeft" activeCell="W164" activeCellId="0" sqref="W164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0" width="15.86"/>
    <col collapsed="false" customWidth="true" hidden="false" outlineLevel="0" max="3" min="3" style="0" width="13.29"/>
    <col collapsed="false" customWidth="true" hidden="false" outlineLevel="0" max="4" min="4" style="0" width="13.86"/>
    <col collapsed="false" customWidth="true" hidden="false" outlineLevel="0" max="8" min="8" style="0" width="14.29"/>
    <col collapsed="false" customWidth="true" hidden="false" outlineLevel="0" max="9" min="9" style="0" width="13.29"/>
    <col collapsed="false" customWidth="true" hidden="false" outlineLevel="0" max="10" min="10" style="0" width="13.86"/>
    <col collapsed="false" customWidth="true" hidden="false" outlineLevel="0" max="15" min="15" style="0" width="11.28"/>
    <col collapsed="false" customWidth="true" hidden="false" outlineLevel="0" max="17" min="17" style="0" width="11.72"/>
  </cols>
  <sheetData>
    <row r="1" customFormat="false" ht="15" hidden="false" customHeight="false" outlineLevel="0" collapsed="false">
      <c r="A1" s="4" t="s">
        <v>173</v>
      </c>
      <c r="B1" s="4" t="s">
        <v>4</v>
      </c>
      <c r="C1" s="4" t="s">
        <v>5</v>
      </c>
      <c r="H1" s="18" t="s">
        <v>173</v>
      </c>
      <c r="I1" s="18" t="s">
        <v>4</v>
      </c>
      <c r="J1" s="18" t="s">
        <v>5</v>
      </c>
      <c r="O1" s="4" t="s">
        <v>174</v>
      </c>
      <c r="P1" s="3"/>
      <c r="Q1" s="3"/>
    </row>
    <row r="2" customFormat="false" ht="15" hidden="false" customHeight="false" outlineLevel="0" collapsed="false">
      <c r="A2" s="5" t="n">
        <f aca="false">RANDBETWEEN(2,164)</f>
        <v>154</v>
      </c>
      <c r="B2" s="5" t="n">
        <f aca="false" t="array" ref="B2:B2">INDEX(Data_DBD!$E:$E,$A2)</f>
        <v>1</v>
      </c>
      <c r="C2" s="5" t="str">
        <f aca="false" t="array" ref="C2:C2">INDEX(Data_DBD!$F:$F,$A2)</f>
        <v>Tinggi</v>
      </c>
      <c r="H2" s="18" t="n">
        <v>150</v>
      </c>
      <c r="I2" s="18" t="n">
        <v>1</v>
      </c>
      <c r="J2" s="18" t="s">
        <v>115</v>
      </c>
      <c r="O2" s="3" t="s">
        <v>115</v>
      </c>
      <c r="P2" s="3" t="n">
        <f aca="false">COUNTIF(J2:J164,"Tinggi")</f>
        <v>83</v>
      </c>
      <c r="Q2" s="3" t="n">
        <f aca="false">P2/163</f>
        <v>0.50920245398773</v>
      </c>
    </row>
    <row r="3" customFormat="false" ht="15" hidden="false" customHeight="false" outlineLevel="0" collapsed="false">
      <c r="A3" s="5" t="n">
        <f aca="false">RANDBETWEEN(2,164)</f>
        <v>86</v>
      </c>
      <c r="B3" s="5" t="n">
        <f aca="false" t="array" ref="B3:B3">INDEX(Data_DBD!$E:$E,$A3)</f>
        <v>0</v>
      </c>
      <c r="C3" s="5" t="str">
        <f aca="false" t="array" ref="C3:C3">INDEX(Data_DBD!$F:$F,$A3)</f>
        <v>Sedang</v>
      </c>
      <c r="H3" s="18" t="n">
        <v>88</v>
      </c>
      <c r="I3" s="18" t="n">
        <v>1</v>
      </c>
      <c r="J3" s="18" t="s">
        <v>7</v>
      </c>
      <c r="O3" s="3" t="s">
        <v>7</v>
      </c>
      <c r="P3" s="3" t="n">
        <f aca="false">COUNTIF(J2:J164,"Sedang")</f>
        <v>69</v>
      </c>
      <c r="Q3" s="3" t="n">
        <f aca="false">P3/163</f>
        <v>0.423312883435583</v>
      </c>
    </row>
    <row r="4" customFormat="false" ht="15" hidden="false" customHeight="false" outlineLevel="0" collapsed="false">
      <c r="A4" s="5" t="n">
        <f aca="false">RANDBETWEEN(2,164)</f>
        <v>14</v>
      </c>
      <c r="B4" s="5" t="n">
        <f aca="false" t="array" ref="B4:B4">INDEX(Data_DBD!$E:$E,$A4)</f>
        <v>1</v>
      </c>
      <c r="C4" s="5" t="str">
        <f aca="false" t="array" ref="C4:C4">INDEX(Data_DBD!$F:$F,$A4)</f>
        <v>Rendah</v>
      </c>
      <c r="H4" s="18" t="n">
        <v>120</v>
      </c>
      <c r="I4" s="18" t="n">
        <v>1</v>
      </c>
      <c r="J4" s="18" t="s">
        <v>115</v>
      </c>
      <c r="O4" s="3" t="s">
        <v>20</v>
      </c>
      <c r="P4" s="3" t="n">
        <f aca="false">COUNTIF(J2:J164,"Rendah")</f>
        <v>11</v>
      </c>
      <c r="Q4" s="3" t="n">
        <f aca="false">P4/163</f>
        <v>0.0674846625766871</v>
      </c>
    </row>
    <row r="5" customFormat="false" ht="15" hidden="false" customHeight="false" outlineLevel="0" collapsed="false">
      <c r="A5" s="5" t="n">
        <f aca="false">RANDBETWEEN(2,164)</f>
        <v>77</v>
      </c>
      <c r="B5" s="5" t="n">
        <f aca="false" t="array" ref="B5:B5">INDEX(Data_DBD!$E:$E,$A5)</f>
        <v>1</v>
      </c>
      <c r="C5" s="5" t="str">
        <f aca="false" t="array" ref="C5:C5">INDEX(Data_DBD!$F:$F,$A5)</f>
        <v>Sedang</v>
      </c>
      <c r="H5" s="18" t="n">
        <v>62</v>
      </c>
      <c r="I5" s="18" t="n">
        <v>1</v>
      </c>
      <c r="J5" s="18" t="s">
        <v>7</v>
      </c>
      <c r="O5" s="6" t="s">
        <v>175</v>
      </c>
      <c r="P5" s="0" t="n">
        <f aca="false">-(IFERROR(Q2*LOG(Q2,2),0)+IFERROR(Q3*LOG(Q3,2),0)+IFERROR(Q4*LOG(Q4,2),0))</f>
        <v>1.28326675469428</v>
      </c>
    </row>
    <row r="6" customFormat="false" ht="15" hidden="false" customHeight="false" outlineLevel="0" collapsed="false">
      <c r="A6" s="5" t="n">
        <f aca="false">RANDBETWEEN(2,164)</f>
        <v>92</v>
      </c>
      <c r="B6" s="5" t="n">
        <f aca="false" t="array" ref="B6:B6">INDEX(Data_DBD!$E:$E,$A6)</f>
        <v>0</v>
      </c>
      <c r="C6" s="5" t="str">
        <f aca="false" t="array" ref="C6:C6">INDEX(Data_DBD!$F:$F,$A6)</f>
        <v>Sedang</v>
      </c>
      <c r="H6" s="18" t="n">
        <v>153</v>
      </c>
      <c r="I6" s="18" t="n">
        <v>1</v>
      </c>
      <c r="J6" s="18" t="s">
        <v>115</v>
      </c>
    </row>
    <row r="7" customFormat="false" ht="15" hidden="false" customHeight="false" outlineLevel="0" collapsed="false">
      <c r="A7" s="5" t="n">
        <f aca="false">RANDBETWEEN(2,164)</f>
        <v>31</v>
      </c>
      <c r="B7" s="5" t="n">
        <f aca="false" t="array" ref="B7:B7">INDEX(Data_DBD!$E:$E,$A7)</f>
        <v>1</v>
      </c>
      <c r="C7" s="5" t="str">
        <f aca="false" t="array" ref="C7:C7">INDEX(Data_DBD!$F:$F,$A7)</f>
        <v>Sedang</v>
      </c>
      <c r="H7" s="18" t="n">
        <v>6</v>
      </c>
      <c r="I7" s="18" t="n">
        <v>0</v>
      </c>
      <c r="J7" s="18" t="s">
        <v>7</v>
      </c>
    </row>
    <row r="8" customFormat="false" ht="15" hidden="false" customHeight="false" outlineLevel="0" collapsed="false">
      <c r="A8" s="5" t="n">
        <f aca="false">RANDBETWEEN(2,164)</f>
        <v>99</v>
      </c>
      <c r="B8" s="5" t="n">
        <f aca="false" t="array" ref="B8:B8">INDEX(Data_DBD!$E:$E,$A8)</f>
        <v>1</v>
      </c>
      <c r="C8" s="5" t="str">
        <f aca="false" t="array" ref="C8:C8">INDEX(Data_DBD!$F:$F,$A8)</f>
        <v>Sedang</v>
      </c>
      <c r="H8" s="18" t="n">
        <v>95</v>
      </c>
      <c r="I8" s="18" t="n">
        <v>1</v>
      </c>
      <c r="J8" s="18" t="s">
        <v>115</v>
      </c>
    </row>
    <row r="9" customFormat="false" ht="15" hidden="false" customHeight="false" outlineLevel="0" collapsed="false">
      <c r="A9" s="5" t="n">
        <f aca="false">RANDBETWEEN(2,164)</f>
        <v>110</v>
      </c>
      <c r="B9" s="5" t="n">
        <f aca="false" t="array" ref="B9:B9">INDEX(Data_DBD!$E:$E,$A9)</f>
        <v>1</v>
      </c>
      <c r="C9" s="5" t="str">
        <f aca="false" t="array" ref="C9:C9">INDEX(Data_DBD!$F:$F,$A9)</f>
        <v>Tinggi</v>
      </c>
      <c r="H9" s="18" t="n">
        <v>69</v>
      </c>
      <c r="I9" s="18" t="n">
        <v>1</v>
      </c>
      <c r="J9" s="18" t="s">
        <v>7</v>
      </c>
    </row>
    <row r="10" customFormat="false" ht="15" hidden="false" customHeight="false" outlineLevel="0" collapsed="false">
      <c r="A10" s="5" t="n">
        <f aca="false">RANDBETWEEN(2,164)</f>
        <v>134</v>
      </c>
      <c r="B10" s="5" t="n">
        <f aca="false" t="array" ref="B10:B10">INDEX(Data_DBD!$E:$E,$A10)</f>
        <v>1</v>
      </c>
      <c r="C10" s="5" t="str">
        <f aca="false" t="array" ref="C10:C10">INDEX(Data_DBD!$F:$F,$A10)</f>
        <v>Tinggi</v>
      </c>
      <c r="H10" s="18" t="n">
        <v>138</v>
      </c>
      <c r="I10" s="18" t="n">
        <v>1</v>
      </c>
      <c r="J10" s="18" t="s">
        <v>115</v>
      </c>
    </row>
    <row r="11" customFormat="false" ht="15" hidden="false" customHeight="false" outlineLevel="0" collapsed="false">
      <c r="A11" s="5" t="n">
        <f aca="false">RANDBETWEEN(2,164)</f>
        <v>55</v>
      </c>
      <c r="B11" s="5" t="n">
        <f aca="false" t="array" ref="B11:B11">INDEX(Data_DBD!$E:$E,$A11)</f>
        <v>1</v>
      </c>
      <c r="C11" s="5" t="str">
        <f aca="false" t="array" ref="C11:C11">INDEX(Data_DBD!$F:$F,$A11)</f>
        <v>Sedang</v>
      </c>
      <c r="H11" s="18" t="n">
        <v>81</v>
      </c>
      <c r="I11" s="18" t="n">
        <v>1</v>
      </c>
      <c r="J11" s="18" t="s">
        <v>7</v>
      </c>
    </row>
    <row r="12" customFormat="false" ht="15" hidden="false" customHeight="false" outlineLevel="0" collapsed="false">
      <c r="A12" s="5" t="n">
        <f aca="false">RANDBETWEEN(2,164)</f>
        <v>15</v>
      </c>
      <c r="B12" s="5" t="n">
        <f aca="false" t="array" ref="B12:B12">INDEX(Data_DBD!$E:$E,$A12)</f>
        <v>0</v>
      </c>
      <c r="C12" s="5" t="str">
        <f aca="false" t="array" ref="C12:C12">INDEX(Data_DBD!$F:$F,$A12)</f>
        <v>Rendah</v>
      </c>
      <c r="H12" s="18" t="n">
        <v>88</v>
      </c>
      <c r="I12" s="18" t="n">
        <v>1</v>
      </c>
      <c r="J12" s="18" t="s">
        <v>7</v>
      </c>
    </row>
    <row r="13" customFormat="false" ht="15" hidden="false" customHeight="false" outlineLevel="0" collapsed="false">
      <c r="A13" s="5" t="n">
        <f aca="false">RANDBETWEEN(2,164)</f>
        <v>98</v>
      </c>
      <c r="B13" s="5" t="n">
        <f aca="false" t="array" ref="B13:B13">INDEX(Data_DBD!$E:$E,$A13)</f>
        <v>1</v>
      </c>
      <c r="C13" s="5" t="str">
        <f aca="false" t="array" ref="C13:C13">INDEX(Data_DBD!$F:$F,$A13)</f>
        <v>Sedang</v>
      </c>
      <c r="H13" s="18" t="n">
        <v>56</v>
      </c>
      <c r="I13" s="18" t="n">
        <v>0</v>
      </c>
      <c r="J13" s="18" t="s">
        <v>7</v>
      </c>
    </row>
    <row r="14" customFormat="false" ht="15" hidden="false" customHeight="false" outlineLevel="0" collapsed="false">
      <c r="A14" s="5" t="n">
        <f aca="false">RANDBETWEEN(2,164)</f>
        <v>110</v>
      </c>
      <c r="B14" s="5" t="n">
        <f aca="false" t="array" ref="B14:B14">INDEX(Data_DBD!$E:$E,$A14)</f>
        <v>1</v>
      </c>
      <c r="C14" s="5" t="str">
        <f aca="false" t="array" ref="C14:C14">INDEX(Data_DBD!$F:$F,$A14)</f>
        <v>Tinggi</v>
      </c>
      <c r="H14" s="18" t="n">
        <v>58</v>
      </c>
      <c r="I14" s="18" t="n">
        <v>0</v>
      </c>
      <c r="J14" s="18" t="s">
        <v>7</v>
      </c>
    </row>
    <row r="15" customFormat="false" ht="15" hidden="false" customHeight="false" outlineLevel="0" collapsed="false">
      <c r="A15" s="5" t="n">
        <f aca="false">RANDBETWEEN(2,164)</f>
        <v>113</v>
      </c>
      <c r="B15" s="5" t="n">
        <f aca="false" t="array" ref="B15:B15">INDEX(Data_DBD!$E:$E,$A15)</f>
        <v>1</v>
      </c>
      <c r="C15" s="5" t="str">
        <f aca="false" t="array" ref="C15:C15">INDEX(Data_DBD!$F:$F,$A15)</f>
        <v>Tinggi</v>
      </c>
      <c r="H15" s="18" t="n">
        <v>138</v>
      </c>
      <c r="I15" s="18" t="n">
        <v>1</v>
      </c>
      <c r="J15" s="18" t="s">
        <v>115</v>
      </c>
    </row>
    <row r="16" customFormat="false" ht="15" hidden="false" customHeight="false" outlineLevel="0" collapsed="false">
      <c r="A16" s="5" t="n">
        <f aca="false">RANDBETWEEN(2,164)</f>
        <v>68</v>
      </c>
      <c r="B16" s="5" t="n">
        <f aca="false" t="array" ref="B16:B16">INDEX(Data_DBD!$E:$E,$A16)</f>
        <v>0</v>
      </c>
      <c r="C16" s="5" t="str">
        <f aca="false" t="array" ref="C16:C16">INDEX(Data_DBD!$F:$F,$A16)</f>
        <v>Rendah</v>
      </c>
      <c r="H16" s="18" t="n">
        <v>25</v>
      </c>
      <c r="I16" s="18" t="n">
        <v>0</v>
      </c>
      <c r="J16" s="18" t="s">
        <v>7</v>
      </c>
    </row>
    <row r="17" customFormat="false" ht="15" hidden="false" customHeight="false" outlineLevel="0" collapsed="false">
      <c r="A17" s="5" t="n">
        <f aca="false">RANDBETWEEN(2,164)</f>
        <v>118</v>
      </c>
      <c r="B17" s="5" t="n">
        <f aca="false" t="array" ref="B17:B17">INDEX(Data_DBD!$E:$E,$A17)</f>
        <v>1</v>
      </c>
      <c r="C17" s="5" t="str">
        <f aca="false" t="array" ref="C17:C17">INDEX(Data_DBD!$F:$F,$A17)</f>
        <v>Tinggi</v>
      </c>
      <c r="H17" s="18" t="n">
        <v>9</v>
      </c>
      <c r="I17" s="18" t="n">
        <v>1</v>
      </c>
      <c r="J17" s="18" t="s">
        <v>7</v>
      </c>
    </row>
    <row r="18" customFormat="false" ht="15" hidden="false" customHeight="false" outlineLevel="0" collapsed="false">
      <c r="A18" s="5" t="n">
        <f aca="false">RANDBETWEEN(2,164)</f>
        <v>158</v>
      </c>
      <c r="B18" s="5" t="n">
        <f aca="false" t="array" ref="B18:B18">INDEX(Data_DBD!$E:$E,$A18)</f>
        <v>0</v>
      </c>
      <c r="C18" s="5" t="str">
        <f aca="false" t="array" ref="C18:C18">INDEX(Data_DBD!$F:$F,$A18)</f>
        <v>Tinggi</v>
      </c>
      <c r="H18" s="18" t="n">
        <v>158</v>
      </c>
      <c r="I18" s="18" t="n">
        <v>0</v>
      </c>
      <c r="J18" s="18" t="s">
        <v>115</v>
      </c>
    </row>
    <row r="19" customFormat="false" ht="15" hidden="false" customHeight="false" outlineLevel="0" collapsed="false">
      <c r="A19" s="5" t="n">
        <f aca="false">RANDBETWEEN(2,164)</f>
        <v>132</v>
      </c>
      <c r="B19" s="5" t="n">
        <f aca="false" t="array" ref="B19:B19">INDEX(Data_DBD!$E:$E,$A19)</f>
        <v>1</v>
      </c>
      <c r="C19" s="5" t="str">
        <f aca="false" t="array" ref="C19:C19">INDEX(Data_DBD!$F:$F,$A19)</f>
        <v>Tinggi</v>
      </c>
      <c r="H19" s="18" t="n">
        <v>161</v>
      </c>
      <c r="I19" s="18" t="n">
        <v>1</v>
      </c>
      <c r="J19" s="18" t="s">
        <v>115</v>
      </c>
    </row>
    <row r="20" customFormat="false" ht="15" hidden="false" customHeight="false" outlineLevel="0" collapsed="false">
      <c r="A20" s="5" t="n">
        <f aca="false">RANDBETWEEN(2,164)</f>
        <v>104</v>
      </c>
      <c r="B20" s="5" t="n">
        <f aca="false" t="array" ref="B20:B20">INDEX(Data_DBD!$E:$E,$A20)</f>
        <v>1</v>
      </c>
      <c r="C20" s="5" t="str">
        <f aca="false" t="array" ref="C20:C20">INDEX(Data_DBD!$F:$F,$A20)</f>
        <v>Sedang</v>
      </c>
      <c r="H20" s="18" t="n">
        <v>79</v>
      </c>
      <c r="I20" s="18" t="n">
        <v>0</v>
      </c>
      <c r="J20" s="18" t="s">
        <v>7</v>
      </c>
    </row>
    <row r="21" customFormat="false" ht="15" hidden="false" customHeight="false" outlineLevel="0" collapsed="false">
      <c r="A21" s="5" t="n">
        <f aca="false">RANDBETWEEN(2,164)</f>
        <v>75</v>
      </c>
      <c r="B21" s="5" t="n">
        <f aca="false" t="array" ref="B21:B21">INDEX(Data_DBD!$E:$E,$A21)</f>
        <v>1</v>
      </c>
      <c r="C21" s="5" t="str">
        <f aca="false" t="array" ref="C21:C21">INDEX(Data_DBD!$F:$F,$A21)</f>
        <v>Rendah</v>
      </c>
      <c r="H21" s="18" t="n">
        <v>59</v>
      </c>
      <c r="I21" s="18" t="n">
        <v>0</v>
      </c>
      <c r="J21" s="18" t="s">
        <v>7</v>
      </c>
    </row>
    <row r="22" customFormat="false" ht="15" hidden="false" customHeight="false" outlineLevel="0" collapsed="false">
      <c r="A22" s="5" t="n">
        <f aca="false">RANDBETWEEN(2,164)</f>
        <v>16</v>
      </c>
      <c r="B22" s="5" t="n">
        <f aca="false" t="array" ref="B22:B22">INDEX(Data_DBD!$E:$E,$A22)</f>
        <v>1</v>
      </c>
      <c r="C22" s="5" t="str">
        <f aca="false" t="array" ref="C22:C22">INDEX(Data_DBD!$F:$F,$A22)</f>
        <v>Rendah</v>
      </c>
      <c r="H22" s="18" t="n">
        <v>92</v>
      </c>
      <c r="I22" s="18" t="n">
        <v>0</v>
      </c>
      <c r="J22" s="18" t="s">
        <v>115</v>
      </c>
    </row>
    <row r="23" customFormat="false" ht="15" hidden="false" customHeight="false" outlineLevel="0" collapsed="false">
      <c r="A23" s="5" t="n">
        <f aca="false">RANDBETWEEN(2,164)</f>
        <v>136</v>
      </c>
      <c r="B23" s="5" t="n">
        <f aca="false" t="array" ref="B23:B23">INDEX(Data_DBD!$E:$E,$A23)</f>
        <v>0</v>
      </c>
      <c r="C23" s="5" t="str">
        <f aca="false" t="array" ref="C23:C23">INDEX(Data_DBD!$F:$F,$A23)</f>
        <v>Tinggi</v>
      </c>
      <c r="H23" s="18" t="n">
        <v>4</v>
      </c>
      <c r="I23" s="18" t="n">
        <v>0</v>
      </c>
      <c r="J23" s="18" t="s">
        <v>7</v>
      </c>
    </row>
    <row r="24" customFormat="false" ht="15" hidden="false" customHeight="false" outlineLevel="0" collapsed="false">
      <c r="A24" s="5" t="n">
        <f aca="false">RANDBETWEEN(2,164)</f>
        <v>3</v>
      </c>
      <c r="B24" s="5" t="n">
        <f aca="false" t="array" ref="B24:B24">INDEX(Data_DBD!$E:$E,$A24)</f>
        <v>1</v>
      </c>
      <c r="C24" s="5" t="str">
        <f aca="false" t="array" ref="C24:C24">INDEX(Data_DBD!$F:$F,$A24)</f>
        <v>Sedang</v>
      </c>
      <c r="H24" s="18" t="n">
        <v>120</v>
      </c>
      <c r="I24" s="18" t="n">
        <v>1</v>
      </c>
      <c r="J24" s="18" t="s">
        <v>115</v>
      </c>
    </row>
    <row r="25" customFormat="false" ht="15" hidden="false" customHeight="false" outlineLevel="0" collapsed="false">
      <c r="A25" s="5" t="n">
        <f aca="false">RANDBETWEEN(2,164)</f>
        <v>152</v>
      </c>
      <c r="B25" s="5" t="n">
        <f aca="false" t="array" ref="B25:B25">INDEX(Data_DBD!$E:$E,$A25)</f>
        <v>1</v>
      </c>
      <c r="C25" s="5" t="str">
        <f aca="false" t="array" ref="C25:C25">INDEX(Data_DBD!$F:$F,$A25)</f>
        <v>Tinggi</v>
      </c>
      <c r="H25" s="18" t="n">
        <v>10</v>
      </c>
      <c r="I25" s="18" t="n">
        <v>0</v>
      </c>
      <c r="J25" s="18" t="s">
        <v>7</v>
      </c>
    </row>
    <row r="26" customFormat="false" ht="15" hidden="false" customHeight="false" outlineLevel="0" collapsed="false">
      <c r="A26" s="5" t="n">
        <f aca="false">RANDBETWEEN(2,164)</f>
        <v>80</v>
      </c>
      <c r="B26" s="5" t="n">
        <f aca="false" t="array" ref="B26:B26">INDEX(Data_DBD!$E:$E,$A26)</f>
        <v>1</v>
      </c>
      <c r="C26" s="5" t="str">
        <f aca="false" t="array" ref="C26:C26">INDEX(Data_DBD!$F:$F,$A26)</f>
        <v>Sedang</v>
      </c>
      <c r="H26" s="18" t="n">
        <v>125</v>
      </c>
      <c r="I26" s="18" t="n">
        <v>0</v>
      </c>
      <c r="J26" s="18" t="s">
        <v>115</v>
      </c>
    </row>
    <row r="27" customFormat="false" ht="15" hidden="false" customHeight="false" outlineLevel="0" collapsed="false">
      <c r="A27" s="5" t="n">
        <f aca="false">RANDBETWEEN(2,164)</f>
        <v>162</v>
      </c>
      <c r="B27" s="5" t="n">
        <f aca="false" t="array" ref="B27:B27">INDEX(Data_DBD!$E:$E,$A27)</f>
        <v>1</v>
      </c>
      <c r="C27" s="5" t="str">
        <f aca="false" t="array" ref="C27:C27">INDEX(Data_DBD!$F:$F,$A27)</f>
        <v>Rendah</v>
      </c>
      <c r="H27" s="18" t="n">
        <v>128</v>
      </c>
      <c r="I27" s="18" t="n">
        <v>0</v>
      </c>
      <c r="J27" s="18" t="s">
        <v>115</v>
      </c>
    </row>
    <row r="28" customFormat="false" ht="15" hidden="false" customHeight="false" outlineLevel="0" collapsed="false">
      <c r="A28" s="5" t="n">
        <f aca="false">RANDBETWEEN(2,164)</f>
        <v>139</v>
      </c>
      <c r="B28" s="5" t="n">
        <f aca="false" t="array" ref="B28:B28">INDEX(Data_DBD!$E:$E,$A28)</f>
        <v>0</v>
      </c>
      <c r="C28" s="5" t="str">
        <f aca="false" t="array" ref="C28:C28">INDEX(Data_DBD!$F:$F,$A28)</f>
        <v>Tinggi</v>
      </c>
      <c r="H28" s="18" t="n">
        <v>106</v>
      </c>
      <c r="I28" s="18" t="n">
        <v>1</v>
      </c>
      <c r="J28" s="18" t="s">
        <v>115</v>
      </c>
    </row>
    <row r="29" customFormat="false" ht="15" hidden="false" customHeight="false" outlineLevel="0" collapsed="false">
      <c r="A29" s="5" t="n">
        <f aca="false">RANDBETWEEN(2,164)</f>
        <v>164</v>
      </c>
      <c r="B29" s="5" t="n">
        <f aca="false" t="array" ref="B29:B29">INDEX(Data_DBD!$E:$E,$A29)</f>
        <v>0</v>
      </c>
      <c r="C29" s="5" t="str">
        <f aca="false" t="array" ref="C29:C29">INDEX(Data_DBD!$F:$F,$A29)</f>
        <v>Rendah</v>
      </c>
      <c r="H29" s="18" t="n">
        <v>7</v>
      </c>
      <c r="I29" s="18" t="n">
        <v>1</v>
      </c>
      <c r="J29" s="18" t="s">
        <v>7</v>
      </c>
    </row>
    <row r="30" customFormat="false" ht="15" hidden="false" customHeight="false" outlineLevel="0" collapsed="false">
      <c r="A30" s="5" t="n">
        <f aca="false">RANDBETWEEN(2,164)</f>
        <v>40</v>
      </c>
      <c r="B30" s="5" t="n">
        <f aca="false" t="array" ref="B30:B30">INDEX(Data_DBD!$E:$E,$A30)</f>
        <v>1</v>
      </c>
      <c r="C30" s="5" t="str">
        <f aca="false" t="array" ref="C30:C30">INDEX(Data_DBD!$F:$F,$A30)</f>
        <v>Sedang</v>
      </c>
      <c r="H30" s="18" t="n">
        <v>7</v>
      </c>
      <c r="I30" s="18" t="n">
        <v>1</v>
      </c>
      <c r="J30" s="18" t="s">
        <v>7</v>
      </c>
    </row>
    <row r="31" customFormat="false" ht="15" hidden="false" customHeight="false" outlineLevel="0" collapsed="false">
      <c r="A31" s="5" t="n">
        <f aca="false">RANDBETWEEN(2,164)</f>
        <v>85</v>
      </c>
      <c r="B31" s="5" t="n">
        <f aca="false" t="array" ref="B31:B31">INDEX(Data_DBD!$E:$E,$A31)</f>
        <v>0</v>
      </c>
      <c r="C31" s="5" t="str">
        <f aca="false" t="array" ref="C31:C31">INDEX(Data_DBD!$F:$F,$A31)</f>
        <v>Sedang</v>
      </c>
      <c r="H31" s="18" t="n">
        <v>142</v>
      </c>
      <c r="I31" s="18" t="n">
        <v>1</v>
      </c>
      <c r="J31" s="18" t="s">
        <v>115</v>
      </c>
    </row>
    <row r="32" customFormat="false" ht="15" hidden="false" customHeight="false" outlineLevel="0" collapsed="false">
      <c r="A32" s="5" t="n">
        <f aca="false">RANDBETWEEN(2,164)</f>
        <v>110</v>
      </c>
      <c r="B32" s="5" t="n">
        <f aca="false" t="array" ref="B32:B32">INDEX(Data_DBD!$E:$E,$A32)</f>
        <v>1</v>
      </c>
      <c r="C32" s="5" t="str">
        <f aca="false" t="array" ref="C32:C32">INDEX(Data_DBD!$F:$F,$A32)</f>
        <v>Tinggi</v>
      </c>
      <c r="H32" s="18" t="n">
        <v>112</v>
      </c>
      <c r="I32" s="18" t="n">
        <v>1</v>
      </c>
      <c r="J32" s="18" t="s">
        <v>115</v>
      </c>
    </row>
    <row r="33" customFormat="false" ht="15" hidden="false" customHeight="false" outlineLevel="0" collapsed="false">
      <c r="A33" s="5" t="n">
        <f aca="false">RANDBETWEEN(2,164)</f>
        <v>111</v>
      </c>
      <c r="B33" s="5" t="n">
        <f aca="false" t="array" ref="B33:B33">INDEX(Data_DBD!$E:$E,$A33)</f>
        <v>0</v>
      </c>
      <c r="C33" s="5" t="str">
        <f aca="false" t="array" ref="C33:C33">INDEX(Data_DBD!$F:$F,$A33)</f>
        <v>Tinggi</v>
      </c>
      <c r="H33" s="18" t="n">
        <v>48</v>
      </c>
      <c r="I33" s="18" t="n">
        <v>1</v>
      </c>
      <c r="J33" s="18" t="s">
        <v>7</v>
      </c>
    </row>
    <row r="34" customFormat="false" ht="15" hidden="false" customHeight="false" outlineLevel="0" collapsed="false">
      <c r="A34" s="5" t="n">
        <f aca="false">RANDBETWEEN(2,164)</f>
        <v>92</v>
      </c>
      <c r="B34" s="5" t="n">
        <f aca="false" t="array" ref="B34:B34">INDEX(Data_DBD!$E:$E,$A34)</f>
        <v>0</v>
      </c>
      <c r="C34" s="5" t="str">
        <f aca="false" t="array" ref="C34:C34">INDEX(Data_DBD!$F:$F,$A34)</f>
        <v>Sedang</v>
      </c>
      <c r="H34" s="18" t="n">
        <v>43</v>
      </c>
      <c r="I34" s="18" t="n">
        <v>0</v>
      </c>
      <c r="J34" s="18" t="s">
        <v>7</v>
      </c>
    </row>
    <row r="35" customFormat="false" ht="15" hidden="false" customHeight="false" outlineLevel="0" collapsed="false">
      <c r="A35" s="5" t="n">
        <f aca="false">RANDBETWEEN(2,164)</f>
        <v>45</v>
      </c>
      <c r="B35" s="5" t="n">
        <f aca="false" t="array" ref="B35:B35">INDEX(Data_DBD!$E:$E,$A35)</f>
        <v>1</v>
      </c>
      <c r="C35" s="5" t="str">
        <f aca="false" t="array" ref="C35:C35">INDEX(Data_DBD!$F:$F,$A35)</f>
        <v>Sedang</v>
      </c>
      <c r="H35" s="18" t="n">
        <v>127</v>
      </c>
      <c r="I35" s="18" t="n">
        <v>0</v>
      </c>
      <c r="J35" s="18" t="s">
        <v>115</v>
      </c>
    </row>
    <row r="36" customFormat="false" ht="15" hidden="false" customHeight="false" outlineLevel="0" collapsed="false">
      <c r="A36" s="5" t="n">
        <f aca="false">RANDBETWEEN(2,164)</f>
        <v>39</v>
      </c>
      <c r="B36" s="5" t="n">
        <f aca="false" t="array" ref="B36:B36">INDEX(Data_DBD!$E:$E,$A36)</f>
        <v>1</v>
      </c>
      <c r="C36" s="5" t="str">
        <f aca="false" t="array" ref="C36:C36">INDEX(Data_DBD!$F:$F,$A36)</f>
        <v>Sedang</v>
      </c>
      <c r="H36" s="18" t="n">
        <v>53</v>
      </c>
      <c r="I36" s="18" t="n">
        <v>1</v>
      </c>
      <c r="J36" s="18" t="s">
        <v>7</v>
      </c>
    </row>
    <row r="37" customFormat="false" ht="15" hidden="false" customHeight="false" outlineLevel="0" collapsed="false">
      <c r="A37" s="5" t="n">
        <f aca="false">RANDBETWEEN(2,164)</f>
        <v>32</v>
      </c>
      <c r="B37" s="5" t="n">
        <f aca="false" t="array" ref="B37:B37">INDEX(Data_DBD!$E:$E,$A37)</f>
        <v>0</v>
      </c>
      <c r="C37" s="5" t="str">
        <f aca="false" t="array" ref="C37:C37">INDEX(Data_DBD!$F:$F,$A37)</f>
        <v>Sedang</v>
      </c>
      <c r="H37" s="18" t="n">
        <v>97</v>
      </c>
      <c r="I37" s="18" t="n">
        <v>1</v>
      </c>
      <c r="J37" s="18" t="s">
        <v>115</v>
      </c>
    </row>
    <row r="38" customFormat="false" ht="15" hidden="false" customHeight="false" outlineLevel="0" collapsed="false">
      <c r="A38" s="5" t="n">
        <f aca="false">RANDBETWEEN(2,164)</f>
        <v>81</v>
      </c>
      <c r="B38" s="5" t="n">
        <f aca="false" t="array" ref="B38:B38">INDEX(Data_DBD!$E:$E,$A38)</f>
        <v>1</v>
      </c>
      <c r="C38" s="5" t="str">
        <f aca="false" t="array" ref="C38:C38">INDEX(Data_DBD!$F:$F,$A38)</f>
        <v>Sedang</v>
      </c>
      <c r="H38" s="18" t="n">
        <v>65</v>
      </c>
      <c r="I38" s="18" t="n">
        <v>0</v>
      </c>
      <c r="J38" s="18" t="s">
        <v>7</v>
      </c>
    </row>
    <row r="39" customFormat="false" ht="15" hidden="false" customHeight="false" outlineLevel="0" collapsed="false">
      <c r="A39" s="5" t="n">
        <f aca="false">RANDBETWEEN(2,164)</f>
        <v>100</v>
      </c>
      <c r="B39" s="5" t="n">
        <f aca="false" t="array" ref="B39:B39">INDEX(Data_DBD!$E:$E,$A39)</f>
        <v>0</v>
      </c>
      <c r="C39" s="5" t="str">
        <f aca="false" t="array" ref="C39:C39">INDEX(Data_DBD!$F:$F,$A39)</f>
        <v>Sedang</v>
      </c>
      <c r="H39" s="18" t="n">
        <v>149</v>
      </c>
      <c r="I39" s="18" t="n">
        <v>0</v>
      </c>
      <c r="J39" s="18" t="s">
        <v>115</v>
      </c>
    </row>
    <row r="40" customFormat="false" ht="15" hidden="false" customHeight="false" outlineLevel="0" collapsed="false">
      <c r="A40" s="5" t="n">
        <f aca="false">RANDBETWEEN(2,164)</f>
        <v>28</v>
      </c>
      <c r="B40" s="5" t="n">
        <f aca="false" t="array" ref="B40:B40">INDEX(Data_DBD!$E:$E,$A40)</f>
        <v>1</v>
      </c>
      <c r="C40" s="5" t="str">
        <f aca="false" t="array" ref="C40:C40">INDEX(Data_DBD!$F:$F,$A40)</f>
        <v>Sedang</v>
      </c>
      <c r="H40" s="18" t="n">
        <v>54</v>
      </c>
      <c r="I40" s="18" t="n">
        <v>0</v>
      </c>
      <c r="J40" s="18" t="s">
        <v>7</v>
      </c>
    </row>
    <row r="41" customFormat="false" ht="15" hidden="false" customHeight="false" outlineLevel="0" collapsed="false">
      <c r="A41" s="5" t="n">
        <f aca="false">RANDBETWEEN(2,164)</f>
        <v>151</v>
      </c>
      <c r="B41" s="5" t="n">
        <f aca="false" t="array" ref="B41:B41">INDEX(Data_DBD!$E:$E,$A41)</f>
        <v>0</v>
      </c>
      <c r="C41" s="5" t="str">
        <f aca="false" t="array" ref="C41:C41">INDEX(Data_DBD!$F:$F,$A41)</f>
        <v>Tinggi</v>
      </c>
      <c r="H41" s="18" t="n">
        <v>11</v>
      </c>
      <c r="I41" s="18" t="n">
        <v>1</v>
      </c>
      <c r="J41" s="18" t="s">
        <v>7</v>
      </c>
    </row>
    <row r="42" customFormat="false" ht="15" hidden="false" customHeight="false" outlineLevel="0" collapsed="false">
      <c r="A42" s="5" t="n">
        <f aca="false">RANDBETWEEN(2,164)</f>
        <v>100</v>
      </c>
      <c r="B42" s="5" t="n">
        <f aca="false" t="array" ref="B42:B42">INDEX(Data_DBD!$E:$E,$A42)</f>
        <v>0</v>
      </c>
      <c r="C42" s="5" t="str">
        <f aca="false" t="array" ref="C42:C42">INDEX(Data_DBD!$F:$F,$A42)</f>
        <v>Sedang</v>
      </c>
      <c r="H42" s="18" t="n">
        <v>124</v>
      </c>
      <c r="I42" s="18" t="n">
        <v>1</v>
      </c>
      <c r="J42" s="18" t="s">
        <v>115</v>
      </c>
    </row>
    <row r="43" customFormat="false" ht="15" hidden="false" customHeight="false" outlineLevel="0" collapsed="false">
      <c r="A43" s="5" t="n">
        <f aca="false">RANDBETWEEN(2,164)</f>
        <v>92</v>
      </c>
      <c r="B43" s="5" t="n">
        <f aca="false" t="array" ref="B43:B43">INDEX(Data_DBD!$E:$E,$A43)</f>
        <v>0</v>
      </c>
      <c r="C43" s="5" t="str">
        <f aca="false" t="array" ref="C43:C43">INDEX(Data_DBD!$F:$F,$A43)</f>
        <v>Sedang</v>
      </c>
      <c r="H43" s="18" t="n">
        <v>51</v>
      </c>
      <c r="I43" s="18" t="n">
        <v>0</v>
      </c>
      <c r="J43" s="18" t="s">
        <v>7</v>
      </c>
    </row>
    <row r="44" customFormat="false" ht="15" hidden="false" customHeight="false" outlineLevel="0" collapsed="false">
      <c r="A44" s="5" t="n">
        <f aca="false">RANDBETWEEN(2,164)</f>
        <v>35</v>
      </c>
      <c r="B44" s="5" t="n">
        <f aca="false" t="array" ref="B44:B44">INDEX(Data_DBD!$E:$E,$A44)</f>
        <v>1</v>
      </c>
      <c r="C44" s="5" t="str">
        <f aca="false" t="array" ref="C44:C44">INDEX(Data_DBD!$F:$F,$A44)</f>
        <v>Rendah</v>
      </c>
      <c r="H44" s="18" t="n">
        <v>119</v>
      </c>
      <c r="I44" s="18" t="n">
        <v>0</v>
      </c>
      <c r="J44" s="18" t="s">
        <v>115</v>
      </c>
    </row>
    <row r="45" customFormat="false" ht="15" hidden="false" customHeight="false" outlineLevel="0" collapsed="false">
      <c r="A45" s="5" t="n">
        <f aca="false">RANDBETWEEN(2,164)</f>
        <v>100</v>
      </c>
      <c r="B45" s="5" t="n">
        <f aca="false" t="array" ref="B45:B45">INDEX(Data_DBD!$E:$E,$A45)</f>
        <v>0</v>
      </c>
      <c r="C45" s="5" t="str">
        <f aca="false" t="array" ref="C45:C45">INDEX(Data_DBD!$F:$F,$A45)</f>
        <v>Sedang</v>
      </c>
      <c r="H45" s="18" t="n">
        <v>151</v>
      </c>
      <c r="I45" s="18" t="n">
        <v>0</v>
      </c>
      <c r="J45" s="18" t="s">
        <v>115</v>
      </c>
    </row>
    <row r="46" customFormat="false" ht="15" hidden="false" customHeight="false" outlineLevel="0" collapsed="false">
      <c r="A46" s="5" t="n">
        <f aca="false">RANDBETWEEN(2,164)</f>
        <v>35</v>
      </c>
      <c r="B46" s="5" t="n">
        <f aca="false" t="array" ref="B46:B46">INDEX(Data_DBD!$E:$E,$A46)</f>
        <v>1</v>
      </c>
      <c r="C46" s="5" t="str">
        <f aca="false" t="array" ref="C46:C46">INDEX(Data_DBD!$F:$F,$A46)</f>
        <v>Rendah</v>
      </c>
      <c r="H46" s="18" t="n">
        <v>46</v>
      </c>
      <c r="I46" s="18" t="n">
        <v>0</v>
      </c>
      <c r="J46" s="18" t="s">
        <v>7</v>
      </c>
    </row>
    <row r="47" customFormat="false" ht="15" hidden="false" customHeight="false" outlineLevel="0" collapsed="false">
      <c r="A47" s="5" t="n">
        <f aca="false">RANDBETWEEN(2,164)</f>
        <v>121</v>
      </c>
      <c r="B47" s="5" t="n">
        <f aca="false" t="array" ref="B47:B47">INDEX(Data_DBD!$E:$E,$A47)</f>
        <v>1</v>
      </c>
      <c r="C47" s="5" t="str">
        <f aca="false" t="array" ref="C47:C47">INDEX(Data_DBD!$F:$F,$A47)</f>
        <v>Tinggi</v>
      </c>
      <c r="H47" s="18" t="n">
        <v>156</v>
      </c>
      <c r="I47" s="18" t="n">
        <v>0</v>
      </c>
      <c r="J47" s="18" t="s">
        <v>115</v>
      </c>
    </row>
    <row r="48" customFormat="false" ht="15" hidden="false" customHeight="false" outlineLevel="0" collapsed="false">
      <c r="A48" s="5" t="n">
        <f aca="false">RANDBETWEEN(2,164)</f>
        <v>121</v>
      </c>
      <c r="B48" s="5" t="n">
        <f aca="false" t="array" ref="B48:B48">INDEX(Data_DBD!$E:$E,$A48)</f>
        <v>1</v>
      </c>
      <c r="C48" s="5" t="str">
        <f aca="false" t="array" ref="C48:C48">INDEX(Data_DBD!$F:$F,$A48)</f>
        <v>Tinggi</v>
      </c>
      <c r="H48" s="18" t="n">
        <v>116</v>
      </c>
      <c r="I48" s="18" t="n">
        <v>1</v>
      </c>
      <c r="J48" s="18" t="s">
        <v>115</v>
      </c>
    </row>
    <row r="49" customFormat="false" ht="15" hidden="false" customHeight="false" outlineLevel="0" collapsed="false">
      <c r="A49" s="5" t="n">
        <f aca="false">RANDBETWEEN(2,164)</f>
        <v>123</v>
      </c>
      <c r="B49" s="5" t="n">
        <f aca="false" t="array" ref="B49:B49">INDEX(Data_DBD!$E:$E,$A49)</f>
        <v>0</v>
      </c>
      <c r="C49" s="5" t="str">
        <f aca="false" t="array" ref="C49:C49">INDEX(Data_DBD!$F:$F,$A49)</f>
        <v>Tinggi</v>
      </c>
      <c r="H49" s="18" t="n">
        <v>117</v>
      </c>
      <c r="I49" s="18" t="n">
        <v>1</v>
      </c>
      <c r="J49" s="18" t="s">
        <v>115</v>
      </c>
    </row>
    <row r="50" customFormat="false" ht="15" hidden="false" customHeight="false" outlineLevel="0" collapsed="false">
      <c r="A50" s="5" t="n">
        <f aca="false">RANDBETWEEN(2,164)</f>
        <v>86</v>
      </c>
      <c r="B50" s="5" t="n">
        <f aca="false" t="array" ref="B50:B50">INDEX(Data_DBD!$E:$E,$A50)</f>
        <v>0</v>
      </c>
      <c r="C50" s="5" t="str">
        <f aca="false" t="array" ref="C50:C50">INDEX(Data_DBD!$F:$F,$A50)</f>
        <v>Sedang</v>
      </c>
      <c r="H50" s="18" t="n">
        <v>50</v>
      </c>
      <c r="I50" s="18" t="n">
        <v>0</v>
      </c>
      <c r="J50" s="18" t="s">
        <v>7</v>
      </c>
    </row>
    <row r="51" customFormat="false" ht="15" hidden="false" customHeight="false" outlineLevel="0" collapsed="false">
      <c r="A51" s="5" t="n">
        <f aca="false">RANDBETWEEN(2,164)</f>
        <v>79</v>
      </c>
      <c r="B51" s="5" t="n">
        <f aca="false" t="array" ref="B51:B51">INDEX(Data_DBD!$E:$E,$A51)</f>
        <v>0</v>
      </c>
      <c r="C51" s="5" t="str">
        <f aca="false" t="array" ref="C51:C51">INDEX(Data_DBD!$F:$F,$A51)</f>
        <v>Sedang</v>
      </c>
      <c r="H51" s="18" t="n">
        <v>46</v>
      </c>
      <c r="I51" s="18" t="n">
        <v>0</v>
      </c>
      <c r="J51" s="18" t="s">
        <v>7</v>
      </c>
    </row>
    <row r="52" customFormat="false" ht="15" hidden="false" customHeight="false" outlineLevel="0" collapsed="false">
      <c r="A52" s="5" t="n">
        <f aca="false">RANDBETWEEN(2,164)</f>
        <v>20</v>
      </c>
      <c r="B52" s="5" t="n">
        <f aca="false" t="array" ref="B52:B52">INDEX(Data_DBD!$E:$E,$A52)</f>
        <v>0</v>
      </c>
      <c r="C52" s="5" t="str">
        <f aca="false" t="array" ref="C52:C52">INDEX(Data_DBD!$F:$F,$A52)</f>
        <v>Rendah</v>
      </c>
      <c r="H52" s="18" t="n">
        <v>17</v>
      </c>
      <c r="I52" s="18" t="n">
        <v>0</v>
      </c>
      <c r="J52" s="18" t="s">
        <v>20</v>
      </c>
    </row>
    <row r="53" customFormat="false" ht="15" hidden="false" customHeight="false" outlineLevel="0" collapsed="false">
      <c r="A53" s="5" t="n">
        <f aca="false">RANDBETWEEN(2,164)</f>
        <v>105</v>
      </c>
      <c r="B53" s="5" t="n">
        <f aca="false" t="array" ref="B53:B53">INDEX(Data_DBD!$E:$E,$A53)</f>
        <v>1</v>
      </c>
      <c r="C53" s="5" t="str">
        <f aca="false" t="array" ref="C53:C53">INDEX(Data_DBD!$F:$F,$A53)</f>
        <v>Sedang</v>
      </c>
      <c r="H53" s="18" t="n">
        <v>159</v>
      </c>
      <c r="I53" s="18" t="n">
        <v>0</v>
      </c>
      <c r="J53" s="18" t="s">
        <v>115</v>
      </c>
    </row>
    <row r="54" customFormat="false" ht="15" hidden="false" customHeight="false" outlineLevel="0" collapsed="false">
      <c r="A54" s="5" t="n">
        <f aca="false">RANDBETWEEN(2,164)</f>
        <v>11</v>
      </c>
      <c r="B54" s="5" t="n">
        <f aca="false" t="array" ref="B54:B54">INDEX(Data_DBD!$E:$E,$A54)</f>
        <v>1</v>
      </c>
      <c r="C54" s="5" t="str">
        <f aca="false" t="array" ref="C54:C54">INDEX(Data_DBD!$F:$F,$A54)</f>
        <v>Sedang</v>
      </c>
      <c r="H54" s="18" t="n">
        <v>148</v>
      </c>
      <c r="I54" s="18" t="n">
        <v>1</v>
      </c>
      <c r="J54" s="18" t="s">
        <v>115</v>
      </c>
    </row>
    <row r="55" customFormat="false" ht="15" hidden="false" customHeight="false" outlineLevel="0" collapsed="false">
      <c r="A55" s="5" t="n">
        <f aca="false">RANDBETWEEN(2,164)</f>
        <v>109</v>
      </c>
      <c r="B55" s="5" t="n">
        <f aca="false" t="array" ref="B55:B55">INDEX(Data_DBD!$E:$E,$A55)</f>
        <v>1</v>
      </c>
      <c r="C55" s="5" t="str">
        <f aca="false" t="array" ref="C55:C55">INDEX(Data_DBD!$F:$F,$A55)</f>
        <v>Tinggi</v>
      </c>
      <c r="H55" s="18" t="n">
        <v>14</v>
      </c>
      <c r="I55" s="18" t="n">
        <v>1</v>
      </c>
      <c r="J55" s="18" t="s">
        <v>20</v>
      </c>
    </row>
    <row r="56" customFormat="false" ht="15" hidden="false" customHeight="false" outlineLevel="0" collapsed="false">
      <c r="A56" s="5" t="n">
        <f aca="false">RANDBETWEEN(2,164)</f>
        <v>51</v>
      </c>
      <c r="B56" s="5" t="n">
        <f aca="false" t="array" ref="B56:B56">INDEX(Data_DBD!$E:$E,$A56)</f>
        <v>0</v>
      </c>
      <c r="C56" s="5" t="str">
        <f aca="false" t="array" ref="C56:C56">INDEX(Data_DBD!$F:$F,$A56)</f>
        <v>Sedang</v>
      </c>
      <c r="H56" s="18" t="n">
        <v>102</v>
      </c>
      <c r="I56" s="18" t="n">
        <v>0</v>
      </c>
      <c r="J56" s="18" t="s">
        <v>115</v>
      </c>
    </row>
    <row r="57" customFormat="false" ht="15" hidden="false" customHeight="false" outlineLevel="0" collapsed="false">
      <c r="A57" s="5" t="n">
        <f aca="false">RANDBETWEEN(2,164)</f>
        <v>16</v>
      </c>
      <c r="B57" s="5" t="n">
        <f aca="false" t="array" ref="B57:B57">INDEX(Data_DBD!$E:$E,$A57)</f>
        <v>1</v>
      </c>
      <c r="C57" s="5" t="str">
        <f aca="false" t="array" ref="C57:C57">INDEX(Data_DBD!$F:$F,$A57)</f>
        <v>Rendah</v>
      </c>
      <c r="H57" s="18" t="n">
        <v>7</v>
      </c>
      <c r="I57" s="18" t="n">
        <v>1</v>
      </c>
      <c r="J57" s="18" t="s">
        <v>7</v>
      </c>
    </row>
    <row r="58" customFormat="false" ht="15" hidden="false" customHeight="false" outlineLevel="0" collapsed="false">
      <c r="A58" s="5" t="n">
        <f aca="false">RANDBETWEEN(2,164)</f>
        <v>112</v>
      </c>
      <c r="B58" s="5" t="n">
        <f aca="false" t="array" ref="B58:B58">INDEX(Data_DBD!$E:$E,$A58)</f>
        <v>1</v>
      </c>
      <c r="C58" s="5" t="str">
        <f aca="false" t="array" ref="C58:C58">INDEX(Data_DBD!$F:$F,$A58)</f>
        <v>Tinggi</v>
      </c>
      <c r="H58" s="18" t="n">
        <v>100</v>
      </c>
      <c r="I58" s="18" t="n">
        <v>0</v>
      </c>
      <c r="J58" s="18" t="s">
        <v>115</v>
      </c>
    </row>
    <row r="59" customFormat="false" ht="15" hidden="false" customHeight="false" outlineLevel="0" collapsed="false">
      <c r="A59" s="5" t="n">
        <f aca="false">RANDBETWEEN(2,164)</f>
        <v>52</v>
      </c>
      <c r="B59" s="5" t="n">
        <f aca="false" t="array" ref="B59:B59">INDEX(Data_DBD!$E:$E,$A59)</f>
        <v>1</v>
      </c>
      <c r="C59" s="5" t="str">
        <f aca="false" t="array" ref="C59:C59">INDEX(Data_DBD!$F:$F,$A59)</f>
        <v>Sedang</v>
      </c>
      <c r="H59" s="18" t="n">
        <v>164</v>
      </c>
      <c r="I59" s="18" t="n">
        <v>0</v>
      </c>
      <c r="J59" s="18" t="s">
        <v>20</v>
      </c>
    </row>
    <row r="60" customFormat="false" ht="15" hidden="false" customHeight="false" outlineLevel="0" collapsed="false">
      <c r="A60" s="5" t="n">
        <f aca="false">RANDBETWEEN(2,164)</f>
        <v>78</v>
      </c>
      <c r="B60" s="5" t="n">
        <f aca="false" t="array" ref="B60:B60">INDEX(Data_DBD!$E:$E,$A60)</f>
        <v>0</v>
      </c>
      <c r="C60" s="5" t="str">
        <f aca="false" t="array" ref="C60:C60">INDEX(Data_DBD!$F:$F,$A60)</f>
        <v>Sedang</v>
      </c>
      <c r="H60" s="18" t="n">
        <v>53</v>
      </c>
      <c r="I60" s="18" t="n">
        <v>1</v>
      </c>
      <c r="J60" s="18" t="s">
        <v>7</v>
      </c>
    </row>
    <row r="61" customFormat="false" ht="15" hidden="false" customHeight="false" outlineLevel="0" collapsed="false">
      <c r="A61" s="5" t="n">
        <f aca="false">RANDBETWEEN(2,164)</f>
        <v>153</v>
      </c>
      <c r="B61" s="5" t="n">
        <f aca="false" t="array" ref="B61:B61">INDEX(Data_DBD!$E:$E,$A61)</f>
        <v>1</v>
      </c>
      <c r="C61" s="5" t="str">
        <f aca="false" t="array" ref="C61:C61">INDEX(Data_DBD!$F:$F,$A61)</f>
        <v>Tinggi</v>
      </c>
      <c r="H61" s="18" t="n">
        <v>140</v>
      </c>
      <c r="I61" s="18" t="n">
        <v>1</v>
      </c>
      <c r="J61" s="18" t="s">
        <v>115</v>
      </c>
    </row>
    <row r="62" customFormat="false" ht="15" hidden="false" customHeight="false" outlineLevel="0" collapsed="false">
      <c r="A62" s="5" t="n">
        <f aca="false">RANDBETWEEN(2,164)</f>
        <v>13</v>
      </c>
      <c r="B62" s="5" t="n">
        <f aca="false" t="array" ref="B62:B62">INDEX(Data_DBD!$E:$E,$A62)</f>
        <v>0</v>
      </c>
      <c r="C62" s="5" t="str">
        <f aca="false" t="array" ref="C62:C62">INDEX(Data_DBD!$F:$F,$A62)</f>
        <v>Sedang</v>
      </c>
      <c r="H62" s="18" t="n">
        <v>132</v>
      </c>
      <c r="I62" s="18" t="n">
        <v>1</v>
      </c>
      <c r="J62" s="18" t="s">
        <v>115</v>
      </c>
    </row>
    <row r="63" customFormat="false" ht="15" hidden="false" customHeight="false" outlineLevel="0" collapsed="false">
      <c r="A63" s="5" t="n">
        <f aca="false">RANDBETWEEN(2,164)</f>
        <v>120</v>
      </c>
      <c r="B63" s="5" t="n">
        <f aca="false" t="array" ref="B63:B63">INDEX(Data_DBD!$E:$E,$A63)</f>
        <v>1</v>
      </c>
      <c r="C63" s="5" t="str">
        <f aca="false" t="array" ref="C63:C63">INDEX(Data_DBD!$F:$F,$A63)</f>
        <v>Tinggi</v>
      </c>
      <c r="H63" s="18" t="n">
        <v>19</v>
      </c>
      <c r="I63" s="18" t="n">
        <v>0</v>
      </c>
      <c r="J63" s="18" t="s">
        <v>20</v>
      </c>
    </row>
    <row r="64" customFormat="false" ht="15" hidden="false" customHeight="false" outlineLevel="0" collapsed="false">
      <c r="A64" s="5" t="n">
        <f aca="false">RANDBETWEEN(2,164)</f>
        <v>75</v>
      </c>
      <c r="B64" s="5" t="n">
        <f aca="false" t="array" ref="B64:B64">INDEX(Data_DBD!$E:$E,$A64)</f>
        <v>1</v>
      </c>
      <c r="C64" s="5" t="str">
        <f aca="false" t="array" ref="C64:C64">INDEX(Data_DBD!$F:$F,$A64)</f>
        <v>Rendah</v>
      </c>
      <c r="H64" s="18" t="n">
        <v>68</v>
      </c>
      <c r="I64" s="18" t="n">
        <v>0</v>
      </c>
      <c r="J64" s="18" t="s">
        <v>7</v>
      </c>
    </row>
    <row r="65" customFormat="false" ht="15" hidden="false" customHeight="false" outlineLevel="0" collapsed="false">
      <c r="A65" s="5" t="n">
        <f aca="false">RANDBETWEEN(2,164)</f>
        <v>72</v>
      </c>
      <c r="B65" s="5" t="n">
        <f aca="false" t="array" ref="B65:B65">INDEX(Data_DBD!$E:$E,$A65)</f>
        <v>1</v>
      </c>
      <c r="C65" s="5" t="str">
        <f aca="false" t="array" ref="C65:C65">INDEX(Data_DBD!$F:$F,$A65)</f>
        <v>Rendah</v>
      </c>
      <c r="H65" s="18" t="n">
        <v>113</v>
      </c>
      <c r="I65" s="18" t="n">
        <v>1</v>
      </c>
      <c r="J65" s="18" t="s">
        <v>115</v>
      </c>
    </row>
    <row r="66" customFormat="false" ht="15" hidden="false" customHeight="false" outlineLevel="0" collapsed="false">
      <c r="A66" s="5" t="n">
        <f aca="false">RANDBETWEEN(2,164)</f>
        <v>34</v>
      </c>
      <c r="B66" s="5" t="n">
        <f aca="false" t="array" ref="B66:B66">INDEX(Data_DBD!$E:$E,$A66)</f>
        <v>0</v>
      </c>
      <c r="C66" s="5" t="str">
        <f aca="false" t="array" ref="C66:C66">INDEX(Data_DBD!$F:$F,$A66)</f>
        <v>Sedang</v>
      </c>
      <c r="H66" s="18" t="n">
        <v>144</v>
      </c>
      <c r="I66" s="18" t="n">
        <v>1</v>
      </c>
      <c r="J66" s="18" t="s">
        <v>115</v>
      </c>
    </row>
    <row r="67" customFormat="false" ht="15" hidden="false" customHeight="false" outlineLevel="0" collapsed="false">
      <c r="A67" s="5" t="n">
        <f aca="false">RANDBETWEEN(2,164)</f>
        <v>94</v>
      </c>
      <c r="B67" s="5" t="n">
        <f aca="false" t="array" ref="B67:B67">INDEX(Data_DBD!$E:$E,$A67)</f>
        <v>0</v>
      </c>
      <c r="C67" s="5" t="str">
        <f aca="false" t="array" ref="C67:C67">INDEX(Data_DBD!$F:$F,$A67)</f>
        <v>Sedang</v>
      </c>
      <c r="H67" s="18" t="n">
        <v>136</v>
      </c>
      <c r="I67" s="18" t="n">
        <v>0</v>
      </c>
      <c r="J67" s="18" t="s">
        <v>115</v>
      </c>
    </row>
    <row r="68" customFormat="false" ht="15" hidden="false" customHeight="false" outlineLevel="0" collapsed="false">
      <c r="A68" s="5" t="n">
        <f aca="false">RANDBETWEEN(2,164)</f>
        <v>158</v>
      </c>
      <c r="B68" s="5" t="n">
        <f aca="false" t="array" ref="B68:B68">INDEX(Data_DBD!$E:$E,$A68)</f>
        <v>0</v>
      </c>
      <c r="C68" s="5" t="str">
        <f aca="false" t="array" ref="C68:C68">INDEX(Data_DBD!$F:$F,$A68)</f>
        <v>Tinggi</v>
      </c>
      <c r="H68" s="18" t="n">
        <v>28</v>
      </c>
      <c r="I68" s="18" t="n">
        <v>1</v>
      </c>
      <c r="J68" s="18" t="s">
        <v>7</v>
      </c>
    </row>
    <row r="69" customFormat="false" ht="15" hidden="false" customHeight="false" outlineLevel="0" collapsed="false">
      <c r="A69" s="5" t="n">
        <f aca="false">RANDBETWEEN(2,164)</f>
        <v>130</v>
      </c>
      <c r="B69" s="5" t="n">
        <f aca="false" t="array" ref="B69:B69">INDEX(Data_DBD!$E:$E,$A69)</f>
        <v>0</v>
      </c>
      <c r="C69" s="5" t="str">
        <f aca="false" t="array" ref="C69:C69">INDEX(Data_DBD!$F:$F,$A69)</f>
        <v>Tinggi</v>
      </c>
      <c r="H69" s="18" t="n">
        <v>52</v>
      </c>
      <c r="I69" s="18" t="n">
        <v>1</v>
      </c>
      <c r="J69" s="18" t="s">
        <v>7</v>
      </c>
    </row>
    <row r="70" customFormat="false" ht="15" hidden="false" customHeight="false" outlineLevel="0" collapsed="false">
      <c r="A70" s="5" t="n">
        <f aca="false">RANDBETWEEN(2,164)</f>
        <v>78</v>
      </c>
      <c r="B70" s="5" t="n">
        <f aca="false" t="array" ref="B70:B70">INDEX(Data_DBD!$E:$E,$A70)</f>
        <v>0</v>
      </c>
      <c r="C70" s="5" t="str">
        <f aca="false" t="array" ref="C70:C70">INDEX(Data_DBD!$F:$F,$A70)</f>
        <v>Sedang</v>
      </c>
      <c r="H70" s="18" t="n">
        <v>42</v>
      </c>
      <c r="I70" s="18" t="n">
        <v>1</v>
      </c>
      <c r="J70" s="18" t="s">
        <v>7</v>
      </c>
    </row>
    <row r="71" customFormat="false" ht="15" hidden="false" customHeight="false" outlineLevel="0" collapsed="false">
      <c r="A71" s="5" t="n">
        <f aca="false">RANDBETWEEN(2,164)</f>
        <v>23</v>
      </c>
      <c r="B71" s="5" t="n">
        <f aca="false" t="array" ref="B71:B71">INDEX(Data_DBD!$E:$E,$A71)</f>
        <v>1</v>
      </c>
      <c r="C71" s="5" t="str">
        <f aca="false" t="array" ref="C71:C71">INDEX(Data_DBD!$F:$F,$A71)</f>
        <v>Sedang</v>
      </c>
      <c r="H71" s="18" t="n">
        <v>104</v>
      </c>
      <c r="I71" s="18" t="n">
        <v>1</v>
      </c>
      <c r="J71" s="18" t="s">
        <v>115</v>
      </c>
    </row>
    <row r="72" customFormat="false" ht="15" hidden="false" customHeight="false" outlineLevel="0" collapsed="false">
      <c r="A72" s="5" t="n">
        <f aca="false">RANDBETWEEN(2,164)</f>
        <v>89</v>
      </c>
      <c r="B72" s="5" t="n">
        <f aca="false" t="array" ref="B72:B72">INDEX(Data_DBD!$E:$E,$A72)</f>
        <v>0</v>
      </c>
      <c r="C72" s="5" t="str">
        <f aca="false" t="array" ref="C72:C72">INDEX(Data_DBD!$F:$F,$A72)</f>
        <v>Sedang</v>
      </c>
      <c r="H72" s="18" t="n">
        <v>34</v>
      </c>
      <c r="I72" s="18" t="n">
        <v>0</v>
      </c>
      <c r="J72" s="18" t="s">
        <v>7</v>
      </c>
    </row>
    <row r="73" customFormat="false" ht="15" hidden="false" customHeight="false" outlineLevel="0" collapsed="false">
      <c r="A73" s="5" t="n">
        <f aca="false">RANDBETWEEN(2,164)</f>
        <v>158</v>
      </c>
      <c r="B73" s="5" t="n">
        <f aca="false" t="array" ref="B73:B73">INDEX(Data_DBD!$E:$E,$A73)</f>
        <v>0</v>
      </c>
      <c r="C73" s="5" t="str">
        <f aca="false" t="array" ref="C73:C73">INDEX(Data_DBD!$F:$F,$A73)</f>
        <v>Tinggi</v>
      </c>
      <c r="H73" s="18" t="n">
        <v>38</v>
      </c>
      <c r="I73" s="18" t="n">
        <v>1</v>
      </c>
      <c r="J73" s="18" t="s">
        <v>20</v>
      </c>
    </row>
    <row r="74" customFormat="false" ht="15" hidden="false" customHeight="false" outlineLevel="0" collapsed="false">
      <c r="A74" s="5" t="n">
        <f aca="false">RANDBETWEEN(2,164)</f>
        <v>88</v>
      </c>
      <c r="B74" s="5" t="n">
        <f aca="false" t="array" ref="B74:B74">INDEX(Data_DBD!$E:$E,$A74)</f>
        <v>1</v>
      </c>
      <c r="C74" s="5" t="str">
        <f aca="false" t="array" ref="C74:C74">INDEX(Data_DBD!$F:$F,$A74)</f>
        <v>Sedang</v>
      </c>
      <c r="H74" s="18" t="n">
        <v>90</v>
      </c>
      <c r="I74" s="18" t="n">
        <v>0</v>
      </c>
      <c r="J74" s="18" t="s">
        <v>115</v>
      </c>
    </row>
    <row r="75" customFormat="false" ht="15" hidden="false" customHeight="false" outlineLevel="0" collapsed="false">
      <c r="A75" s="5" t="n">
        <f aca="false">RANDBETWEEN(2,164)</f>
        <v>162</v>
      </c>
      <c r="B75" s="5" t="n">
        <f aca="false" t="array" ref="B75:B75">INDEX(Data_DBD!$E:$E,$A75)</f>
        <v>1</v>
      </c>
      <c r="C75" s="5" t="str">
        <f aca="false" t="array" ref="C75:C75">INDEX(Data_DBD!$F:$F,$A75)</f>
        <v>Rendah</v>
      </c>
      <c r="H75" s="18" t="n">
        <v>109</v>
      </c>
      <c r="I75" s="18" t="n">
        <v>1</v>
      </c>
      <c r="J75" s="18" t="s">
        <v>115</v>
      </c>
    </row>
    <row r="76" customFormat="false" ht="15" hidden="false" customHeight="false" outlineLevel="0" collapsed="false">
      <c r="A76" s="5" t="n">
        <f aca="false">RANDBETWEEN(2,164)</f>
        <v>60</v>
      </c>
      <c r="B76" s="5" t="n">
        <f aca="false" t="array" ref="B76:B76">INDEX(Data_DBD!$E:$E,$A76)</f>
        <v>0</v>
      </c>
      <c r="C76" s="5" t="str">
        <f aca="false" t="array" ref="C76:C76">INDEX(Data_DBD!$F:$F,$A76)</f>
        <v>Sedang</v>
      </c>
      <c r="H76" s="18" t="n">
        <v>122</v>
      </c>
      <c r="I76" s="18" t="n">
        <v>1</v>
      </c>
      <c r="J76" s="18" t="s">
        <v>115</v>
      </c>
    </row>
    <row r="77" customFormat="false" ht="15" hidden="false" customHeight="false" outlineLevel="0" collapsed="false">
      <c r="A77" s="5" t="n">
        <f aca="false">RANDBETWEEN(2,164)</f>
        <v>44</v>
      </c>
      <c r="B77" s="5" t="n">
        <f aca="false" t="array" ref="B77:B77">INDEX(Data_DBD!$E:$E,$A77)</f>
        <v>1</v>
      </c>
      <c r="C77" s="5" t="str">
        <f aca="false" t="array" ref="C77:C77">INDEX(Data_DBD!$F:$F,$A77)</f>
        <v>Sedang</v>
      </c>
      <c r="H77" s="18" t="n">
        <v>147</v>
      </c>
      <c r="I77" s="18" t="n">
        <v>1</v>
      </c>
      <c r="J77" s="18" t="s">
        <v>115</v>
      </c>
    </row>
    <row r="78" customFormat="false" ht="15" hidden="false" customHeight="false" outlineLevel="0" collapsed="false">
      <c r="A78" s="5" t="n">
        <f aca="false">RANDBETWEEN(2,164)</f>
        <v>22</v>
      </c>
      <c r="B78" s="5" t="n">
        <f aca="false" t="array" ref="B78:B78">INDEX(Data_DBD!$E:$E,$A78)</f>
        <v>0</v>
      </c>
      <c r="C78" s="5" t="str">
        <f aca="false" t="array" ref="C78:C78">INDEX(Data_DBD!$F:$F,$A78)</f>
        <v>Sedang</v>
      </c>
      <c r="H78" s="18" t="n">
        <v>33</v>
      </c>
      <c r="I78" s="18" t="n">
        <v>1</v>
      </c>
      <c r="J78" s="18" t="s">
        <v>7</v>
      </c>
    </row>
    <row r="79" customFormat="false" ht="15" hidden="false" customHeight="false" outlineLevel="0" collapsed="false">
      <c r="A79" s="5" t="n">
        <f aca="false">RANDBETWEEN(2,164)</f>
        <v>61</v>
      </c>
      <c r="B79" s="5" t="n">
        <f aca="false" t="array" ref="B79:B79">INDEX(Data_DBD!$E:$E,$A79)</f>
        <v>1</v>
      </c>
      <c r="C79" s="5" t="str">
        <f aca="false" t="array" ref="C79:C79">INDEX(Data_DBD!$F:$F,$A79)</f>
        <v>Sedang</v>
      </c>
      <c r="H79" s="18" t="n">
        <v>42</v>
      </c>
      <c r="I79" s="18" t="n">
        <v>1</v>
      </c>
      <c r="J79" s="18" t="s">
        <v>7</v>
      </c>
    </row>
    <row r="80" customFormat="false" ht="15" hidden="false" customHeight="false" outlineLevel="0" collapsed="false">
      <c r="A80" s="5" t="n">
        <f aca="false">RANDBETWEEN(2,164)</f>
        <v>109</v>
      </c>
      <c r="B80" s="5" t="n">
        <f aca="false" t="array" ref="B80:B80">INDEX(Data_DBD!$E:$E,$A80)</f>
        <v>1</v>
      </c>
      <c r="C80" s="5" t="str">
        <f aca="false" t="array" ref="C80:C80">INDEX(Data_DBD!$F:$F,$A80)</f>
        <v>Tinggi</v>
      </c>
      <c r="H80" s="18" t="n">
        <v>74</v>
      </c>
      <c r="I80" s="18" t="n">
        <v>0</v>
      </c>
      <c r="J80" s="18" t="s">
        <v>7</v>
      </c>
    </row>
    <row r="81" customFormat="false" ht="15" hidden="false" customHeight="false" outlineLevel="0" collapsed="false">
      <c r="A81" s="5" t="n">
        <f aca="false">RANDBETWEEN(2,164)</f>
        <v>149</v>
      </c>
      <c r="B81" s="5" t="n">
        <f aca="false" t="array" ref="B81:B81">INDEX(Data_DBD!$E:$E,$A81)</f>
        <v>0</v>
      </c>
      <c r="C81" s="5" t="str">
        <f aca="false" t="array" ref="C81:C81">INDEX(Data_DBD!$F:$F,$A81)</f>
        <v>Tinggi</v>
      </c>
      <c r="H81" s="18" t="n">
        <v>60</v>
      </c>
      <c r="I81" s="18" t="n">
        <v>0</v>
      </c>
      <c r="J81" s="18" t="s">
        <v>7</v>
      </c>
    </row>
    <row r="82" customFormat="false" ht="15" hidden="false" customHeight="false" outlineLevel="0" collapsed="false">
      <c r="A82" s="5" t="n">
        <f aca="false">RANDBETWEEN(2,164)</f>
        <v>116</v>
      </c>
      <c r="B82" s="5" t="n">
        <f aca="false" t="array" ref="B82:B82">INDEX(Data_DBD!$E:$E,$A82)</f>
        <v>1</v>
      </c>
      <c r="C82" s="5" t="str">
        <f aca="false" t="array" ref="C82:C82">INDEX(Data_DBD!$F:$F,$A82)</f>
        <v>Tinggi</v>
      </c>
      <c r="H82" s="18" t="n">
        <v>67</v>
      </c>
      <c r="I82" s="18" t="n">
        <v>1</v>
      </c>
      <c r="J82" s="18" t="s">
        <v>7</v>
      </c>
    </row>
    <row r="83" customFormat="false" ht="15" hidden="false" customHeight="false" outlineLevel="0" collapsed="false">
      <c r="A83" s="5" t="n">
        <f aca="false">RANDBETWEEN(2,164)</f>
        <v>17</v>
      </c>
      <c r="B83" s="5" t="n">
        <f aca="false" t="array" ref="B83:B83">INDEX(Data_DBD!$E:$E,$A83)</f>
        <v>0</v>
      </c>
      <c r="C83" s="5" t="str">
        <f aca="false" t="array" ref="C83:C83">INDEX(Data_DBD!$F:$F,$A83)</f>
        <v>Rendah</v>
      </c>
      <c r="H83" s="18" t="n">
        <v>92</v>
      </c>
      <c r="I83" s="18" t="n">
        <v>0</v>
      </c>
      <c r="J83" s="18" t="s">
        <v>115</v>
      </c>
    </row>
    <row r="84" customFormat="false" ht="15" hidden="false" customHeight="false" outlineLevel="0" collapsed="false">
      <c r="A84" s="5" t="n">
        <f aca="false">RANDBETWEEN(2,164)</f>
        <v>19</v>
      </c>
      <c r="B84" s="5" t="n">
        <f aca="false" t="array" ref="B84:B84">INDEX(Data_DBD!$E:$E,$A84)</f>
        <v>0</v>
      </c>
      <c r="C84" s="5" t="str">
        <f aca="false" t="array" ref="C84:C84">INDEX(Data_DBD!$F:$F,$A84)</f>
        <v>Rendah</v>
      </c>
      <c r="H84" s="18" t="n">
        <v>90</v>
      </c>
      <c r="I84" s="18" t="n">
        <v>0</v>
      </c>
      <c r="J84" s="18" t="s">
        <v>115</v>
      </c>
    </row>
    <row r="85" customFormat="false" ht="15" hidden="false" customHeight="false" outlineLevel="0" collapsed="false">
      <c r="A85" s="5" t="n">
        <f aca="false">RANDBETWEEN(2,164)</f>
        <v>50</v>
      </c>
      <c r="B85" s="5" t="n">
        <f aca="false" t="array" ref="B85:B85">INDEX(Data_DBD!$E:$E,$A85)</f>
        <v>0</v>
      </c>
      <c r="C85" s="5" t="str">
        <f aca="false" t="array" ref="C85:C85">INDEX(Data_DBD!$F:$F,$A85)</f>
        <v>Sedang</v>
      </c>
      <c r="H85" s="18" t="n">
        <v>71</v>
      </c>
      <c r="I85" s="18" t="n">
        <v>0</v>
      </c>
      <c r="J85" s="18" t="s">
        <v>7</v>
      </c>
    </row>
    <row r="86" customFormat="false" ht="15" hidden="false" customHeight="false" outlineLevel="0" collapsed="false">
      <c r="A86" s="5" t="n">
        <f aca="false">RANDBETWEEN(2,164)</f>
        <v>20</v>
      </c>
      <c r="B86" s="5" t="n">
        <f aca="false" t="array" ref="B86:B86">INDEX(Data_DBD!$E:$E,$A86)</f>
        <v>0</v>
      </c>
      <c r="C86" s="5" t="str">
        <f aca="false" t="array" ref="C86:C86">INDEX(Data_DBD!$F:$F,$A86)</f>
        <v>Rendah</v>
      </c>
      <c r="H86" s="18" t="n">
        <v>158</v>
      </c>
      <c r="I86" s="18" t="n">
        <v>0</v>
      </c>
      <c r="J86" s="18" t="s">
        <v>115</v>
      </c>
    </row>
    <row r="87" customFormat="false" ht="15" hidden="false" customHeight="false" outlineLevel="0" collapsed="false">
      <c r="A87" s="5" t="n">
        <f aca="false">RANDBETWEEN(2,164)</f>
        <v>85</v>
      </c>
      <c r="B87" s="5" t="n">
        <f aca="false" t="array" ref="B87:B87">INDEX(Data_DBD!$E:$E,$A87)</f>
        <v>0</v>
      </c>
      <c r="C87" s="5" t="str">
        <f aca="false" t="array" ref="C87:C87">INDEX(Data_DBD!$F:$F,$A87)</f>
        <v>Sedang</v>
      </c>
      <c r="H87" s="18" t="n">
        <v>76</v>
      </c>
      <c r="I87" s="18" t="n">
        <v>0</v>
      </c>
      <c r="J87" s="18" t="s">
        <v>7</v>
      </c>
    </row>
    <row r="88" customFormat="false" ht="15" hidden="false" customHeight="false" outlineLevel="0" collapsed="false">
      <c r="A88" s="5" t="n">
        <f aca="false">RANDBETWEEN(2,164)</f>
        <v>133</v>
      </c>
      <c r="B88" s="5" t="n">
        <f aca="false" t="array" ref="B88:B88">INDEX(Data_DBD!$E:$E,$A88)</f>
        <v>0</v>
      </c>
      <c r="C88" s="5" t="str">
        <f aca="false" t="array" ref="C88:C88">INDEX(Data_DBD!$F:$F,$A88)</f>
        <v>Tinggi</v>
      </c>
      <c r="H88" s="18" t="n">
        <v>130</v>
      </c>
      <c r="I88" s="18" t="n">
        <v>0</v>
      </c>
      <c r="J88" s="18" t="s">
        <v>115</v>
      </c>
    </row>
    <row r="89" customFormat="false" ht="15" hidden="false" customHeight="false" outlineLevel="0" collapsed="false">
      <c r="A89" s="5" t="n">
        <f aca="false">RANDBETWEEN(2,164)</f>
        <v>58</v>
      </c>
      <c r="B89" s="5" t="n">
        <f aca="false" t="array" ref="B89:B89">INDEX(Data_DBD!$E:$E,$A89)</f>
        <v>0</v>
      </c>
      <c r="C89" s="5" t="str">
        <f aca="false" t="array" ref="C89:C89">INDEX(Data_DBD!$F:$F,$A89)</f>
        <v>Sedang</v>
      </c>
      <c r="H89" s="18" t="n">
        <v>137</v>
      </c>
      <c r="I89" s="18" t="n">
        <v>1</v>
      </c>
      <c r="J89" s="18" t="s">
        <v>115</v>
      </c>
    </row>
    <row r="90" customFormat="false" ht="15" hidden="false" customHeight="false" outlineLevel="0" collapsed="false">
      <c r="A90" s="5" t="n">
        <f aca="false">RANDBETWEEN(2,164)</f>
        <v>2</v>
      </c>
      <c r="B90" s="5" t="n">
        <f aca="false" t="array" ref="B90:B90">INDEX(Data_DBD!$E:$E,$A90)</f>
        <v>0</v>
      </c>
      <c r="C90" s="5" t="str">
        <f aca="false" t="array" ref="C90:C90">INDEX(Data_DBD!$F:$F,$A90)</f>
        <v>Sedang</v>
      </c>
      <c r="H90" s="18" t="n">
        <v>131</v>
      </c>
      <c r="I90" s="18" t="n">
        <v>0</v>
      </c>
      <c r="J90" s="18" t="s">
        <v>115</v>
      </c>
    </row>
    <row r="91" customFormat="false" ht="15" hidden="false" customHeight="false" outlineLevel="0" collapsed="false">
      <c r="A91" s="5" t="n">
        <f aca="false">RANDBETWEEN(2,164)</f>
        <v>105</v>
      </c>
      <c r="B91" s="5" t="n">
        <f aca="false" t="array" ref="B91:B91">INDEX(Data_DBD!$E:$E,$A91)</f>
        <v>1</v>
      </c>
      <c r="C91" s="5" t="str">
        <f aca="false" t="array" ref="C91:C91">INDEX(Data_DBD!$F:$F,$A91)</f>
        <v>Sedang</v>
      </c>
      <c r="H91" s="18" t="n">
        <v>161</v>
      </c>
      <c r="I91" s="18" t="n">
        <v>1</v>
      </c>
      <c r="J91" s="18" t="s">
        <v>115</v>
      </c>
    </row>
    <row r="92" customFormat="false" ht="15" hidden="false" customHeight="false" outlineLevel="0" collapsed="false">
      <c r="A92" s="5" t="n">
        <f aca="false">RANDBETWEEN(2,164)</f>
        <v>54</v>
      </c>
      <c r="B92" s="5" t="n">
        <f aca="false" t="array" ref="B92:B92">INDEX(Data_DBD!$E:$E,$A92)</f>
        <v>0</v>
      </c>
      <c r="C92" s="5" t="str">
        <f aca="false" t="array" ref="C92:C92">INDEX(Data_DBD!$F:$F,$A92)</f>
        <v>Sedang</v>
      </c>
      <c r="H92" s="18" t="n">
        <v>125</v>
      </c>
      <c r="I92" s="18" t="n">
        <v>0</v>
      </c>
      <c r="J92" s="18" t="s">
        <v>115</v>
      </c>
    </row>
    <row r="93" customFormat="false" ht="15" hidden="false" customHeight="false" outlineLevel="0" collapsed="false">
      <c r="A93" s="5" t="n">
        <f aca="false">RANDBETWEEN(2,164)</f>
        <v>35</v>
      </c>
      <c r="B93" s="5" t="n">
        <f aca="false" t="array" ref="B93:B93">INDEX(Data_DBD!$E:$E,$A93)</f>
        <v>1</v>
      </c>
      <c r="C93" s="5" t="str">
        <f aca="false" t="array" ref="C93:C93">INDEX(Data_DBD!$F:$F,$A93)</f>
        <v>Rendah</v>
      </c>
      <c r="H93" s="18" t="n">
        <v>100</v>
      </c>
      <c r="I93" s="18" t="n">
        <v>0</v>
      </c>
      <c r="J93" s="18" t="s">
        <v>115</v>
      </c>
    </row>
    <row r="94" customFormat="false" ht="15" hidden="false" customHeight="false" outlineLevel="0" collapsed="false">
      <c r="A94" s="5" t="n">
        <f aca="false">RANDBETWEEN(2,164)</f>
        <v>13</v>
      </c>
      <c r="B94" s="5" t="n">
        <f aca="false" t="array" ref="B94:B94">INDEX(Data_DBD!$E:$E,$A94)</f>
        <v>0</v>
      </c>
      <c r="C94" s="5" t="str">
        <f aca="false" t="array" ref="C94:C94">INDEX(Data_DBD!$F:$F,$A94)</f>
        <v>Sedang</v>
      </c>
      <c r="H94" s="18" t="n">
        <v>94</v>
      </c>
      <c r="I94" s="18" t="n">
        <v>0</v>
      </c>
      <c r="J94" s="18" t="s">
        <v>115</v>
      </c>
    </row>
    <row r="95" customFormat="false" ht="15" hidden="false" customHeight="false" outlineLevel="0" collapsed="false">
      <c r="A95" s="5" t="n">
        <f aca="false">RANDBETWEEN(2,164)</f>
        <v>63</v>
      </c>
      <c r="B95" s="5" t="n">
        <f aca="false" t="array" ref="B95:B95">INDEX(Data_DBD!$E:$E,$A95)</f>
        <v>0</v>
      </c>
      <c r="C95" s="5" t="str">
        <f aca="false" t="array" ref="C95:C95">INDEX(Data_DBD!$F:$F,$A95)</f>
        <v>Sedang</v>
      </c>
      <c r="H95" s="18" t="n">
        <v>68</v>
      </c>
      <c r="I95" s="18" t="n">
        <v>0</v>
      </c>
      <c r="J95" s="18" t="s">
        <v>7</v>
      </c>
    </row>
    <row r="96" customFormat="false" ht="15" hidden="false" customHeight="false" outlineLevel="0" collapsed="false">
      <c r="A96" s="5" t="n">
        <f aca="false">RANDBETWEEN(2,164)</f>
        <v>22</v>
      </c>
      <c r="B96" s="5" t="n">
        <f aca="false" t="array" ref="B96:B96">INDEX(Data_DBD!$E:$E,$A96)</f>
        <v>0</v>
      </c>
      <c r="C96" s="5" t="str">
        <f aca="false" t="array" ref="C96:C96">INDEX(Data_DBD!$F:$F,$A96)</f>
        <v>Sedang</v>
      </c>
      <c r="H96" s="18" t="n">
        <v>20</v>
      </c>
      <c r="I96" s="18" t="n">
        <v>0</v>
      </c>
      <c r="J96" s="18" t="s">
        <v>20</v>
      </c>
    </row>
    <row r="97" customFormat="false" ht="15" hidden="false" customHeight="false" outlineLevel="0" collapsed="false">
      <c r="A97" s="5" t="n">
        <f aca="false">RANDBETWEEN(2,164)</f>
        <v>70</v>
      </c>
      <c r="B97" s="5" t="n">
        <f aca="false" t="array" ref="B97:B97">INDEX(Data_DBD!$E:$E,$A97)</f>
        <v>1</v>
      </c>
      <c r="C97" s="5" t="str">
        <f aca="false" t="array" ref="C97:C97">INDEX(Data_DBD!$F:$F,$A97)</f>
        <v>Rendah</v>
      </c>
      <c r="H97" s="18" t="n">
        <v>6</v>
      </c>
      <c r="I97" s="18" t="n">
        <v>0</v>
      </c>
      <c r="J97" s="18" t="s">
        <v>7</v>
      </c>
    </row>
    <row r="98" customFormat="false" ht="15" hidden="false" customHeight="false" outlineLevel="0" collapsed="false">
      <c r="A98" s="5" t="n">
        <f aca="false">RANDBETWEEN(2,164)</f>
        <v>18</v>
      </c>
      <c r="B98" s="5" t="n">
        <f aca="false" t="array" ref="B98:B98">INDEX(Data_DBD!$E:$E,$A98)</f>
        <v>1</v>
      </c>
      <c r="C98" s="5" t="str">
        <f aca="false" t="array" ref="C98:C98">INDEX(Data_DBD!$F:$F,$A98)</f>
        <v>Rendah</v>
      </c>
      <c r="H98" s="18" t="n">
        <v>39</v>
      </c>
      <c r="I98" s="18" t="n">
        <v>1</v>
      </c>
      <c r="J98" s="18" t="s">
        <v>7</v>
      </c>
    </row>
    <row r="99" customFormat="false" ht="15" hidden="false" customHeight="false" outlineLevel="0" collapsed="false">
      <c r="A99" s="5" t="n">
        <f aca="false">RANDBETWEEN(2,164)</f>
        <v>125</v>
      </c>
      <c r="B99" s="5" t="n">
        <f aca="false" t="array" ref="B99:B99">INDEX(Data_DBD!$E:$E,$A99)</f>
        <v>0</v>
      </c>
      <c r="C99" s="5" t="str">
        <f aca="false" t="array" ref="C99:C99">INDEX(Data_DBD!$F:$F,$A99)</f>
        <v>Tinggi</v>
      </c>
      <c r="H99" s="18" t="n">
        <v>42</v>
      </c>
      <c r="I99" s="18" t="n">
        <v>1</v>
      </c>
      <c r="J99" s="18" t="s">
        <v>7</v>
      </c>
    </row>
    <row r="100" customFormat="false" ht="15" hidden="false" customHeight="false" outlineLevel="0" collapsed="false">
      <c r="A100" s="5" t="n">
        <f aca="false">RANDBETWEEN(2,164)</f>
        <v>71</v>
      </c>
      <c r="B100" s="5" t="n">
        <f aca="false" t="array" ref="B100:B100">INDEX(Data_DBD!$E:$E,$A100)</f>
        <v>0</v>
      </c>
      <c r="C100" s="5" t="str">
        <f aca="false" t="array" ref="C100:C100">INDEX(Data_DBD!$F:$F,$A100)</f>
        <v>Rendah</v>
      </c>
      <c r="H100" s="18" t="n">
        <v>74</v>
      </c>
      <c r="I100" s="18" t="n">
        <v>0</v>
      </c>
      <c r="J100" s="18" t="s">
        <v>7</v>
      </c>
    </row>
    <row r="101" customFormat="false" ht="15" hidden="false" customHeight="false" outlineLevel="0" collapsed="false">
      <c r="A101" s="5" t="n">
        <f aca="false">RANDBETWEEN(2,164)</f>
        <v>71</v>
      </c>
      <c r="B101" s="5" t="n">
        <f aca="false" t="array" ref="B101:B101">INDEX(Data_DBD!$E:$E,$A101)</f>
        <v>0</v>
      </c>
      <c r="C101" s="5" t="str">
        <f aca="false" t="array" ref="C101:C101">INDEX(Data_DBD!$F:$F,$A101)</f>
        <v>Rendah</v>
      </c>
      <c r="H101" s="18" t="n">
        <v>120</v>
      </c>
      <c r="I101" s="18" t="n">
        <v>1</v>
      </c>
      <c r="J101" s="18" t="s">
        <v>115</v>
      </c>
    </row>
    <row r="102" customFormat="false" ht="15" hidden="false" customHeight="false" outlineLevel="0" collapsed="false">
      <c r="A102" s="5" t="n">
        <f aca="false">RANDBETWEEN(2,164)</f>
        <v>43</v>
      </c>
      <c r="B102" s="5" t="n">
        <f aca="false" t="array" ref="B102:B102">INDEX(Data_DBD!$E:$E,$A102)</f>
        <v>0</v>
      </c>
      <c r="C102" s="5" t="str">
        <f aca="false" t="array" ref="C102:C102">INDEX(Data_DBD!$F:$F,$A102)</f>
        <v>Sedang</v>
      </c>
      <c r="H102" s="18" t="n">
        <v>66</v>
      </c>
      <c r="I102" s="18" t="n">
        <v>1</v>
      </c>
      <c r="J102" s="18" t="s">
        <v>7</v>
      </c>
    </row>
    <row r="103" customFormat="false" ht="15" hidden="false" customHeight="false" outlineLevel="0" collapsed="false">
      <c r="A103" s="5" t="n">
        <f aca="false">RANDBETWEEN(2,164)</f>
        <v>89</v>
      </c>
      <c r="B103" s="5" t="n">
        <f aca="false" t="array" ref="B103:B103">INDEX(Data_DBD!$E:$E,$A103)</f>
        <v>0</v>
      </c>
      <c r="C103" s="5" t="str">
        <f aca="false" t="array" ref="C103:C103">INDEX(Data_DBD!$F:$F,$A103)</f>
        <v>Sedang</v>
      </c>
      <c r="H103" s="18" t="n">
        <v>150</v>
      </c>
      <c r="I103" s="18" t="n">
        <v>1</v>
      </c>
      <c r="J103" s="18" t="s">
        <v>115</v>
      </c>
    </row>
    <row r="104" customFormat="false" ht="15" hidden="false" customHeight="false" outlineLevel="0" collapsed="false">
      <c r="A104" s="5" t="n">
        <f aca="false">RANDBETWEEN(2,164)</f>
        <v>83</v>
      </c>
      <c r="B104" s="5" t="n">
        <f aca="false" t="array" ref="B104:B104">INDEX(Data_DBD!$E:$E,$A104)</f>
        <v>0</v>
      </c>
      <c r="C104" s="5" t="str">
        <f aca="false" t="array" ref="C104:C104">INDEX(Data_DBD!$F:$F,$A104)</f>
        <v>Sedang</v>
      </c>
      <c r="H104" s="18" t="n">
        <v>159</v>
      </c>
      <c r="I104" s="18" t="n">
        <v>0</v>
      </c>
      <c r="J104" s="18" t="s">
        <v>115</v>
      </c>
    </row>
    <row r="105" customFormat="false" ht="15" hidden="false" customHeight="false" outlineLevel="0" collapsed="false">
      <c r="A105" s="5" t="n">
        <f aca="false">RANDBETWEEN(2,164)</f>
        <v>110</v>
      </c>
      <c r="B105" s="5" t="n">
        <f aca="false" t="array" ref="B105:B105">INDEX(Data_DBD!$E:$E,$A105)</f>
        <v>1</v>
      </c>
      <c r="C105" s="5" t="str">
        <f aca="false" t="array" ref="C105:C105">INDEX(Data_DBD!$F:$F,$A105)</f>
        <v>Tinggi</v>
      </c>
      <c r="H105" s="18" t="n">
        <v>25</v>
      </c>
      <c r="I105" s="18" t="n">
        <v>0</v>
      </c>
      <c r="J105" s="18" t="s">
        <v>7</v>
      </c>
    </row>
    <row r="106" customFormat="false" ht="15" hidden="false" customHeight="false" outlineLevel="0" collapsed="false">
      <c r="A106" s="5" t="n">
        <f aca="false">RANDBETWEEN(2,164)</f>
        <v>12</v>
      </c>
      <c r="B106" s="5" t="n">
        <f aca="false" t="array" ref="B106:B106">INDEX(Data_DBD!$E:$E,$A106)</f>
        <v>0</v>
      </c>
      <c r="C106" s="5" t="str">
        <f aca="false" t="array" ref="C106:C106">INDEX(Data_DBD!$F:$F,$A106)</f>
        <v>Sedang</v>
      </c>
      <c r="H106" s="18" t="n">
        <v>53</v>
      </c>
      <c r="I106" s="18" t="n">
        <v>1</v>
      </c>
      <c r="J106" s="18" t="s">
        <v>7</v>
      </c>
    </row>
    <row r="107" customFormat="false" ht="15" hidden="false" customHeight="false" outlineLevel="0" collapsed="false">
      <c r="A107" s="5" t="n">
        <f aca="false">RANDBETWEEN(2,164)</f>
        <v>54</v>
      </c>
      <c r="B107" s="5" t="n">
        <f aca="false" t="array" ref="B107:B107">INDEX(Data_DBD!$E:$E,$A107)</f>
        <v>0</v>
      </c>
      <c r="C107" s="5" t="str">
        <f aca="false" t="array" ref="C107:C107">INDEX(Data_DBD!$F:$F,$A107)</f>
        <v>Sedang</v>
      </c>
      <c r="H107" s="18" t="n">
        <v>92</v>
      </c>
      <c r="I107" s="18" t="n">
        <v>0</v>
      </c>
      <c r="J107" s="18" t="s">
        <v>115</v>
      </c>
    </row>
    <row r="108" customFormat="false" ht="15" hidden="false" customHeight="false" outlineLevel="0" collapsed="false">
      <c r="A108" s="5" t="n">
        <f aca="false">RANDBETWEEN(2,164)</f>
        <v>25</v>
      </c>
      <c r="B108" s="5" t="n">
        <f aca="false" t="array" ref="B108:B108">INDEX(Data_DBD!$E:$E,$A108)</f>
        <v>0</v>
      </c>
      <c r="C108" s="5" t="str">
        <f aca="false" t="array" ref="C108:C108">INDEX(Data_DBD!$F:$F,$A108)</f>
        <v>Sedang</v>
      </c>
      <c r="H108" s="18" t="n">
        <v>42</v>
      </c>
      <c r="I108" s="18" t="n">
        <v>1</v>
      </c>
      <c r="J108" s="18" t="s">
        <v>7</v>
      </c>
    </row>
    <row r="109" customFormat="false" ht="15" hidden="false" customHeight="false" outlineLevel="0" collapsed="false">
      <c r="A109" s="5" t="n">
        <f aca="false">RANDBETWEEN(2,164)</f>
        <v>108</v>
      </c>
      <c r="B109" s="5" t="n">
        <f aca="false" t="array" ref="B109:B109">INDEX(Data_DBD!$E:$E,$A109)</f>
        <v>1</v>
      </c>
      <c r="C109" s="5" t="str">
        <f aca="false" t="array" ref="C109:C109">INDEX(Data_DBD!$F:$F,$A109)</f>
        <v>Tinggi</v>
      </c>
      <c r="H109" s="18" t="n">
        <v>48</v>
      </c>
      <c r="I109" s="18" t="n">
        <v>1</v>
      </c>
      <c r="J109" s="18" t="s">
        <v>7</v>
      </c>
    </row>
    <row r="110" customFormat="false" ht="15" hidden="false" customHeight="false" outlineLevel="0" collapsed="false">
      <c r="A110" s="5" t="n">
        <f aca="false">RANDBETWEEN(2,164)</f>
        <v>152</v>
      </c>
      <c r="B110" s="5" t="n">
        <f aca="false" t="array" ref="B110:B110">INDEX(Data_DBD!$E:$E,$A110)</f>
        <v>1</v>
      </c>
      <c r="C110" s="5" t="str">
        <f aca="false" t="array" ref="C110:C110">INDEX(Data_DBD!$F:$F,$A110)</f>
        <v>Tinggi</v>
      </c>
      <c r="H110" s="18" t="n">
        <v>148</v>
      </c>
      <c r="I110" s="18" t="n">
        <v>1</v>
      </c>
      <c r="J110" s="18" t="s">
        <v>115</v>
      </c>
    </row>
    <row r="111" customFormat="false" ht="15" hidden="false" customHeight="false" outlineLevel="0" collapsed="false">
      <c r="A111" s="5" t="n">
        <f aca="false">RANDBETWEEN(2,164)</f>
        <v>86</v>
      </c>
      <c r="B111" s="5" t="n">
        <f aca="false" t="array" ref="B111:B111">INDEX(Data_DBD!$E:$E,$A111)</f>
        <v>0</v>
      </c>
      <c r="C111" s="5" t="str">
        <f aca="false" t="array" ref="C111:C111">INDEX(Data_DBD!$F:$F,$A111)</f>
        <v>Sedang</v>
      </c>
      <c r="H111" s="18" t="n">
        <v>103</v>
      </c>
      <c r="I111" s="18" t="n">
        <v>0</v>
      </c>
      <c r="J111" s="18" t="s">
        <v>115</v>
      </c>
    </row>
    <row r="112" customFormat="false" ht="15" hidden="false" customHeight="false" outlineLevel="0" collapsed="false">
      <c r="A112" s="5" t="n">
        <f aca="false">RANDBETWEEN(2,164)</f>
        <v>133</v>
      </c>
      <c r="B112" s="5" t="n">
        <f aca="false" t="array" ref="B112:B112">INDEX(Data_DBD!$E:$E,$A112)</f>
        <v>0</v>
      </c>
      <c r="C112" s="5" t="str">
        <f aca="false" t="array" ref="C112:C112">INDEX(Data_DBD!$F:$F,$A112)</f>
        <v>Tinggi</v>
      </c>
      <c r="H112" s="18" t="n">
        <v>58</v>
      </c>
      <c r="I112" s="18" t="n">
        <v>0</v>
      </c>
      <c r="J112" s="18" t="s">
        <v>7</v>
      </c>
    </row>
    <row r="113" customFormat="false" ht="15" hidden="false" customHeight="false" outlineLevel="0" collapsed="false">
      <c r="A113" s="5" t="n">
        <f aca="false">RANDBETWEEN(2,164)</f>
        <v>86</v>
      </c>
      <c r="B113" s="5" t="n">
        <f aca="false" t="array" ref="B113:B113">INDEX(Data_DBD!$E:$E,$A113)</f>
        <v>0</v>
      </c>
      <c r="C113" s="5" t="str">
        <f aca="false" t="array" ref="C113:C113">INDEX(Data_DBD!$F:$F,$A113)</f>
        <v>Sedang</v>
      </c>
      <c r="H113" s="18" t="n">
        <v>100</v>
      </c>
      <c r="I113" s="18" t="n">
        <v>0</v>
      </c>
      <c r="J113" s="18" t="s">
        <v>115</v>
      </c>
    </row>
    <row r="114" customFormat="false" ht="15" hidden="false" customHeight="false" outlineLevel="0" collapsed="false">
      <c r="A114" s="5" t="n">
        <f aca="false">RANDBETWEEN(2,164)</f>
        <v>87</v>
      </c>
      <c r="B114" s="5" t="n">
        <f aca="false" t="array" ref="B114:B114">INDEX(Data_DBD!$E:$E,$A114)</f>
        <v>0</v>
      </c>
      <c r="C114" s="5" t="str">
        <f aca="false" t="array" ref="C114:C114">INDEX(Data_DBD!$F:$F,$A114)</f>
        <v>Sedang</v>
      </c>
      <c r="H114" s="18" t="n">
        <v>143</v>
      </c>
      <c r="I114" s="18" t="n">
        <v>1</v>
      </c>
      <c r="J114" s="18" t="s">
        <v>115</v>
      </c>
    </row>
    <row r="115" customFormat="false" ht="15" hidden="false" customHeight="false" outlineLevel="0" collapsed="false">
      <c r="A115" s="5" t="n">
        <f aca="false">RANDBETWEEN(2,164)</f>
        <v>38</v>
      </c>
      <c r="B115" s="5" t="n">
        <f aca="false" t="array" ref="B115:B115">INDEX(Data_DBD!$E:$E,$A115)</f>
        <v>1</v>
      </c>
      <c r="C115" s="5" t="str">
        <f aca="false" t="array" ref="C115:C115">INDEX(Data_DBD!$F:$F,$A115)</f>
        <v>Rendah</v>
      </c>
      <c r="H115" s="18" t="n">
        <v>48</v>
      </c>
      <c r="I115" s="18" t="n">
        <v>1</v>
      </c>
      <c r="J115" s="18" t="s">
        <v>7</v>
      </c>
    </row>
    <row r="116" customFormat="false" ht="15" hidden="false" customHeight="false" outlineLevel="0" collapsed="false">
      <c r="A116" s="5" t="n">
        <f aca="false">RANDBETWEEN(2,164)</f>
        <v>26</v>
      </c>
      <c r="B116" s="5" t="n">
        <f aca="false" t="array" ref="B116:B116">INDEX(Data_DBD!$E:$E,$A116)</f>
        <v>1</v>
      </c>
      <c r="C116" s="5" t="str">
        <f aca="false" t="array" ref="C116:C116">INDEX(Data_DBD!$F:$F,$A116)</f>
        <v>Sedang</v>
      </c>
      <c r="H116" s="18" t="n">
        <v>76</v>
      </c>
      <c r="I116" s="18" t="n">
        <v>0</v>
      </c>
      <c r="J116" s="18" t="s">
        <v>7</v>
      </c>
    </row>
    <row r="117" customFormat="false" ht="15" hidden="false" customHeight="false" outlineLevel="0" collapsed="false">
      <c r="A117" s="5" t="n">
        <f aca="false">RANDBETWEEN(2,164)</f>
        <v>12</v>
      </c>
      <c r="B117" s="5" t="n">
        <f aca="false" t="array" ref="B117:B117">INDEX(Data_DBD!$E:$E,$A117)</f>
        <v>0</v>
      </c>
      <c r="C117" s="5" t="str">
        <f aca="false" t="array" ref="C117:C117">INDEX(Data_DBD!$F:$F,$A117)</f>
        <v>Sedang</v>
      </c>
      <c r="H117" s="18" t="n">
        <v>155</v>
      </c>
      <c r="I117" s="18" t="n">
        <v>1</v>
      </c>
      <c r="J117" s="18" t="s">
        <v>115</v>
      </c>
    </row>
    <row r="118" customFormat="false" ht="15" hidden="false" customHeight="false" outlineLevel="0" collapsed="false">
      <c r="A118" s="5" t="n">
        <f aca="false">RANDBETWEEN(2,164)</f>
        <v>142</v>
      </c>
      <c r="B118" s="5" t="n">
        <f aca="false" t="array" ref="B118:B118">INDEX(Data_DBD!$E:$E,$A118)</f>
        <v>1</v>
      </c>
      <c r="C118" s="5" t="str">
        <f aca="false" t="array" ref="C118:C118">INDEX(Data_DBD!$F:$F,$A118)</f>
        <v>Tinggi</v>
      </c>
      <c r="H118" s="18" t="n">
        <v>130</v>
      </c>
      <c r="I118" s="18" t="n">
        <v>0</v>
      </c>
      <c r="J118" s="18" t="s">
        <v>115</v>
      </c>
    </row>
    <row r="119" customFormat="false" ht="15" hidden="false" customHeight="false" outlineLevel="0" collapsed="false">
      <c r="A119" s="5" t="n">
        <f aca="false">RANDBETWEEN(2,164)</f>
        <v>36</v>
      </c>
      <c r="B119" s="5" t="n">
        <f aca="false" t="array" ref="B119:B119">INDEX(Data_DBD!$E:$E,$A119)</f>
        <v>1</v>
      </c>
      <c r="C119" s="5" t="str">
        <f aca="false" t="array" ref="C119:C119">INDEX(Data_DBD!$F:$F,$A119)</f>
        <v>Rendah</v>
      </c>
      <c r="H119" s="18" t="n">
        <v>75</v>
      </c>
      <c r="I119" s="18" t="n">
        <v>1</v>
      </c>
      <c r="J119" s="18" t="s">
        <v>7</v>
      </c>
    </row>
    <row r="120" customFormat="false" ht="15" hidden="false" customHeight="false" outlineLevel="0" collapsed="false">
      <c r="A120" s="5" t="n">
        <f aca="false">RANDBETWEEN(2,164)</f>
        <v>65</v>
      </c>
      <c r="B120" s="5" t="n">
        <f aca="false" t="array" ref="B120:B120">INDEX(Data_DBD!$E:$E,$A120)</f>
        <v>0</v>
      </c>
      <c r="C120" s="5" t="str">
        <f aca="false" t="array" ref="C120:C120">INDEX(Data_DBD!$F:$F,$A120)</f>
        <v>Sedang</v>
      </c>
      <c r="H120" s="18" t="n">
        <v>121</v>
      </c>
      <c r="I120" s="18" t="n">
        <v>1</v>
      </c>
      <c r="J120" s="18" t="s">
        <v>115</v>
      </c>
    </row>
    <row r="121" customFormat="false" ht="15" hidden="false" customHeight="false" outlineLevel="0" collapsed="false">
      <c r="A121" s="5" t="n">
        <f aca="false">RANDBETWEEN(2,164)</f>
        <v>108</v>
      </c>
      <c r="B121" s="5" t="n">
        <f aca="false" t="array" ref="B121:B121">INDEX(Data_DBD!$E:$E,$A121)</f>
        <v>1</v>
      </c>
      <c r="C121" s="5" t="str">
        <f aca="false" t="array" ref="C121:C121">INDEX(Data_DBD!$F:$F,$A121)</f>
        <v>Tinggi</v>
      </c>
      <c r="H121" s="18" t="n">
        <v>125</v>
      </c>
      <c r="I121" s="18" t="n">
        <v>0</v>
      </c>
      <c r="J121" s="18" t="s">
        <v>115</v>
      </c>
    </row>
    <row r="122" customFormat="false" ht="15" hidden="false" customHeight="false" outlineLevel="0" collapsed="false">
      <c r="A122" s="5" t="n">
        <f aca="false">RANDBETWEEN(2,164)</f>
        <v>79</v>
      </c>
      <c r="B122" s="5" t="n">
        <f aca="false" t="array" ref="B122:B122">INDEX(Data_DBD!$E:$E,$A122)</f>
        <v>0</v>
      </c>
      <c r="C122" s="5" t="str">
        <f aca="false" t="array" ref="C122:C122">INDEX(Data_DBD!$F:$F,$A122)</f>
        <v>Sedang</v>
      </c>
      <c r="H122" s="18" t="n">
        <v>36</v>
      </c>
      <c r="I122" s="18" t="n">
        <v>1</v>
      </c>
      <c r="J122" s="18" t="s">
        <v>20</v>
      </c>
    </row>
    <row r="123" customFormat="false" ht="15" hidden="false" customHeight="false" outlineLevel="0" collapsed="false">
      <c r="A123" s="5" t="n">
        <f aca="false">RANDBETWEEN(2,164)</f>
        <v>151</v>
      </c>
      <c r="B123" s="5" t="n">
        <f aca="false" t="array" ref="B123:B123">INDEX(Data_DBD!$E:$E,$A123)</f>
        <v>0</v>
      </c>
      <c r="C123" s="5" t="str">
        <f aca="false" t="array" ref="C123:C123">INDEX(Data_DBD!$F:$F,$A123)</f>
        <v>Tinggi</v>
      </c>
      <c r="H123" s="18" t="n">
        <v>55</v>
      </c>
      <c r="I123" s="18" t="n">
        <v>1</v>
      </c>
      <c r="J123" s="18" t="s">
        <v>7</v>
      </c>
    </row>
    <row r="124" customFormat="false" ht="15" hidden="false" customHeight="false" outlineLevel="0" collapsed="false">
      <c r="A124" s="5" t="n">
        <f aca="false">RANDBETWEEN(2,164)</f>
        <v>99</v>
      </c>
      <c r="B124" s="5" t="n">
        <f aca="false" t="array" ref="B124:B124">INDEX(Data_DBD!$E:$E,$A124)</f>
        <v>1</v>
      </c>
      <c r="C124" s="5" t="str">
        <f aca="false" t="array" ref="C124:C124">INDEX(Data_DBD!$F:$F,$A124)</f>
        <v>Sedang</v>
      </c>
      <c r="H124" s="18" t="n">
        <v>45</v>
      </c>
      <c r="I124" s="18" t="n">
        <v>1</v>
      </c>
      <c r="J124" s="18" t="s">
        <v>7</v>
      </c>
    </row>
    <row r="125" customFormat="false" ht="15" hidden="false" customHeight="false" outlineLevel="0" collapsed="false">
      <c r="A125" s="5" t="n">
        <f aca="false">RANDBETWEEN(2,164)</f>
        <v>47</v>
      </c>
      <c r="B125" s="5" t="n">
        <f aca="false" t="array" ref="B125:B125">INDEX(Data_DBD!$E:$E,$A125)</f>
        <v>0</v>
      </c>
      <c r="C125" s="5" t="str">
        <f aca="false" t="array" ref="C125:C125">INDEX(Data_DBD!$F:$F,$A125)</f>
        <v>Sedang</v>
      </c>
      <c r="H125" s="18" t="n">
        <v>154</v>
      </c>
      <c r="I125" s="18" t="n">
        <v>1</v>
      </c>
      <c r="J125" s="18" t="s">
        <v>115</v>
      </c>
    </row>
    <row r="126" customFormat="false" ht="15" hidden="false" customHeight="false" outlineLevel="0" collapsed="false">
      <c r="A126" s="5" t="n">
        <f aca="false">RANDBETWEEN(2,164)</f>
        <v>114</v>
      </c>
      <c r="B126" s="5" t="n">
        <f aca="false" t="array" ref="B126:B126">INDEX(Data_DBD!$E:$E,$A126)</f>
        <v>1</v>
      </c>
      <c r="C126" s="5" t="str">
        <f aca="false" t="array" ref="C126:C126">INDEX(Data_DBD!$F:$F,$A126)</f>
        <v>Tinggi</v>
      </c>
      <c r="H126" s="18" t="n">
        <v>163</v>
      </c>
      <c r="I126" s="18" t="n">
        <v>1</v>
      </c>
      <c r="J126" s="18" t="s">
        <v>20</v>
      </c>
    </row>
    <row r="127" customFormat="false" ht="15" hidden="false" customHeight="false" outlineLevel="0" collapsed="false">
      <c r="A127" s="5" t="n">
        <f aca="false">RANDBETWEEN(2,164)</f>
        <v>18</v>
      </c>
      <c r="B127" s="5" t="n">
        <f aca="false" t="array" ref="B127:B127">INDEX(Data_DBD!$E:$E,$A127)</f>
        <v>1</v>
      </c>
      <c r="C127" s="5" t="str">
        <f aca="false" t="array" ref="C127:C127">INDEX(Data_DBD!$F:$F,$A127)</f>
        <v>Rendah</v>
      </c>
      <c r="H127" s="18" t="n">
        <v>104</v>
      </c>
      <c r="I127" s="18" t="n">
        <v>1</v>
      </c>
      <c r="J127" s="18" t="s">
        <v>115</v>
      </c>
    </row>
    <row r="128" customFormat="false" ht="15" hidden="false" customHeight="false" outlineLevel="0" collapsed="false">
      <c r="A128" s="5" t="n">
        <f aca="false">RANDBETWEEN(2,164)</f>
        <v>55</v>
      </c>
      <c r="B128" s="5" t="n">
        <f aca="false" t="array" ref="B128:B128">INDEX(Data_DBD!$E:$E,$A128)</f>
        <v>1</v>
      </c>
      <c r="C128" s="5" t="str">
        <f aca="false" t="array" ref="C128:C128">INDEX(Data_DBD!$F:$F,$A128)</f>
        <v>Sedang</v>
      </c>
      <c r="H128" s="18" t="n">
        <v>98</v>
      </c>
      <c r="I128" s="18" t="n">
        <v>1</v>
      </c>
      <c r="J128" s="18" t="s">
        <v>115</v>
      </c>
    </row>
    <row r="129" customFormat="false" ht="15" hidden="false" customHeight="false" outlineLevel="0" collapsed="false">
      <c r="A129" s="5" t="n">
        <f aca="false">RANDBETWEEN(2,164)</f>
        <v>108</v>
      </c>
      <c r="B129" s="5" t="n">
        <f aca="false" t="array" ref="B129:B129">INDEX(Data_DBD!$E:$E,$A129)</f>
        <v>1</v>
      </c>
      <c r="C129" s="5" t="str">
        <f aca="false" t="array" ref="C129:C129">INDEX(Data_DBD!$F:$F,$A129)</f>
        <v>Tinggi</v>
      </c>
      <c r="H129" s="18" t="n">
        <v>153</v>
      </c>
      <c r="I129" s="18" t="n">
        <v>1</v>
      </c>
      <c r="J129" s="18" t="s">
        <v>115</v>
      </c>
    </row>
    <row r="130" customFormat="false" ht="15" hidden="false" customHeight="false" outlineLevel="0" collapsed="false">
      <c r="A130" s="5" t="n">
        <f aca="false">RANDBETWEEN(2,164)</f>
        <v>130</v>
      </c>
      <c r="B130" s="5" t="n">
        <f aca="false" t="array" ref="B130:B130">INDEX(Data_DBD!$E:$E,$A130)</f>
        <v>0</v>
      </c>
      <c r="C130" s="5" t="str">
        <f aca="false" t="array" ref="C130:C130">INDEX(Data_DBD!$F:$F,$A130)</f>
        <v>Tinggi</v>
      </c>
      <c r="H130" s="18" t="n">
        <v>156</v>
      </c>
      <c r="I130" s="18" t="n">
        <v>0</v>
      </c>
      <c r="J130" s="18" t="s">
        <v>115</v>
      </c>
    </row>
    <row r="131" customFormat="false" ht="15" hidden="false" customHeight="false" outlineLevel="0" collapsed="false">
      <c r="A131" s="5" t="n">
        <f aca="false">RANDBETWEEN(2,164)</f>
        <v>113</v>
      </c>
      <c r="B131" s="5" t="n">
        <f aca="false" t="array" ref="B131:B131">INDEX(Data_DBD!$E:$E,$A131)</f>
        <v>1</v>
      </c>
      <c r="C131" s="5" t="str">
        <f aca="false" t="array" ref="C131:C131">INDEX(Data_DBD!$F:$F,$A131)</f>
        <v>Tinggi</v>
      </c>
      <c r="H131" s="18" t="n">
        <v>129</v>
      </c>
      <c r="I131" s="18" t="n">
        <v>0</v>
      </c>
      <c r="J131" s="18" t="s">
        <v>115</v>
      </c>
    </row>
    <row r="132" customFormat="false" ht="15" hidden="false" customHeight="false" outlineLevel="0" collapsed="false">
      <c r="A132" s="5" t="n">
        <f aca="false">RANDBETWEEN(2,164)</f>
        <v>96</v>
      </c>
      <c r="B132" s="5" t="n">
        <f aca="false" t="array" ref="B132:B132">INDEX(Data_DBD!$E:$E,$A132)</f>
        <v>0</v>
      </c>
      <c r="C132" s="5" t="str">
        <f aca="false" t="array" ref="C132:C132">INDEX(Data_DBD!$F:$F,$A132)</f>
        <v>Sedang</v>
      </c>
      <c r="H132" s="18" t="n">
        <v>115</v>
      </c>
      <c r="I132" s="18" t="n">
        <v>1</v>
      </c>
      <c r="J132" s="18" t="s">
        <v>115</v>
      </c>
    </row>
    <row r="133" customFormat="false" ht="15" hidden="false" customHeight="false" outlineLevel="0" collapsed="false">
      <c r="A133" s="5" t="n">
        <f aca="false">RANDBETWEEN(2,164)</f>
        <v>48</v>
      </c>
      <c r="B133" s="5" t="n">
        <f aca="false" t="array" ref="B133:B133">INDEX(Data_DBD!$E:$E,$A133)</f>
        <v>1</v>
      </c>
      <c r="C133" s="5" t="str">
        <f aca="false" t="array" ref="C133:C133">INDEX(Data_DBD!$F:$F,$A133)</f>
        <v>Sedang</v>
      </c>
      <c r="H133" s="18" t="n">
        <v>105</v>
      </c>
      <c r="I133" s="18" t="n">
        <v>1</v>
      </c>
      <c r="J133" s="18" t="s">
        <v>115</v>
      </c>
    </row>
    <row r="134" customFormat="false" ht="15" hidden="false" customHeight="false" outlineLevel="0" collapsed="false">
      <c r="A134" s="5" t="n">
        <f aca="false">RANDBETWEEN(2,164)</f>
        <v>57</v>
      </c>
      <c r="B134" s="5" t="n">
        <f aca="false" t="array" ref="B134:B134">INDEX(Data_DBD!$E:$E,$A134)</f>
        <v>1</v>
      </c>
      <c r="C134" s="5" t="str">
        <f aca="false" t="array" ref="C134:C134">INDEX(Data_DBD!$F:$F,$A134)</f>
        <v>Sedang</v>
      </c>
      <c r="H134" s="18" t="n">
        <v>96</v>
      </c>
      <c r="I134" s="18" t="n">
        <v>0</v>
      </c>
      <c r="J134" s="18" t="s">
        <v>115</v>
      </c>
    </row>
    <row r="135" customFormat="false" ht="15" hidden="false" customHeight="false" outlineLevel="0" collapsed="false">
      <c r="A135" s="5" t="n">
        <f aca="false">RANDBETWEEN(2,164)</f>
        <v>56</v>
      </c>
      <c r="B135" s="5" t="n">
        <f aca="false" t="array" ref="B135:B135">INDEX(Data_DBD!$E:$E,$A135)</f>
        <v>0</v>
      </c>
      <c r="C135" s="5" t="str">
        <f aca="false" t="array" ref="C135:C135">INDEX(Data_DBD!$F:$F,$A135)</f>
        <v>Sedang</v>
      </c>
      <c r="H135" s="18" t="n">
        <v>6</v>
      </c>
      <c r="I135" s="18" t="n">
        <v>0</v>
      </c>
      <c r="J135" s="18" t="s">
        <v>7</v>
      </c>
    </row>
    <row r="136" customFormat="false" ht="15" hidden="false" customHeight="false" outlineLevel="0" collapsed="false">
      <c r="A136" s="5" t="n">
        <f aca="false">RANDBETWEEN(2,164)</f>
        <v>43</v>
      </c>
      <c r="B136" s="5" t="n">
        <f aca="false" t="array" ref="B136:B136">INDEX(Data_DBD!$E:$E,$A136)</f>
        <v>0</v>
      </c>
      <c r="C136" s="5" t="str">
        <f aca="false" t="array" ref="C136:C136">INDEX(Data_DBD!$F:$F,$A136)</f>
        <v>Sedang</v>
      </c>
      <c r="H136" s="18" t="n">
        <v>135</v>
      </c>
      <c r="I136" s="18" t="n">
        <v>0</v>
      </c>
      <c r="J136" s="18" t="s">
        <v>115</v>
      </c>
    </row>
    <row r="137" customFormat="false" ht="15" hidden="false" customHeight="false" outlineLevel="0" collapsed="false">
      <c r="A137" s="5" t="n">
        <f aca="false">RANDBETWEEN(2,164)</f>
        <v>58</v>
      </c>
      <c r="B137" s="5" t="n">
        <f aca="false" t="array" ref="B137:B137">INDEX(Data_DBD!$E:$E,$A137)</f>
        <v>0</v>
      </c>
      <c r="C137" s="5" t="str">
        <f aca="false" t="array" ref="C137:C137">INDEX(Data_DBD!$F:$F,$A137)</f>
        <v>Sedang</v>
      </c>
      <c r="H137" s="18" t="n">
        <v>105</v>
      </c>
      <c r="I137" s="18" t="n">
        <v>1</v>
      </c>
      <c r="J137" s="18" t="s">
        <v>115</v>
      </c>
    </row>
    <row r="138" customFormat="false" ht="15" hidden="false" customHeight="false" outlineLevel="0" collapsed="false">
      <c r="A138" s="5" t="n">
        <f aca="false">RANDBETWEEN(2,164)</f>
        <v>107</v>
      </c>
      <c r="B138" s="5" t="n">
        <f aca="false" t="array" ref="B138:B138">INDEX(Data_DBD!$E:$E,$A138)</f>
        <v>0</v>
      </c>
      <c r="C138" s="5" t="str">
        <f aca="false" t="array" ref="C138:C138">INDEX(Data_DBD!$F:$F,$A138)</f>
        <v>Sedang</v>
      </c>
      <c r="H138" s="18" t="n">
        <v>67</v>
      </c>
      <c r="I138" s="18" t="n">
        <v>1</v>
      </c>
      <c r="J138" s="18" t="s">
        <v>7</v>
      </c>
    </row>
    <row r="139" customFormat="false" ht="15" hidden="false" customHeight="false" outlineLevel="0" collapsed="false">
      <c r="A139" s="5" t="n">
        <f aca="false">RANDBETWEEN(2,164)</f>
        <v>20</v>
      </c>
      <c r="B139" s="5" t="n">
        <f aca="false" t="array" ref="B139:B139">INDEX(Data_DBD!$E:$E,$A139)</f>
        <v>0</v>
      </c>
      <c r="C139" s="5" t="str">
        <f aca="false" t="array" ref="C139:C139">INDEX(Data_DBD!$F:$F,$A139)</f>
        <v>Rendah</v>
      </c>
      <c r="H139" s="18" t="n">
        <v>135</v>
      </c>
      <c r="I139" s="18" t="n">
        <v>0</v>
      </c>
      <c r="J139" s="18" t="s">
        <v>115</v>
      </c>
    </row>
    <row r="140" customFormat="false" ht="15" hidden="false" customHeight="false" outlineLevel="0" collapsed="false">
      <c r="A140" s="5" t="n">
        <f aca="false">RANDBETWEEN(2,164)</f>
        <v>146</v>
      </c>
      <c r="B140" s="5" t="n">
        <f aca="false" t="array" ref="B140:B140">INDEX(Data_DBD!$E:$E,$A140)</f>
        <v>1</v>
      </c>
      <c r="C140" s="5" t="str">
        <f aca="false" t="array" ref="C140:C140">INDEX(Data_DBD!$F:$F,$A140)</f>
        <v>Tinggi</v>
      </c>
      <c r="H140" s="18" t="n">
        <v>93</v>
      </c>
      <c r="I140" s="18" t="n">
        <v>0</v>
      </c>
      <c r="J140" s="18" t="s">
        <v>115</v>
      </c>
    </row>
    <row r="141" customFormat="false" ht="15" hidden="false" customHeight="false" outlineLevel="0" collapsed="false">
      <c r="A141" s="5" t="n">
        <f aca="false">RANDBETWEEN(2,164)</f>
        <v>72</v>
      </c>
      <c r="B141" s="5" t="n">
        <f aca="false" t="array" ref="B141:B141">INDEX(Data_DBD!$E:$E,$A141)</f>
        <v>1</v>
      </c>
      <c r="C141" s="5" t="str">
        <f aca="false" t="array" ref="C141:C141">INDEX(Data_DBD!$F:$F,$A141)</f>
        <v>Rendah</v>
      </c>
      <c r="H141" s="18" t="n">
        <v>101</v>
      </c>
      <c r="I141" s="18" t="n">
        <v>0</v>
      </c>
      <c r="J141" s="18" t="s">
        <v>115</v>
      </c>
    </row>
    <row r="142" customFormat="false" ht="15" hidden="false" customHeight="false" outlineLevel="0" collapsed="false">
      <c r="A142" s="5" t="n">
        <f aca="false">RANDBETWEEN(2,164)</f>
        <v>95</v>
      </c>
      <c r="B142" s="5" t="n">
        <f aca="false" t="array" ref="B142:B142">INDEX(Data_DBD!$E:$E,$A142)</f>
        <v>1</v>
      </c>
      <c r="C142" s="5" t="str">
        <f aca="false" t="array" ref="C142:C142">INDEX(Data_DBD!$F:$F,$A142)</f>
        <v>Sedang</v>
      </c>
      <c r="H142" s="18" t="n">
        <v>158</v>
      </c>
      <c r="I142" s="18" t="n">
        <v>0</v>
      </c>
      <c r="J142" s="18" t="s">
        <v>115</v>
      </c>
    </row>
    <row r="143" customFormat="false" ht="15" hidden="false" customHeight="false" outlineLevel="0" collapsed="false">
      <c r="A143" s="5" t="n">
        <f aca="false">RANDBETWEEN(2,164)</f>
        <v>145</v>
      </c>
      <c r="B143" s="5" t="n">
        <f aca="false" t="array" ref="B143:B143">INDEX(Data_DBD!$E:$E,$A143)</f>
        <v>1</v>
      </c>
      <c r="C143" s="5" t="str">
        <f aca="false" t="array" ref="C143:C143">INDEX(Data_DBD!$F:$F,$A143)</f>
        <v>Tinggi</v>
      </c>
      <c r="H143" s="18" t="n">
        <v>78</v>
      </c>
      <c r="I143" s="18" t="n">
        <v>0</v>
      </c>
      <c r="J143" s="18" t="s">
        <v>7</v>
      </c>
    </row>
    <row r="144" customFormat="false" ht="15" hidden="false" customHeight="false" outlineLevel="0" collapsed="false">
      <c r="A144" s="5" t="n">
        <f aca="false">RANDBETWEEN(2,164)</f>
        <v>38</v>
      </c>
      <c r="B144" s="5" t="n">
        <f aca="false" t="array" ref="B144:B144">INDEX(Data_DBD!$E:$E,$A144)</f>
        <v>1</v>
      </c>
      <c r="C144" s="5" t="str">
        <f aca="false" t="array" ref="C144:C144">INDEX(Data_DBD!$F:$F,$A144)</f>
        <v>Rendah</v>
      </c>
      <c r="H144" s="18" t="n">
        <v>18</v>
      </c>
      <c r="I144" s="18" t="n">
        <v>1</v>
      </c>
      <c r="J144" s="18" t="s">
        <v>20</v>
      </c>
    </row>
    <row r="145" customFormat="false" ht="15" hidden="false" customHeight="false" outlineLevel="0" collapsed="false">
      <c r="A145" s="5" t="n">
        <f aca="false">RANDBETWEEN(2,164)</f>
        <v>30</v>
      </c>
      <c r="B145" s="5" t="n">
        <f aca="false" t="array" ref="B145:B145">INDEX(Data_DBD!$E:$E,$A145)</f>
        <v>1</v>
      </c>
      <c r="C145" s="5" t="str">
        <f aca="false" t="array" ref="C145:C145">INDEX(Data_DBD!$F:$F,$A145)</f>
        <v>Sedang</v>
      </c>
      <c r="H145" s="18" t="n">
        <v>24</v>
      </c>
      <c r="I145" s="18" t="n">
        <v>0</v>
      </c>
      <c r="J145" s="18" t="s">
        <v>7</v>
      </c>
    </row>
    <row r="146" customFormat="false" ht="15" hidden="false" customHeight="false" outlineLevel="0" collapsed="false">
      <c r="A146" s="5" t="n">
        <f aca="false">RANDBETWEEN(2,164)</f>
        <v>43</v>
      </c>
      <c r="B146" s="5" t="n">
        <f aca="false" t="array" ref="B146:B146">INDEX(Data_DBD!$E:$E,$A146)</f>
        <v>0</v>
      </c>
      <c r="C146" s="5" t="str">
        <f aca="false" t="array" ref="C146:C146">INDEX(Data_DBD!$F:$F,$A146)</f>
        <v>Sedang</v>
      </c>
      <c r="H146" s="18" t="n">
        <v>92</v>
      </c>
      <c r="I146" s="18" t="n">
        <v>0</v>
      </c>
      <c r="J146" s="18" t="s">
        <v>115</v>
      </c>
    </row>
    <row r="147" customFormat="false" ht="15" hidden="false" customHeight="false" outlineLevel="0" collapsed="false">
      <c r="A147" s="5" t="n">
        <f aca="false">RANDBETWEEN(2,164)</f>
        <v>49</v>
      </c>
      <c r="B147" s="5" t="n">
        <f aca="false" t="array" ref="B147:B147">INDEX(Data_DBD!$E:$E,$A147)</f>
        <v>0</v>
      </c>
      <c r="C147" s="5" t="str">
        <f aca="false" t="array" ref="C147:C147">INDEX(Data_DBD!$F:$F,$A147)</f>
        <v>Sedang</v>
      </c>
      <c r="H147" s="18" t="n">
        <v>125</v>
      </c>
      <c r="I147" s="18" t="n">
        <v>0</v>
      </c>
      <c r="J147" s="18" t="s">
        <v>115</v>
      </c>
    </row>
    <row r="148" customFormat="false" ht="15" hidden="false" customHeight="false" outlineLevel="0" collapsed="false">
      <c r="A148" s="5" t="n">
        <f aca="false">RANDBETWEEN(2,164)</f>
        <v>6</v>
      </c>
      <c r="B148" s="5" t="n">
        <f aca="false" t="array" ref="B148:B148">INDEX(Data_DBD!$E:$E,$A148)</f>
        <v>0</v>
      </c>
      <c r="C148" s="5" t="str">
        <f aca="false" t="array" ref="C148:C148">INDEX(Data_DBD!$F:$F,$A148)</f>
        <v>Sedang</v>
      </c>
      <c r="H148" s="18" t="n">
        <v>51</v>
      </c>
      <c r="I148" s="18" t="n">
        <v>0</v>
      </c>
      <c r="J148" s="18" t="s">
        <v>7</v>
      </c>
    </row>
    <row r="149" customFormat="false" ht="15" hidden="false" customHeight="false" outlineLevel="0" collapsed="false">
      <c r="A149" s="5" t="n">
        <f aca="false">RANDBETWEEN(2,164)</f>
        <v>29</v>
      </c>
      <c r="B149" s="5" t="n">
        <f aca="false" t="array" ref="B149:B149">INDEX(Data_DBD!$E:$E,$A149)</f>
        <v>1</v>
      </c>
      <c r="C149" s="5" t="str">
        <f aca="false" t="array" ref="C149:C149">INDEX(Data_DBD!$F:$F,$A149)</f>
        <v>Sedang</v>
      </c>
      <c r="H149" s="18" t="n">
        <v>65</v>
      </c>
      <c r="I149" s="18" t="n">
        <v>0</v>
      </c>
      <c r="J149" s="18" t="s">
        <v>7</v>
      </c>
    </row>
    <row r="150" customFormat="false" ht="15" hidden="false" customHeight="false" outlineLevel="0" collapsed="false">
      <c r="A150" s="5" t="n">
        <f aca="false">RANDBETWEEN(2,164)</f>
        <v>149</v>
      </c>
      <c r="B150" s="5" t="n">
        <f aca="false" t="array" ref="B150:B150">INDEX(Data_DBD!$E:$E,$A150)</f>
        <v>0</v>
      </c>
      <c r="C150" s="5" t="str">
        <f aca="false" t="array" ref="C150:C150">INDEX(Data_DBD!$F:$F,$A150)</f>
        <v>Tinggi</v>
      </c>
      <c r="H150" s="18" t="n">
        <v>58</v>
      </c>
      <c r="I150" s="18" t="n">
        <v>0</v>
      </c>
      <c r="J150" s="18" t="s">
        <v>7</v>
      </c>
    </row>
    <row r="151" customFormat="false" ht="15" hidden="false" customHeight="false" outlineLevel="0" collapsed="false">
      <c r="A151" s="5" t="n">
        <f aca="false">RANDBETWEEN(2,164)</f>
        <v>124</v>
      </c>
      <c r="B151" s="5" t="n">
        <f aca="false" t="array" ref="B151:B151">INDEX(Data_DBD!$E:$E,$A151)</f>
        <v>1</v>
      </c>
      <c r="C151" s="5" t="str">
        <f aca="false" t="array" ref="C151:C151">INDEX(Data_DBD!$F:$F,$A151)</f>
        <v>Tinggi</v>
      </c>
      <c r="H151" s="18" t="n">
        <v>79</v>
      </c>
      <c r="I151" s="18" t="n">
        <v>0</v>
      </c>
      <c r="J151" s="18" t="s">
        <v>7</v>
      </c>
    </row>
    <row r="152" customFormat="false" ht="15" hidden="false" customHeight="false" outlineLevel="0" collapsed="false">
      <c r="A152" s="5" t="n">
        <f aca="false">RANDBETWEEN(2,164)</f>
        <v>89</v>
      </c>
      <c r="B152" s="5" t="n">
        <f aca="false" t="array" ref="B152:B152">INDEX(Data_DBD!$E:$E,$A152)</f>
        <v>0</v>
      </c>
      <c r="C152" s="5" t="str">
        <f aca="false" t="array" ref="C152:C152">INDEX(Data_DBD!$F:$F,$A152)</f>
        <v>Sedang</v>
      </c>
      <c r="H152" s="18" t="n">
        <v>135</v>
      </c>
      <c r="I152" s="18" t="n">
        <v>0</v>
      </c>
      <c r="J152" s="18" t="s">
        <v>115</v>
      </c>
    </row>
    <row r="153" customFormat="false" ht="15" hidden="false" customHeight="false" outlineLevel="0" collapsed="false">
      <c r="A153" s="5" t="n">
        <f aca="false">RANDBETWEEN(2,164)</f>
        <v>13</v>
      </c>
      <c r="B153" s="5" t="n">
        <f aca="false" t="array" ref="B153:B153">INDEX(Data_DBD!$E:$E,$A153)</f>
        <v>0</v>
      </c>
      <c r="C153" s="5" t="str">
        <f aca="false" t="array" ref="C153:C153">INDEX(Data_DBD!$F:$F,$A153)</f>
        <v>Sedang</v>
      </c>
      <c r="H153" s="18" t="n">
        <v>141</v>
      </c>
      <c r="I153" s="18" t="n">
        <v>0</v>
      </c>
      <c r="J153" s="18" t="s">
        <v>115</v>
      </c>
    </row>
    <row r="154" customFormat="false" ht="15" hidden="false" customHeight="false" outlineLevel="0" collapsed="false">
      <c r="A154" s="5" t="n">
        <f aca="false">RANDBETWEEN(2,164)</f>
        <v>144</v>
      </c>
      <c r="B154" s="5" t="n">
        <f aca="false" t="array" ref="B154:B154">INDEX(Data_DBD!$E:$E,$A154)</f>
        <v>1</v>
      </c>
      <c r="C154" s="5" t="str">
        <f aca="false" t="array" ref="C154:C154">INDEX(Data_DBD!$F:$F,$A154)</f>
        <v>Tinggi</v>
      </c>
      <c r="H154" s="18" t="n">
        <v>137</v>
      </c>
      <c r="I154" s="18" t="n">
        <v>1</v>
      </c>
      <c r="J154" s="18" t="s">
        <v>115</v>
      </c>
    </row>
    <row r="155" customFormat="false" ht="15" hidden="false" customHeight="false" outlineLevel="0" collapsed="false">
      <c r="A155" s="5" t="n">
        <f aca="false">RANDBETWEEN(2,164)</f>
        <v>125</v>
      </c>
      <c r="B155" s="5" t="n">
        <f aca="false" t="array" ref="B155:B155">INDEX(Data_DBD!$E:$E,$A155)</f>
        <v>0</v>
      </c>
      <c r="C155" s="5" t="str">
        <f aca="false" t="array" ref="C155:C155">INDEX(Data_DBD!$F:$F,$A155)</f>
        <v>Tinggi</v>
      </c>
      <c r="H155" s="18" t="n">
        <v>36</v>
      </c>
      <c r="I155" s="18" t="n">
        <v>1</v>
      </c>
      <c r="J155" s="18" t="s">
        <v>20</v>
      </c>
    </row>
    <row r="156" customFormat="false" ht="15" hidden="false" customHeight="false" outlineLevel="0" collapsed="false">
      <c r="A156" s="5" t="n">
        <f aca="false">RANDBETWEEN(2,164)</f>
        <v>80</v>
      </c>
      <c r="B156" s="5" t="n">
        <f aca="false" t="array" ref="B156:B156">INDEX(Data_DBD!$E:$E,$A156)</f>
        <v>1</v>
      </c>
      <c r="C156" s="5" t="str">
        <f aca="false" t="array" ref="C156:C156">INDEX(Data_DBD!$F:$F,$A156)</f>
        <v>Sedang</v>
      </c>
      <c r="H156" s="18" t="n">
        <v>31</v>
      </c>
      <c r="I156" s="18" t="n">
        <v>1</v>
      </c>
      <c r="J156" s="18" t="s">
        <v>7</v>
      </c>
    </row>
    <row r="157" customFormat="false" ht="15" hidden="false" customHeight="false" outlineLevel="0" collapsed="false">
      <c r="A157" s="5" t="n">
        <f aca="false">RANDBETWEEN(2,164)</f>
        <v>8</v>
      </c>
      <c r="B157" s="5" t="n">
        <f aca="false" t="array" ref="B157:B157">INDEX(Data_DBD!$E:$E,$A157)</f>
        <v>0</v>
      </c>
      <c r="C157" s="5" t="str">
        <f aca="false" t="array" ref="C157:C157">INDEX(Data_DBD!$F:$F,$A157)</f>
        <v>Sedang</v>
      </c>
      <c r="H157" s="18" t="n">
        <v>10</v>
      </c>
      <c r="I157" s="18" t="n">
        <v>0</v>
      </c>
      <c r="J157" s="18" t="s">
        <v>7</v>
      </c>
    </row>
    <row r="158" customFormat="false" ht="15.75" hidden="false" customHeight="true" outlineLevel="0" collapsed="false">
      <c r="A158" s="5" t="n">
        <f aca="false">RANDBETWEEN(2,164)</f>
        <v>128</v>
      </c>
      <c r="B158" s="5" t="n">
        <f aca="false" t="array" ref="B158:B158">INDEX(Data_DBD!$E:$E,$A158)</f>
        <v>0</v>
      </c>
      <c r="C158" s="5" t="str">
        <f aca="false" t="array" ref="C158:C158">INDEX(Data_DBD!$F:$F,$A158)</f>
        <v>Tinggi</v>
      </c>
      <c r="H158" s="18" t="n">
        <v>98</v>
      </c>
      <c r="I158" s="18" t="n">
        <v>1</v>
      </c>
      <c r="J158" s="18" t="s">
        <v>115</v>
      </c>
      <c r="R158" s="7" t="s">
        <v>221</v>
      </c>
    </row>
    <row r="159" customFormat="false" ht="15.75" hidden="false" customHeight="true" outlineLevel="0" collapsed="false">
      <c r="A159" s="5" t="n">
        <f aca="false">RANDBETWEEN(2,164)</f>
        <v>53</v>
      </c>
      <c r="B159" s="5" t="n">
        <f aca="false" t="array" ref="B159:B159">INDEX(Data_DBD!$E:$E,$A159)</f>
        <v>1</v>
      </c>
      <c r="C159" s="5" t="str">
        <f aca="false" t="array" ref="C159:C159">INDEX(Data_DBD!$F:$F,$A159)</f>
        <v>Sedang</v>
      </c>
      <c r="H159" s="18" t="n">
        <v>129</v>
      </c>
      <c r="I159" s="18" t="n">
        <v>0</v>
      </c>
      <c r="J159" s="18" t="s">
        <v>115</v>
      </c>
      <c r="R159" s="8" t="s">
        <v>222</v>
      </c>
    </row>
    <row r="160" customFormat="false" ht="15.75" hidden="false" customHeight="true" outlineLevel="0" collapsed="false">
      <c r="A160" s="5" t="n">
        <f aca="false">RANDBETWEEN(2,164)</f>
        <v>64</v>
      </c>
      <c r="B160" s="5" t="n">
        <f aca="false" t="array" ref="B160:B160">INDEX(Data_DBD!$E:$E,$A160)</f>
        <v>0</v>
      </c>
      <c r="C160" s="5" t="str">
        <f aca="false" t="array" ref="C160:C160">INDEX(Data_DBD!$F:$F,$A160)</f>
        <v>Sedang</v>
      </c>
      <c r="H160" s="18" t="n">
        <v>127</v>
      </c>
      <c r="I160" s="18" t="n">
        <v>0</v>
      </c>
      <c r="J160" s="18" t="s">
        <v>115</v>
      </c>
      <c r="R160" s="9" t="s">
        <v>223</v>
      </c>
    </row>
    <row r="161" customFormat="false" ht="15.75" hidden="false" customHeight="true" outlineLevel="0" collapsed="false">
      <c r="A161" s="5" t="n">
        <f aca="false">RANDBETWEEN(2,164)</f>
        <v>146</v>
      </c>
      <c r="B161" s="5" t="n">
        <f aca="false" t="array" ref="B161:B161">INDEX(Data_DBD!$E:$E,$A161)</f>
        <v>1</v>
      </c>
      <c r="C161" s="5" t="str">
        <f aca="false" t="array" ref="C161:C161">INDEX(Data_DBD!$F:$F,$A161)</f>
        <v>Tinggi</v>
      </c>
      <c r="H161" s="18" t="n">
        <v>80</v>
      </c>
      <c r="I161" s="18" t="n">
        <v>1</v>
      </c>
      <c r="J161" s="18" t="s">
        <v>7</v>
      </c>
      <c r="R161" s="9" t="s">
        <v>224</v>
      </c>
    </row>
    <row r="162" customFormat="false" ht="15.75" hidden="false" customHeight="true" outlineLevel="0" collapsed="false">
      <c r="A162" s="5" t="n">
        <f aca="false">RANDBETWEEN(2,164)</f>
        <v>49</v>
      </c>
      <c r="B162" s="5" t="n">
        <f aca="false" t="array" ref="B162:B162">INDEX(Data_DBD!$E:$E,$A162)</f>
        <v>0</v>
      </c>
      <c r="C162" s="5" t="str">
        <f aca="false" t="array" ref="C162:C162">INDEX(Data_DBD!$F:$F,$A162)</f>
        <v>Sedang</v>
      </c>
      <c r="H162" s="18" t="n">
        <v>164</v>
      </c>
      <c r="I162" s="18" t="n">
        <v>0</v>
      </c>
      <c r="J162" s="18" t="s">
        <v>20</v>
      </c>
      <c r="R162" s="8" t="s">
        <v>180</v>
      </c>
    </row>
    <row r="163" customFormat="false" ht="15.75" hidden="false" customHeight="true" outlineLevel="0" collapsed="false">
      <c r="A163" s="5" t="n">
        <f aca="false">RANDBETWEEN(2,164)</f>
        <v>123</v>
      </c>
      <c r="B163" s="5" t="n">
        <f aca="false" t="array" ref="B163:B163">INDEX(Data_DBD!$E:$E,$A163)</f>
        <v>0</v>
      </c>
      <c r="C163" s="5" t="str">
        <f aca="false" t="array" ref="C163:C163">INDEX(Data_DBD!$F:$F,$A163)</f>
        <v>Tinggi</v>
      </c>
      <c r="H163" s="18" t="n">
        <v>61</v>
      </c>
      <c r="I163" s="18" t="n">
        <v>1</v>
      </c>
      <c r="J163" s="18" t="s">
        <v>7</v>
      </c>
      <c r="R163" s="9" t="s">
        <v>225</v>
      </c>
    </row>
    <row r="164" customFormat="false" ht="15" hidden="false" customHeight="false" outlineLevel="0" collapsed="false">
      <c r="A164" s="5" t="n">
        <f aca="false">RANDBETWEEN(2,164)</f>
        <v>42</v>
      </c>
      <c r="B164" s="5" t="n">
        <f aca="false" t="array" ref="B164:B164">INDEX(Data_DBD!$E:$E,$A164)</f>
        <v>1</v>
      </c>
      <c r="C164" s="5" t="str">
        <f aca="false" t="array" ref="C164:C164">INDEX(Data_DBD!$F:$F,$A164)</f>
        <v>Sedang</v>
      </c>
      <c r="H164" s="18" t="n">
        <v>56</v>
      </c>
      <c r="I164" s="18" t="n">
        <v>0</v>
      </c>
      <c r="J164" s="18" t="s">
        <v>7</v>
      </c>
    </row>
    <row r="165" customFormat="false" ht="15" hidden="false" customHeight="false" outlineLevel="0" collapsed="false">
      <c r="I165" s="0" t="n">
        <f aca="false">AVERAGE(I2:I164)</f>
        <v>0.49079754601227</v>
      </c>
    </row>
    <row r="166" customFormat="false" ht="15" hidden="false" customHeight="false" outlineLevel="0" collapsed="false">
      <c r="B166" s="0" t="n">
        <v>10</v>
      </c>
    </row>
    <row r="168" customFormat="false" ht="15" hidden="false" customHeight="false" outlineLevel="0" collapsed="false">
      <c r="H168" s="11" t="s">
        <v>188</v>
      </c>
    </row>
    <row r="169" customFormat="false" ht="15" hidden="false" customHeight="false" outlineLevel="0" collapsed="false">
      <c r="H169" s="5" t="s">
        <v>191</v>
      </c>
      <c r="I169" s="5" t="n">
        <f aca="false">AVERAGEIF($I$2:$I$164,"&lt;="&amp;$I$165)</f>
        <v>0</v>
      </c>
      <c r="J169" s="5" t="n">
        <f aca="false">AVERAGEIF($I$2:$I$164,"&gt;"&amp;$I$165)</f>
        <v>1</v>
      </c>
    </row>
    <row r="170" customFormat="false" ht="15" hidden="false" customHeight="false" outlineLevel="0" collapsed="false">
      <c r="H170" s="5" t="str">
        <f aca="false" t="array" ref="H170:H332">IF($I$2:$I$164&lt;$I$169,"kiri",IF($I$2:$I$164&lt;$J$169,"tengah","kanan"))</f>
        <v>kanan</v>
      </c>
      <c r="I170" s="5" t="s">
        <v>195</v>
      </c>
      <c r="J170" s="5"/>
    </row>
    <row r="171" customFormat="false" ht="15" hidden="false" customHeight="false" outlineLevel="0" collapsed="false">
      <c r="H171" s="5" t="str">
        <v>kanan</v>
      </c>
      <c r="I171" s="5" t="n">
        <f aca="false">COUNTIFS($H$170:$H$332,"Kanan",$J$2:$J$164,"Tinggi")</f>
        <v>41</v>
      </c>
      <c r="J171" s="5" t="n">
        <f aca="false">I171/80</f>
        <v>0.5125</v>
      </c>
    </row>
    <row r="172" customFormat="false" ht="15" hidden="false" customHeight="false" outlineLevel="0" collapsed="false">
      <c r="H172" s="5" t="str">
        <v>kanan</v>
      </c>
      <c r="I172" s="5" t="n">
        <f aca="false">COUNTIFS($H$170:$H$332,"Kanan",$J$2:$J$164,"Sedang")</f>
        <v>33</v>
      </c>
      <c r="J172" s="5" t="n">
        <f aca="false">I172/80</f>
        <v>0.4125</v>
      </c>
    </row>
    <row r="173" customFormat="false" ht="15" hidden="false" customHeight="false" outlineLevel="0" collapsed="false">
      <c r="H173" s="5" t="str">
        <v>kanan</v>
      </c>
      <c r="I173" s="5" t="n">
        <f aca="false">COUNTIFS($H$170:$H$332,"Kanan",$J$2:$J$164,"Rendah")</f>
        <v>6</v>
      </c>
      <c r="J173" s="5" t="n">
        <f aca="false">I173/80</f>
        <v>0.075</v>
      </c>
    </row>
    <row r="174" customFormat="false" ht="15" hidden="false" customHeight="false" outlineLevel="0" collapsed="false">
      <c r="H174" s="5" t="str">
        <v>kanan</v>
      </c>
      <c r="I174" s="5" t="s">
        <v>196</v>
      </c>
      <c r="J174" s="5" t="n">
        <f aca="false">-(IFERROR(J171*LOG(J171,2),0)+IFERROR(J172*LOG(J172,2),0)+IFERROR(J173*LOG(J173,2),0))</f>
        <v>1.30149793073115</v>
      </c>
    </row>
    <row r="175" customFormat="false" ht="15" hidden="false" customHeight="false" outlineLevel="0" collapsed="false">
      <c r="H175" s="5" t="str">
        <v>tengah</v>
      </c>
      <c r="I175" s="5"/>
      <c r="J175" s="5" t="n">
        <f aca="false">SUM(I171:I173)/163</f>
        <v>0.49079754601227</v>
      </c>
    </row>
    <row r="176" customFormat="false" ht="15" hidden="false" customHeight="false" outlineLevel="0" collapsed="false">
      <c r="H176" s="5" t="str">
        <v>kanan</v>
      </c>
      <c r="I176" s="5"/>
      <c r="J176" s="12" t="n">
        <f aca="false">J174*J175</f>
        <v>0.638771990542894</v>
      </c>
    </row>
    <row r="177" customFormat="false" ht="15" hidden="false" customHeight="false" outlineLevel="0" collapsed="false">
      <c r="H177" s="5" t="str">
        <v>kanan</v>
      </c>
      <c r="I177" s="5"/>
      <c r="J177" s="5"/>
    </row>
    <row r="178" customFormat="false" ht="15" hidden="false" customHeight="false" outlineLevel="0" collapsed="false">
      <c r="H178" s="5" t="str">
        <v>kanan</v>
      </c>
      <c r="I178" s="5"/>
      <c r="J178" s="5"/>
    </row>
    <row r="179" customFormat="false" ht="15" hidden="false" customHeight="false" outlineLevel="0" collapsed="false">
      <c r="H179" s="5" t="str">
        <v>kanan</v>
      </c>
      <c r="I179" s="5" t="s">
        <v>200</v>
      </c>
      <c r="J179" s="5"/>
    </row>
    <row r="180" customFormat="false" ht="15" hidden="false" customHeight="false" outlineLevel="0" collapsed="false">
      <c r="H180" s="5" t="str">
        <v>kanan</v>
      </c>
      <c r="I180" s="5" t="n">
        <f aca="false">COUNTIFS($H$170:$H$332,"Kiri",$J$2:$J$164,"Tinggi")</f>
        <v>0</v>
      </c>
      <c r="J180" s="5" t="n">
        <f aca="false">I180/57</f>
        <v>0</v>
      </c>
    </row>
    <row r="181" customFormat="false" ht="15" hidden="false" customHeight="false" outlineLevel="0" collapsed="false">
      <c r="H181" s="5" t="str">
        <v>tengah</v>
      </c>
      <c r="I181" s="5" t="n">
        <f aca="false">COUNTIFS($H$170:$H$332,"Kiri",$J$2:$J$164,"Sedang")</f>
        <v>0</v>
      </c>
      <c r="J181" s="5" t="n">
        <f aca="false">I181/57</f>
        <v>0</v>
      </c>
    </row>
    <row r="182" customFormat="false" ht="15" hidden="false" customHeight="false" outlineLevel="0" collapsed="false">
      <c r="H182" s="5" t="str">
        <v>tengah</v>
      </c>
      <c r="I182" s="5" t="n">
        <f aca="false">COUNTIFS($H$170:$H$332,"Kiri",$J$2:$J$164,"Rendah")</f>
        <v>0</v>
      </c>
      <c r="J182" s="5" t="n">
        <f aca="false">I182/57</f>
        <v>0</v>
      </c>
    </row>
    <row r="183" customFormat="false" ht="15" hidden="false" customHeight="false" outlineLevel="0" collapsed="false">
      <c r="H183" s="5" t="str">
        <v>kanan</v>
      </c>
      <c r="I183" s="5" t="s">
        <v>196</v>
      </c>
      <c r="J183" s="5" t="n">
        <f aca="false">-(IFERROR(J180*LOG(J180,2),0)+IFERROR(J181*LOG(J181,2),0)+IFERROR(J182*LOG(J182,2),0))</f>
        <v>-0</v>
      </c>
    </row>
    <row r="184" customFormat="false" ht="15" hidden="false" customHeight="false" outlineLevel="0" collapsed="false">
      <c r="H184" s="5" t="str">
        <v>tengah</v>
      </c>
      <c r="I184" s="5"/>
      <c r="J184" s="5" t="n">
        <f aca="false">SUM(I180:I182)/163</f>
        <v>0</v>
      </c>
    </row>
    <row r="185" customFormat="false" ht="15" hidden="false" customHeight="false" outlineLevel="0" collapsed="false">
      <c r="H185" s="5" t="str">
        <v>kanan</v>
      </c>
      <c r="I185" s="5"/>
      <c r="J185" s="12" t="n">
        <f aca="false">J183*J184</f>
        <v>-0</v>
      </c>
    </row>
    <row r="186" customFormat="false" ht="15" hidden="false" customHeight="false" outlineLevel="0" collapsed="false">
      <c r="H186" s="5" t="str">
        <v>tengah</v>
      </c>
      <c r="I186" s="5"/>
      <c r="J186" s="5"/>
    </row>
    <row r="187" customFormat="false" ht="15" hidden="false" customHeight="false" outlineLevel="0" collapsed="false">
      <c r="H187" s="5" t="str">
        <v>kanan</v>
      </c>
      <c r="I187" s="5"/>
      <c r="J187" s="5"/>
    </row>
    <row r="188" customFormat="false" ht="15" hidden="false" customHeight="false" outlineLevel="0" collapsed="false">
      <c r="H188" s="5" t="str">
        <v>tengah</v>
      </c>
      <c r="I188" s="5" t="s">
        <v>201</v>
      </c>
      <c r="J188" s="5"/>
    </row>
    <row r="189" customFormat="false" ht="15" hidden="false" customHeight="false" outlineLevel="0" collapsed="false">
      <c r="H189" s="5" t="str">
        <v>tengah</v>
      </c>
      <c r="I189" s="5" t="n">
        <f aca="false">COUNTIFS($H$170:$H$332,"Tengah",$J$2:$J$164,"Tinggi")</f>
        <v>42</v>
      </c>
      <c r="J189" s="5" t="n">
        <f aca="false">I189/86</f>
        <v>0.488372093023256</v>
      </c>
    </row>
    <row r="190" customFormat="false" ht="15" hidden="false" customHeight="false" outlineLevel="0" collapsed="false">
      <c r="H190" s="5" t="str">
        <v>tengah</v>
      </c>
      <c r="I190" s="5" t="n">
        <f aca="false">COUNTIFS($H$170:$H$332,"Tengah",$J$2:$J$164,"Sedang")</f>
        <v>36</v>
      </c>
      <c r="J190" s="5" t="n">
        <f aca="false">I190/86</f>
        <v>0.418604651162791</v>
      </c>
    </row>
    <row r="191" customFormat="false" ht="15" hidden="false" customHeight="false" outlineLevel="0" collapsed="false">
      <c r="H191" s="5" t="str">
        <v>tengah</v>
      </c>
      <c r="I191" s="5" t="n">
        <f aca="false">COUNTIFS($H$170:$H$332,"Tengah",$J$2:$J$164,"Rendah")</f>
        <v>5</v>
      </c>
      <c r="J191" s="5" t="n">
        <f aca="false">I191/86</f>
        <v>0.0581395348837209</v>
      </c>
    </row>
    <row r="192" customFormat="false" ht="15" hidden="false" customHeight="false" outlineLevel="0" collapsed="false">
      <c r="H192" s="5" t="str">
        <v>kanan</v>
      </c>
      <c r="I192" s="5" t="s">
        <v>196</v>
      </c>
      <c r="J192" s="5" t="n">
        <f aca="false">-(IFERROR(J189*LOG(J189,2),0)+IFERROR(J190*LOG(J190,2),0)+IFERROR(J191*LOG(J191,2),0))</f>
        <v>1.2694849111303</v>
      </c>
    </row>
    <row r="193" customFormat="false" ht="15" hidden="false" customHeight="false" outlineLevel="0" collapsed="false">
      <c r="H193" s="5" t="str">
        <v>tengah</v>
      </c>
      <c r="I193" s="5"/>
      <c r="J193" s="5" t="n">
        <f aca="false">SUM(I189:I191)/163</f>
        <v>0.50920245398773</v>
      </c>
    </row>
    <row r="194" customFormat="false" ht="15" hidden="false" customHeight="false" outlineLevel="0" collapsed="false">
      <c r="H194" s="5" t="str">
        <v>tengah</v>
      </c>
      <c r="I194" s="5"/>
      <c r="J194" s="12" t="n">
        <f aca="false">J192*J193</f>
        <v>0.646424832047946</v>
      </c>
    </row>
    <row r="195" customFormat="false" ht="15" hidden="false" customHeight="false" outlineLevel="0" collapsed="false">
      <c r="H195" s="5" t="str">
        <v>tengah</v>
      </c>
      <c r="I195" s="5"/>
      <c r="J195" s="5"/>
    </row>
    <row r="196" customFormat="false" ht="15" hidden="false" customHeight="false" outlineLevel="0" collapsed="false">
      <c r="H196" s="5" t="str">
        <v>kanan</v>
      </c>
      <c r="I196" s="5" t="s">
        <v>202</v>
      </c>
      <c r="J196" s="5"/>
    </row>
    <row r="197" customFormat="false" ht="15" hidden="false" customHeight="false" outlineLevel="0" collapsed="false">
      <c r="H197" s="5" t="str">
        <v>kanan</v>
      </c>
      <c r="I197" s="13" t="n">
        <f aca="false">P5-(J176+J185+J194)</f>
        <v>-0.00193006789656391</v>
      </c>
      <c r="J197" s="5"/>
    </row>
    <row r="198" customFormat="false" ht="15" hidden="false" customHeight="false" outlineLevel="0" collapsed="false">
      <c r="H198" s="5" t="str">
        <v>kanan</v>
      </c>
      <c r="I198" s="5"/>
      <c r="J198" s="5"/>
    </row>
    <row r="199" customFormat="false" ht="15" hidden="false" customHeight="false" outlineLevel="0" collapsed="false">
      <c r="H199" s="5" t="str">
        <v>kanan</v>
      </c>
      <c r="I199" s="5"/>
      <c r="J199" s="5"/>
    </row>
    <row r="200" customFormat="false" ht="15" hidden="false" customHeight="false" outlineLevel="0" collapsed="false">
      <c r="H200" s="5" t="str">
        <v>kanan</v>
      </c>
      <c r="I200" s="5"/>
      <c r="J200" s="5"/>
    </row>
    <row r="201" customFormat="false" ht="15" hidden="false" customHeight="false" outlineLevel="0" collapsed="false">
      <c r="H201" s="5" t="str">
        <v>kanan</v>
      </c>
      <c r="I201" s="5"/>
      <c r="J201" s="5"/>
    </row>
    <row r="202" customFormat="false" ht="15" hidden="false" customHeight="false" outlineLevel="0" collapsed="false">
      <c r="H202" s="5" t="str">
        <v>tengah</v>
      </c>
      <c r="I202" s="5"/>
      <c r="J202" s="5"/>
    </row>
    <row r="203" customFormat="false" ht="15" hidden="false" customHeight="false" outlineLevel="0" collapsed="false">
      <c r="H203" s="5" t="str">
        <v>tengah</v>
      </c>
      <c r="I203" s="5"/>
      <c r="J203" s="5"/>
    </row>
    <row r="204" customFormat="false" ht="15" hidden="false" customHeight="false" outlineLevel="0" collapsed="false">
      <c r="H204" s="5" t="str">
        <v>kanan</v>
      </c>
      <c r="I204" s="5"/>
      <c r="J204" s="5"/>
    </row>
    <row r="205" customFormat="false" ht="15" hidden="false" customHeight="false" outlineLevel="0" collapsed="false">
      <c r="H205" s="5" t="str">
        <v>kanan</v>
      </c>
      <c r="I205" s="5"/>
      <c r="J205" s="5"/>
    </row>
    <row r="206" customFormat="false" ht="15" hidden="false" customHeight="false" outlineLevel="0" collapsed="false">
      <c r="H206" s="5" t="str">
        <v>tengah</v>
      </c>
      <c r="I206" s="5"/>
      <c r="J206" s="5"/>
    </row>
    <row r="207" customFormat="false" ht="15" hidden="false" customHeight="false" outlineLevel="0" collapsed="false">
      <c r="H207" s="5" t="str">
        <v>tengah</v>
      </c>
      <c r="I207" s="5"/>
      <c r="J207" s="5"/>
    </row>
    <row r="208" customFormat="false" ht="15" hidden="false" customHeight="false" outlineLevel="0" collapsed="false">
      <c r="H208" s="5" t="str">
        <v>tengah</v>
      </c>
      <c r="I208" s="5"/>
      <c r="J208" s="5"/>
    </row>
    <row r="209" customFormat="false" ht="15" hidden="false" customHeight="false" outlineLevel="0" collapsed="false">
      <c r="H209" s="5" t="str">
        <v>kanan</v>
      </c>
      <c r="I209" s="5"/>
      <c r="J209" s="5"/>
    </row>
    <row r="210" customFormat="false" ht="15" hidden="false" customHeight="false" outlineLevel="0" collapsed="false">
      <c r="H210" s="5" t="str">
        <v>kanan</v>
      </c>
      <c r="I210" s="5"/>
      <c r="J210" s="5"/>
    </row>
    <row r="211" customFormat="false" ht="15" hidden="false" customHeight="false" outlineLevel="0" collapsed="false">
      <c r="H211" s="5" t="str">
        <v>tengah</v>
      </c>
      <c r="I211" s="5"/>
      <c r="J211" s="5"/>
    </row>
    <row r="212" customFormat="false" ht="15" hidden="false" customHeight="false" outlineLevel="0" collapsed="false">
      <c r="H212" s="5" t="str">
        <v>tengah</v>
      </c>
      <c r="I212" s="5"/>
      <c r="J212" s="5"/>
    </row>
    <row r="213" customFormat="false" ht="15" hidden="false" customHeight="false" outlineLevel="0" collapsed="false">
      <c r="H213" s="5" t="str">
        <v>tengah</v>
      </c>
      <c r="I213" s="5"/>
      <c r="J213" s="5"/>
    </row>
    <row r="214" customFormat="false" ht="15" hidden="false" customHeight="false" outlineLevel="0" collapsed="false">
      <c r="H214" s="5" t="str">
        <v>tengah</v>
      </c>
      <c r="I214" s="5"/>
      <c r="J214" s="5"/>
    </row>
    <row r="215" customFormat="false" ht="15" hidden="false" customHeight="false" outlineLevel="0" collapsed="false">
      <c r="H215" s="5" t="str">
        <v>tengah</v>
      </c>
      <c r="I215" s="5"/>
      <c r="J215" s="5"/>
    </row>
    <row r="216" customFormat="false" ht="15" hidden="false" customHeight="false" outlineLevel="0" collapsed="false">
      <c r="H216" s="5" t="str">
        <v>kanan</v>
      </c>
      <c r="I216" s="5"/>
      <c r="J216" s="5"/>
    </row>
    <row r="217" customFormat="false" ht="15" hidden="false" customHeight="false" outlineLevel="0" collapsed="false">
      <c r="H217" s="5" t="str">
        <v>kanan</v>
      </c>
      <c r="I217" s="5"/>
      <c r="J217" s="5"/>
    </row>
    <row r="218" customFormat="false" ht="15" hidden="false" customHeight="false" outlineLevel="0" collapsed="false">
      <c r="H218" s="5" t="str">
        <v>tengah</v>
      </c>
      <c r="I218" s="5"/>
      <c r="J218" s="5"/>
    </row>
    <row r="219" customFormat="false" ht="15" hidden="false" customHeight="false" outlineLevel="0" collapsed="false">
      <c r="H219" s="5" t="str">
        <v>tengah</v>
      </c>
      <c r="I219" s="5"/>
      <c r="J219" s="5"/>
    </row>
    <row r="220" customFormat="false" ht="15" hidden="false" customHeight="false" outlineLevel="0" collapsed="false">
      <c r="H220" s="5" t="str">
        <v>tengah</v>
      </c>
      <c r="I220" s="5"/>
      <c r="J220" s="5"/>
    </row>
    <row r="221" customFormat="false" ht="15" hidden="false" customHeight="false" outlineLevel="0" collapsed="false">
      <c r="H221" s="5" t="str">
        <v>tengah</v>
      </c>
      <c r="I221" s="5"/>
      <c r="J221" s="5"/>
    </row>
    <row r="222" customFormat="false" ht="15" hidden="false" customHeight="false" outlineLevel="0" collapsed="false">
      <c r="H222" s="5" t="str">
        <v>kanan</v>
      </c>
      <c r="I222" s="5"/>
      <c r="J222" s="5"/>
    </row>
    <row r="223" customFormat="false" ht="15" hidden="false" customHeight="false" outlineLevel="0" collapsed="false">
      <c r="H223" s="5" t="str">
        <v>kanan</v>
      </c>
      <c r="I223" s="5"/>
      <c r="J223" s="5"/>
    </row>
    <row r="224" customFormat="false" ht="15" hidden="false" customHeight="false" outlineLevel="0" collapsed="false">
      <c r="H224" s="5" t="str">
        <v>tengah</v>
      </c>
      <c r="I224" s="5"/>
      <c r="J224" s="5"/>
    </row>
    <row r="225" customFormat="false" ht="15" hidden="false" customHeight="false" outlineLevel="0" collapsed="false">
      <c r="H225" s="5" t="str">
        <v>kanan</v>
      </c>
      <c r="I225" s="5"/>
      <c r="J225" s="5"/>
    </row>
    <row r="226" customFormat="false" ht="15" hidden="false" customHeight="false" outlineLevel="0" collapsed="false">
      <c r="H226" s="5" t="str">
        <v>tengah</v>
      </c>
      <c r="I226" s="5"/>
      <c r="J226" s="5"/>
    </row>
    <row r="227" customFormat="false" ht="15" hidden="false" customHeight="false" outlineLevel="0" collapsed="false">
      <c r="H227" s="5" t="str">
        <v>tengah</v>
      </c>
      <c r="I227" s="5"/>
      <c r="J227" s="5"/>
    </row>
    <row r="228" customFormat="false" ht="15" hidden="false" customHeight="false" outlineLevel="0" collapsed="false">
      <c r="H228" s="5" t="str">
        <v>kanan</v>
      </c>
      <c r="I228" s="5"/>
      <c r="J228" s="5"/>
    </row>
    <row r="229" customFormat="false" ht="15" hidden="false" customHeight="false" outlineLevel="0" collapsed="false">
      <c r="H229" s="5" t="str">
        <v>kanan</v>
      </c>
      <c r="I229" s="5"/>
      <c r="J229" s="5"/>
    </row>
    <row r="230" customFormat="false" ht="15" hidden="false" customHeight="false" outlineLevel="0" collapsed="false">
      <c r="H230" s="5" t="str">
        <v>kanan</v>
      </c>
      <c r="I230" s="5"/>
      <c r="J230" s="5"/>
    </row>
    <row r="231" customFormat="false" ht="15" hidden="false" customHeight="false" outlineLevel="0" collapsed="false">
      <c r="H231" s="5" t="str">
        <v>tengah</v>
      </c>
      <c r="I231" s="5"/>
      <c r="J231" s="5"/>
    </row>
    <row r="232" customFormat="false" ht="15" hidden="false" customHeight="false" outlineLevel="0" collapsed="false">
      <c r="H232" s="5" t="str">
        <v>tengah</v>
      </c>
      <c r="I232" s="5"/>
      <c r="J232" s="5"/>
    </row>
    <row r="233" customFormat="false" ht="15" hidden="false" customHeight="false" outlineLevel="0" collapsed="false">
      <c r="H233" s="5" t="str">
        <v>kanan</v>
      </c>
      <c r="I233" s="5"/>
      <c r="J233" s="5"/>
    </row>
    <row r="234" customFormat="false" ht="15" hidden="false" customHeight="false" outlineLevel="0" collapsed="false">
      <c r="H234" s="5" t="str">
        <v>kanan</v>
      </c>
      <c r="I234" s="5"/>
      <c r="J234" s="5"/>
    </row>
    <row r="235" customFormat="false" ht="15" hidden="false" customHeight="false" outlineLevel="0" collapsed="false">
      <c r="H235" s="5" t="str">
        <v>tengah</v>
      </c>
      <c r="I235" s="5"/>
      <c r="J235" s="5"/>
    </row>
    <row r="236" customFormat="false" ht="15" hidden="false" customHeight="false" outlineLevel="0" collapsed="false">
      <c r="H236" s="5" t="str">
        <v>kanan</v>
      </c>
      <c r="I236" s="5"/>
      <c r="J236" s="5"/>
    </row>
    <row r="237" customFormat="false" ht="15" hidden="false" customHeight="false" outlineLevel="0" collapsed="false">
      <c r="H237" s="5" t="str">
        <v>kanan</v>
      </c>
      <c r="I237" s="5"/>
      <c r="J237" s="5"/>
    </row>
    <row r="238" customFormat="false" ht="15" hidden="false" customHeight="false" outlineLevel="0" collapsed="false">
      <c r="H238" s="5" t="str">
        <v>kanan</v>
      </c>
      <c r="I238" s="5"/>
      <c r="J238" s="5"/>
    </row>
    <row r="239" customFormat="false" ht="15" hidden="false" customHeight="false" outlineLevel="0" collapsed="false">
      <c r="H239" s="5" t="str">
        <v>kanan</v>
      </c>
      <c r="I239" s="5"/>
      <c r="J239" s="5"/>
    </row>
    <row r="240" customFormat="false" ht="15" hidden="false" customHeight="false" outlineLevel="0" collapsed="false">
      <c r="H240" s="5" t="str">
        <v>tengah</v>
      </c>
      <c r="I240" s="5"/>
      <c r="J240" s="5"/>
    </row>
    <row r="241" customFormat="false" ht="15" hidden="false" customHeight="false" outlineLevel="0" collapsed="false">
      <c r="H241" s="5" t="str">
        <v>kanan</v>
      </c>
      <c r="I241" s="5"/>
      <c r="J241" s="5"/>
    </row>
    <row r="242" customFormat="false" ht="15" hidden="false" customHeight="false" outlineLevel="0" collapsed="false">
      <c r="H242" s="5" t="str">
        <v>tengah</v>
      </c>
      <c r="I242" s="5"/>
      <c r="J242" s="5"/>
    </row>
    <row r="243" customFormat="false" ht="15" hidden="false" customHeight="false" outlineLevel="0" collapsed="false">
      <c r="H243" s="5" t="str">
        <v>kanan</v>
      </c>
      <c r="I243" s="5"/>
      <c r="J243" s="5"/>
    </row>
    <row r="244" customFormat="false" ht="15" hidden="false" customHeight="false" outlineLevel="0" collapsed="false">
      <c r="H244" s="5" t="str">
        <v>kanan</v>
      </c>
      <c r="I244" s="5"/>
      <c r="J244" s="5"/>
    </row>
    <row r="245" customFormat="false" ht="15" hidden="false" customHeight="false" outlineLevel="0" collapsed="false">
      <c r="H245" s="5" t="str">
        <v>kanan</v>
      </c>
      <c r="I245" s="5"/>
      <c r="J245" s="5"/>
    </row>
    <row r="246" customFormat="false" ht="15" hidden="false" customHeight="false" outlineLevel="0" collapsed="false">
      <c r="H246" s="5" t="str">
        <v>kanan</v>
      </c>
      <c r="I246" s="5"/>
      <c r="J246" s="5"/>
    </row>
    <row r="247" customFormat="false" ht="15" hidden="false" customHeight="false" outlineLevel="0" collapsed="false">
      <c r="H247" s="5" t="str">
        <v>kanan</v>
      </c>
      <c r="I247" s="5"/>
      <c r="J247" s="5"/>
    </row>
    <row r="248" customFormat="false" ht="15" hidden="false" customHeight="false" outlineLevel="0" collapsed="false">
      <c r="H248" s="5" t="str">
        <v>tengah</v>
      </c>
      <c r="I248" s="5"/>
      <c r="J248" s="5"/>
    </row>
    <row r="249" customFormat="false" ht="15" hidden="false" customHeight="false" outlineLevel="0" collapsed="false">
      <c r="H249" s="5" t="str">
        <v>tengah</v>
      </c>
      <c r="I249" s="5"/>
      <c r="J249" s="5"/>
    </row>
    <row r="250" customFormat="false" ht="15" hidden="false" customHeight="false" outlineLevel="0" collapsed="false">
      <c r="H250" s="5" t="str">
        <v>kanan</v>
      </c>
      <c r="I250" s="5"/>
      <c r="J250" s="5"/>
    </row>
    <row r="251" customFormat="false" ht="15" hidden="false" customHeight="false" outlineLevel="0" collapsed="false">
      <c r="H251" s="5" t="str">
        <v>tengah</v>
      </c>
      <c r="I251" s="5"/>
      <c r="J251" s="5"/>
    </row>
    <row r="252" customFormat="false" ht="15" hidden="false" customHeight="false" outlineLevel="0" collapsed="false">
      <c r="H252" s="5" t="str">
        <v>tengah</v>
      </c>
      <c r="I252" s="5"/>
      <c r="J252" s="5"/>
    </row>
    <row r="253" customFormat="false" ht="15" hidden="false" customHeight="false" outlineLevel="0" collapsed="false">
      <c r="H253" s="5" t="str">
        <v>tengah</v>
      </c>
      <c r="I253" s="5"/>
      <c r="J253" s="5"/>
    </row>
    <row r="254" customFormat="false" ht="15" hidden="false" customHeight="false" outlineLevel="0" collapsed="false">
      <c r="H254" s="5" t="str">
        <v>tengah</v>
      </c>
      <c r="I254" s="5"/>
      <c r="J254" s="5"/>
    </row>
    <row r="255" customFormat="false" ht="15" hidden="false" customHeight="false" outlineLevel="0" collapsed="false">
      <c r="H255" s="5" t="str">
        <v>tengah</v>
      </c>
      <c r="I255" s="5"/>
      <c r="J255" s="5"/>
    </row>
    <row r="256" customFormat="false" ht="15" hidden="false" customHeight="false" outlineLevel="0" collapsed="false">
      <c r="H256" s="5" t="str">
        <v>tengah</v>
      </c>
      <c r="I256" s="5"/>
      <c r="J256" s="5"/>
    </row>
    <row r="257" customFormat="false" ht="15" hidden="false" customHeight="false" outlineLevel="0" collapsed="false">
      <c r="H257" s="5" t="str">
        <v>kanan</v>
      </c>
      <c r="I257" s="5"/>
      <c r="J257" s="5"/>
    </row>
    <row r="258" customFormat="false" ht="15" hidden="false" customHeight="false" outlineLevel="0" collapsed="false">
      <c r="H258" s="5" t="str">
        <v>tengah</v>
      </c>
      <c r="I258" s="5"/>
      <c r="J258" s="5"/>
    </row>
    <row r="259" customFormat="false" ht="15" hidden="false" customHeight="false" outlineLevel="0" collapsed="false">
      <c r="H259" s="5" t="str">
        <v>kanan</v>
      </c>
      <c r="I259" s="5"/>
      <c r="J259" s="5"/>
    </row>
    <row r="260" customFormat="false" ht="15" hidden="false" customHeight="false" outlineLevel="0" collapsed="false">
      <c r="H260" s="5" t="str">
        <v>tengah</v>
      </c>
      <c r="I260" s="5"/>
      <c r="J260" s="5"/>
    </row>
    <row r="261" customFormat="false" ht="15" hidden="false" customHeight="false" outlineLevel="0" collapsed="false">
      <c r="H261" s="5" t="str">
        <v>tengah</v>
      </c>
      <c r="I261" s="5"/>
      <c r="J261" s="5"/>
    </row>
    <row r="262" customFormat="false" ht="15" hidden="false" customHeight="false" outlineLevel="0" collapsed="false">
      <c r="H262" s="5" t="str">
        <v>tengah</v>
      </c>
      <c r="I262" s="5"/>
      <c r="J262" s="5"/>
    </row>
    <row r="263" customFormat="false" ht="15" hidden="false" customHeight="false" outlineLevel="0" collapsed="false">
      <c r="H263" s="5" t="str">
        <v>tengah</v>
      </c>
      <c r="I263" s="5"/>
      <c r="J263" s="5"/>
    </row>
    <row r="264" customFormat="false" ht="15" hidden="false" customHeight="false" outlineLevel="0" collapsed="false">
      <c r="H264" s="5" t="str">
        <v>tengah</v>
      </c>
      <c r="I264" s="5"/>
      <c r="J264" s="5"/>
    </row>
    <row r="265" customFormat="false" ht="15" hidden="false" customHeight="false" outlineLevel="0" collapsed="false">
      <c r="H265" s="5" t="str">
        <v>tengah</v>
      </c>
      <c r="I265" s="5"/>
      <c r="J265" s="5"/>
    </row>
    <row r="266" customFormat="false" ht="15" hidden="false" customHeight="false" outlineLevel="0" collapsed="false">
      <c r="H266" s="5" t="str">
        <v>kanan</v>
      </c>
      <c r="I266" s="5"/>
      <c r="J266" s="5"/>
    </row>
    <row r="267" customFormat="false" ht="15" hidden="false" customHeight="false" outlineLevel="0" collapsed="false">
      <c r="H267" s="5" t="str">
        <v>kanan</v>
      </c>
      <c r="I267" s="5"/>
      <c r="J267" s="5"/>
    </row>
    <row r="268" customFormat="false" ht="15" hidden="false" customHeight="false" outlineLevel="0" collapsed="false">
      <c r="H268" s="5" t="str">
        <v>tengah</v>
      </c>
      <c r="I268" s="5"/>
      <c r="J268" s="5"/>
    </row>
    <row r="269" customFormat="false" ht="15" hidden="false" customHeight="false" outlineLevel="0" collapsed="false">
      <c r="H269" s="5" t="str">
        <v>kanan</v>
      </c>
      <c r="I269" s="5"/>
      <c r="J269" s="5"/>
    </row>
    <row r="270" customFormat="false" ht="15" hidden="false" customHeight="false" outlineLevel="0" collapsed="false">
      <c r="H270" s="5" t="str">
        <v>kanan</v>
      </c>
      <c r="I270" s="5"/>
      <c r="J270" s="5"/>
    </row>
    <row r="271" customFormat="false" ht="15" hidden="false" customHeight="false" outlineLevel="0" collapsed="false">
      <c r="H271" s="5" t="str">
        <v>kanan</v>
      </c>
      <c r="I271" s="5"/>
      <c r="J271" s="5"/>
    </row>
    <row r="272" customFormat="false" ht="15" hidden="false" customHeight="false" outlineLevel="0" collapsed="false">
      <c r="H272" s="5" t="str">
        <v>tengah</v>
      </c>
      <c r="I272" s="5"/>
      <c r="J272" s="5"/>
    </row>
    <row r="273" customFormat="false" ht="15" hidden="false" customHeight="false" outlineLevel="0" collapsed="false">
      <c r="H273" s="5" t="str">
        <v>tengah</v>
      </c>
      <c r="I273" s="5"/>
      <c r="J273" s="5"/>
    </row>
    <row r="274" customFormat="false" ht="15" hidden="false" customHeight="false" outlineLevel="0" collapsed="false">
      <c r="H274" s="5" t="str">
        <v>kanan</v>
      </c>
      <c r="I274" s="5"/>
      <c r="J274" s="5"/>
    </row>
    <row r="275" customFormat="false" ht="15" hidden="false" customHeight="false" outlineLevel="0" collapsed="false">
      <c r="H275" s="5" t="str">
        <v>tengah</v>
      </c>
      <c r="I275" s="5"/>
      <c r="J275" s="5"/>
    </row>
    <row r="276" customFormat="false" ht="15" hidden="false" customHeight="false" outlineLevel="0" collapsed="false">
      <c r="H276" s="5" t="str">
        <v>kanan</v>
      </c>
      <c r="I276" s="5"/>
      <c r="J276" s="5"/>
    </row>
    <row r="277" customFormat="false" ht="15" hidden="false" customHeight="false" outlineLevel="0" collapsed="false">
      <c r="H277" s="5" t="str">
        <v>kanan</v>
      </c>
      <c r="I277" s="5"/>
      <c r="J277" s="5"/>
    </row>
    <row r="278" customFormat="false" ht="15" hidden="false" customHeight="false" outlineLevel="0" collapsed="false">
      <c r="H278" s="5" t="str">
        <v>kanan</v>
      </c>
      <c r="I278" s="5"/>
      <c r="J278" s="5"/>
    </row>
    <row r="279" customFormat="false" ht="15" hidden="false" customHeight="false" outlineLevel="0" collapsed="false">
      <c r="H279" s="5" t="str">
        <v>tengah</v>
      </c>
      <c r="I279" s="5"/>
      <c r="J279" s="5"/>
    </row>
    <row r="280" customFormat="false" ht="15" hidden="false" customHeight="false" outlineLevel="0" collapsed="false">
      <c r="H280" s="5" t="str">
        <v>tengah</v>
      </c>
      <c r="I280" s="5"/>
      <c r="J280" s="5"/>
    </row>
    <row r="281" customFormat="false" ht="15" hidden="false" customHeight="false" outlineLevel="0" collapsed="false">
      <c r="H281" s="5" t="str">
        <v>tengah</v>
      </c>
      <c r="I281" s="5"/>
      <c r="J281" s="5"/>
    </row>
    <row r="282" customFormat="false" ht="15" hidden="false" customHeight="false" outlineLevel="0" collapsed="false">
      <c r="H282" s="5" t="str">
        <v>kanan</v>
      </c>
      <c r="I282" s="5"/>
      <c r="J282" s="5"/>
    </row>
    <row r="283" customFormat="false" ht="15" hidden="false" customHeight="false" outlineLevel="0" collapsed="false">
      <c r="H283" s="5" t="str">
        <v>kanan</v>
      </c>
      <c r="I283" s="5"/>
      <c r="J283" s="5"/>
    </row>
    <row r="284" customFormat="false" ht="15" hidden="false" customHeight="false" outlineLevel="0" collapsed="false">
      <c r="H284" s="5" t="str">
        <v>tengah</v>
      </c>
      <c r="I284" s="5"/>
      <c r="J284" s="5"/>
    </row>
    <row r="285" customFormat="false" ht="15" hidden="false" customHeight="false" outlineLevel="0" collapsed="false">
      <c r="H285" s="5" t="str">
        <v>kanan</v>
      </c>
      <c r="I285" s="5"/>
      <c r="J285" s="5"/>
    </row>
    <row r="286" customFormat="false" ht="15" hidden="false" customHeight="false" outlineLevel="0" collapsed="false">
      <c r="H286" s="5" t="str">
        <v>tengah</v>
      </c>
      <c r="I286" s="5"/>
      <c r="J286" s="5"/>
    </row>
    <row r="287" customFormat="false" ht="15" hidden="false" customHeight="false" outlineLevel="0" collapsed="false">
      <c r="H287" s="5" t="str">
        <v>kanan</v>
      </c>
      <c r="I287" s="5"/>
      <c r="J287" s="5"/>
    </row>
    <row r="288" customFormat="false" ht="15" hidden="false" customHeight="false" outlineLevel="0" collapsed="false">
      <c r="H288" s="5" t="str">
        <v>kanan</v>
      </c>
      <c r="I288" s="5"/>
      <c r="J288" s="5"/>
    </row>
    <row r="289" customFormat="false" ht="15" hidden="false" customHeight="false" outlineLevel="0" collapsed="false">
      <c r="H289" s="5" t="str">
        <v>tengah</v>
      </c>
      <c r="I289" s="5"/>
      <c r="J289" s="5"/>
    </row>
    <row r="290" customFormat="false" ht="15" hidden="false" customHeight="false" outlineLevel="0" collapsed="false">
      <c r="H290" s="5" t="str">
        <v>kanan</v>
      </c>
      <c r="I290" s="5"/>
      <c r="J290" s="5"/>
    </row>
    <row r="291" customFormat="false" ht="15" hidden="false" customHeight="false" outlineLevel="0" collapsed="false">
      <c r="H291" s="5" t="str">
        <v>kanan</v>
      </c>
      <c r="I291" s="5"/>
      <c r="J291" s="5"/>
    </row>
    <row r="292" customFormat="false" ht="15" hidden="false" customHeight="false" outlineLevel="0" collapsed="false">
      <c r="H292" s="5" t="str">
        <v>kanan</v>
      </c>
      <c r="I292" s="5"/>
      <c r="J292" s="5"/>
    </row>
    <row r="293" customFormat="false" ht="15" hidden="false" customHeight="false" outlineLevel="0" collapsed="false">
      <c r="H293" s="5" t="str">
        <v>kanan</v>
      </c>
      <c r="I293" s="5"/>
      <c r="J293" s="5"/>
    </row>
    <row r="294" customFormat="false" ht="15" hidden="false" customHeight="false" outlineLevel="0" collapsed="false">
      <c r="H294" s="5" t="str">
        <v>kanan</v>
      </c>
      <c r="I294" s="5"/>
      <c r="J294" s="5"/>
    </row>
    <row r="295" customFormat="false" ht="15" hidden="false" customHeight="false" outlineLevel="0" collapsed="false">
      <c r="H295" s="5" t="str">
        <v>kanan</v>
      </c>
      <c r="I295" s="5"/>
      <c r="J295" s="5"/>
    </row>
    <row r="296" customFormat="false" ht="15" hidden="false" customHeight="false" outlineLevel="0" collapsed="false">
      <c r="H296" s="5" t="str">
        <v>kanan</v>
      </c>
      <c r="I296" s="5"/>
      <c r="J296" s="5"/>
    </row>
    <row r="297" customFormat="false" ht="15" hidden="false" customHeight="false" outlineLevel="0" collapsed="false">
      <c r="H297" s="5" t="str">
        <v>kanan</v>
      </c>
      <c r="I297" s="5"/>
      <c r="J297" s="5"/>
    </row>
    <row r="298" customFormat="false" ht="15" hidden="false" customHeight="false" outlineLevel="0" collapsed="false">
      <c r="H298" s="5" t="str">
        <v>tengah</v>
      </c>
      <c r="I298" s="5"/>
      <c r="J298" s="5"/>
    </row>
    <row r="299" customFormat="false" ht="15" hidden="false" customHeight="false" outlineLevel="0" collapsed="false">
      <c r="H299" s="5" t="str">
        <v>tengah</v>
      </c>
      <c r="I299" s="5"/>
      <c r="J299" s="5"/>
    </row>
    <row r="300" customFormat="false" ht="15" hidden="false" customHeight="false" outlineLevel="0" collapsed="false">
      <c r="H300" s="5" t="str">
        <v>kanan</v>
      </c>
      <c r="I300" s="5"/>
      <c r="J300" s="5"/>
    </row>
    <row r="301" customFormat="false" ht="15" hidden="false" customHeight="false" outlineLevel="0" collapsed="false">
      <c r="H301" s="5" t="str">
        <v>kanan</v>
      </c>
      <c r="I301" s="5"/>
      <c r="J301" s="5"/>
    </row>
    <row r="302" customFormat="false" ht="15" hidden="false" customHeight="false" outlineLevel="0" collapsed="false">
      <c r="H302" s="5" t="str">
        <v>tengah</v>
      </c>
      <c r="I302" s="5"/>
      <c r="J302" s="5"/>
    </row>
    <row r="303" customFormat="false" ht="15" hidden="false" customHeight="false" outlineLevel="0" collapsed="false">
      <c r="H303" s="5" t="str">
        <v>tengah</v>
      </c>
      <c r="I303" s="5"/>
      <c r="J303" s="5"/>
    </row>
    <row r="304" customFormat="false" ht="15" hidden="false" customHeight="false" outlineLevel="0" collapsed="false">
      <c r="H304" s="5" t="str">
        <v>tengah</v>
      </c>
      <c r="I304" s="5"/>
      <c r="J304" s="5"/>
    </row>
    <row r="305" customFormat="false" ht="15" hidden="false" customHeight="false" outlineLevel="0" collapsed="false">
      <c r="H305" s="5" t="str">
        <v>kanan</v>
      </c>
      <c r="I305" s="5"/>
      <c r="J305" s="5"/>
    </row>
    <row r="306" customFormat="false" ht="15" hidden="false" customHeight="false" outlineLevel="0" collapsed="false">
      <c r="H306" s="5" t="str">
        <v>kanan</v>
      </c>
      <c r="I306" s="5"/>
      <c r="J306" s="5"/>
    </row>
    <row r="307" customFormat="false" ht="15" hidden="false" customHeight="false" outlineLevel="0" collapsed="false">
      <c r="H307" s="5" t="str">
        <v>tengah</v>
      </c>
      <c r="I307" s="5"/>
      <c r="J307" s="5"/>
    </row>
    <row r="308" customFormat="false" ht="15" hidden="false" customHeight="false" outlineLevel="0" collapsed="false">
      <c r="H308" s="5" t="str">
        <v>tengah</v>
      </c>
      <c r="I308" s="5"/>
      <c r="J308" s="5"/>
    </row>
    <row r="309" customFormat="false" ht="15" hidden="false" customHeight="false" outlineLevel="0" collapsed="false">
      <c r="H309" s="5" t="str">
        <v>tengah</v>
      </c>
      <c r="I309" s="5"/>
      <c r="J309" s="5"/>
    </row>
    <row r="310" customFormat="false" ht="15" hidden="false" customHeight="false" outlineLevel="0" collapsed="false">
      <c r="H310" s="5" t="str">
        <v>tengah</v>
      </c>
      <c r="I310" s="5"/>
      <c r="J310" s="5"/>
    </row>
    <row r="311" customFormat="false" ht="15" hidden="false" customHeight="false" outlineLevel="0" collapsed="false">
      <c r="H311" s="5" t="str">
        <v>tengah</v>
      </c>
      <c r="I311" s="5"/>
      <c r="J311" s="5"/>
    </row>
    <row r="312" customFormat="false" ht="15" hidden="false" customHeight="false" outlineLevel="0" collapsed="false">
      <c r="H312" s="5" t="str">
        <v>kanan</v>
      </c>
      <c r="I312" s="5"/>
      <c r="J312" s="5"/>
    </row>
    <row r="313" customFormat="false" ht="15" hidden="false" customHeight="false" outlineLevel="0" collapsed="false">
      <c r="H313" s="5" t="str">
        <v>tengah</v>
      </c>
      <c r="I313" s="5"/>
      <c r="J313" s="5"/>
    </row>
    <row r="314" customFormat="false" ht="15" hidden="false" customHeight="false" outlineLevel="0" collapsed="false">
      <c r="H314" s="5" t="str">
        <v>tengah</v>
      </c>
      <c r="I314" s="5"/>
      <c r="J314" s="5"/>
    </row>
    <row r="315" customFormat="false" ht="15" hidden="false" customHeight="false" outlineLevel="0" collapsed="false">
      <c r="H315" s="5" t="str">
        <v>tengah</v>
      </c>
      <c r="I315" s="5"/>
      <c r="J315" s="5"/>
    </row>
    <row r="316" customFormat="false" ht="15" hidden="false" customHeight="false" outlineLevel="0" collapsed="false">
      <c r="H316" s="5" t="str">
        <v>tengah</v>
      </c>
      <c r="I316" s="5"/>
      <c r="J316" s="5"/>
    </row>
    <row r="317" customFormat="false" ht="15" hidden="false" customHeight="false" outlineLevel="0" collapsed="false">
      <c r="H317" s="5" t="str">
        <v>tengah</v>
      </c>
      <c r="I317" s="5"/>
      <c r="J317" s="5"/>
    </row>
    <row r="318" customFormat="false" ht="15" hidden="false" customHeight="false" outlineLevel="0" collapsed="false">
      <c r="H318" s="5" t="str">
        <v>tengah</v>
      </c>
      <c r="I318" s="5"/>
      <c r="J318" s="5"/>
    </row>
    <row r="319" customFormat="false" ht="15" hidden="false" customHeight="false" outlineLevel="0" collapsed="false">
      <c r="H319" s="5" t="str">
        <v>tengah</v>
      </c>
      <c r="I319" s="5"/>
      <c r="J319" s="5"/>
    </row>
    <row r="320" customFormat="false" ht="15" hidden="false" customHeight="false" outlineLevel="0" collapsed="false">
      <c r="H320" s="5" t="str">
        <v>tengah</v>
      </c>
      <c r="I320" s="5"/>
      <c r="J320" s="5"/>
    </row>
    <row r="321" customFormat="false" ht="15" hidden="false" customHeight="false" outlineLevel="0" collapsed="false">
      <c r="H321" s="5" t="str">
        <v>tengah</v>
      </c>
      <c r="I321" s="5"/>
      <c r="J321" s="5"/>
    </row>
    <row r="322" customFormat="false" ht="15" hidden="false" customHeight="false" outlineLevel="0" collapsed="false">
      <c r="H322" s="5" t="str">
        <v>kanan</v>
      </c>
      <c r="I322" s="5"/>
      <c r="J322" s="5"/>
    </row>
    <row r="323" customFormat="false" ht="15" hidden="false" customHeight="false" outlineLevel="0" collapsed="false">
      <c r="H323" s="5" t="str">
        <v>kanan</v>
      </c>
      <c r="I323" s="5"/>
      <c r="J323" s="5"/>
    </row>
    <row r="324" customFormat="false" ht="15" hidden="false" customHeight="false" outlineLevel="0" collapsed="false">
      <c r="H324" s="5" t="str">
        <v>kanan</v>
      </c>
      <c r="I324" s="5"/>
      <c r="J324" s="5"/>
    </row>
    <row r="325" customFormat="false" ht="15" hidden="false" customHeight="false" outlineLevel="0" collapsed="false">
      <c r="H325" s="5" t="str">
        <v>tengah</v>
      </c>
      <c r="I325" s="5"/>
      <c r="J325" s="5"/>
    </row>
    <row r="326" customFormat="false" ht="15" hidden="false" customHeight="false" outlineLevel="0" collapsed="false">
      <c r="H326" s="5" t="str">
        <v>kanan</v>
      </c>
      <c r="I326" s="5"/>
      <c r="J326" s="5"/>
    </row>
    <row r="327" customFormat="false" ht="15" hidden="false" customHeight="false" outlineLevel="0" collapsed="false">
      <c r="H327" s="5" t="str">
        <v>tengah</v>
      </c>
      <c r="I327" s="5"/>
      <c r="J327" s="5"/>
    </row>
    <row r="328" customFormat="false" ht="15" hidden="false" customHeight="false" outlineLevel="0" collapsed="false">
      <c r="H328" s="5" t="str">
        <v>tengah</v>
      </c>
      <c r="I328" s="5"/>
      <c r="J328" s="5"/>
    </row>
    <row r="329" customFormat="false" ht="15" hidden="false" customHeight="false" outlineLevel="0" collapsed="false">
      <c r="H329" s="5" t="str">
        <v>kanan</v>
      </c>
      <c r="I329" s="5"/>
      <c r="J329" s="5"/>
    </row>
    <row r="330" customFormat="false" ht="15" hidden="false" customHeight="false" outlineLevel="0" collapsed="false">
      <c r="H330" s="5" t="str">
        <v>tengah</v>
      </c>
      <c r="I330" s="5"/>
      <c r="J330" s="5"/>
    </row>
    <row r="331" customFormat="false" ht="15" hidden="false" customHeight="false" outlineLevel="0" collapsed="false">
      <c r="H331" s="5" t="str">
        <v>kanan</v>
      </c>
      <c r="I331" s="5"/>
      <c r="J331" s="5"/>
    </row>
    <row r="332" customFormat="false" ht="15" hidden="false" customHeight="false" outlineLevel="0" collapsed="false">
      <c r="H332" s="5" t="str">
        <v>tengah</v>
      </c>
      <c r="I332" s="5"/>
      <c r="J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2"/>
  <sheetViews>
    <sheetView showFormulas="false" showGridLines="true" showRowColHeaders="true" showZeros="true" rightToLeft="false" tabSelected="false" showOutlineSymbols="true" defaultGridColor="true" view="normal" topLeftCell="L7" colorId="64" zoomScale="91" zoomScaleNormal="91" zoomScalePageLayoutView="100" workbookViewId="0">
      <selection pane="topLeft" activeCell="X17" activeCellId="0" sqref="X17"/>
    </sheetView>
  </sheetViews>
  <sheetFormatPr defaultColWidth="9.00390625" defaultRowHeight="15" customHeight="false" zeroHeight="false" outlineLevelRow="0" outlineLevelCol="0"/>
  <cols>
    <col collapsed="false" customWidth="true" hidden="false" outlineLevel="0" max="3" min="3" style="0" width="15.86"/>
    <col collapsed="false" customWidth="true" hidden="false" outlineLevel="0" max="6" min="6" style="0" width="13.86"/>
    <col collapsed="false" customWidth="true" hidden="false" outlineLevel="0" max="10" min="10" style="0" width="15.86"/>
    <col collapsed="false" customWidth="true" hidden="false" outlineLevel="0" max="11" min="11" style="0" width="22"/>
    <col collapsed="false" customWidth="true" hidden="false" outlineLevel="0" max="12" min="12" style="0" width="13.29"/>
    <col collapsed="false" customWidth="true" hidden="false" outlineLevel="0" max="13" min="13" style="0" width="13.86"/>
    <col collapsed="false" customWidth="true" hidden="false" outlineLevel="0" max="15" min="15" style="0" width="24.86"/>
    <col collapsed="false" customWidth="true" hidden="false" outlineLevel="0" max="16" min="16" style="0" width="12"/>
    <col collapsed="false" customWidth="true" hidden="false" outlineLevel="0" max="17" min="17" style="0" width="12.72"/>
    <col collapsed="false" customWidth="true" hidden="false" outlineLevel="0" max="20" min="20" style="0" width="14.29"/>
    <col collapsed="false" customWidth="true" hidden="false" outlineLevel="0" max="22" min="21" style="0" width="12"/>
  </cols>
  <sheetData>
    <row r="1" customFormat="false" ht="15" hidden="false" customHeight="false" outlineLevel="0" collapsed="false">
      <c r="A1" s="4" t="s">
        <v>173</v>
      </c>
      <c r="B1" s="4" t="s">
        <v>1</v>
      </c>
      <c r="C1" s="4" t="s">
        <v>2</v>
      </c>
      <c r="D1" s="4" t="s">
        <v>172</v>
      </c>
      <c r="E1" s="4" t="s">
        <v>4</v>
      </c>
      <c r="F1" s="4" t="s">
        <v>5</v>
      </c>
      <c r="H1" s="5" t="s">
        <v>173</v>
      </c>
      <c r="I1" s="5" t="s">
        <v>1</v>
      </c>
      <c r="J1" s="5" t="s">
        <v>2</v>
      </c>
      <c r="K1" s="5" t="s">
        <v>172</v>
      </c>
      <c r="L1" s="5" t="s">
        <v>4</v>
      </c>
      <c r="M1" s="5" t="s">
        <v>5</v>
      </c>
      <c r="O1" s="4" t="s">
        <v>174</v>
      </c>
      <c r="P1" s="3"/>
      <c r="Q1" s="3"/>
    </row>
    <row r="2" customFormat="false" ht="15" hidden="false" customHeight="false" outlineLevel="0" collapsed="false">
      <c r="A2" s="5" t="n">
        <f aca="false">RANDBETWEEN(2,164)</f>
        <v>18</v>
      </c>
      <c r="B2" s="5" t="n">
        <f aca="false" t="array" ref="B2:B2">INDEX(Data_DBD!$B:$B,$A2)</f>
        <v>49</v>
      </c>
      <c r="C2" s="5" t="n">
        <f aca="false" t="array" ref="C2:C2">INDEX(Data_DBD!$C:$C,$A2)</f>
        <v>4</v>
      </c>
      <c r="D2" s="5" t="n">
        <f aca="false" t="array" ref="D2:D2">INDEX(Data_DBD!$D:$D,$A2)</f>
        <v>7</v>
      </c>
      <c r="E2" s="5" t="n">
        <f aca="false" t="array" ref="E2:E2">INDEX(Data_DBD!$E:$E,$A2)</f>
        <v>1</v>
      </c>
      <c r="F2" s="5" t="str">
        <f aca="false" t="array" ref="F2:F2">INDEX(Data_DBD!$F:$F,$A2)</f>
        <v>Rendah</v>
      </c>
      <c r="H2" s="5" t="n">
        <v>14</v>
      </c>
      <c r="I2" s="5" t="n">
        <v>49</v>
      </c>
      <c r="J2" s="5" t="n">
        <v>4</v>
      </c>
      <c r="K2" s="5" t="n">
        <v>7</v>
      </c>
      <c r="L2" s="5" t="n">
        <v>1</v>
      </c>
      <c r="M2" s="5" t="s">
        <v>20</v>
      </c>
      <c r="O2" s="3" t="s">
        <v>115</v>
      </c>
      <c r="P2" s="3" t="n">
        <f aca="false">COUNTIF(M2:M164,"Tinggi")</f>
        <v>57</v>
      </c>
      <c r="Q2" s="3" t="n">
        <f aca="false">P2/163</f>
        <v>0.349693251533742</v>
      </c>
    </row>
    <row r="3" customFormat="false" ht="15" hidden="false" customHeight="false" outlineLevel="0" collapsed="false">
      <c r="A3" s="5" t="n">
        <f aca="false">RANDBETWEEN(2,164)</f>
        <v>17</v>
      </c>
      <c r="B3" s="5" t="n">
        <f aca="false" t="array" ref="B3:B3">INDEX(Data_DBD!$B:$B,$A3)</f>
        <v>2</v>
      </c>
      <c r="C3" s="5" t="n">
        <f aca="false" t="array" ref="C3:C3">INDEX(Data_DBD!$C:$C,$A3)</f>
        <v>3</v>
      </c>
      <c r="D3" s="5" t="n">
        <f aca="false" t="array" ref="D3:D3">INDEX(Data_DBD!$D:$D,$A3)</f>
        <v>7</v>
      </c>
      <c r="E3" s="5" t="n">
        <f aca="false" t="array" ref="E3:E3">INDEX(Data_DBD!$E:$E,$A3)</f>
        <v>0</v>
      </c>
      <c r="F3" s="5" t="str">
        <f aca="false" t="array" ref="F3:F3">INDEX(Data_DBD!$F:$F,$A3)</f>
        <v>Rendah</v>
      </c>
      <c r="H3" s="5" t="n">
        <v>127</v>
      </c>
      <c r="I3" s="5" t="n">
        <v>21</v>
      </c>
      <c r="J3" s="5" t="n">
        <v>2</v>
      </c>
      <c r="K3" s="5" t="n">
        <v>33</v>
      </c>
      <c r="L3" s="5" t="n">
        <v>0</v>
      </c>
      <c r="M3" s="5" t="s">
        <v>115</v>
      </c>
      <c r="O3" s="3" t="s">
        <v>7</v>
      </c>
      <c r="P3" s="3" t="n">
        <f aca="false">COUNTIF(M2:M164,"Sedang")</f>
        <v>82</v>
      </c>
      <c r="Q3" s="3" t="n">
        <f aca="false">P3/163</f>
        <v>0.503067484662577</v>
      </c>
    </row>
    <row r="4" customFormat="false" ht="15" hidden="false" customHeight="false" outlineLevel="0" collapsed="false">
      <c r="A4" s="5" t="n">
        <f aca="false">RANDBETWEEN(2,164)</f>
        <v>159</v>
      </c>
      <c r="B4" s="5" t="n">
        <f aca="false" t="array" ref="B4:B4">INDEX(Data_DBD!$B:$B,$A4)</f>
        <v>17</v>
      </c>
      <c r="C4" s="5" t="n">
        <f aca="false" t="array" ref="C4:C4">INDEX(Data_DBD!$C:$C,$A4)</f>
        <v>2</v>
      </c>
      <c r="D4" s="5" t="n">
        <f aca="false" t="array" ref="D4:D4">INDEX(Data_DBD!$D:$D,$A4)</f>
        <v>21</v>
      </c>
      <c r="E4" s="5" t="n">
        <f aca="false" t="array" ref="E4:E4">INDEX(Data_DBD!$E:$E,$A4)</f>
        <v>0</v>
      </c>
      <c r="F4" s="5" t="str">
        <f aca="false" t="array" ref="F4:F4">INDEX(Data_DBD!$F:$F,$A4)</f>
        <v>Tinggi</v>
      </c>
      <c r="H4" s="5" t="n">
        <v>62</v>
      </c>
      <c r="I4" s="5" t="n">
        <v>43</v>
      </c>
      <c r="J4" s="5" t="n">
        <v>4</v>
      </c>
      <c r="K4" s="5" t="n">
        <v>15</v>
      </c>
      <c r="L4" s="5" t="n">
        <v>1</v>
      </c>
      <c r="M4" s="5" t="s">
        <v>7</v>
      </c>
      <c r="O4" s="3" t="s">
        <v>20</v>
      </c>
      <c r="P4" s="3" t="n">
        <f aca="false">COUNTIF(M2:M164,"Rendah")</f>
        <v>24</v>
      </c>
      <c r="Q4" s="3" t="n">
        <f aca="false">P4/163</f>
        <v>0.147239263803681</v>
      </c>
    </row>
    <row r="5" customFormat="false" ht="15" hidden="false" customHeight="false" outlineLevel="0" collapsed="false">
      <c r="A5" s="5" t="n">
        <f aca="false">RANDBETWEEN(2,164)</f>
        <v>55</v>
      </c>
      <c r="B5" s="5" t="n">
        <f aca="false" t="array" ref="B5:B5">INDEX(Data_DBD!$B:$B,$A5)</f>
        <v>7</v>
      </c>
      <c r="C5" s="5" t="n">
        <f aca="false" t="array" ref="C5:C5">INDEX(Data_DBD!$C:$C,$A5)</f>
        <v>4</v>
      </c>
      <c r="D5" s="5" t="n">
        <f aca="false" t="array" ref="D5:D5">INDEX(Data_DBD!$D:$D,$A5)</f>
        <v>15</v>
      </c>
      <c r="E5" s="5" t="n">
        <f aca="false" t="array" ref="E5:E5">INDEX(Data_DBD!$E:$E,$A5)</f>
        <v>1</v>
      </c>
      <c r="F5" s="5" t="str">
        <f aca="false" t="array" ref="F5:F5">INDEX(Data_DBD!$F:$F,$A5)</f>
        <v>Sedang</v>
      </c>
      <c r="H5" s="5" t="n">
        <v>137</v>
      </c>
      <c r="I5" s="5" t="n">
        <v>3</v>
      </c>
      <c r="J5" s="5" t="n">
        <v>1</v>
      </c>
      <c r="K5" s="5" t="n">
        <v>33</v>
      </c>
      <c r="L5" s="5" t="n">
        <v>1</v>
      </c>
      <c r="M5" s="5" t="s">
        <v>115</v>
      </c>
      <c r="O5" s="6" t="s">
        <v>175</v>
      </c>
      <c r="P5" s="0" t="n">
        <f aca="false">-(IFERROR(Q2*LOG(Q2,2),0)+IFERROR(Q3*LOG(Q3,2),0)+IFERROR(Q4*LOG(Q4,2),0))</f>
        <v>1.4356416805907</v>
      </c>
    </row>
    <row r="6" customFormat="false" ht="15" hidden="false" customHeight="false" outlineLevel="0" collapsed="false">
      <c r="A6" s="5" t="n">
        <f aca="false">RANDBETWEEN(2,164)</f>
        <v>80</v>
      </c>
      <c r="B6" s="5" t="n">
        <f aca="false" t="array" ref="B6:B6">INDEX(Data_DBD!$B:$B,$A6)</f>
        <v>27</v>
      </c>
      <c r="C6" s="5" t="n">
        <f aca="false" t="array" ref="C6:C6">INDEX(Data_DBD!$C:$C,$A6)</f>
        <v>3</v>
      </c>
      <c r="D6" s="5" t="n">
        <f aca="false" t="array" ref="D6:D6">INDEX(Data_DBD!$D:$D,$A6)</f>
        <v>13</v>
      </c>
      <c r="E6" s="5" t="n">
        <f aca="false" t="array" ref="E6:E6">INDEX(Data_DBD!$E:$E,$A6)</f>
        <v>1</v>
      </c>
      <c r="F6" s="5" t="str">
        <f aca="false" t="array" ref="F6:F6">INDEX(Data_DBD!$F:$F,$A6)</f>
        <v>Sedang</v>
      </c>
      <c r="H6" s="5" t="n">
        <v>25</v>
      </c>
      <c r="I6" s="5" t="n">
        <v>81</v>
      </c>
      <c r="J6" s="5" t="n">
        <v>5</v>
      </c>
      <c r="K6" s="5" t="n">
        <v>14</v>
      </c>
      <c r="L6" s="5" t="n">
        <v>0</v>
      </c>
      <c r="M6" s="5" t="s">
        <v>7</v>
      </c>
    </row>
    <row r="7" customFormat="false" ht="15" hidden="false" customHeight="false" outlineLevel="0" collapsed="false">
      <c r="A7" s="5" t="n">
        <f aca="false">RANDBETWEEN(2,164)</f>
        <v>118</v>
      </c>
      <c r="B7" s="5" t="n">
        <f aca="false" t="array" ref="B7:B7">INDEX(Data_DBD!$B:$B,$A7)</f>
        <v>67</v>
      </c>
      <c r="C7" s="5" t="n">
        <f aca="false" t="array" ref="C7:C7">INDEX(Data_DBD!$C:$C,$A7)</f>
        <v>4</v>
      </c>
      <c r="D7" s="5" t="n">
        <f aca="false" t="array" ref="D7:D7">INDEX(Data_DBD!$D:$D,$A7)</f>
        <v>33</v>
      </c>
      <c r="E7" s="5" t="n">
        <f aca="false" t="array" ref="E7:E7">INDEX(Data_DBD!$E:$E,$A7)</f>
        <v>1</v>
      </c>
      <c r="F7" s="5" t="str">
        <f aca="false" t="array" ref="F7:F7">INDEX(Data_DBD!$F:$F,$A7)</f>
        <v>Tinggi</v>
      </c>
      <c r="H7" s="5" t="n">
        <v>151</v>
      </c>
      <c r="I7" s="5" t="n">
        <v>24</v>
      </c>
      <c r="J7" s="5" t="n">
        <v>3</v>
      </c>
      <c r="K7" s="5" t="n">
        <v>21</v>
      </c>
      <c r="L7" s="5" t="n">
        <v>0</v>
      </c>
      <c r="M7" s="5" t="s">
        <v>115</v>
      </c>
    </row>
    <row r="8" customFormat="false" ht="15" hidden="false" customHeight="false" outlineLevel="0" collapsed="false">
      <c r="A8" s="5" t="n">
        <f aca="false">RANDBETWEEN(2,164)</f>
        <v>132</v>
      </c>
      <c r="B8" s="5" t="n">
        <f aca="false" t="array" ref="B8:B8">INDEX(Data_DBD!$B:$B,$A8)</f>
        <v>10</v>
      </c>
      <c r="C8" s="5" t="n">
        <f aca="false" t="array" ref="C8:C8">INDEX(Data_DBD!$C:$C,$A8)</f>
        <v>3</v>
      </c>
      <c r="D8" s="5" t="n">
        <f aca="false" t="array" ref="D8:D8">INDEX(Data_DBD!$D:$D,$A8)</f>
        <v>33</v>
      </c>
      <c r="E8" s="5" t="n">
        <f aca="false" t="array" ref="E8:E8">INDEX(Data_DBD!$E:$E,$A8)</f>
        <v>1</v>
      </c>
      <c r="F8" s="5" t="str">
        <f aca="false" t="array" ref="F8:F8">INDEX(Data_DBD!$F:$F,$A8)</f>
        <v>Tinggi</v>
      </c>
      <c r="H8" s="5" t="n">
        <v>138</v>
      </c>
      <c r="I8" s="5" t="n">
        <v>13</v>
      </c>
      <c r="J8" s="5" t="n">
        <v>3</v>
      </c>
      <c r="K8" s="5" t="n">
        <v>33</v>
      </c>
      <c r="L8" s="5" t="n">
        <v>1</v>
      </c>
      <c r="M8" s="5" t="s">
        <v>115</v>
      </c>
    </row>
    <row r="9" customFormat="false" ht="15" hidden="false" customHeight="false" outlineLevel="0" collapsed="false">
      <c r="A9" s="5" t="n">
        <f aca="false">RANDBETWEEN(2,164)</f>
        <v>79</v>
      </c>
      <c r="B9" s="5" t="n">
        <f aca="false" t="array" ref="B9:B9">INDEX(Data_DBD!$B:$B,$A9)</f>
        <v>29</v>
      </c>
      <c r="C9" s="5" t="n">
        <f aca="false" t="array" ref="C9:C9">INDEX(Data_DBD!$C:$C,$A9)</f>
        <v>3</v>
      </c>
      <c r="D9" s="5" t="n">
        <f aca="false" t="array" ref="D9:D9">INDEX(Data_DBD!$D:$D,$A9)</f>
        <v>13</v>
      </c>
      <c r="E9" s="5" t="n">
        <f aca="false" t="array" ref="E9:E9">INDEX(Data_DBD!$E:$E,$A9)</f>
        <v>0</v>
      </c>
      <c r="F9" s="5" t="str">
        <f aca="false" t="array" ref="F9:F9">INDEX(Data_DBD!$F:$F,$A9)</f>
        <v>Sedang</v>
      </c>
      <c r="H9" s="5" t="n">
        <v>69</v>
      </c>
      <c r="I9" s="5" t="n">
        <v>24</v>
      </c>
      <c r="J9" s="5" t="n">
        <v>4</v>
      </c>
      <c r="K9" s="5" t="n">
        <v>10</v>
      </c>
      <c r="L9" s="5" t="n">
        <v>1</v>
      </c>
      <c r="M9" s="5" t="s">
        <v>20</v>
      </c>
    </row>
    <row r="10" customFormat="false" ht="15" hidden="false" customHeight="false" outlineLevel="0" collapsed="false">
      <c r="A10" s="5" t="n">
        <f aca="false">RANDBETWEEN(2,164)</f>
        <v>70</v>
      </c>
      <c r="B10" s="5" t="n">
        <f aca="false" t="array" ref="B10:B10">INDEX(Data_DBD!$B:$B,$A10)</f>
        <v>26</v>
      </c>
      <c r="C10" s="5" t="n">
        <f aca="false" t="array" ref="C10:C10">INDEX(Data_DBD!$C:$C,$A10)</f>
        <v>3</v>
      </c>
      <c r="D10" s="5" t="n">
        <f aca="false" t="array" ref="D10:D10">INDEX(Data_DBD!$D:$D,$A10)</f>
        <v>10</v>
      </c>
      <c r="E10" s="5" t="n">
        <f aca="false" t="array" ref="E10:E10">INDEX(Data_DBD!$E:$E,$A10)</f>
        <v>1</v>
      </c>
      <c r="F10" s="5" t="str">
        <f aca="false" t="array" ref="F10:F10">INDEX(Data_DBD!$F:$F,$A10)</f>
        <v>Rendah</v>
      </c>
      <c r="H10" s="5" t="n">
        <v>23</v>
      </c>
      <c r="I10" s="5" t="n">
        <v>28</v>
      </c>
      <c r="J10" s="5" t="n">
        <v>4</v>
      </c>
      <c r="K10" s="5" t="n">
        <v>14</v>
      </c>
      <c r="L10" s="5" t="n">
        <v>1</v>
      </c>
      <c r="M10" s="5" t="s">
        <v>7</v>
      </c>
    </row>
    <row r="11" customFormat="false" ht="15" hidden="false" customHeight="false" outlineLevel="0" collapsed="false">
      <c r="A11" s="5" t="n">
        <f aca="false">RANDBETWEEN(2,164)</f>
        <v>87</v>
      </c>
      <c r="B11" s="5" t="n">
        <f aca="false" t="array" ref="B11:B11">INDEX(Data_DBD!$B:$B,$A11)</f>
        <v>21</v>
      </c>
      <c r="C11" s="5" t="n">
        <f aca="false" t="array" ref="C11:C11">INDEX(Data_DBD!$C:$C,$A11)</f>
        <v>3</v>
      </c>
      <c r="D11" s="5" t="n">
        <f aca="false" t="array" ref="D11:D11">INDEX(Data_DBD!$D:$D,$A11)</f>
        <v>13</v>
      </c>
      <c r="E11" s="5" t="n">
        <f aca="false" t="array" ref="E11:E11">INDEX(Data_DBD!$E:$E,$A11)</f>
        <v>0</v>
      </c>
      <c r="F11" s="5" t="str">
        <f aca="false" t="array" ref="F11:F11">INDEX(Data_DBD!$F:$F,$A11)</f>
        <v>Sedang</v>
      </c>
      <c r="H11" s="5" t="n">
        <v>87</v>
      </c>
      <c r="I11" s="5" t="n">
        <v>21</v>
      </c>
      <c r="J11" s="5" t="n">
        <v>3</v>
      </c>
      <c r="K11" s="5" t="n">
        <v>13</v>
      </c>
      <c r="L11" s="5" t="n">
        <v>0</v>
      </c>
      <c r="M11" s="5" t="s">
        <v>7</v>
      </c>
    </row>
    <row r="12" customFormat="false" ht="15" hidden="false" customHeight="false" outlineLevel="0" collapsed="false">
      <c r="A12" s="5" t="n">
        <f aca="false">RANDBETWEEN(2,164)</f>
        <v>89</v>
      </c>
      <c r="B12" s="5" t="n">
        <f aca="false" t="array" ref="B12:B12">INDEX(Data_DBD!$B:$B,$A12)</f>
        <v>32</v>
      </c>
      <c r="C12" s="5" t="n">
        <f aca="false" t="array" ref="C12:C12">INDEX(Data_DBD!$C:$C,$A12)</f>
        <v>4</v>
      </c>
      <c r="D12" s="5" t="n">
        <f aca="false" t="array" ref="D12:D12">INDEX(Data_DBD!$D:$D,$A12)</f>
        <v>13</v>
      </c>
      <c r="E12" s="5" t="n">
        <f aca="false" t="array" ref="E12:E12">INDEX(Data_DBD!$E:$E,$A12)</f>
        <v>0</v>
      </c>
      <c r="F12" s="5" t="str">
        <f aca="false" t="array" ref="F12:F12">INDEX(Data_DBD!$F:$F,$A12)</f>
        <v>Sedang</v>
      </c>
      <c r="H12" s="5" t="n">
        <v>34</v>
      </c>
      <c r="I12" s="5" t="n">
        <v>55</v>
      </c>
      <c r="J12" s="5" t="n">
        <v>3</v>
      </c>
      <c r="K12" s="5" t="n">
        <v>14</v>
      </c>
      <c r="L12" s="5" t="n">
        <v>0</v>
      </c>
      <c r="M12" s="5" t="s">
        <v>7</v>
      </c>
    </row>
    <row r="13" customFormat="false" ht="15.75" hidden="false" customHeight="true" outlineLevel="0" collapsed="false">
      <c r="A13" s="5" t="n">
        <f aca="false">RANDBETWEEN(2,164)</f>
        <v>46</v>
      </c>
      <c r="B13" s="5" t="n">
        <f aca="false" t="array" ref="B13:B13">INDEX(Data_DBD!$B:$B,$A13)</f>
        <v>62</v>
      </c>
      <c r="C13" s="5" t="n">
        <f aca="false" t="array" ref="C13:C13">INDEX(Data_DBD!$C:$C,$A13)</f>
        <v>2</v>
      </c>
      <c r="D13" s="5" t="n">
        <f aca="false" t="array" ref="D13:D13">INDEX(Data_DBD!$D:$D,$A13)</f>
        <v>13</v>
      </c>
      <c r="E13" s="5" t="n">
        <f aca="false" t="array" ref="E13:E13">INDEX(Data_DBD!$E:$E,$A13)</f>
        <v>0</v>
      </c>
      <c r="F13" s="5" t="str">
        <f aca="false" t="array" ref="F13:F13">INDEX(Data_DBD!$F:$F,$A13)</f>
        <v>Sedang</v>
      </c>
      <c r="H13" s="5" t="n">
        <v>29</v>
      </c>
      <c r="I13" s="5" t="n">
        <v>19</v>
      </c>
      <c r="J13" s="5" t="n">
        <v>2</v>
      </c>
      <c r="K13" s="5" t="n">
        <v>14</v>
      </c>
      <c r="L13" s="5" t="n">
        <v>1</v>
      </c>
      <c r="M13" s="5" t="s">
        <v>7</v>
      </c>
      <c r="U13" s="7" t="s">
        <v>226</v>
      </c>
    </row>
    <row r="14" customFormat="false" ht="15.75" hidden="false" customHeight="true" outlineLevel="0" collapsed="false">
      <c r="A14" s="5" t="n">
        <f aca="false">RANDBETWEEN(2,164)</f>
        <v>143</v>
      </c>
      <c r="B14" s="5" t="n">
        <f aca="false" t="array" ref="B14:B14">INDEX(Data_DBD!$B:$B,$A14)</f>
        <v>20</v>
      </c>
      <c r="C14" s="5" t="n">
        <f aca="false" t="array" ref="C14:C14">INDEX(Data_DBD!$C:$C,$A14)</f>
        <v>4</v>
      </c>
      <c r="D14" s="5" t="n">
        <f aca="false" t="array" ref="D14:D14">INDEX(Data_DBD!$D:$D,$A14)</f>
        <v>21</v>
      </c>
      <c r="E14" s="5" t="n">
        <f aca="false" t="array" ref="E14:E14">INDEX(Data_DBD!$E:$E,$A14)</f>
        <v>1</v>
      </c>
      <c r="F14" s="5" t="str">
        <f aca="false" t="array" ref="F14:F14">INDEX(Data_DBD!$F:$F,$A14)</f>
        <v>Tinggi</v>
      </c>
      <c r="H14" s="5" t="n">
        <v>154</v>
      </c>
      <c r="I14" s="5" t="n">
        <v>18</v>
      </c>
      <c r="J14" s="5" t="n">
        <v>5</v>
      </c>
      <c r="K14" s="5" t="n">
        <v>21</v>
      </c>
      <c r="L14" s="5" t="n">
        <v>1</v>
      </c>
      <c r="M14" s="5" t="s">
        <v>115</v>
      </c>
      <c r="U14" s="8" t="s">
        <v>177</v>
      </c>
    </row>
    <row r="15" customFormat="false" ht="15.75" hidden="false" customHeight="true" outlineLevel="0" collapsed="false">
      <c r="A15" s="5" t="n">
        <f aca="false">RANDBETWEEN(2,164)</f>
        <v>162</v>
      </c>
      <c r="B15" s="5" t="n">
        <f aca="false" t="array" ref="B15:B15">INDEX(Data_DBD!$B:$B,$A15)</f>
        <v>22</v>
      </c>
      <c r="C15" s="5" t="n">
        <f aca="false" t="array" ref="C15:C15">INDEX(Data_DBD!$C:$C,$A15)</f>
        <v>3</v>
      </c>
      <c r="D15" s="5" t="n">
        <f aca="false" t="array" ref="D15:D15">INDEX(Data_DBD!$D:$D,$A15)</f>
        <v>3</v>
      </c>
      <c r="E15" s="5" t="n">
        <f aca="false" t="array" ref="E15:E15">INDEX(Data_DBD!$E:$E,$A15)</f>
        <v>1</v>
      </c>
      <c r="F15" s="5" t="str">
        <f aca="false" t="array" ref="F15:F15">INDEX(Data_DBD!$F:$F,$A15)</f>
        <v>Rendah</v>
      </c>
      <c r="H15" s="5" t="n">
        <v>136</v>
      </c>
      <c r="I15" s="5" t="n">
        <v>6</v>
      </c>
      <c r="J15" s="5" t="n">
        <v>2</v>
      </c>
      <c r="K15" s="5" t="n">
        <v>33</v>
      </c>
      <c r="L15" s="5" t="n">
        <v>0</v>
      </c>
      <c r="M15" s="5" t="s">
        <v>115</v>
      </c>
      <c r="U15" s="9" t="s">
        <v>227</v>
      </c>
    </row>
    <row r="16" customFormat="false" ht="15.75" hidden="false" customHeight="true" outlineLevel="0" collapsed="false">
      <c r="A16" s="5" t="n">
        <f aca="false">RANDBETWEEN(2,164)</f>
        <v>155</v>
      </c>
      <c r="B16" s="5" t="n">
        <f aca="false" t="array" ref="B16:B16">INDEX(Data_DBD!$B:$B,$A16)</f>
        <v>19</v>
      </c>
      <c r="C16" s="5" t="n">
        <f aca="false" t="array" ref="C16:C16">INDEX(Data_DBD!$C:$C,$A16)</f>
        <v>5</v>
      </c>
      <c r="D16" s="5" t="n">
        <f aca="false" t="array" ref="D16:D16">INDEX(Data_DBD!$D:$D,$A16)</f>
        <v>21</v>
      </c>
      <c r="E16" s="5" t="n">
        <f aca="false" t="array" ref="E16:E16">INDEX(Data_DBD!$E:$E,$A16)</f>
        <v>1</v>
      </c>
      <c r="F16" s="5" t="str">
        <f aca="false" t="array" ref="F16:F16">INDEX(Data_DBD!$F:$F,$A16)</f>
        <v>Tinggi</v>
      </c>
      <c r="H16" s="5" t="n">
        <v>111</v>
      </c>
      <c r="I16" s="5" t="n">
        <v>25</v>
      </c>
      <c r="J16" s="5" t="n">
        <v>4</v>
      </c>
      <c r="K16" s="5" t="n">
        <v>33</v>
      </c>
      <c r="L16" s="5" t="n">
        <v>0</v>
      </c>
      <c r="M16" s="5" t="s">
        <v>115</v>
      </c>
      <c r="U16" s="9" t="s">
        <v>228</v>
      </c>
    </row>
    <row r="17" customFormat="false" ht="15.75" hidden="false" customHeight="true" outlineLevel="0" collapsed="false">
      <c r="A17" s="5" t="n">
        <f aca="false">RANDBETWEEN(2,164)</f>
        <v>121</v>
      </c>
      <c r="B17" s="5" t="n">
        <f aca="false" t="array" ref="B17:B17">INDEX(Data_DBD!$B:$B,$A17)</f>
        <v>82</v>
      </c>
      <c r="C17" s="5" t="n">
        <f aca="false" t="array" ref="C17:C17">INDEX(Data_DBD!$C:$C,$A17)</f>
        <v>5</v>
      </c>
      <c r="D17" s="5" t="n">
        <f aca="false" t="array" ref="D17:D17">INDEX(Data_DBD!$D:$D,$A17)</f>
        <v>33</v>
      </c>
      <c r="E17" s="5" t="n">
        <f aca="false" t="array" ref="E17:E17">INDEX(Data_DBD!$E:$E,$A17)</f>
        <v>1</v>
      </c>
      <c r="F17" s="5" t="str">
        <f aca="false" t="array" ref="F17:F17">INDEX(Data_DBD!$F:$F,$A17)</f>
        <v>Tinggi</v>
      </c>
      <c r="H17" s="5" t="n">
        <v>163</v>
      </c>
      <c r="I17" s="5" t="n">
        <v>34</v>
      </c>
      <c r="J17" s="5" t="n">
        <v>4</v>
      </c>
      <c r="K17" s="5" t="n">
        <v>3</v>
      </c>
      <c r="L17" s="5" t="n">
        <v>1</v>
      </c>
      <c r="M17" s="5" t="s">
        <v>20</v>
      </c>
      <c r="U17" s="8" t="s">
        <v>180</v>
      </c>
    </row>
    <row r="18" customFormat="false" ht="15.75" hidden="false" customHeight="true" outlineLevel="0" collapsed="false">
      <c r="A18" s="5" t="n">
        <f aca="false">RANDBETWEEN(2,164)</f>
        <v>80</v>
      </c>
      <c r="B18" s="5" t="n">
        <f aca="false" t="array" ref="B18:B18">INDEX(Data_DBD!$B:$B,$A18)</f>
        <v>27</v>
      </c>
      <c r="C18" s="5" t="n">
        <f aca="false" t="array" ref="C18:C18">INDEX(Data_DBD!$C:$C,$A18)</f>
        <v>3</v>
      </c>
      <c r="D18" s="5" t="n">
        <f aca="false" t="array" ref="D18:D18">INDEX(Data_DBD!$D:$D,$A18)</f>
        <v>13</v>
      </c>
      <c r="E18" s="5" t="n">
        <f aca="false" t="array" ref="E18:E18">INDEX(Data_DBD!$E:$E,$A18)</f>
        <v>1</v>
      </c>
      <c r="F18" s="5" t="str">
        <f aca="false" t="array" ref="F18:F18">INDEX(Data_DBD!$F:$F,$A18)</f>
        <v>Sedang</v>
      </c>
      <c r="H18" s="5" t="n">
        <v>17</v>
      </c>
      <c r="I18" s="5" t="n">
        <v>2</v>
      </c>
      <c r="J18" s="5" t="n">
        <v>3</v>
      </c>
      <c r="K18" s="5" t="n">
        <v>7</v>
      </c>
      <c r="L18" s="5" t="n">
        <v>0</v>
      </c>
      <c r="M18" s="5" t="s">
        <v>20</v>
      </c>
      <c r="U18" s="9" t="s">
        <v>229</v>
      </c>
    </row>
    <row r="19" customFormat="false" ht="15.75" hidden="false" customHeight="true" outlineLevel="0" collapsed="false">
      <c r="A19" s="5" t="n">
        <f aca="false">RANDBETWEEN(2,164)</f>
        <v>17</v>
      </c>
      <c r="B19" s="5" t="n">
        <f aca="false" t="array" ref="B19:B19">INDEX(Data_DBD!$B:$B,$A19)</f>
        <v>2</v>
      </c>
      <c r="C19" s="5" t="n">
        <f aca="false" t="array" ref="C19:C19">INDEX(Data_DBD!$C:$C,$A19)</f>
        <v>3</v>
      </c>
      <c r="D19" s="5" t="n">
        <f aca="false" t="array" ref="D19:D19">INDEX(Data_DBD!$D:$D,$A19)</f>
        <v>7</v>
      </c>
      <c r="E19" s="5" t="n">
        <f aca="false" t="array" ref="E19:E19">INDEX(Data_DBD!$E:$E,$A19)</f>
        <v>0</v>
      </c>
      <c r="F19" s="5" t="str">
        <f aca="false" t="array" ref="F19:F19">INDEX(Data_DBD!$F:$F,$A19)</f>
        <v>Rendah</v>
      </c>
      <c r="H19" s="5" t="n">
        <v>138</v>
      </c>
      <c r="I19" s="5" t="n">
        <v>13</v>
      </c>
      <c r="J19" s="5" t="n">
        <v>3</v>
      </c>
      <c r="K19" s="5" t="n">
        <v>33</v>
      </c>
      <c r="L19" s="5" t="n">
        <v>1</v>
      </c>
      <c r="M19" s="5" t="s">
        <v>115</v>
      </c>
      <c r="U19" s="9" t="s">
        <v>230</v>
      </c>
    </row>
    <row r="20" customFormat="false" ht="15.75" hidden="false" customHeight="true" outlineLevel="0" collapsed="false">
      <c r="A20" s="5" t="n">
        <f aca="false">RANDBETWEEN(2,164)</f>
        <v>156</v>
      </c>
      <c r="B20" s="5" t="n">
        <f aca="false" t="array" ref="B20:B20">INDEX(Data_DBD!$B:$B,$A20)</f>
        <v>5</v>
      </c>
      <c r="C20" s="5" t="n">
        <f aca="false" t="array" ref="C20:C20">INDEX(Data_DBD!$C:$C,$A20)</f>
        <v>2</v>
      </c>
      <c r="D20" s="5" t="n">
        <f aca="false" t="array" ref="D20:D20">INDEX(Data_DBD!$D:$D,$A20)</f>
        <v>21</v>
      </c>
      <c r="E20" s="5" t="n">
        <f aca="false" t="array" ref="E20:E20">INDEX(Data_DBD!$E:$E,$A20)</f>
        <v>0</v>
      </c>
      <c r="F20" s="5" t="str">
        <f aca="false" t="array" ref="F20:F20">INDEX(Data_DBD!$F:$F,$A20)</f>
        <v>Tinggi</v>
      </c>
      <c r="H20" s="5" t="n">
        <v>143</v>
      </c>
      <c r="I20" s="5" t="n">
        <v>20</v>
      </c>
      <c r="J20" s="5" t="n">
        <v>4</v>
      </c>
      <c r="K20" s="5" t="n">
        <v>21</v>
      </c>
      <c r="L20" s="5" t="n">
        <v>1</v>
      </c>
      <c r="M20" s="5" t="s">
        <v>115</v>
      </c>
      <c r="U20" s="8" t="s">
        <v>183</v>
      </c>
    </row>
    <row r="21" customFormat="false" ht="15.75" hidden="false" customHeight="true" outlineLevel="0" collapsed="false">
      <c r="A21" s="5" t="n">
        <f aca="false">RANDBETWEEN(2,164)</f>
        <v>104</v>
      </c>
      <c r="B21" s="5" t="n">
        <f aca="false" t="array" ref="B21:B21">INDEX(Data_DBD!$B:$B,$A21)</f>
        <v>37</v>
      </c>
      <c r="C21" s="5" t="n">
        <f aca="false" t="array" ref="C21:C21">INDEX(Data_DBD!$C:$C,$A21)</f>
        <v>4</v>
      </c>
      <c r="D21" s="5" t="n">
        <f aca="false" t="array" ref="D21:D21">INDEX(Data_DBD!$D:$D,$A21)</f>
        <v>18</v>
      </c>
      <c r="E21" s="5" t="n">
        <f aca="false" t="array" ref="E21:E21">INDEX(Data_DBD!$E:$E,$A21)</f>
        <v>1</v>
      </c>
      <c r="F21" s="5" t="str">
        <f aca="false" t="array" ref="F21:F21">INDEX(Data_DBD!$F:$F,$A21)</f>
        <v>Sedang</v>
      </c>
      <c r="H21" s="5" t="n">
        <v>15</v>
      </c>
      <c r="I21" s="5" t="n">
        <v>21</v>
      </c>
      <c r="J21" s="5" t="n">
        <v>2</v>
      </c>
      <c r="K21" s="5" t="n">
        <v>7</v>
      </c>
      <c r="L21" s="5" t="n">
        <v>0</v>
      </c>
      <c r="M21" s="5" t="s">
        <v>20</v>
      </c>
      <c r="U21" s="9" t="s">
        <v>231</v>
      </c>
    </row>
    <row r="22" customFormat="false" ht="15" hidden="false" customHeight="false" outlineLevel="0" collapsed="false">
      <c r="A22" s="5" t="n">
        <f aca="false">RANDBETWEEN(2,164)</f>
        <v>137</v>
      </c>
      <c r="B22" s="5" t="n">
        <f aca="false" t="array" ref="B22:B22">INDEX(Data_DBD!$B:$B,$A22)</f>
        <v>3</v>
      </c>
      <c r="C22" s="5" t="n">
        <f aca="false" t="array" ref="C22:C22">INDEX(Data_DBD!$C:$C,$A22)</f>
        <v>1</v>
      </c>
      <c r="D22" s="5" t="n">
        <f aca="false" t="array" ref="D22:D22">INDEX(Data_DBD!$D:$D,$A22)</f>
        <v>33</v>
      </c>
      <c r="E22" s="5" t="n">
        <f aca="false" t="array" ref="E22:E22">INDEX(Data_DBD!$E:$E,$A22)</f>
        <v>1</v>
      </c>
      <c r="F22" s="5" t="str">
        <f aca="false" t="array" ref="F22:F22">INDEX(Data_DBD!$F:$F,$A22)</f>
        <v>Tinggi</v>
      </c>
      <c r="H22" s="5" t="n">
        <v>101</v>
      </c>
      <c r="I22" s="5" t="n">
        <v>42</v>
      </c>
      <c r="J22" s="5" t="n">
        <v>5</v>
      </c>
      <c r="K22" s="5" t="n">
        <v>18</v>
      </c>
      <c r="L22" s="5" t="n">
        <v>0</v>
      </c>
      <c r="M22" s="5" t="s">
        <v>7</v>
      </c>
    </row>
    <row r="23" customFormat="false" ht="15" hidden="false" customHeight="false" outlineLevel="0" collapsed="false">
      <c r="A23" s="5" t="n">
        <f aca="false">RANDBETWEEN(2,164)</f>
        <v>129</v>
      </c>
      <c r="B23" s="5" t="n">
        <f aca="false" t="array" ref="B23:B23">INDEX(Data_DBD!$B:$B,$A23)</f>
        <v>4</v>
      </c>
      <c r="C23" s="5" t="n">
        <f aca="false" t="array" ref="C23:C23">INDEX(Data_DBD!$C:$C,$A23)</f>
        <v>3</v>
      </c>
      <c r="D23" s="5" t="n">
        <f aca="false" t="array" ref="D23:D23">INDEX(Data_DBD!$D:$D,$A23)</f>
        <v>33</v>
      </c>
      <c r="E23" s="5" t="n">
        <f aca="false" t="array" ref="E23:E23">INDEX(Data_DBD!$E:$E,$A23)</f>
        <v>0</v>
      </c>
      <c r="F23" s="5" t="str">
        <f aca="false" t="array" ref="F23:F23">INDEX(Data_DBD!$F:$F,$A23)</f>
        <v>Tinggi</v>
      </c>
      <c r="H23" s="5" t="n">
        <v>13</v>
      </c>
      <c r="I23" s="5" t="n">
        <v>47</v>
      </c>
      <c r="J23" s="5" t="n">
        <v>2</v>
      </c>
      <c r="K23" s="5" t="n">
        <v>12</v>
      </c>
      <c r="L23" s="5" t="n">
        <v>0</v>
      </c>
      <c r="M23" s="5" t="s">
        <v>7</v>
      </c>
    </row>
    <row r="24" customFormat="false" ht="15" hidden="false" customHeight="false" outlineLevel="0" collapsed="false">
      <c r="A24" s="5" t="n">
        <f aca="false">RANDBETWEEN(2,164)</f>
        <v>110</v>
      </c>
      <c r="B24" s="5" t="n">
        <f aca="false" t="array" ref="B24:B24">INDEX(Data_DBD!$B:$B,$A24)</f>
        <v>42</v>
      </c>
      <c r="C24" s="5" t="n">
        <f aca="false" t="array" ref="C24:C24">INDEX(Data_DBD!$C:$C,$A24)</f>
        <v>2</v>
      </c>
      <c r="D24" s="5" t="n">
        <f aca="false" t="array" ref="D24:D24">INDEX(Data_DBD!$D:$D,$A24)</f>
        <v>33</v>
      </c>
      <c r="E24" s="5" t="n">
        <f aca="false" t="array" ref="E24:E24">INDEX(Data_DBD!$E:$E,$A24)</f>
        <v>1</v>
      </c>
      <c r="F24" s="5" t="str">
        <f aca="false" t="array" ref="F24:F24">INDEX(Data_DBD!$F:$F,$A24)</f>
        <v>Tinggi</v>
      </c>
      <c r="H24" s="5" t="n">
        <v>99</v>
      </c>
      <c r="I24" s="5" t="n">
        <v>4</v>
      </c>
      <c r="J24" s="5" t="n">
        <v>2</v>
      </c>
      <c r="K24" s="5" t="n">
        <v>18</v>
      </c>
      <c r="L24" s="5" t="n">
        <v>1</v>
      </c>
      <c r="M24" s="5" t="s">
        <v>7</v>
      </c>
    </row>
    <row r="25" customFormat="false" ht="15" hidden="false" customHeight="false" outlineLevel="0" collapsed="false">
      <c r="A25" s="5" t="n">
        <f aca="false">RANDBETWEEN(2,164)</f>
        <v>40</v>
      </c>
      <c r="B25" s="5" t="n">
        <f aca="false" t="array" ref="B25:B25">INDEX(Data_DBD!$B:$B,$A25)</f>
        <v>65</v>
      </c>
      <c r="C25" s="5" t="n">
        <f aca="false" t="array" ref="C25:C25">INDEX(Data_DBD!$C:$C,$A25)</f>
        <v>3</v>
      </c>
      <c r="D25" s="5" t="n">
        <f aca="false" t="array" ref="D25:D25">INDEX(Data_DBD!$D:$D,$A25)</f>
        <v>13</v>
      </c>
      <c r="E25" s="5" t="n">
        <f aca="false" t="array" ref="E25:E25">INDEX(Data_DBD!$E:$E,$A25)</f>
        <v>1</v>
      </c>
      <c r="F25" s="5" t="str">
        <f aca="false" t="array" ref="F25:F25">INDEX(Data_DBD!$F:$F,$A25)</f>
        <v>Sedang</v>
      </c>
      <c r="H25" s="5" t="n">
        <v>56</v>
      </c>
      <c r="I25" s="5" t="n">
        <v>4</v>
      </c>
      <c r="J25" s="5" t="n">
        <v>3</v>
      </c>
      <c r="K25" s="5" t="n">
        <v>15</v>
      </c>
      <c r="L25" s="5" t="n">
        <v>0</v>
      </c>
      <c r="M25" s="5" t="s">
        <v>7</v>
      </c>
    </row>
    <row r="26" customFormat="false" ht="15" hidden="false" customHeight="false" outlineLevel="0" collapsed="false">
      <c r="A26" s="5" t="n">
        <f aca="false">RANDBETWEEN(2,164)</f>
        <v>84</v>
      </c>
      <c r="B26" s="5" t="n">
        <f aca="false" t="array" ref="B26:B26">INDEX(Data_DBD!$B:$B,$A26)</f>
        <v>42</v>
      </c>
      <c r="C26" s="5" t="n">
        <f aca="false" t="array" ref="C26:C26">INDEX(Data_DBD!$C:$C,$A26)</f>
        <v>4</v>
      </c>
      <c r="D26" s="5" t="n">
        <f aca="false" t="array" ref="D26:D26">INDEX(Data_DBD!$D:$D,$A26)</f>
        <v>13</v>
      </c>
      <c r="E26" s="5" t="n">
        <f aca="false" t="array" ref="E26:E26">INDEX(Data_DBD!$E:$E,$A26)</f>
        <v>1</v>
      </c>
      <c r="F26" s="5" t="str">
        <f aca="false" t="array" ref="F26:F26">INDEX(Data_DBD!$F:$F,$A26)</f>
        <v>Sedang</v>
      </c>
      <c r="H26" s="5" t="n">
        <v>151</v>
      </c>
      <c r="I26" s="5" t="n">
        <v>24</v>
      </c>
      <c r="J26" s="5" t="n">
        <v>3</v>
      </c>
      <c r="K26" s="5" t="n">
        <v>21</v>
      </c>
      <c r="L26" s="5" t="n">
        <v>0</v>
      </c>
      <c r="M26" s="5" t="s">
        <v>115</v>
      </c>
    </row>
    <row r="27" customFormat="false" ht="15" hidden="false" customHeight="false" outlineLevel="0" collapsed="false">
      <c r="A27" s="5" t="n">
        <f aca="false">RANDBETWEEN(2,164)</f>
        <v>148</v>
      </c>
      <c r="B27" s="5" t="n">
        <f aca="false" t="array" ref="B27:B27">INDEX(Data_DBD!$B:$B,$A27)</f>
        <v>55</v>
      </c>
      <c r="C27" s="5" t="n">
        <f aca="false" t="array" ref="C27:C27">INDEX(Data_DBD!$C:$C,$A27)</f>
        <v>3</v>
      </c>
      <c r="D27" s="5" t="n">
        <f aca="false" t="array" ref="D27:D27">INDEX(Data_DBD!$D:$D,$A27)</f>
        <v>21</v>
      </c>
      <c r="E27" s="5" t="n">
        <f aca="false" t="array" ref="E27:E27">INDEX(Data_DBD!$E:$E,$A27)</f>
        <v>1</v>
      </c>
      <c r="F27" s="5" t="str">
        <f aca="false" t="array" ref="F27:F27">INDEX(Data_DBD!$F:$F,$A27)</f>
        <v>Tinggi</v>
      </c>
      <c r="H27" s="5" t="n">
        <v>35</v>
      </c>
      <c r="I27" s="5" t="n">
        <v>40</v>
      </c>
      <c r="J27" s="5" t="n">
        <v>3</v>
      </c>
      <c r="K27" s="5" t="n">
        <v>4</v>
      </c>
      <c r="L27" s="5" t="n">
        <v>1</v>
      </c>
      <c r="M27" s="5" t="s">
        <v>20</v>
      </c>
    </row>
    <row r="28" customFormat="false" ht="15" hidden="false" customHeight="false" outlineLevel="0" collapsed="false">
      <c r="A28" s="5" t="n">
        <f aca="false">RANDBETWEEN(2,164)</f>
        <v>127</v>
      </c>
      <c r="B28" s="5" t="n">
        <f aca="false" t="array" ref="B28:B28">INDEX(Data_DBD!$B:$B,$A28)</f>
        <v>21</v>
      </c>
      <c r="C28" s="5" t="n">
        <f aca="false" t="array" ref="C28:C28">INDEX(Data_DBD!$C:$C,$A28)</f>
        <v>2</v>
      </c>
      <c r="D28" s="5" t="n">
        <f aca="false" t="array" ref="D28:D28">INDEX(Data_DBD!$D:$D,$A28)</f>
        <v>33</v>
      </c>
      <c r="E28" s="5" t="n">
        <f aca="false" t="array" ref="E28:E28">INDEX(Data_DBD!$E:$E,$A28)</f>
        <v>0</v>
      </c>
      <c r="F28" s="5" t="str">
        <f aca="false" t="array" ref="F28:F28">INDEX(Data_DBD!$F:$F,$A28)</f>
        <v>Tinggi</v>
      </c>
      <c r="H28" s="5" t="n">
        <v>100</v>
      </c>
      <c r="I28" s="5" t="n">
        <v>19</v>
      </c>
      <c r="J28" s="5" t="n">
        <v>6</v>
      </c>
      <c r="K28" s="5" t="n">
        <v>18</v>
      </c>
      <c r="L28" s="5" t="n">
        <v>0</v>
      </c>
      <c r="M28" s="5" t="s">
        <v>7</v>
      </c>
    </row>
    <row r="29" customFormat="false" ht="15" hidden="false" customHeight="false" outlineLevel="0" collapsed="false">
      <c r="A29" s="5" t="n">
        <f aca="false">RANDBETWEEN(2,164)</f>
        <v>111</v>
      </c>
      <c r="B29" s="5" t="n">
        <f aca="false" t="array" ref="B29:B29">INDEX(Data_DBD!$B:$B,$A29)</f>
        <v>25</v>
      </c>
      <c r="C29" s="5" t="n">
        <f aca="false" t="array" ref="C29:C29">INDEX(Data_DBD!$C:$C,$A29)</f>
        <v>4</v>
      </c>
      <c r="D29" s="5" t="n">
        <f aca="false" t="array" ref="D29:D29">INDEX(Data_DBD!$D:$D,$A29)</f>
        <v>33</v>
      </c>
      <c r="E29" s="5" t="n">
        <f aca="false" t="array" ref="E29:E29">INDEX(Data_DBD!$E:$E,$A29)</f>
        <v>0</v>
      </c>
      <c r="F29" s="5" t="str">
        <f aca="false" t="array" ref="F29:F29">INDEX(Data_DBD!$F:$F,$A29)</f>
        <v>Tinggi</v>
      </c>
      <c r="H29" s="5" t="n">
        <v>23</v>
      </c>
      <c r="I29" s="5" t="n">
        <v>28</v>
      </c>
      <c r="J29" s="5" t="n">
        <v>4</v>
      </c>
      <c r="K29" s="5" t="n">
        <v>14</v>
      </c>
      <c r="L29" s="5" t="n">
        <v>1</v>
      </c>
      <c r="M29" s="5" t="s">
        <v>7</v>
      </c>
    </row>
    <row r="30" customFormat="false" ht="15" hidden="false" customHeight="false" outlineLevel="0" collapsed="false">
      <c r="A30" s="5" t="n">
        <f aca="false">RANDBETWEEN(2,164)</f>
        <v>58</v>
      </c>
      <c r="B30" s="5" t="n">
        <f aca="false" t="array" ref="B30:B30">INDEX(Data_DBD!$B:$B,$A30)</f>
        <v>17</v>
      </c>
      <c r="C30" s="5" t="n">
        <f aca="false" t="array" ref="C30:C30">INDEX(Data_DBD!$C:$C,$A30)</f>
        <v>3</v>
      </c>
      <c r="D30" s="5" t="n">
        <f aca="false" t="array" ref="D30:D30">INDEX(Data_DBD!$D:$D,$A30)</f>
        <v>15</v>
      </c>
      <c r="E30" s="5" t="n">
        <f aca="false" t="array" ref="E30:E30">INDEX(Data_DBD!$E:$E,$A30)</f>
        <v>0</v>
      </c>
      <c r="F30" s="5" t="str">
        <f aca="false" t="array" ref="F30:F30">INDEX(Data_DBD!$F:$F,$A30)</f>
        <v>Sedang</v>
      </c>
      <c r="H30" s="5" t="n">
        <v>59</v>
      </c>
      <c r="I30" s="5" t="n">
        <v>28</v>
      </c>
      <c r="J30" s="5" t="n">
        <v>4</v>
      </c>
      <c r="K30" s="5" t="n">
        <v>15</v>
      </c>
      <c r="L30" s="5" t="n">
        <v>0</v>
      </c>
      <c r="M30" s="5" t="s">
        <v>7</v>
      </c>
    </row>
    <row r="31" customFormat="false" ht="15" hidden="false" customHeight="false" outlineLevel="0" collapsed="false">
      <c r="A31" s="5" t="n">
        <f aca="false">RANDBETWEEN(2,164)</f>
        <v>115</v>
      </c>
      <c r="B31" s="5" t="n">
        <f aca="false" t="array" ref="B31:B31">INDEX(Data_DBD!$B:$B,$A31)</f>
        <v>52</v>
      </c>
      <c r="C31" s="5" t="n">
        <f aca="false" t="array" ref="C31:C31">INDEX(Data_DBD!$C:$C,$A31)</f>
        <v>3</v>
      </c>
      <c r="D31" s="5" t="n">
        <f aca="false" t="array" ref="D31:D31">INDEX(Data_DBD!$D:$D,$A31)</f>
        <v>33</v>
      </c>
      <c r="E31" s="5" t="n">
        <f aca="false" t="array" ref="E31:E31">INDEX(Data_DBD!$E:$E,$A31)</f>
        <v>1</v>
      </c>
      <c r="F31" s="5" t="str">
        <f aca="false" t="array" ref="F31:F31">INDEX(Data_DBD!$F:$F,$A31)</f>
        <v>Tinggi</v>
      </c>
      <c r="H31" s="5" t="n">
        <v>63</v>
      </c>
      <c r="I31" s="5" t="n">
        <v>25</v>
      </c>
      <c r="J31" s="5" t="n">
        <v>3</v>
      </c>
      <c r="K31" s="5" t="n">
        <v>15</v>
      </c>
      <c r="L31" s="5" t="n">
        <v>0</v>
      </c>
      <c r="M31" s="5" t="s">
        <v>7</v>
      </c>
    </row>
    <row r="32" customFormat="false" ht="15" hidden="false" customHeight="false" outlineLevel="0" collapsed="false">
      <c r="A32" s="5" t="n">
        <f aca="false">RANDBETWEEN(2,164)</f>
        <v>44</v>
      </c>
      <c r="B32" s="5" t="n">
        <f aca="false" t="array" ref="B32:B32">INDEX(Data_DBD!$B:$B,$A32)</f>
        <v>28</v>
      </c>
      <c r="C32" s="5" t="n">
        <f aca="false" t="array" ref="C32:C32">INDEX(Data_DBD!$C:$C,$A32)</f>
        <v>5</v>
      </c>
      <c r="D32" s="5" t="n">
        <f aca="false" t="array" ref="D32:D32">INDEX(Data_DBD!$D:$D,$A32)</f>
        <v>13</v>
      </c>
      <c r="E32" s="5" t="n">
        <f aca="false" t="array" ref="E32:E32">INDEX(Data_DBD!$E:$E,$A32)</f>
        <v>1</v>
      </c>
      <c r="F32" s="5" t="str">
        <f aca="false" t="array" ref="F32:F32">INDEX(Data_DBD!$F:$F,$A32)</f>
        <v>Sedang</v>
      </c>
      <c r="H32" s="5" t="n">
        <v>113</v>
      </c>
      <c r="I32" s="5" t="n">
        <v>69</v>
      </c>
      <c r="J32" s="5" t="n">
        <v>1</v>
      </c>
      <c r="K32" s="5" t="n">
        <v>33</v>
      </c>
      <c r="L32" s="5" t="n">
        <v>1</v>
      </c>
      <c r="M32" s="5" t="s">
        <v>115</v>
      </c>
    </row>
    <row r="33" customFormat="false" ht="15" hidden="false" customHeight="false" outlineLevel="0" collapsed="false">
      <c r="A33" s="5" t="n">
        <f aca="false">RANDBETWEEN(2,164)</f>
        <v>10</v>
      </c>
      <c r="B33" s="5" t="n">
        <f aca="false" t="array" ref="B33:B33">INDEX(Data_DBD!$B:$B,$A33)</f>
        <v>18</v>
      </c>
      <c r="C33" s="5" t="n">
        <f aca="false" t="array" ref="C33:C33">INDEX(Data_DBD!$C:$C,$A33)</f>
        <v>5</v>
      </c>
      <c r="D33" s="5" t="n">
        <f aca="false" t="array" ref="D33:D33">INDEX(Data_DBD!$D:$D,$A33)</f>
        <v>12</v>
      </c>
      <c r="E33" s="5" t="n">
        <f aca="false" t="array" ref="E33:E33">INDEX(Data_DBD!$E:$E,$A33)</f>
        <v>0</v>
      </c>
      <c r="F33" s="5" t="str">
        <f aca="false" t="array" ref="F33:F33">INDEX(Data_DBD!$F:$F,$A33)</f>
        <v>Sedang</v>
      </c>
      <c r="H33" s="5" t="n">
        <v>106</v>
      </c>
      <c r="I33" s="5" t="n">
        <v>23</v>
      </c>
      <c r="J33" s="5" t="n">
        <v>3</v>
      </c>
      <c r="K33" s="5" t="n">
        <v>18</v>
      </c>
      <c r="L33" s="5" t="n">
        <v>1</v>
      </c>
      <c r="M33" s="5" t="s">
        <v>7</v>
      </c>
    </row>
    <row r="34" customFormat="false" ht="15" hidden="false" customHeight="false" outlineLevel="0" collapsed="false">
      <c r="A34" s="5" t="n">
        <f aca="false">RANDBETWEEN(2,164)</f>
        <v>21</v>
      </c>
      <c r="B34" s="5" t="n">
        <f aca="false" t="array" ref="B34:B34">INDEX(Data_DBD!$B:$B,$A34)</f>
        <v>10</v>
      </c>
      <c r="C34" s="5" t="n">
        <f aca="false" t="array" ref="C34:C34">INDEX(Data_DBD!$C:$C,$A34)</f>
        <v>5</v>
      </c>
      <c r="D34" s="5" t="n">
        <f aca="false" t="array" ref="D34:D34">INDEX(Data_DBD!$D:$D,$A34)</f>
        <v>14</v>
      </c>
      <c r="E34" s="5" t="n">
        <f aca="false" t="array" ref="E34:E34">INDEX(Data_DBD!$E:$E,$A34)</f>
        <v>1</v>
      </c>
      <c r="F34" s="5" t="str">
        <f aca="false" t="array" ref="F34:F34">INDEX(Data_DBD!$F:$F,$A34)</f>
        <v>Sedang</v>
      </c>
      <c r="H34" s="5" t="n">
        <v>77</v>
      </c>
      <c r="I34" s="5" t="n">
        <v>16</v>
      </c>
      <c r="J34" s="5" t="n">
        <v>4</v>
      </c>
      <c r="K34" s="5" t="n">
        <v>13</v>
      </c>
      <c r="L34" s="5" t="n">
        <v>1</v>
      </c>
      <c r="M34" s="5" t="s">
        <v>7</v>
      </c>
    </row>
    <row r="35" customFormat="false" ht="15" hidden="false" customHeight="false" outlineLevel="0" collapsed="false">
      <c r="A35" s="5" t="n">
        <f aca="false">RANDBETWEEN(2,164)</f>
        <v>50</v>
      </c>
      <c r="B35" s="5" t="n">
        <f aca="false" t="array" ref="B35:B35">INDEX(Data_DBD!$B:$B,$A35)</f>
        <v>19</v>
      </c>
      <c r="C35" s="5" t="n">
        <f aca="false" t="array" ref="C35:C35">INDEX(Data_DBD!$C:$C,$A35)</f>
        <v>5</v>
      </c>
      <c r="D35" s="5" t="n">
        <f aca="false" t="array" ref="D35:D35">INDEX(Data_DBD!$D:$D,$A35)</f>
        <v>13</v>
      </c>
      <c r="E35" s="5" t="n">
        <f aca="false" t="array" ref="E35:E35">INDEX(Data_DBD!$E:$E,$A35)</f>
        <v>0</v>
      </c>
      <c r="F35" s="5" t="str">
        <f aca="false" t="array" ref="F35:F35">INDEX(Data_DBD!$F:$F,$A35)</f>
        <v>Sedang</v>
      </c>
      <c r="H35" s="5" t="n">
        <v>135</v>
      </c>
      <c r="I35" s="5" t="n">
        <v>10</v>
      </c>
      <c r="J35" s="5" t="n">
        <v>2</v>
      </c>
      <c r="K35" s="5" t="n">
        <v>33</v>
      </c>
      <c r="L35" s="5" t="n">
        <v>0</v>
      </c>
      <c r="M35" s="5" t="s">
        <v>115</v>
      </c>
    </row>
    <row r="36" customFormat="false" ht="15" hidden="false" customHeight="false" outlineLevel="0" collapsed="false">
      <c r="A36" s="5" t="n">
        <f aca="false">RANDBETWEEN(2,164)</f>
        <v>50</v>
      </c>
      <c r="B36" s="5" t="n">
        <f aca="false" t="array" ref="B36:B36">INDEX(Data_DBD!$B:$B,$A36)</f>
        <v>19</v>
      </c>
      <c r="C36" s="5" t="n">
        <f aca="false" t="array" ref="C36:C36">INDEX(Data_DBD!$C:$C,$A36)</f>
        <v>5</v>
      </c>
      <c r="D36" s="5" t="n">
        <f aca="false" t="array" ref="D36:D36">INDEX(Data_DBD!$D:$D,$A36)</f>
        <v>13</v>
      </c>
      <c r="E36" s="5" t="n">
        <f aca="false" t="array" ref="E36:E36">INDEX(Data_DBD!$E:$E,$A36)</f>
        <v>0</v>
      </c>
      <c r="F36" s="5" t="str">
        <f aca="false" t="array" ref="F36:F36">INDEX(Data_DBD!$F:$F,$A36)</f>
        <v>Sedang</v>
      </c>
      <c r="H36" s="5" t="n">
        <v>29</v>
      </c>
      <c r="I36" s="5" t="n">
        <v>19</v>
      </c>
      <c r="J36" s="5" t="n">
        <v>2</v>
      </c>
      <c r="K36" s="5" t="n">
        <v>14</v>
      </c>
      <c r="L36" s="5" t="n">
        <v>1</v>
      </c>
      <c r="M36" s="5" t="s">
        <v>7</v>
      </c>
    </row>
    <row r="37" customFormat="false" ht="15" hidden="false" customHeight="false" outlineLevel="0" collapsed="false">
      <c r="A37" s="5" t="n">
        <f aca="false">RANDBETWEEN(2,164)</f>
        <v>76</v>
      </c>
      <c r="B37" s="5" t="n">
        <f aca="false" t="array" ref="B37:B37">INDEX(Data_DBD!$B:$B,$A37)</f>
        <v>70</v>
      </c>
      <c r="C37" s="5" t="n">
        <f aca="false" t="array" ref="C37:C37">INDEX(Data_DBD!$C:$C,$A37)</f>
        <v>2</v>
      </c>
      <c r="D37" s="5" t="n">
        <f aca="false" t="array" ref="D37:D37">INDEX(Data_DBD!$D:$D,$A37)</f>
        <v>10</v>
      </c>
      <c r="E37" s="5" t="n">
        <f aca="false" t="array" ref="E37:E37">INDEX(Data_DBD!$E:$E,$A37)</f>
        <v>0</v>
      </c>
      <c r="F37" s="5" t="str">
        <f aca="false" t="array" ref="F37:F37">INDEX(Data_DBD!$F:$F,$A37)</f>
        <v>Rendah</v>
      </c>
      <c r="H37" s="5" t="n">
        <v>46</v>
      </c>
      <c r="I37" s="5" t="n">
        <v>62</v>
      </c>
      <c r="J37" s="5" t="n">
        <v>2</v>
      </c>
      <c r="K37" s="5" t="n">
        <v>13</v>
      </c>
      <c r="L37" s="5" t="n">
        <v>0</v>
      </c>
      <c r="M37" s="5" t="s">
        <v>7</v>
      </c>
    </row>
    <row r="38" customFormat="false" ht="15" hidden="false" customHeight="false" outlineLevel="0" collapsed="false">
      <c r="A38" s="5" t="n">
        <f aca="false">RANDBETWEEN(2,164)</f>
        <v>160</v>
      </c>
      <c r="B38" s="5" t="n">
        <f aca="false" t="array" ref="B38:B38">INDEX(Data_DBD!$B:$B,$A38)</f>
        <v>16</v>
      </c>
      <c r="C38" s="5" t="n">
        <f aca="false" t="array" ref="C38:C38">INDEX(Data_DBD!$C:$C,$A38)</f>
        <v>3</v>
      </c>
      <c r="D38" s="5" t="n">
        <f aca="false" t="array" ref="D38:D38">INDEX(Data_DBD!$D:$D,$A38)</f>
        <v>21</v>
      </c>
      <c r="E38" s="5" t="n">
        <f aca="false" t="array" ref="E38:E38">INDEX(Data_DBD!$E:$E,$A38)</f>
        <v>0</v>
      </c>
      <c r="F38" s="5" t="str">
        <f aca="false" t="array" ref="F38:F38">INDEX(Data_DBD!$F:$F,$A38)</f>
        <v>Tinggi</v>
      </c>
      <c r="H38" s="5" t="n">
        <v>46</v>
      </c>
      <c r="I38" s="5" t="n">
        <v>62</v>
      </c>
      <c r="J38" s="5" t="n">
        <v>2</v>
      </c>
      <c r="K38" s="5" t="n">
        <v>13</v>
      </c>
      <c r="L38" s="5" t="n">
        <v>0</v>
      </c>
      <c r="M38" s="5" t="s">
        <v>7</v>
      </c>
    </row>
    <row r="39" customFormat="false" ht="15" hidden="false" customHeight="false" outlineLevel="0" collapsed="false">
      <c r="A39" s="5" t="n">
        <f aca="false">RANDBETWEEN(2,164)</f>
        <v>115</v>
      </c>
      <c r="B39" s="5" t="n">
        <f aca="false" t="array" ref="B39:B39">INDEX(Data_DBD!$B:$B,$A39)</f>
        <v>52</v>
      </c>
      <c r="C39" s="5" t="n">
        <f aca="false" t="array" ref="C39:C39">INDEX(Data_DBD!$C:$C,$A39)</f>
        <v>3</v>
      </c>
      <c r="D39" s="5" t="n">
        <f aca="false" t="array" ref="D39:D39">INDEX(Data_DBD!$D:$D,$A39)</f>
        <v>33</v>
      </c>
      <c r="E39" s="5" t="n">
        <f aca="false" t="array" ref="E39:E39">INDEX(Data_DBD!$E:$E,$A39)</f>
        <v>1</v>
      </c>
      <c r="F39" s="5" t="str">
        <f aca="false" t="array" ref="F39:F39">INDEX(Data_DBD!$F:$F,$A39)</f>
        <v>Tinggi</v>
      </c>
      <c r="H39" s="5" t="n">
        <v>21</v>
      </c>
      <c r="I39" s="5" t="n">
        <v>10</v>
      </c>
      <c r="J39" s="5" t="n">
        <v>5</v>
      </c>
      <c r="K39" s="5" t="n">
        <v>14</v>
      </c>
      <c r="L39" s="5" t="n">
        <v>1</v>
      </c>
      <c r="M39" s="5" t="s">
        <v>7</v>
      </c>
    </row>
    <row r="40" customFormat="false" ht="15" hidden="false" customHeight="false" outlineLevel="0" collapsed="false">
      <c r="A40" s="5" t="n">
        <f aca="false">RANDBETWEEN(2,164)</f>
        <v>66</v>
      </c>
      <c r="B40" s="5" t="n">
        <f aca="false" t="array" ref="B40:B40">INDEX(Data_DBD!$B:$B,$A40)</f>
        <v>21</v>
      </c>
      <c r="C40" s="5" t="n">
        <f aca="false" t="array" ref="C40:C40">INDEX(Data_DBD!$C:$C,$A40)</f>
        <v>5</v>
      </c>
      <c r="D40" s="5" t="n">
        <f aca="false" t="array" ref="D40:D40">INDEX(Data_DBD!$D:$D,$A40)</f>
        <v>15</v>
      </c>
      <c r="E40" s="5" t="n">
        <f aca="false" t="array" ref="E40:E40">INDEX(Data_DBD!$E:$E,$A40)</f>
        <v>1</v>
      </c>
      <c r="F40" s="5" t="str">
        <f aca="false" t="array" ref="F40:F40">INDEX(Data_DBD!$F:$F,$A40)</f>
        <v>Sedang</v>
      </c>
      <c r="H40" s="5" t="n">
        <v>127</v>
      </c>
      <c r="I40" s="5" t="n">
        <v>21</v>
      </c>
      <c r="J40" s="5" t="n">
        <v>2</v>
      </c>
      <c r="K40" s="5" t="n">
        <v>33</v>
      </c>
      <c r="L40" s="5" t="n">
        <v>0</v>
      </c>
      <c r="M40" s="5" t="s">
        <v>115</v>
      </c>
    </row>
    <row r="41" customFormat="false" ht="15" hidden="false" customHeight="false" outlineLevel="0" collapsed="false">
      <c r="A41" s="5" t="n">
        <f aca="false">RANDBETWEEN(2,164)</f>
        <v>148</v>
      </c>
      <c r="B41" s="5" t="n">
        <f aca="false" t="array" ref="B41:B41">INDEX(Data_DBD!$B:$B,$A41)</f>
        <v>55</v>
      </c>
      <c r="C41" s="5" t="n">
        <f aca="false" t="array" ref="C41:C41">INDEX(Data_DBD!$C:$C,$A41)</f>
        <v>3</v>
      </c>
      <c r="D41" s="5" t="n">
        <f aca="false" t="array" ref="D41:D41">INDEX(Data_DBD!$D:$D,$A41)</f>
        <v>21</v>
      </c>
      <c r="E41" s="5" t="n">
        <f aca="false" t="array" ref="E41:E41">INDEX(Data_DBD!$E:$E,$A41)</f>
        <v>1</v>
      </c>
      <c r="F41" s="5" t="str">
        <f aca="false" t="array" ref="F41:F41">INDEX(Data_DBD!$F:$F,$A41)</f>
        <v>Tinggi</v>
      </c>
      <c r="H41" s="5" t="n">
        <v>156</v>
      </c>
      <c r="I41" s="5" t="n">
        <v>5</v>
      </c>
      <c r="J41" s="5" t="n">
        <v>2</v>
      </c>
      <c r="K41" s="5" t="n">
        <v>21</v>
      </c>
      <c r="L41" s="5" t="n">
        <v>0</v>
      </c>
      <c r="M41" s="5" t="s">
        <v>115</v>
      </c>
    </row>
    <row r="42" customFormat="false" ht="15" hidden="false" customHeight="false" outlineLevel="0" collapsed="false">
      <c r="A42" s="5" t="n">
        <f aca="false">RANDBETWEEN(2,164)</f>
        <v>5</v>
      </c>
      <c r="B42" s="5" t="n">
        <f aca="false" t="array" ref="B42:B42">INDEX(Data_DBD!$B:$B,$A42)</f>
        <v>18</v>
      </c>
      <c r="C42" s="5" t="n">
        <f aca="false" t="array" ref="C42:C42">INDEX(Data_DBD!$C:$C,$A42)</f>
        <v>2</v>
      </c>
      <c r="D42" s="5" t="n">
        <f aca="false" t="array" ref="D42:D42">INDEX(Data_DBD!$D:$D,$A42)</f>
        <v>12</v>
      </c>
      <c r="E42" s="5" t="n">
        <f aca="false" t="array" ref="E42:E42">INDEX(Data_DBD!$E:$E,$A42)</f>
        <v>1</v>
      </c>
      <c r="F42" s="5" t="str">
        <f aca="false" t="array" ref="F42:F42">INDEX(Data_DBD!$F:$F,$A42)</f>
        <v>Sedang</v>
      </c>
      <c r="H42" s="5" t="n">
        <v>10</v>
      </c>
      <c r="I42" s="5" t="n">
        <v>18</v>
      </c>
      <c r="J42" s="5" t="n">
        <v>5</v>
      </c>
      <c r="K42" s="5" t="n">
        <v>12</v>
      </c>
      <c r="L42" s="5" t="n">
        <v>0</v>
      </c>
      <c r="M42" s="5" t="s">
        <v>7</v>
      </c>
    </row>
    <row r="43" customFormat="false" ht="15" hidden="false" customHeight="false" outlineLevel="0" collapsed="false">
      <c r="A43" s="5" t="n">
        <f aca="false">RANDBETWEEN(2,164)</f>
        <v>84</v>
      </c>
      <c r="B43" s="5" t="n">
        <f aca="false" t="array" ref="B43:B43">INDEX(Data_DBD!$B:$B,$A43)</f>
        <v>42</v>
      </c>
      <c r="C43" s="5" t="n">
        <f aca="false" t="array" ref="C43:C43">INDEX(Data_DBD!$C:$C,$A43)</f>
        <v>4</v>
      </c>
      <c r="D43" s="5" t="n">
        <f aca="false" t="array" ref="D43:D43">INDEX(Data_DBD!$D:$D,$A43)</f>
        <v>13</v>
      </c>
      <c r="E43" s="5" t="n">
        <f aca="false" t="array" ref="E43:E43">INDEX(Data_DBD!$E:$E,$A43)</f>
        <v>1</v>
      </c>
      <c r="F43" s="5" t="str">
        <f aca="false" t="array" ref="F43:F43">INDEX(Data_DBD!$F:$F,$A43)</f>
        <v>Sedang</v>
      </c>
      <c r="H43" s="5" t="n">
        <v>60</v>
      </c>
      <c r="I43" s="5" t="n">
        <v>68</v>
      </c>
      <c r="J43" s="5" t="n">
        <v>4</v>
      </c>
      <c r="K43" s="5" t="n">
        <v>15</v>
      </c>
      <c r="L43" s="5" t="n">
        <v>0</v>
      </c>
      <c r="M43" s="5" t="s">
        <v>7</v>
      </c>
    </row>
    <row r="44" customFormat="false" ht="15" hidden="false" customHeight="false" outlineLevel="0" collapsed="false">
      <c r="A44" s="5" t="n">
        <f aca="false">RANDBETWEEN(2,164)</f>
        <v>157</v>
      </c>
      <c r="B44" s="5" t="n">
        <f aca="false" t="array" ref="B44:B44">INDEX(Data_DBD!$B:$B,$A44)</f>
        <v>15</v>
      </c>
      <c r="C44" s="5" t="n">
        <f aca="false" t="array" ref="C44:C44">INDEX(Data_DBD!$C:$C,$A44)</f>
        <v>4</v>
      </c>
      <c r="D44" s="5" t="n">
        <f aca="false" t="array" ref="D44:D44">INDEX(Data_DBD!$D:$D,$A44)</f>
        <v>21</v>
      </c>
      <c r="E44" s="5" t="n">
        <f aca="false" t="array" ref="E44:E44">INDEX(Data_DBD!$E:$E,$A44)</f>
        <v>1</v>
      </c>
      <c r="F44" s="5" t="str">
        <f aca="false" t="array" ref="F44:F44">INDEX(Data_DBD!$F:$F,$A44)</f>
        <v>Tinggi</v>
      </c>
      <c r="H44" s="5" t="n">
        <v>147</v>
      </c>
      <c r="I44" s="5" t="n">
        <v>66</v>
      </c>
      <c r="J44" s="5" t="n">
        <v>10</v>
      </c>
      <c r="K44" s="5" t="n">
        <v>21</v>
      </c>
      <c r="L44" s="5" t="n">
        <v>1</v>
      </c>
      <c r="M44" s="5" t="s">
        <v>115</v>
      </c>
    </row>
    <row r="45" customFormat="false" ht="15" hidden="false" customHeight="false" outlineLevel="0" collapsed="false">
      <c r="A45" s="5" t="n">
        <f aca="false">RANDBETWEEN(2,164)</f>
        <v>43</v>
      </c>
      <c r="B45" s="5" t="n">
        <f aca="false" t="array" ref="B45:B45">INDEX(Data_DBD!$B:$B,$A45)</f>
        <v>15</v>
      </c>
      <c r="C45" s="5" t="n">
        <f aca="false" t="array" ref="C45:C45">INDEX(Data_DBD!$C:$C,$A45)</f>
        <v>4</v>
      </c>
      <c r="D45" s="5" t="n">
        <f aca="false" t="array" ref="D45:D45">INDEX(Data_DBD!$D:$D,$A45)</f>
        <v>13</v>
      </c>
      <c r="E45" s="5" t="n">
        <f aca="false" t="array" ref="E45:E45">INDEX(Data_DBD!$E:$E,$A45)</f>
        <v>0</v>
      </c>
      <c r="F45" s="5" t="str">
        <f aca="false" t="array" ref="F45:F45">INDEX(Data_DBD!$F:$F,$A45)</f>
        <v>Sedang</v>
      </c>
      <c r="H45" s="5" t="n">
        <v>107</v>
      </c>
      <c r="I45" s="5" t="n">
        <v>48</v>
      </c>
      <c r="J45" s="5" t="n">
        <v>5</v>
      </c>
      <c r="K45" s="5" t="n">
        <v>18</v>
      </c>
      <c r="L45" s="5" t="n">
        <v>0</v>
      </c>
      <c r="M45" s="5" t="s">
        <v>7</v>
      </c>
    </row>
    <row r="46" customFormat="false" ht="15" hidden="false" customHeight="false" outlineLevel="0" collapsed="false">
      <c r="A46" s="5" t="n">
        <f aca="false">RANDBETWEEN(2,164)</f>
        <v>32</v>
      </c>
      <c r="B46" s="5" t="n">
        <f aca="false" t="array" ref="B46:B46">INDEX(Data_DBD!$B:$B,$A46)</f>
        <v>54</v>
      </c>
      <c r="C46" s="5" t="n">
        <f aca="false" t="array" ref="C46:C46">INDEX(Data_DBD!$C:$C,$A46)</f>
        <v>4</v>
      </c>
      <c r="D46" s="5" t="n">
        <f aca="false" t="array" ref="D46:D46">INDEX(Data_DBD!$D:$D,$A46)</f>
        <v>14</v>
      </c>
      <c r="E46" s="5" t="n">
        <f aca="false" t="array" ref="E46:E46">INDEX(Data_DBD!$E:$E,$A46)</f>
        <v>0</v>
      </c>
      <c r="F46" s="5" t="str">
        <f aca="false" t="array" ref="F46:F46">INDEX(Data_DBD!$F:$F,$A46)</f>
        <v>Sedang</v>
      </c>
      <c r="H46" s="5" t="n">
        <v>72</v>
      </c>
      <c r="I46" s="5" t="n">
        <v>3</v>
      </c>
      <c r="J46" s="5" t="n">
        <v>5</v>
      </c>
      <c r="K46" s="5" t="n">
        <v>10</v>
      </c>
      <c r="L46" s="5" t="n">
        <v>1</v>
      </c>
      <c r="M46" s="5" t="s">
        <v>20</v>
      </c>
    </row>
    <row r="47" customFormat="false" ht="15" hidden="false" customHeight="false" outlineLevel="0" collapsed="false">
      <c r="A47" s="5" t="n">
        <f aca="false">RANDBETWEEN(2,164)</f>
        <v>101</v>
      </c>
      <c r="B47" s="5" t="n">
        <f aca="false" t="array" ref="B47:B47">INDEX(Data_DBD!$B:$B,$A47)</f>
        <v>42</v>
      </c>
      <c r="C47" s="5" t="n">
        <f aca="false" t="array" ref="C47:C47">INDEX(Data_DBD!$C:$C,$A47)</f>
        <v>5</v>
      </c>
      <c r="D47" s="5" t="n">
        <f aca="false" t="array" ref="D47:D47">INDEX(Data_DBD!$D:$D,$A47)</f>
        <v>18</v>
      </c>
      <c r="E47" s="5" t="n">
        <f aca="false" t="array" ref="E47:E47">INDEX(Data_DBD!$E:$E,$A47)</f>
        <v>0</v>
      </c>
      <c r="F47" s="5" t="str">
        <f aca="false" t="array" ref="F47:F47">INDEX(Data_DBD!$F:$F,$A47)</f>
        <v>Sedang</v>
      </c>
      <c r="H47" s="5" t="n">
        <v>57</v>
      </c>
      <c r="I47" s="5" t="n">
        <v>2</v>
      </c>
      <c r="J47" s="5" t="n">
        <v>2</v>
      </c>
      <c r="K47" s="5" t="n">
        <v>15</v>
      </c>
      <c r="L47" s="5" t="n">
        <v>1</v>
      </c>
      <c r="M47" s="5" t="s">
        <v>7</v>
      </c>
    </row>
    <row r="48" customFormat="false" ht="15" hidden="false" customHeight="false" outlineLevel="0" collapsed="false">
      <c r="A48" s="5" t="n">
        <f aca="false">RANDBETWEEN(2,164)</f>
        <v>94</v>
      </c>
      <c r="B48" s="5" t="n">
        <f aca="false" t="array" ref="B48:B48">INDEX(Data_DBD!$B:$B,$A48)</f>
        <v>12</v>
      </c>
      <c r="C48" s="5" t="n">
        <f aca="false" t="array" ref="C48:C48">INDEX(Data_DBD!$C:$C,$A48)</f>
        <v>4</v>
      </c>
      <c r="D48" s="5" t="n">
        <f aca="false" t="array" ref="D48:D48">INDEX(Data_DBD!$D:$D,$A48)</f>
        <v>18</v>
      </c>
      <c r="E48" s="5" t="n">
        <f aca="false" t="array" ref="E48:E48">INDEX(Data_DBD!$E:$E,$A48)</f>
        <v>0</v>
      </c>
      <c r="F48" s="5" t="str">
        <f aca="false" t="array" ref="F48:F48">INDEX(Data_DBD!$F:$F,$A48)</f>
        <v>Sedang</v>
      </c>
      <c r="H48" s="5" t="n">
        <v>37</v>
      </c>
      <c r="I48" s="5" t="n">
        <v>28</v>
      </c>
      <c r="J48" s="5" t="n">
        <v>4</v>
      </c>
      <c r="K48" s="5" t="n">
        <v>4</v>
      </c>
      <c r="L48" s="5" t="n">
        <v>1</v>
      </c>
      <c r="M48" s="5" t="s">
        <v>20</v>
      </c>
    </row>
    <row r="49" customFormat="false" ht="15" hidden="false" customHeight="false" outlineLevel="0" collapsed="false">
      <c r="A49" s="5" t="n">
        <f aca="false">RANDBETWEEN(2,164)</f>
        <v>84</v>
      </c>
      <c r="B49" s="5" t="n">
        <f aca="false" t="array" ref="B49:B49">INDEX(Data_DBD!$B:$B,$A49)</f>
        <v>42</v>
      </c>
      <c r="C49" s="5" t="n">
        <f aca="false" t="array" ref="C49:C49">INDEX(Data_DBD!$C:$C,$A49)</f>
        <v>4</v>
      </c>
      <c r="D49" s="5" t="n">
        <f aca="false" t="array" ref="D49:D49">INDEX(Data_DBD!$D:$D,$A49)</f>
        <v>13</v>
      </c>
      <c r="E49" s="5" t="n">
        <f aca="false" t="array" ref="E49:E49">INDEX(Data_DBD!$E:$E,$A49)</f>
        <v>1</v>
      </c>
      <c r="F49" s="5" t="str">
        <f aca="false" t="array" ref="F49:F49">INDEX(Data_DBD!$F:$F,$A49)</f>
        <v>Sedang</v>
      </c>
      <c r="H49" s="5" t="n">
        <v>96</v>
      </c>
      <c r="I49" s="5" t="n">
        <v>56</v>
      </c>
      <c r="J49" s="5" t="n">
        <v>4</v>
      </c>
      <c r="K49" s="5" t="n">
        <v>18</v>
      </c>
      <c r="L49" s="5" t="n">
        <v>0</v>
      </c>
      <c r="M49" s="5" t="s">
        <v>7</v>
      </c>
    </row>
    <row r="50" customFormat="false" ht="15" hidden="false" customHeight="false" outlineLevel="0" collapsed="false">
      <c r="A50" s="5" t="n">
        <f aca="false">RANDBETWEEN(2,164)</f>
        <v>150</v>
      </c>
      <c r="B50" s="5" t="n">
        <f aca="false" t="array" ref="B50:B50">INDEX(Data_DBD!$B:$B,$A50)</f>
        <v>61</v>
      </c>
      <c r="C50" s="5" t="n">
        <f aca="false" t="array" ref="C50:C50">INDEX(Data_DBD!$C:$C,$A50)</f>
        <v>5</v>
      </c>
      <c r="D50" s="5" t="n">
        <f aca="false" t="array" ref="D50:D50">INDEX(Data_DBD!$D:$D,$A50)</f>
        <v>21</v>
      </c>
      <c r="E50" s="5" t="n">
        <f aca="false" t="array" ref="E50:E50">INDEX(Data_DBD!$E:$E,$A50)</f>
        <v>1</v>
      </c>
      <c r="F50" s="5" t="str">
        <f aca="false" t="array" ref="F50:F50">INDEX(Data_DBD!$F:$F,$A50)</f>
        <v>Tinggi</v>
      </c>
      <c r="H50" s="5" t="n">
        <v>72</v>
      </c>
      <c r="I50" s="5" t="n">
        <v>3</v>
      </c>
      <c r="J50" s="5" t="n">
        <v>5</v>
      </c>
      <c r="K50" s="5" t="n">
        <v>10</v>
      </c>
      <c r="L50" s="5" t="n">
        <v>1</v>
      </c>
      <c r="M50" s="5" t="s">
        <v>20</v>
      </c>
    </row>
    <row r="51" customFormat="false" ht="15" hidden="false" customHeight="false" outlineLevel="0" collapsed="false">
      <c r="A51" s="5" t="n">
        <f aca="false">RANDBETWEEN(2,164)</f>
        <v>9</v>
      </c>
      <c r="B51" s="5" t="n">
        <f aca="false" t="array" ref="B51:B51">INDEX(Data_DBD!$B:$B,$A51)</f>
        <v>16</v>
      </c>
      <c r="C51" s="5" t="n">
        <f aca="false" t="array" ref="C51:C51">INDEX(Data_DBD!$C:$C,$A51)</f>
        <v>6</v>
      </c>
      <c r="D51" s="5" t="n">
        <f aca="false" t="array" ref="D51:D51">INDEX(Data_DBD!$D:$D,$A51)</f>
        <v>12</v>
      </c>
      <c r="E51" s="5" t="n">
        <f aca="false" t="array" ref="E51:E51">INDEX(Data_DBD!$E:$E,$A51)</f>
        <v>1</v>
      </c>
      <c r="F51" s="5" t="str">
        <f aca="false" t="array" ref="F51:F51">INDEX(Data_DBD!$F:$F,$A51)</f>
        <v>Sedang</v>
      </c>
      <c r="H51" s="5" t="n">
        <v>120</v>
      </c>
      <c r="I51" s="5" t="n">
        <v>26</v>
      </c>
      <c r="J51" s="5" t="n">
        <v>4</v>
      </c>
      <c r="K51" s="5" t="n">
        <v>33</v>
      </c>
      <c r="L51" s="5" t="n">
        <v>1</v>
      </c>
      <c r="M51" s="5" t="s">
        <v>115</v>
      </c>
    </row>
    <row r="52" customFormat="false" ht="15" hidden="false" customHeight="false" outlineLevel="0" collapsed="false">
      <c r="A52" s="5" t="n">
        <f aca="false">RANDBETWEEN(2,164)</f>
        <v>83</v>
      </c>
      <c r="B52" s="5" t="n">
        <f aca="false" t="array" ref="B52:B52">INDEX(Data_DBD!$B:$B,$A52)</f>
        <v>50</v>
      </c>
      <c r="C52" s="5" t="n">
        <f aca="false" t="array" ref="C52:C52">INDEX(Data_DBD!$C:$C,$A52)</f>
        <v>3</v>
      </c>
      <c r="D52" s="5" t="n">
        <f aca="false" t="array" ref="D52:D52">INDEX(Data_DBD!$D:$D,$A52)</f>
        <v>13</v>
      </c>
      <c r="E52" s="5" t="n">
        <f aca="false" t="array" ref="E52:E52">INDEX(Data_DBD!$E:$E,$A52)</f>
        <v>0</v>
      </c>
      <c r="F52" s="5" t="str">
        <f aca="false" t="array" ref="F52:F52">INDEX(Data_DBD!$F:$F,$A52)</f>
        <v>Sedang</v>
      </c>
      <c r="H52" s="5" t="n">
        <v>35</v>
      </c>
      <c r="I52" s="5" t="n">
        <v>40</v>
      </c>
      <c r="J52" s="5" t="n">
        <v>3</v>
      </c>
      <c r="K52" s="5" t="n">
        <v>4</v>
      </c>
      <c r="L52" s="5" t="n">
        <v>1</v>
      </c>
      <c r="M52" s="5" t="s">
        <v>20</v>
      </c>
    </row>
    <row r="53" customFormat="false" ht="15" hidden="false" customHeight="false" outlineLevel="0" collapsed="false">
      <c r="A53" s="5" t="n">
        <f aca="false">RANDBETWEEN(2,164)</f>
        <v>36</v>
      </c>
      <c r="B53" s="5" t="n">
        <f aca="false" t="array" ref="B53:B53">INDEX(Data_DBD!$B:$B,$A53)</f>
        <v>27</v>
      </c>
      <c r="C53" s="5" t="n">
        <f aca="false" t="array" ref="C53:C53">INDEX(Data_DBD!$C:$C,$A53)</f>
        <v>1</v>
      </c>
      <c r="D53" s="5" t="n">
        <f aca="false" t="array" ref="D53:D53">INDEX(Data_DBD!$D:$D,$A53)</f>
        <v>4</v>
      </c>
      <c r="E53" s="5" t="n">
        <f aca="false" t="array" ref="E53:E53">INDEX(Data_DBD!$E:$E,$A53)</f>
        <v>1</v>
      </c>
      <c r="F53" s="5" t="str">
        <f aca="false" t="array" ref="F53:F53">INDEX(Data_DBD!$F:$F,$A53)</f>
        <v>Rendah</v>
      </c>
      <c r="H53" s="5" t="n">
        <v>2</v>
      </c>
      <c r="I53" s="5" t="n">
        <v>34</v>
      </c>
      <c r="J53" s="5" t="n">
        <v>3</v>
      </c>
      <c r="K53" s="5" t="n">
        <v>12</v>
      </c>
      <c r="L53" s="5" t="n">
        <v>0</v>
      </c>
      <c r="M53" s="5" t="s">
        <v>7</v>
      </c>
    </row>
    <row r="54" customFormat="false" ht="15" hidden="false" customHeight="false" outlineLevel="0" collapsed="false">
      <c r="A54" s="5" t="n">
        <f aca="false">RANDBETWEEN(2,164)</f>
        <v>156</v>
      </c>
      <c r="B54" s="5" t="n">
        <f aca="false" t="array" ref="B54:B54">INDEX(Data_DBD!$B:$B,$A54)</f>
        <v>5</v>
      </c>
      <c r="C54" s="5" t="n">
        <f aca="false" t="array" ref="C54:C54">INDEX(Data_DBD!$C:$C,$A54)</f>
        <v>2</v>
      </c>
      <c r="D54" s="5" t="n">
        <f aca="false" t="array" ref="D54:D54">INDEX(Data_DBD!$D:$D,$A54)</f>
        <v>21</v>
      </c>
      <c r="E54" s="5" t="n">
        <f aca="false" t="array" ref="E54:E54">INDEX(Data_DBD!$E:$E,$A54)</f>
        <v>0</v>
      </c>
      <c r="F54" s="5" t="str">
        <f aca="false" t="array" ref="F54:F54">INDEX(Data_DBD!$F:$F,$A54)</f>
        <v>Tinggi</v>
      </c>
      <c r="H54" s="5" t="n">
        <v>77</v>
      </c>
      <c r="I54" s="5" t="n">
        <v>16</v>
      </c>
      <c r="J54" s="5" t="n">
        <v>4</v>
      </c>
      <c r="K54" s="5" t="n">
        <v>13</v>
      </c>
      <c r="L54" s="5" t="n">
        <v>1</v>
      </c>
      <c r="M54" s="5" t="s">
        <v>7</v>
      </c>
    </row>
    <row r="55" customFormat="false" ht="15" hidden="false" customHeight="false" outlineLevel="0" collapsed="false">
      <c r="A55" s="5" t="n">
        <f aca="false">RANDBETWEEN(2,164)</f>
        <v>115</v>
      </c>
      <c r="B55" s="5" t="n">
        <f aca="false" t="array" ref="B55:B55">INDEX(Data_DBD!$B:$B,$A55)</f>
        <v>52</v>
      </c>
      <c r="C55" s="5" t="n">
        <f aca="false" t="array" ref="C55:C55">INDEX(Data_DBD!$C:$C,$A55)</f>
        <v>3</v>
      </c>
      <c r="D55" s="5" t="n">
        <f aca="false" t="array" ref="D55:D55">INDEX(Data_DBD!$D:$D,$A55)</f>
        <v>33</v>
      </c>
      <c r="E55" s="5" t="n">
        <f aca="false" t="array" ref="E55:E55">INDEX(Data_DBD!$E:$E,$A55)</f>
        <v>1</v>
      </c>
      <c r="F55" s="5" t="str">
        <f aca="false" t="array" ref="F55:F55">INDEX(Data_DBD!$F:$F,$A55)</f>
        <v>Tinggi</v>
      </c>
      <c r="H55" s="5" t="n">
        <v>164</v>
      </c>
      <c r="I55" s="5" t="n">
        <v>10</v>
      </c>
      <c r="J55" s="5" t="n">
        <v>6</v>
      </c>
      <c r="K55" s="5" t="n">
        <v>3</v>
      </c>
      <c r="L55" s="5" t="n">
        <v>0</v>
      </c>
      <c r="M55" s="5" t="s">
        <v>20</v>
      </c>
    </row>
    <row r="56" customFormat="false" ht="15" hidden="false" customHeight="false" outlineLevel="0" collapsed="false">
      <c r="A56" s="5" t="n">
        <f aca="false">RANDBETWEEN(2,164)</f>
        <v>128</v>
      </c>
      <c r="B56" s="5" t="n">
        <f aca="false" t="array" ref="B56:B56">INDEX(Data_DBD!$B:$B,$A56)</f>
        <v>38</v>
      </c>
      <c r="C56" s="5" t="n">
        <f aca="false" t="array" ref="C56:C56">INDEX(Data_DBD!$C:$C,$A56)</f>
        <v>2</v>
      </c>
      <c r="D56" s="5" t="n">
        <f aca="false" t="array" ref="D56:D56">INDEX(Data_DBD!$D:$D,$A56)</f>
        <v>33</v>
      </c>
      <c r="E56" s="5" t="n">
        <f aca="false" t="array" ref="E56:E56">INDEX(Data_DBD!$E:$E,$A56)</f>
        <v>0</v>
      </c>
      <c r="F56" s="5" t="str">
        <f aca="false" t="array" ref="F56:F56">INDEX(Data_DBD!$F:$F,$A56)</f>
        <v>Tinggi</v>
      </c>
      <c r="H56" s="5" t="n">
        <v>21</v>
      </c>
      <c r="I56" s="5" t="n">
        <v>10</v>
      </c>
      <c r="J56" s="5" t="n">
        <v>5</v>
      </c>
      <c r="K56" s="5" t="n">
        <v>14</v>
      </c>
      <c r="L56" s="5" t="n">
        <v>1</v>
      </c>
      <c r="M56" s="5" t="s">
        <v>7</v>
      </c>
    </row>
    <row r="57" customFormat="false" ht="15" hidden="false" customHeight="false" outlineLevel="0" collapsed="false">
      <c r="A57" s="5" t="n">
        <f aca="false">RANDBETWEEN(2,164)</f>
        <v>56</v>
      </c>
      <c r="B57" s="5" t="n">
        <f aca="false" t="array" ref="B57:B57">INDEX(Data_DBD!$B:$B,$A57)</f>
        <v>4</v>
      </c>
      <c r="C57" s="5" t="n">
        <f aca="false" t="array" ref="C57:C57">INDEX(Data_DBD!$C:$C,$A57)</f>
        <v>3</v>
      </c>
      <c r="D57" s="5" t="n">
        <f aca="false" t="array" ref="D57:D57">INDEX(Data_DBD!$D:$D,$A57)</f>
        <v>15</v>
      </c>
      <c r="E57" s="5" t="n">
        <f aca="false" t="array" ref="E57:E57">INDEX(Data_DBD!$E:$E,$A57)</f>
        <v>0</v>
      </c>
      <c r="F57" s="5" t="str">
        <f aca="false" t="array" ref="F57:F57">INDEX(Data_DBD!$F:$F,$A57)</f>
        <v>Sedang</v>
      </c>
      <c r="H57" s="5" t="n">
        <v>77</v>
      </c>
      <c r="I57" s="5" t="n">
        <v>16</v>
      </c>
      <c r="J57" s="5" t="n">
        <v>4</v>
      </c>
      <c r="K57" s="5" t="n">
        <v>13</v>
      </c>
      <c r="L57" s="5" t="n">
        <v>1</v>
      </c>
      <c r="M57" s="5" t="s">
        <v>7</v>
      </c>
    </row>
    <row r="58" customFormat="false" ht="15" hidden="false" customHeight="false" outlineLevel="0" collapsed="false">
      <c r="A58" s="5" t="n">
        <f aca="false">RANDBETWEEN(2,164)</f>
        <v>148</v>
      </c>
      <c r="B58" s="5" t="n">
        <f aca="false" t="array" ref="B58:B58">INDEX(Data_DBD!$B:$B,$A58)</f>
        <v>55</v>
      </c>
      <c r="C58" s="5" t="n">
        <f aca="false" t="array" ref="C58:C58">INDEX(Data_DBD!$C:$C,$A58)</f>
        <v>3</v>
      </c>
      <c r="D58" s="5" t="n">
        <f aca="false" t="array" ref="D58:D58">INDEX(Data_DBD!$D:$D,$A58)</f>
        <v>21</v>
      </c>
      <c r="E58" s="5" t="n">
        <f aca="false" t="array" ref="E58:E58">INDEX(Data_DBD!$E:$E,$A58)</f>
        <v>1</v>
      </c>
      <c r="F58" s="5" t="str">
        <f aca="false" t="array" ref="F58:F58">INDEX(Data_DBD!$F:$F,$A58)</f>
        <v>Tinggi</v>
      </c>
      <c r="H58" s="5" t="n">
        <v>105</v>
      </c>
      <c r="I58" s="5" t="n">
        <v>61</v>
      </c>
      <c r="J58" s="5" t="n">
        <v>3</v>
      </c>
      <c r="K58" s="5" t="n">
        <v>18</v>
      </c>
      <c r="L58" s="5" t="n">
        <v>1</v>
      </c>
      <c r="M58" s="5" t="s">
        <v>7</v>
      </c>
    </row>
    <row r="59" customFormat="false" ht="15" hidden="false" customHeight="false" outlineLevel="0" collapsed="false">
      <c r="A59" s="5" t="n">
        <f aca="false">RANDBETWEEN(2,164)</f>
        <v>109</v>
      </c>
      <c r="B59" s="5" t="n">
        <f aca="false" t="array" ref="B59:B59">INDEX(Data_DBD!$B:$B,$A59)</f>
        <v>40</v>
      </c>
      <c r="C59" s="5" t="n">
        <f aca="false" t="array" ref="C59:C59">INDEX(Data_DBD!$C:$C,$A59)</f>
        <v>3</v>
      </c>
      <c r="D59" s="5" t="n">
        <f aca="false" t="array" ref="D59:D59">INDEX(Data_DBD!$D:$D,$A59)</f>
        <v>33</v>
      </c>
      <c r="E59" s="5" t="n">
        <f aca="false" t="array" ref="E59:E59">INDEX(Data_DBD!$E:$E,$A59)</f>
        <v>1</v>
      </c>
      <c r="F59" s="5" t="str">
        <f aca="false" t="array" ref="F59:F59">INDEX(Data_DBD!$F:$F,$A59)</f>
        <v>Tinggi</v>
      </c>
      <c r="H59" s="5" t="n">
        <v>119</v>
      </c>
      <c r="I59" s="5" t="n">
        <v>30</v>
      </c>
      <c r="J59" s="5" t="n">
        <v>7</v>
      </c>
      <c r="K59" s="5" t="n">
        <v>33</v>
      </c>
      <c r="L59" s="5" t="n">
        <v>0</v>
      </c>
      <c r="M59" s="5" t="s">
        <v>115</v>
      </c>
    </row>
    <row r="60" customFormat="false" ht="15" hidden="false" customHeight="false" outlineLevel="0" collapsed="false">
      <c r="A60" s="5" t="n">
        <f aca="false">RANDBETWEEN(2,164)</f>
        <v>82</v>
      </c>
      <c r="B60" s="5" t="n">
        <f aca="false" t="array" ref="B60:B60">INDEX(Data_DBD!$B:$B,$A60)</f>
        <v>28</v>
      </c>
      <c r="C60" s="5" t="n">
        <f aca="false" t="array" ref="C60:C60">INDEX(Data_DBD!$C:$C,$A60)</f>
        <v>3</v>
      </c>
      <c r="D60" s="5" t="n">
        <f aca="false" t="array" ref="D60:D60">INDEX(Data_DBD!$D:$D,$A60)</f>
        <v>13</v>
      </c>
      <c r="E60" s="5" t="n">
        <f aca="false" t="array" ref="E60:E60">INDEX(Data_DBD!$E:$E,$A60)</f>
        <v>1</v>
      </c>
      <c r="F60" s="5" t="str">
        <f aca="false" t="array" ref="F60:F60">INDEX(Data_DBD!$F:$F,$A60)</f>
        <v>Sedang</v>
      </c>
      <c r="H60" s="5" t="n">
        <v>104</v>
      </c>
      <c r="I60" s="5" t="n">
        <v>37</v>
      </c>
      <c r="J60" s="5" t="n">
        <v>4</v>
      </c>
      <c r="K60" s="5" t="n">
        <v>18</v>
      </c>
      <c r="L60" s="5" t="n">
        <v>1</v>
      </c>
      <c r="M60" s="5" t="s">
        <v>7</v>
      </c>
    </row>
    <row r="61" customFormat="false" ht="15" hidden="false" customHeight="false" outlineLevel="0" collapsed="false">
      <c r="A61" s="5" t="n">
        <f aca="false">RANDBETWEEN(2,164)</f>
        <v>149</v>
      </c>
      <c r="B61" s="5" t="n">
        <f aca="false" t="array" ref="B61:B61">INDEX(Data_DBD!$B:$B,$A61)</f>
        <v>19</v>
      </c>
      <c r="C61" s="5" t="n">
        <f aca="false" t="array" ref="C61:C61">INDEX(Data_DBD!$C:$C,$A61)</f>
        <v>5</v>
      </c>
      <c r="D61" s="5" t="n">
        <f aca="false" t="array" ref="D61:D61">INDEX(Data_DBD!$D:$D,$A61)</f>
        <v>21</v>
      </c>
      <c r="E61" s="5" t="n">
        <f aca="false" t="array" ref="E61:E61">INDEX(Data_DBD!$E:$E,$A61)</f>
        <v>0</v>
      </c>
      <c r="F61" s="5" t="str">
        <f aca="false" t="array" ref="F61:F61">INDEX(Data_DBD!$F:$F,$A61)</f>
        <v>Tinggi</v>
      </c>
      <c r="H61" s="5" t="n">
        <v>45</v>
      </c>
      <c r="I61" s="5" t="n">
        <v>75</v>
      </c>
      <c r="J61" s="5" t="n">
        <v>3</v>
      </c>
      <c r="K61" s="5" t="n">
        <v>13</v>
      </c>
      <c r="L61" s="5" t="n">
        <v>1</v>
      </c>
      <c r="M61" s="5" t="s">
        <v>7</v>
      </c>
    </row>
    <row r="62" customFormat="false" ht="15" hidden="false" customHeight="false" outlineLevel="0" collapsed="false">
      <c r="A62" s="5" t="n">
        <f aca="false">RANDBETWEEN(2,164)</f>
        <v>160</v>
      </c>
      <c r="B62" s="5" t="n">
        <f aca="false" t="array" ref="B62:B62">INDEX(Data_DBD!$B:$B,$A62)</f>
        <v>16</v>
      </c>
      <c r="C62" s="5" t="n">
        <f aca="false" t="array" ref="C62:C62">INDEX(Data_DBD!$C:$C,$A62)</f>
        <v>3</v>
      </c>
      <c r="D62" s="5" t="n">
        <f aca="false" t="array" ref="D62:D62">INDEX(Data_DBD!$D:$D,$A62)</f>
        <v>21</v>
      </c>
      <c r="E62" s="5" t="n">
        <f aca="false" t="array" ref="E62:E62">INDEX(Data_DBD!$E:$E,$A62)</f>
        <v>0</v>
      </c>
      <c r="F62" s="5" t="str">
        <f aca="false" t="array" ref="F62:F62">INDEX(Data_DBD!$F:$F,$A62)</f>
        <v>Tinggi</v>
      </c>
      <c r="H62" s="5" t="n">
        <v>68</v>
      </c>
      <c r="I62" s="5" t="n">
        <v>44</v>
      </c>
      <c r="J62" s="5" t="n">
        <v>5</v>
      </c>
      <c r="K62" s="5" t="n">
        <v>10</v>
      </c>
      <c r="L62" s="5" t="n">
        <v>0</v>
      </c>
      <c r="M62" s="5" t="s">
        <v>20</v>
      </c>
    </row>
    <row r="63" customFormat="false" ht="15" hidden="false" customHeight="false" outlineLevel="0" collapsed="false">
      <c r="A63" s="5" t="n">
        <f aca="false">RANDBETWEEN(2,164)</f>
        <v>14</v>
      </c>
      <c r="B63" s="5" t="n">
        <f aca="false" t="array" ref="B63:B63">INDEX(Data_DBD!$B:$B,$A63)</f>
        <v>49</v>
      </c>
      <c r="C63" s="5" t="n">
        <f aca="false" t="array" ref="C63:C63">INDEX(Data_DBD!$C:$C,$A63)</f>
        <v>4</v>
      </c>
      <c r="D63" s="5" t="n">
        <f aca="false" t="array" ref="D63:D63">INDEX(Data_DBD!$D:$D,$A63)</f>
        <v>7</v>
      </c>
      <c r="E63" s="5" t="n">
        <f aca="false" t="array" ref="E63:E63">INDEX(Data_DBD!$E:$E,$A63)</f>
        <v>1</v>
      </c>
      <c r="F63" s="5" t="str">
        <f aca="false" t="array" ref="F63:F63">INDEX(Data_DBD!$F:$F,$A63)</f>
        <v>Rendah</v>
      </c>
      <c r="H63" s="5" t="n">
        <v>6</v>
      </c>
      <c r="I63" s="5" t="n">
        <v>14</v>
      </c>
      <c r="J63" s="5" t="n">
        <v>4</v>
      </c>
      <c r="K63" s="5" t="n">
        <v>12</v>
      </c>
      <c r="L63" s="5" t="n">
        <v>0</v>
      </c>
      <c r="M63" s="5" t="s">
        <v>7</v>
      </c>
    </row>
    <row r="64" customFormat="false" ht="15" hidden="false" customHeight="false" outlineLevel="0" collapsed="false">
      <c r="A64" s="5" t="n">
        <f aca="false">RANDBETWEEN(2,164)</f>
        <v>117</v>
      </c>
      <c r="B64" s="5" t="n">
        <f aca="false" t="array" ref="B64:B64">INDEX(Data_DBD!$B:$B,$A64)</f>
        <v>49</v>
      </c>
      <c r="C64" s="5" t="n">
        <f aca="false" t="array" ref="C64:C64">INDEX(Data_DBD!$C:$C,$A64)</f>
        <v>4</v>
      </c>
      <c r="D64" s="5" t="n">
        <f aca="false" t="array" ref="D64:D64">INDEX(Data_DBD!$D:$D,$A64)</f>
        <v>33</v>
      </c>
      <c r="E64" s="5" t="n">
        <f aca="false" t="array" ref="E64:E64">INDEX(Data_DBD!$E:$E,$A64)</f>
        <v>1</v>
      </c>
      <c r="F64" s="5" t="str">
        <f aca="false" t="array" ref="F64:F64">INDEX(Data_DBD!$F:$F,$A64)</f>
        <v>Tinggi</v>
      </c>
      <c r="H64" s="5" t="n">
        <v>113</v>
      </c>
      <c r="I64" s="5" t="n">
        <v>69</v>
      </c>
      <c r="J64" s="5" t="n">
        <v>1</v>
      </c>
      <c r="K64" s="5" t="n">
        <v>33</v>
      </c>
      <c r="L64" s="5" t="n">
        <v>1</v>
      </c>
      <c r="M64" s="5" t="s">
        <v>115</v>
      </c>
    </row>
    <row r="65" customFormat="false" ht="15" hidden="false" customHeight="false" outlineLevel="0" collapsed="false">
      <c r="A65" s="5" t="n">
        <f aca="false">RANDBETWEEN(2,164)</f>
        <v>127</v>
      </c>
      <c r="B65" s="5" t="n">
        <f aca="false" t="array" ref="B65:B65">INDEX(Data_DBD!$B:$B,$A65)</f>
        <v>21</v>
      </c>
      <c r="C65" s="5" t="n">
        <f aca="false" t="array" ref="C65:C65">INDEX(Data_DBD!$C:$C,$A65)</f>
        <v>2</v>
      </c>
      <c r="D65" s="5" t="n">
        <f aca="false" t="array" ref="D65:D65">INDEX(Data_DBD!$D:$D,$A65)</f>
        <v>33</v>
      </c>
      <c r="E65" s="5" t="n">
        <f aca="false" t="array" ref="E65:E65">INDEX(Data_DBD!$E:$E,$A65)</f>
        <v>0</v>
      </c>
      <c r="F65" s="5" t="str">
        <f aca="false" t="array" ref="F65:F65">INDEX(Data_DBD!$F:$F,$A65)</f>
        <v>Tinggi</v>
      </c>
      <c r="H65" s="5" t="n">
        <v>34</v>
      </c>
      <c r="I65" s="5" t="n">
        <v>55</v>
      </c>
      <c r="J65" s="5" t="n">
        <v>3</v>
      </c>
      <c r="K65" s="5" t="n">
        <v>14</v>
      </c>
      <c r="L65" s="5" t="n">
        <v>0</v>
      </c>
      <c r="M65" s="5" t="s">
        <v>7</v>
      </c>
    </row>
    <row r="66" customFormat="false" ht="15" hidden="false" customHeight="false" outlineLevel="0" collapsed="false">
      <c r="A66" s="5" t="n">
        <f aca="false">RANDBETWEEN(2,164)</f>
        <v>56</v>
      </c>
      <c r="B66" s="5" t="n">
        <f aca="false" t="array" ref="B66:B66">INDEX(Data_DBD!$B:$B,$A66)</f>
        <v>4</v>
      </c>
      <c r="C66" s="5" t="n">
        <f aca="false" t="array" ref="C66:C66">INDEX(Data_DBD!$C:$C,$A66)</f>
        <v>3</v>
      </c>
      <c r="D66" s="5" t="n">
        <f aca="false" t="array" ref="D66:D66">INDEX(Data_DBD!$D:$D,$A66)</f>
        <v>15</v>
      </c>
      <c r="E66" s="5" t="n">
        <f aca="false" t="array" ref="E66:E66">INDEX(Data_DBD!$E:$E,$A66)</f>
        <v>0</v>
      </c>
      <c r="F66" s="5" t="str">
        <f aca="false" t="array" ref="F66:F66">INDEX(Data_DBD!$F:$F,$A66)</f>
        <v>Sedang</v>
      </c>
      <c r="H66" s="5" t="n">
        <v>42</v>
      </c>
      <c r="I66" s="5" t="n">
        <v>21</v>
      </c>
      <c r="J66" s="5" t="n">
        <v>5</v>
      </c>
      <c r="K66" s="5" t="n">
        <v>13</v>
      </c>
      <c r="L66" s="5" t="n">
        <v>1</v>
      </c>
      <c r="M66" s="5" t="s">
        <v>7</v>
      </c>
    </row>
    <row r="67" customFormat="false" ht="15" hidden="false" customHeight="false" outlineLevel="0" collapsed="false">
      <c r="A67" s="5" t="n">
        <f aca="false">RANDBETWEEN(2,164)</f>
        <v>52</v>
      </c>
      <c r="B67" s="5" t="n">
        <f aca="false" t="array" ref="B67:B67">INDEX(Data_DBD!$B:$B,$A67)</f>
        <v>59</v>
      </c>
      <c r="C67" s="5" t="n">
        <f aca="false" t="array" ref="C67:C67">INDEX(Data_DBD!$C:$C,$A67)</f>
        <v>4</v>
      </c>
      <c r="D67" s="5" t="n">
        <f aca="false" t="array" ref="D67:D67">INDEX(Data_DBD!$D:$D,$A67)</f>
        <v>15</v>
      </c>
      <c r="E67" s="5" t="n">
        <f aca="false" t="array" ref="E67:E67">INDEX(Data_DBD!$E:$E,$A67)</f>
        <v>1</v>
      </c>
      <c r="F67" s="5" t="str">
        <f aca="false" t="array" ref="F67:F67">INDEX(Data_DBD!$F:$F,$A67)</f>
        <v>Sedang</v>
      </c>
      <c r="H67" s="5" t="n">
        <v>130</v>
      </c>
      <c r="I67" s="5" t="n">
        <v>12</v>
      </c>
      <c r="J67" s="5" t="n">
        <v>4</v>
      </c>
      <c r="K67" s="5" t="n">
        <v>33</v>
      </c>
      <c r="L67" s="5" t="n">
        <v>0</v>
      </c>
      <c r="M67" s="5" t="s">
        <v>115</v>
      </c>
    </row>
    <row r="68" customFormat="false" ht="15" hidden="false" customHeight="false" outlineLevel="0" collapsed="false">
      <c r="A68" s="5" t="n">
        <f aca="false">RANDBETWEEN(2,164)</f>
        <v>156</v>
      </c>
      <c r="B68" s="5" t="n">
        <f aca="false" t="array" ref="B68:B68">INDEX(Data_DBD!$B:$B,$A68)</f>
        <v>5</v>
      </c>
      <c r="C68" s="5" t="n">
        <f aca="false" t="array" ref="C68:C68">INDEX(Data_DBD!$C:$C,$A68)</f>
        <v>2</v>
      </c>
      <c r="D68" s="5" t="n">
        <f aca="false" t="array" ref="D68:D68">INDEX(Data_DBD!$D:$D,$A68)</f>
        <v>21</v>
      </c>
      <c r="E68" s="5" t="n">
        <f aca="false" t="array" ref="E68:E68">INDEX(Data_DBD!$E:$E,$A68)</f>
        <v>0</v>
      </c>
      <c r="F68" s="5" t="str">
        <f aca="false" t="array" ref="F68:F68">INDEX(Data_DBD!$F:$F,$A68)</f>
        <v>Tinggi</v>
      </c>
      <c r="H68" s="5" t="n">
        <v>113</v>
      </c>
      <c r="I68" s="5" t="n">
        <v>69</v>
      </c>
      <c r="J68" s="5" t="n">
        <v>1</v>
      </c>
      <c r="K68" s="5" t="n">
        <v>33</v>
      </c>
      <c r="L68" s="5" t="n">
        <v>1</v>
      </c>
      <c r="M68" s="5" t="s">
        <v>115</v>
      </c>
    </row>
    <row r="69" customFormat="false" ht="15" hidden="false" customHeight="false" outlineLevel="0" collapsed="false">
      <c r="A69" s="5" t="n">
        <f aca="false">RANDBETWEEN(2,164)</f>
        <v>97</v>
      </c>
      <c r="B69" s="5" t="n">
        <f aca="false" t="array" ref="B69:B69">INDEX(Data_DBD!$B:$B,$A69)</f>
        <v>16</v>
      </c>
      <c r="C69" s="5" t="n">
        <f aca="false" t="array" ref="C69:C69">INDEX(Data_DBD!$C:$C,$A69)</f>
        <v>2</v>
      </c>
      <c r="D69" s="5" t="n">
        <f aca="false" t="array" ref="D69:D69">INDEX(Data_DBD!$D:$D,$A69)</f>
        <v>18</v>
      </c>
      <c r="E69" s="5" t="n">
        <f aca="false" t="array" ref="E69:E69">INDEX(Data_DBD!$E:$E,$A69)</f>
        <v>1</v>
      </c>
      <c r="F69" s="5" t="str">
        <f aca="false" t="array" ref="F69:F69">INDEX(Data_DBD!$F:$F,$A69)</f>
        <v>Sedang</v>
      </c>
      <c r="H69" s="5" t="n">
        <v>40</v>
      </c>
      <c r="I69" s="5" t="n">
        <v>65</v>
      </c>
      <c r="J69" s="5" t="n">
        <v>3</v>
      </c>
      <c r="K69" s="5" t="n">
        <v>13</v>
      </c>
      <c r="L69" s="5" t="n">
        <v>1</v>
      </c>
      <c r="M69" s="5" t="s">
        <v>7</v>
      </c>
    </row>
    <row r="70" customFormat="false" ht="15" hidden="false" customHeight="false" outlineLevel="0" collapsed="false">
      <c r="A70" s="5" t="n">
        <f aca="false">RANDBETWEEN(2,164)</f>
        <v>99</v>
      </c>
      <c r="B70" s="5" t="n">
        <f aca="false" t="array" ref="B70:B70">INDEX(Data_DBD!$B:$B,$A70)</f>
        <v>4</v>
      </c>
      <c r="C70" s="5" t="n">
        <f aca="false" t="array" ref="C70:C70">INDEX(Data_DBD!$C:$C,$A70)</f>
        <v>2</v>
      </c>
      <c r="D70" s="5" t="n">
        <f aca="false" t="array" ref="D70:D70">INDEX(Data_DBD!$D:$D,$A70)</f>
        <v>18</v>
      </c>
      <c r="E70" s="5" t="n">
        <f aca="false" t="array" ref="E70:E70">INDEX(Data_DBD!$E:$E,$A70)</f>
        <v>1</v>
      </c>
      <c r="F70" s="5" t="str">
        <f aca="false" t="array" ref="F70:F70">INDEX(Data_DBD!$F:$F,$A70)</f>
        <v>Sedang</v>
      </c>
      <c r="H70" s="5" t="n">
        <v>151</v>
      </c>
      <c r="I70" s="5" t="n">
        <v>24</v>
      </c>
      <c r="J70" s="5" t="n">
        <v>3</v>
      </c>
      <c r="K70" s="5" t="n">
        <v>21</v>
      </c>
      <c r="L70" s="5" t="n">
        <v>0</v>
      </c>
      <c r="M70" s="5" t="s">
        <v>115</v>
      </c>
    </row>
    <row r="71" customFormat="false" ht="15" hidden="false" customHeight="false" outlineLevel="0" collapsed="false">
      <c r="A71" s="5" t="n">
        <f aca="false">RANDBETWEEN(2,164)</f>
        <v>20</v>
      </c>
      <c r="B71" s="5" t="n">
        <f aca="false" t="array" ref="B71:B71">INDEX(Data_DBD!$B:$B,$A71)</f>
        <v>15</v>
      </c>
      <c r="C71" s="5" t="n">
        <f aca="false" t="array" ref="C71:C71">INDEX(Data_DBD!$C:$C,$A71)</f>
        <v>5</v>
      </c>
      <c r="D71" s="5" t="n">
        <f aca="false" t="array" ref="D71:D71">INDEX(Data_DBD!$D:$D,$A71)</f>
        <v>7</v>
      </c>
      <c r="E71" s="5" t="n">
        <f aca="false" t="array" ref="E71:E71">INDEX(Data_DBD!$E:$E,$A71)</f>
        <v>0</v>
      </c>
      <c r="F71" s="5" t="str">
        <f aca="false" t="array" ref="F71:F71">INDEX(Data_DBD!$F:$F,$A71)</f>
        <v>Rendah</v>
      </c>
      <c r="H71" s="5" t="n">
        <v>29</v>
      </c>
      <c r="I71" s="5" t="n">
        <v>19</v>
      </c>
      <c r="J71" s="5" t="n">
        <v>2</v>
      </c>
      <c r="K71" s="5" t="n">
        <v>14</v>
      </c>
      <c r="L71" s="5" t="n">
        <v>1</v>
      </c>
      <c r="M71" s="5" t="s">
        <v>7</v>
      </c>
    </row>
    <row r="72" customFormat="false" ht="15" hidden="false" customHeight="false" outlineLevel="0" collapsed="false">
      <c r="A72" s="5" t="n">
        <f aca="false">RANDBETWEEN(2,164)</f>
        <v>110</v>
      </c>
      <c r="B72" s="5" t="n">
        <f aca="false" t="array" ref="B72:B72">INDEX(Data_DBD!$B:$B,$A72)</f>
        <v>42</v>
      </c>
      <c r="C72" s="5" t="n">
        <f aca="false" t="array" ref="C72:C72">INDEX(Data_DBD!$C:$C,$A72)</f>
        <v>2</v>
      </c>
      <c r="D72" s="5" t="n">
        <f aca="false" t="array" ref="D72:D72">INDEX(Data_DBD!$D:$D,$A72)</f>
        <v>33</v>
      </c>
      <c r="E72" s="5" t="n">
        <f aca="false" t="array" ref="E72:E72">INDEX(Data_DBD!$E:$E,$A72)</f>
        <v>1</v>
      </c>
      <c r="F72" s="5" t="str">
        <f aca="false" t="array" ref="F72:F72">INDEX(Data_DBD!$F:$F,$A72)</f>
        <v>Tinggi</v>
      </c>
      <c r="H72" s="5" t="n">
        <v>152</v>
      </c>
      <c r="I72" s="5" t="n">
        <v>47</v>
      </c>
      <c r="J72" s="5" t="n">
        <v>3</v>
      </c>
      <c r="K72" s="5" t="n">
        <v>21</v>
      </c>
      <c r="L72" s="5" t="n">
        <v>1</v>
      </c>
      <c r="M72" s="5" t="s">
        <v>115</v>
      </c>
    </row>
    <row r="73" customFormat="false" ht="15" hidden="false" customHeight="false" outlineLevel="0" collapsed="false">
      <c r="A73" s="5" t="n">
        <f aca="false">RANDBETWEEN(2,164)</f>
        <v>110</v>
      </c>
      <c r="B73" s="5" t="n">
        <f aca="false" t="array" ref="B73:B73">INDEX(Data_DBD!$B:$B,$A73)</f>
        <v>42</v>
      </c>
      <c r="C73" s="5" t="n">
        <f aca="false" t="array" ref="C73:C73">INDEX(Data_DBD!$C:$C,$A73)</f>
        <v>2</v>
      </c>
      <c r="D73" s="5" t="n">
        <f aca="false" t="array" ref="D73:D73">INDEX(Data_DBD!$D:$D,$A73)</f>
        <v>33</v>
      </c>
      <c r="E73" s="5" t="n">
        <f aca="false" t="array" ref="E73:E73">INDEX(Data_DBD!$E:$E,$A73)</f>
        <v>1</v>
      </c>
      <c r="F73" s="5" t="str">
        <f aca="false" t="array" ref="F73:F73">INDEX(Data_DBD!$F:$F,$A73)</f>
        <v>Tinggi</v>
      </c>
      <c r="H73" s="5" t="n">
        <v>129</v>
      </c>
      <c r="I73" s="5" t="n">
        <v>4</v>
      </c>
      <c r="J73" s="5" t="n">
        <v>3</v>
      </c>
      <c r="K73" s="5" t="n">
        <v>33</v>
      </c>
      <c r="L73" s="5" t="n">
        <v>0</v>
      </c>
      <c r="M73" s="5" t="s">
        <v>115</v>
      </c>
    </row>
    <row r="74" customFormat="false" ht="15" hidden="false" customHeight="false" outlineLevel="0" collapsed="false">
      <c r="A74" s="5" t="n">
        <f aca="false">RANDBETWEEN(2,164)</f>
        <v>7</v>
      </c>
      <c r="B74" s="5" t="n">
        <f aca="false" t="array" ref="B74:B74">INDEX(Data_DBD!$B:$B,$A74)</f>
        <v>12</v>
      </c>
      <c r="C74" s="5" t="n">
        <f aca="false" t="array" ref="C74:C74">INDEX(Data_DBD!$C:$C,$A74)</f>
        <v>1</v>
      </c>
      <c r="D74" s="5" t="n">
        <f aca="false" t="array" ref="D74:D74">INDEX(Data_DBD!$D:$D,$A74)</f>
        <v>12</v>
      </c>
      <c r="E74" s="5" t="n">
        <f aca="false" t="array" ref="E74:E74">INDEX(Data_DBD!$E:$E,$A74)</f>
        <v>1</v>
      </c>
      <c r="F74" s="5" t="str">
        <f aca="false" t="array" ref="F74:F74">INDEX(Data_DBD!$F:$F,$A74)</f>
        <v>Sedang</v>
      </c>
      <c r="H74" s="5" t="n">
        <v>100</v>
      </c>
      <c r="I74" s="5" t="n">
        <v>19</v>
      </c>
      <c r="J74" s="5" t="n">
        <v>6</v>
      </c>
      <c r="K74" s="5" t="n">
        <v>18</v>
      </c>
      <c r="L74" s="5" t="n">
        <v>0</v>
      </c>
      <c r="M74" s="5" t="s">
        <v>7</v>
      </c>
    </row>
    <row r="75" customFormat="false" ht="15" hidden="false" customHeight="false" outlineLevel="0" collapsed="false">
      <c r="A75" s="5" t="n">
        <f aca="false">RANDBETWEEN(2,164)</f>
        <v>6</v>
      </c>
      <c r="B75" s="5" t="n">
        <f aca="false" t="array" ref="B75:B75">INDEX(Data_DBD!$B:$B,$A75)</f>
        <v>14</v>
      </c>
      <c r="C75" s="5" t="n">
        <f aca="false" t="array" ref="C75:C75">INDEX(Data_DBD!$C:$C,$A75)</f>
        <v>4</v>
      </c>
      <c r="D75" s="5" t="n">
        <f aca="false" t="array" ref="D75:D75">INDEX(Data_DBD!$D:$D,$A75)</f>
        <v>12</v>
      </c>
      <c r="E75" s="5" t="n">
        <f aca="false" t="array" ref="E75:E75">INDEX(Data_DBD!$E:$E,$A75)</f>
        <v>0</v>
      </c>
      <c r="F75" s="5" t="str">
        <f aca="false" t="array" ref="F75:F75">INDEX(Data_DBD!$F:$F,$A75)</f>
        <v>Sedang</v>
      </c>
      <c r="H75" s="5" t="n">
        <v>32</v>
      </c>
      <c r="I75" s="5" t="n">
        <v>54</v>
      </c>
      <c r="J75" s="5" t="n">
        <v>4</v>
      </c>
      <c r="K75" s="5" t="n">
        <v>14</v>
      </c>
      <c r="L75" s="5" t="n">
        <v>0</v>
      </c>
      <c r="M75" s="5" t="s">
        <v>7</v>
      </c>
    </row>
    <row r="76" customFormat="false" ht="15" hidden="false" customHeight="false" outlineLevel="0" collapsed="false">
      <c r="A76" s="5" t="n">
        <f aca="false">RANDBETWEEN(2,164)</f>
        <v>49</v>
      </c>
      <c r="B76" s="5" t="n">
        <f aca="false" t="array" ref="B76:B76">INDEX(Data_DBD!$B:$B,$A76)</f>
        <v>64</v>
      </c>
      <c r="C76" s="5" t="n">
        <f aca="false" t="array" ref="C76:C76">INDEX(Data_DBD!$C:$C,$A76)</f>
        <v>5</v>
      </c>
      <c r="D76" s="5" t="n">
        <f aca="false" t="array" ref="D76:D76">INDEX(Data_DBD!$D:$D,$A76)</f>
        <v>13</v>
      </c>
      <c r="E76" s="5" t="n">
        <f aca="false" t="array" ref="E76:E76">INDEX(Data_DBD!$E:$E,$A76)</f>
        <v>0</v>
      </c>
      <c r="F76" s="5" t="str">
        <f aca="false" t="array" ref="F76:F76">INDEX(Data_DBD!$F:$F,$A76)</f>
        <v>Sedang</v>
      </c>
      <c r="H76" s="5" t="n">
        <v>24</v>
      </c>
      <c r="I76" s="5" t="n">
        <v>60</v>
      </c>
      <c r="J76" s="5" t="n">
        <v>4</v>
      </c>
      <c r="K76" s="5" t="n">
        <v>14</v>
      </c>
      <c r="L76" s="5" t="n">
        <v>0</v>
      </c>
      <c r="M76" s="5" t="s">
        <v>7</v>
      </c>
    </row>
    <row r="77" customFormat="false" ht="15" hidden="false" customHeight="false" outlineLevel="0" collapsed="false">
      <c r="A77" s="5" t="n">
        <f aca="false">RANDBETWEEN(2,164)</f>
        <v>97</v>
      </c>
      <c r="B77" s="5" t="n">
        <f aca="false" t="array" ref="B77:B77">INDEX(Data_DBD!$B:$B,$A77)</f>
        <v>16</v>
      </c>
      <c r="C77" s="5" t="n">
        <f aca="false" t="array" ref="C77:C77">INDEX(Data_DBD!$C:$C,$A77)</f>
        <v>2</v>
      </c>
      <c r="D77" s="5" t="n">
        <f aca="false" t="array" ref="D77:D77">INDEX(Data_DBD!$D:$D,$A77)</f>
        <v>18</v>
      </c>
      <c r="E77" s="5" t="n">
        <f aca="false" t="array" ref="E77:E77">INDEX(Data_DBD!$E:$E,$A77)</f>
        <v>1</v>
      </c>
      <c r="F77" s="5" t="str">
        <f aca="false" t="array" ref="F77:F77">INDEX(Data_DBD!$F:$F,$A77)</f>
        <v>Sedang</v>
      </c>
      <c r="H77" s="5" t="n">
        <v>89</v>
      </c>
      <c r="I77" s="5" t="n">
        <v>32</v>
      </c>
      <c r="J77" s="5" t="n">
        <v>4</v>
      </c>
      <c r="K77" s="5" t="n">
        <v>13</v>
      </c>
      <c r="L77" s="5" t="n">
        <v>0</v>
      </c>
      <c r="M77" s="5" t="s">
        <v>7</v>
      </c>
    </row>
    <row r="78" customFormat="false" ht="15" hidden="false" customHeight="false" outlineLevel="0" collapsed="false">
      <c r="A78" s="5" t="n">
        <f aca="false">RANDBETWEEN(2,164)</f>
        <v>138</v>
      </c>
      <c r="B78" s="5" t="n">
        <f aca="false" t="array" ref="B78:B78">INDEX(Data_DBD!$B:$B,$A78)</f>
        <v>13</v>
      </c>
      <c r="C78" s="5" t="n">
        <f aca="false" t="array" ref="C78:C78">INDEX(Data_DBD!$C:$C,$A78)</f>
        <v>3</v>
      </c>
      <c r="D78" s="5" t="n">
        <f aca="false" t="array" ref="D78:D78">INDEX(Data_DBD!$D:$D,$A78)</f>
        <v>33</v>
      </c>
      <c r="E78" s="5" t="n">
        <f aca="false" t="array" ref="E78:E78">INDEX(Data_DBD!$E:$E,$A78)</f>
        <v>1</v>
      </c>
      <c r="F78" s="5" t="str">
        <f aca="false" t="array" ref="F78:F78">INDEX(Data_DBD!$F:$F,$A78)</f>
        <v>Tinggi</v>
      </c>
      <c r="H78" s="5" t="n">
        <v>132</v>
      </c>
      <c r="I78" s="5" t="n">
        <v>10</v>
      </c>
      <c r="J78" s="5" t="n">
        <v>3</v>
      </c>
      <c r="K78" s="5" t="n">
        <v>33</v>
      </c>
      <c r="L78" s="5" t="n">
        <v>1</v>
      </c>
      <c r="M78" s="5" t="s">
        <v>115</v>
      </c>
    </row>
    <row r="79" customFormat="false" ht="15" hidden="false" customHeight="false" outlineLevel="0" collapsed="false">
      <c r="A79" s="5" t="n">
        <f aca="false">RANDBETWEEN(2,164)</f>
        <v>143</v>
      </c>
      <c r="B79" s="5" t="n">
        <f aca="false" t="array" ref="B79:B79">INDEX(Data_DBD!$B:$B,$A79)</f>
        <v>20</v>
      </c>
      <c r="C79" s="5" t="n">
        <f aca="false" t="array" ref="C79:C79">INDEX(Data_DBD!$C:$C,$A79)</f>
        <v>4</v>
      </c>
      <c r="D79" s="5" t="n">
        <f aca="false" t="array" ref="D79:D79">INDEX(Data_DBD!$D:$D,$A79)</f>
        <v>21</v>
      </c>
      <c r="E79" s="5" t="n">
        <f aca="false" t="array" ref="E79:E79">INDEX(Data_DBD!$E:$E,$A79)</f>
        <v>1</v>
      </c>
      <c r="F79" s="5" t="str">
        <f aca="false" t="array" ref="F79:F79">INDEX(Data_DBD!$F:$F,$A79)</f>
        <v>Tinggi</v>
      </c>
      <c r="H79" s="5" t="n">
        <v>142</v>
      </c>
      <c r="I79" s="5" t="n">
        <v>39</v>
      </c>
      <c r="J79" s="5" t="n">
        <v>2</v>
      </c>
      <c r="K79" s="5" t="n">
        <v>21</v>
      </c>
      <c r="L79" s="5" t="n">
        <v>1</v>
      </c>
      <c r="M79" s="5" t="s">
        <v>115</v>
      </c>
    </row>
    <row r="80" customFormat="false" ht="15" hidden="false" customHeight="false" outlineLevel="0" collapsed="false">
      <c r="A80" s="5" t="n">
        <f aca="false">RANDBETWEEN(2,164)</f>
        <v>100</v>
      </c>
      <c r="B80" s="5" t="n">
        <f aca="false" t="array" ref="B80:B80">INDEX(Data_DBD!$B:$B,$A80)</f>
        <v>19</v>
      </c>
      <c r="C80" s="5" t="n">
        <f aca="false" t="array" ref="C80:C80">INDEX(Data_DBD!$C:$C,$A80)</f>
        <v>6</v>
      </c>
      <c r="D80" s="5" t="n">
        <f aca="false" t="array" ref="D80:D80">INDEX(Data_DBD!$D:$D,$A80)</f>
        <v>18</v>
      </c>
      <c r="E80" s="5" t="n">
        <f aca="false" t="array" ref="E80:E80">INDEX(Data_DBD!$E:$E,$A80)</f>
        <v>0</v>
      </c>
      <c r="F80" s="5" t="str">
        <f aca="false" t="array" ref="F80:F80">INDEX(Data_DBD!$F:$F,$A80)</f>
        <v>Sedang</v>
      </c>
      <c r="H80" s="5" t="n">
        <v>151</v>
      </c>
      <c r="I80" s="5" t="n">
        <v>24</v>
      </c>
      <c r="J80" s="5" t="n">
        <v>3</v>
      </c>
      <c r="K80" s="5" t="n">
        <v>21</v>
      </c>
      <c r="L80" s="5" t="n">
        <v>0</v>
      </c>
      <c r="M80" s="5" t="s">
        <v>115</v>
      </c>
    </row>
    <row r="81" customFormat="false" ht="15" hidden="false" customHeight="false" outlineLevel="0" collapsed="false">
      <c r="A81" s="5" t="n">
        <f aca="false">RANDBETWEEN(2,164)</f>
        <v>41</v>
      </c>
      <c r="B81" s="5" t="n">
        <f aca="false" t="array" ref="B81:B81">INDEX(Data_DBD!$B:$B,$A81)</f>
        <v>8</v>
      </c>
      <c r="C81" s="5" t="n">
        <f aca="false" t="array" ref="C81:C81">INDEX(Data_DBD!$C:$C,$A81)</f>
        <v>4</v>
      </c>
      <c r="D81" s="5" t="n">
        <f aca="false" t="array" ref="D81:D81">INDEX(Data_DBD!$D:$D,$A81)</f>
        <v>13</v>
      </c>
      <c r="E81" s="5" t="n">
        <f aca="false" t="array" ref="E81:E81">INDEX(Data_DBD!$E:$E,$A81)</f>
        <v>0</v>
      </c>
      <c r="F81" s="5" t="str">
        <f aca="false" t="array" ref="F81:F81">INDEX(Data_DBD!$F:$F,$A81)</f>
        <v>Sedang</v>
      </c>
      <c r="H81" s="5" t="n">
        <v>119</v>
      </c>
      <c r="I81" s="5" t="n">
        <v>30</v>
      </c>
      <c r="J81" s="5" t="n">
        <v>7</v>
      </c>
      <c r="K81" s="5" t="n">
        <v>33</v>
      </c>
      <c r="L81" s="5" t="n">
        <v>0</v>
      </c>
      <c r="M81" s="5" t="s">
        <v>115</v>
      </c>
    </row>
    <row r="82" customFormat="false" ht="15" hidden="false" customHeight="false" outlineLevel="0" collapsed="false">
      <c r="A82" s="5" t="n">
        <f aca="false">RANDBETWEEN(2,164)</f>
        <v>13</v>
      </c>
      <c r="B82" s="5" t="n">
        <f aca="false" t="array" ref="B82:B82">INDEX(Data_DBD!$B:$B,$A82)</f>
        <v>47</v>
      </c>
      <c r="C82" s="5" t="n">
        <f aca="false" t="array" ref="C82:C82">INDEX(Data_DBD!$C:$C,$A82)</f>
        <v>2</v>
      </c>
      <c r="D82" s="5" t="n">
        <f aca="false" t="array" ref="D82:D82">INDEX(Data_DBD!$D:$D,$A82)</f>
        <v>12</v>
      </c>
      <c r="E82" s="5" t="n">
        <f aca="false" t="array" ref="E82:E82">INDEX(Data_DBD!$E:$E,$A82)</f>
        <v>0</v>
      </c>
      <c r="F82" s="5" t="str">
        <f aca="false" t="array" ref="F82:F82">INDEX(Data_DBD!$F:$F,$A82)</f>
        <v>Sedang</v>
      </c>
      <c r="H82" s="5" t="n">
        <v>105</v>
      </c>
      <c r="I82" s="5" t="n">
        <v>61</v>
      </c>
      <c r="J82" s="5" t="n">
        <v>3</v>
      </c>
      <c r="K82" s="5" t="n">
        <v>18</v>
      </c>
      <c r="L82" s="5" t="n">
        <v>1</v>
      </c>
      <c r="M82" s="5" t="s">
        <v>7</v>
      </c>
    </row>
    <row r="83" customFormat="false" ht="15" hidden="false" customHeight="false" outlineLevel="0" collapsed="false">
      <c r="A83" s="5" t="n">
        <f aca="false">RANDBETWEEN(2,164)</f>
        <v>29</v>
      </c>
      <c r="B83" s="5" t="n">
        <f aca="false" t="array" ref="B83:B83">INDEX(Data_DBD!$B:$B,$A83)</f>
        <v>19</v>
      </c>
      <c r="C83" s="5" t="n">
        <f aca="false" t="array" ref="C83:C83">INDEX(Data_DBD!$C:$C,$A83)</f>
        <v>2</v>
      </c>
      <c r="D83" s="5" t="n">
        <f aca="false" t="array" ref="D83:D83">INDEX(Data_DBD!$D:$D,$A83)</f>
        <v>14</v>
      </c>
      <c r="E83" s="5" t="n">
        <f aca="false" t="array" ref="E83:E83">INDEX(Data_DBD!$E:$E,$A83)</f>
        <v>1</v>
      </c>
      <c r="F83" s="5" t="str">
        <f aca="false" t="array" ref="F83:F83">INDEX(Data_DBD!$F:$F,$A83)</f>
        <v>Sedang</v>
      </c>
      <c r="H83" s="5" t="n">
        <v>153</v>
      </c>
      <c r="I83" s="5" t="n">
        <v>73</v>
      </c>
      <c r="J83" s="5" t="n">
        <v>7</v>
      </c>
      <c r="K83" s="5" t="n">
        <v>21</v>
      </c>
      <c r="L83" s="5" t="n">
        <v>1</v>
      </c>
      <c r="M83" s="5" t="s">
        <v>115</v>
      </c>
    </row>
    <row r="84" customFormat="false" ht="15" hidden="false" customHeight="false" outlineLevel="0" collapsed="false">
      <c r="A84" s="5" t="n">
        <f aca="false">RANDBETWEEN(2,164)</f>
        <v>91</v>
      </c>
      <c r="B84" s="5" t="n">
        <f aca="false" t="array" ref="B84:B84">INDEX(Data_DBD!$B:$B,$A84)</f>
        <v>35</v>
      </c>
      <c r="C84" s="5" t="n">
        <f aca="false" t="array" ref="C84:C84">INDEX(Data_DBD!$C:$C,$A84)</f>
        <v>1</v>
      </c>
      <c r="D84" s="5" t="n">
        <f aca="false" t="array" ref="D84:D84">INDEX(Data_DBD!$D:$D,$A84)</f>
        <v>18</v>
      </c>
      <c r="E84" s="5" t="n">
        <f aca="false" t="array" ref="E84:E84">INDEX(Data_DBD!$E:$E,$A84)</f>
        <v>1</v>
      </c>
      <c r="F84" s="5" t="str">
        <f aca="false" t="array" ref="F84:F84">INDEX(Data_DBD!$F:$F,$A84)</f>
        <v>Sedang</v>
      </c>
      <c r="H84" s="5" t="n">
        <v>106</v>
      </c>
      <c r="I84" s="5" t="n">
        <v>23</v>
      </c>
      <c r="J84" s="5" t="n">
        <v>3</v>
      </c>
      <c r="K84" s="5" t="n">
        <v>18</v>
      </c>
      <c r="L84" s="5" t="n">
        <v>1</v>
      </c>
      <c r="M84" s="5" t="s">
        <v>7</v>
      </c>
    </row>
    <row r="85" customFormat="false" ht="15" hidden="false" customHeight="false" outlineLevel="0" collapsed="false">
      <c r="A85" s="5" t="n">
        <f aca="false">RANDBETWEEN(2,164)</f>
        <v>114</v>
      </c>
      <c r="B85" s="5" t="n">
        <f aca="false" t="array" ref="B85:B85">INDEX(Data_DBD!$B:$B,$A85)</f>
        <v>14</v>
      </c>
      <c r="C85" s="5" t="n">
        <f aca="false" t="array" ref="C85:C85">INDEX(Data_DBD!$C:$C,$A85)</f>
        <v>2</v>
      </c>
      <c r="D85" s="5" t="n">
        <f aca="false" t="array" ref="D85:D85">INDEX(Data_DBD!$D:$D,$A85)</f>
        <v>33</v>
      </c>
      <c r="E85" s="5" t="n">
        <f aca="false" t="array" ref="E85:E85">INDEX(Data_DBD!$E:$E,$A85)</f>
        <v>1</v>
      </c>
      <c r="F85" s="5" t="str">
        <f aca="false" t="array" ref="F85:F85">INDEX(Data_DBD!$F:$F,$A85)</f>
        <v>Tinggi</v>
      </c>
      <c r="H85" s="5" t="n">
        <v>108</v>
      </c>
      <c r="I85" s="5" t="n">
        <v>69</v>
      </c>
      <c r="J85" s="5" t="n">
        <v>7</v>
      </c>
      <c r="K85" s="5" t="n">
        <v>33</v>
      </c>
      <c r="L85" s="5" t="n">
        <v>1</v>
      </c>
      <c r="M85" s="5" t="s">
        <v>115</v>
      </c>
    </row>
    <row r="86" customFormat="false" ht="15" hidden="false" customHeight="false" outlineLevel="0" collapsed="false">
      <c r="A86" s="5" t="n">
        <f aca="false">RANDBETWEEN(2,164)</f>
        <v>68</v>
      </c>
      <c r="B86" s="5" t="n">
        <f aca="false" t="array" ref="B86:B86">INDEX(Data_DBD!$B:$B,$A86)</f>
        <v>44</v>
      </c>
      <c r="C86" s="5" t="n">
        <f aca="false" t="array" ref="C86:C86">INDEX(Data_DBD!$C:$C,$A86)</f>
        <v>5</v>
      </c>
      <c r="D86" s="5" t="n">
        <f aca="false" t="array" ref="D86:D86">INDEX(Data_DBD!$D:$D,$A86)</f>
        <v>10</v>
      </c>
      <c r="E86" s="5" t="n">
        <f aca="false" t="array" ref="E86:E86">INDEX(Data_DBD!$E:$E,$A86)</f>
        <v>0</v>
      </c>
      <c r="F86" s="5" t="str">
        <f aca="false" t="array" ref="F86:F86">INDEX(Data_DBD!$F:$F,$A86)</f>
        <v>Rendah</v>
      </c>
      <c r="H86" s="5" t="n">
        <v>39</v>
      </c>
      <c r="I86" s="5" t="n">
        <v>12</v>
      </c>
      <c r="J86" s="5" t="n">
        <v>5</v>
      </c>
      <c r="K86" s="5" t="n">
        <v>13</v>
      </c>
      <c r="L86" s="5" t="n">
        <v>1</v>
      </c>
      <c r="M86" s="5" t="s">
        <v>7</v>
      </c>
    </row>
    <row r="87" customFormat="false" ht="15" hidden="false" customHeight="false" outlineLevel="0" collapsed="false">
      <c r="A87" s="5" t="n">
        <f aca="false">RANDBETWEEN(2,164)</f>
        <v>157</v>
      </c>
      <c r="B87" s="5" t="n">
        <f aca="false" t="array" ref="B87:B87">INDEX(Data_DBD!$B:$B,$A87)</f>
        <v>15</v>
      </c>
      <c r="C87" s="5" t="n">
        <f aca="false" t="array" ref="C87:C87">INDEX(Data_DBD!$C:$C,$A87)</f>
        <v>4</v>
      </c>
      <c r="D87" s="5" t="n">
        <f aca="false" t="array" ref="D87:D87">INDEX(Data_DBD!$D:$D,$A87)</f>
        <v>21</v>
      </c>
      <c r="E87" s="5" t="n">
        <f aca="false" t="array" ref="E87:E87">INDEX(Data_DBD!$E:$E,$A87)</f>
        <v>1</v>
      </c>
      <c r="F87" s="5" t="str">
        <f aca="false" t="array" ref="F87:F87">INDEX(Data_DBD!$F:$F,$A87)</f>
        <v>Tinggi</v>
      </c>
      <c r="H87" s="5" t="n">
        <v>164</v>
      </c>
      <c r="I87" s="5" t="n">
        <v>10</v>
      </c>
      <c r="J87" s="5" t="n">
        <v>6</v>
      </c>
      <c r="K87" s="5" t="n">
        <v>3</v>
      </c>
      <c r="L87" s="5" t="n">
        <v>0</v>
      </c>
      <c r="M87" s="5" t="s">
        <v>20</v>
      </c>
    </row>
    <row r="88" customFormat="false" ht="15" hidden="false" customHeight="false" outlineLevel="0" collapsed="false">
      <c r="A88" s="5" t="n">
        <f aca="false">RANDBETWEEN(2,164)</f>
        <v>159</v>
      </c>
      <c r="B88" s="5" t="n">
        <f aca="false" t="array" ref="B88:B88">INDEX(Data_DBD!$B:$B,$A88)</f>
        <v>17</v>
      </c>
      <c r="C88" s="5" t="n">
        <f aca="false" t="array" ref="C88:C88">INDEX(Data_DBD!$C:$C,$A88)</f>
        <v>2</v>
      </c>
      <c r="D88" s="5" t="n">
        <f aca="false" t="array" ref="D88:D88">INDEX(Data_DBD!$D:$D,$A88)</f>
        <v>21</v>
      </c>
      <c r="E88" s="5" t="n">
        <f aca="false" t="array" ref="E88:E88">INDEX(Data_DBD!$E:$E,$A88)</f>
        <v>0</v>
      </c>
      <c r="F88" s="5" t="str">
        <f aca="false" t="array" ref="F88:F88">INDEX(Data_DBD!$F:$F,$A88)</f>
        <v>Tinggi</v>
      </c>
      <c r="H88" s="5" t="n">
        <v>77</v>
      </c>
      <c r="I88" s="5" t="n">
        <v>16</v>
      </c>
      <c r="J88" s="5" t="n">
        <v>4</v>
      </c>
      <c r="K88" s="5" t="n">
        <v>13</v>
      </c>
      <c r="L88" s="5" t="n">
        <v>1</v>
      </c>
      <c r="M88" s="5" t="s">
        <v>7</v>
      </c>
    </row>
    <row r="89" customFormat="false" ht="15" hidden="false" customHeight="false" outlineLevel="0" collapsed="false">
      <c r="A89" s="5" t="n">
        <f aca="false">RANDBETWEEN(2,164)</f>
        <v>28</v>
      </c>
      <c r="B89" s="5" t="n">
        <f aca="false" t="array" ref="B89:B89">INDEX(Data_DBD!$B:$B,$A89)</f>
        <v>22</v>
      </c>
      <c r="C89" s="5" t="n">
        <f aca="false" t="array" ref="C89:C89">INDEX(Data_DBD!$C:$C,$A89)</f>
        <v>2</v>
      </c>
      <c r="D89" s="5" t="n">
        <f aca="false" t="array" ref="D89:D89">INDEX(Data_DBD!$D:$D,$A89)</f>
        <v>14</v>
      </c>
      <c r="E89" s="5" t="n">
        <f aca="false" t="array" ref="E89:E89">INDEX(Data_DBD!$E:$E,$A89)</f>
        <v>1</v>
      </c>
      <c r="F89" s="5" t="str">
        <f aca="false" t="array" ref="F89:F89">INDEX(Data_DBD!$F:$F,$A89)</f>
        <v>Sedang</v>
      </c>
      <c r="H89" s="5" t="n">
        <v>138</v>
      </c>
      <c r="I89" s="5" t="n">
        <v>13</v>
      </c>
      <c r="J89" s="5" t="n">
        <v>3</v>
      </c>
      <c r="K89" s="5" t="n">
        <v>33</v>
      </c>
      <c r="L89" s="5" t="n">
        <v>1</v>
      </c>
      <c r="M89" s="5" t="s">
        <v>115</v>
      </c>
    </row>
    <row r="90" customFormat="false" ht="15" hidden="false" customHeight="false" outlineLevel="0" collapsed="false">
      <c r="A90" s="5" t="n">
        <f aca="false">RANDBETWEEN(2,164)</f>
        <v>75</v>
      </c>
      <c r="B90" s="5" t="n">
        <f aca="false" t="array" ref="B90:B90">INDEX(Data_DBD!$B:$B,$A90)</f>
        <v>2</v>
      </c>
      <c r="C90" s="5" t="n">
        <f aca="false" t="array" ref="C90:C90">INDEX(Data_DBD!$C:$C,$A90)</f>
        <v>2</v>
      </c>
      <c r="D90" s="5" t="n">
        <f aca="false" t="array" ref="D90:D90">INDEX(Data_DBD!$D:$D,$A90)</f>
        <v>10</v>
      </c>
      <c r="E90" s="5" t="n">
        <f aca="false" t="array" ref="E90:E90">INDEX(Data_DBD!$E:$E,$A90)</f>
        <v>1</v>
      </c>
      <c r="F90" s="5" t="str">
        <f aca="false" t="array" ref="F90:F90">INDEX(Data_DBD!$F:$F,$A90)</f>
        <v>Rendah</v>
      </c>
      <c r="H90" s="5" t="n">
        <v>41</v>
      </c>
      <c r="I90" s="5" t="n">
        <v>8</v>
      </c>
      <c r="J90" s="5" t="n">
        <v>4</v>
      </c>
      <c r="K90" s="5" t="n">
        <v>13</v>
      </c>
      <c r="L90" s="5" t="n">
        <v>0</v>
      </c>
      <c r="M90" s="5" t="s">
        <v>7</v>
      </c>
    </row>
    <row r="91" customFormat="false" ht="15" hidden="false" customHeight="false" outlineLevel="0" collapsed="false">
      <c r="A91" s="5" t="n">
        <f aca="false">RANDBETWEEN(2,164)</f>
        <v>54</v>
      </c>
      <c r="B91" s="5" t="n">
        <f aca="false" t="array" ref="B91:B91">INDEX(Data_DBD!$B:$B,$A91)</f>
        <v>7</v>
      </c>
      <c r="C91" s="5" t="n">
        <f aca="false" t="array" ref="C91:C91">INDEX(Data_DBD!$C:$C,$A91)</f>
        <v>3</v>
      </c>
      <c r="D91" s="5" t="n">
        <f aca="false" t="array" ref="D91:D91">INDEX(Data_DBD!$D:$D,$A91)</f>
        <v>15</v>
      </c>
      <c r="E91" s="5" t="n">
        <f aca="false" t="array" ref="E91:E91">INDEX(Data_DBD!$E:$E,$A91)</f>
        <v>0</v>
      </c>
      <c r="F91" s="5" t="str">
        <f aca="false" t="array" ref="F91:F91">INDEX(Data_DBD!$F:$F,$A91)</f>
        <v>Sedang</v>
      </c>
      <c r="H91" s="5" t="n">
        <v>17</v>
      </c>
      <c r="I91" s="5" t="n">
        <v>2</v>
      </c>
      <c r="J91" s="5" t="n">
        <v>3</v>
      </c>
      <c r="K91" s="5" t="n">
        <v>7</v>
      </c>
      <c r="L91" s="5" t="n">
        <v>0</v>
      </c>
      <c r="M91" s="5" t="s">
        <v>20</v>
      </c>
    </row>
    <row r="92" customFormat="false" ht="15" hidden="false" customHeight="false" outlineLevel="0" collapsed="false">
      <c r="A92" s="5" t="n">
        <f aca="false">RANDBETWEEN(2,164)</f>
        <v>135</v>
      </c>
      <c r="B92" s="5" t="n">
        <f aca="false" t="array" ref="B92:B92">INDEX(Data_DBD!$B:$B,$A92)</f>
        <v>10</v>
      </c>
      <c r="C92" s="5" t="n">
        <f aca="false" t="array" ref="C92:C92">INDEX(Data_DBD!$C:$C,$A92)</f>
        <v>2</v>
      </c>
      <c r="D92" s="5" t="n">
        <f aca="false" t="array" ref="D92:D92">INDEX(Data_DBD!$D:$D,$A92)</f>
        <v>33</v>
      </c>
      <c r="E92" s="5" t="n">
        <f aca="false" t="array" ref="E92:E92">INDEX(Data_DBD!$E:$E,$A92)</f>
        <v>0</v>
      </c>
      <c r="F92" s="5" t="str">
        <f aca="false" t="array" ref="F92:F92">INDEX(Data_DBD!$F:$F,$A92)</f>
        <v>Tinggi</v>
      </c>
      <c r="H92" s="5" t="n">
        <v>95</v>
      </c>
      <c r="I92" s="5" t="n">
        <v>11</v>
      </c>
      <c r="J92" s="5" t="n">
        <v>3</v>
      </c>
      <c r="K92" s="5" t="n">
        <v>18</v>
      </c>
      <c r="L92" s="5" t="n">
        <v>1</v>
      </c>
      <c r="M92" s="5" t="s">
        <v>7</v>
      </c>
    </row>
    <row r="93" customFormat="false" ht="15" hidden="false" customHeight="false" outlineLevel="0" collapsed="false">
      <c r="A93" s="5" t="n">
        <f aca="false">RANDBETWEEN(2,164)</f>
        <v>67</v>
      </c>
      <c r="B93" s="5" t="n">
        <f aca="false" t="array" ref="B93:B93">INDEX(Data_DBD!$B:$B,$A93)</f>
        <v>21</v>
      </c>
      <c r="C93" s="5" t="n">
        <f aca="false" t="array" ref="C93:C93">INDEX(Data_DBD!$C:$C,$A93)</f>
        <v>3</v>
      </c>
      <c r="D93" s="5" t="n">
        <f aca="false" t="array" ref="D93:D93">INDEX(Data_DBD!$D:$D,$A93)</f>
        <v>10</v>
      </c>
      <c r="E93" s="5" t="n">
        <f aca="false" t="array" ref="E93:E93">INDEX(Data_DBD!$E:$E,$A93)</f>
        <v>1</v>
      </c>
      <c r="F93" s="5" t="str">
        <f aca="false" t="array" ref="F93:F93">INDEX(Data_DBD!$F:$F,$A93)</f>
        <v>Rendah</v>
      </c>
      <c r="H93" s="5" t="n">
        <v>162</v>
      </c>
      <c r="I93" s="5" t="n">
        <v>22</v>
      </c>
      <c r="J93" s="5" t="n">
        <v>3</v>
      </c>
      <c r="K93" s="5" t="n">
        <v>3</v>
      </c>
      <c r="L93" s="5" t="n">
        <v>1</v>
      </c>
      <c r="M93" s="5" t="s">
        <v>20</v>
      </c>
    </row>
    <row r="94" customFormat="false" ht="15" hidden="false" customHeight="false" outlineLevel="0" collapsed="false">
      <c r="A94" s="5" t="n">
        <f aca="false">RANDBETWEEN(2,164)</f>
        <v>105</v>
      </c>
      <c r="B94" s="5" t="n">
        <f aca="false" t="array" ref="B94:B94">INDEX(Data_DBD!$B:$B,$A94)</f>
        <v>61</v>
      </c>
      <c r="C94" s="5" t="n">
        <f aca="false" t="array" ref="C94:C94">INDEX(Data_DBD!$C:$C,$A94)</f>
        <v>3</v>
      </c>
      <c r="D94" s="5" t="n">
        <f aca="false" t="array" ref="D94:D94">INDEX(Data_DBD!$D:$D,$A94)</f>
        <v>18</v>
      </c>
      <c r="E94" s="5" t="n">
        <f aca="false" t="array" ref="E94:E94">INDEX(Data_DBD!$E:$E,$A94)</f>
        <v>1</v>
      </c>
      <c r="F94" s="5" t="str">
        <f aca="false" t="array" ref="F94:F94">INDEX(Data_DBD!$F:$F,$A94)</f>
        <v>Sedang</v>
      </c>
      <c r="H94" s="5" t="n">
        <v>68</v>
      </c>
      <c r="I94" s="5" t="n">
        <v>44</v>
      </c>
      <c r="J94" s="5" t="n">
        <v>5</v>
      </c>
      <c r="K94" s="5" t="n">
        <v>10</v>
      </c>
      <c r="L94" s="5" t="n">
        <v>0</v>
      </c>
      <c r="M94" s="5" t="s">
        <v>20</v>
      </c>
    </row>
    <row r="95" customFormat="false" ht="15" hidden="false" customHeight="false" outlineLevel="0" collapsed="false">
      <c r="A95" s="5" t="n">
        <f aca="false">RANDBETWEEN(2,164)</f>
        <v>89</v>
      </c>
      <c r="B95" s="5" t="n">
        <f aca="false" t="array" ref="B95:B95">INDEX(Data_DBD!$B:$B,$A95)</f>
        <v>32</v>
      </c>
      <c r="C95" s="5" t="n">
        <f aca="false" t="array" ref="C95:C95">INDEX(Data_DBD!$C:$C,$A95)</f>
        <v>4</v>
      </c>
      <c r="D95" s="5" t="n">
        <f aca="false" t="array" ref="D95:D95">INDEX(Data_DBD!$D:$D,$A95)</f>
        <v>13</v>
      </c>
      <c r="E95" s="5" t="n">
        <f aca="false" t="array" ref="E95:E95">INDEX(Data_DBD!$E:$E,$A95)</f>
        <v>0</v>
      </c>
      <c r="F95" s="5" t="str">
        <f aca="false" t="array" ref="F95:F95">INDEX(Data_DBD!$F:$F,$A95)</f>
        <v>Sedang</v>
      </c>
      <c r="H95" s="5" t="n">
        <v>23</v>
      </c>
      <c r="I95" s="5" t="n">
        <v>28</v>
      </c>
      <c r="J95" s="5" t="n">
        <v>4</v>
      </c>
      <c r="K95" s="5" t="n">
        <v>14</v>
      </c>
      <c r="L95" s="5" t="n">
        <v>1</v>
      </c>
      <c r="M95" s="5" t="s">
        <v>7</v>
      </c>
    </row>
    <row r="96" customFormat="false" ht="15" hidden="false" customHeight="false" outlineLevel="0" collapsed="false">
      <c r="A96" s="5" t="n">
        <f aca="false">RANDBETWEEN(2,164)</f>
        <v>91</v>
      </c>
      <c r="B96" s="5" t="n">
        <f aca="false" t="array" ref="B96:B96">INDEX(Data_DBD!$B:$B,$A96)</f>
        <v>35</v>
      </c>
      <c r="C96" s="5" t="n">
        <f aca="false" t="array" ref="C96:C96">INDEX(Data_DBD!$C:$C,$A96)</f>
        <v>1</v>
      </c>
      <c r="D96" s="5" t="n">
        <f aca="false" t="array" ref="D96:D96">INDEX(Data_DBD!$D:$D,$A96)</f>
        <v>18</v>
      </c>
      <c r="E96" s="5" t="n">
        <f aca="false" t="array" ref="E96:E96">INDEX(Data_DBD!$E:$E,$A96)</f>
        <v>1</v>
      </c>
      <c r="F96" s="5" t="str">
        <f aca="false" t="array" ref="F96:F96">INDEX(Data_DBD!$F:$F,$A96)</f>
        <v>Sedang</v>
      </c>
      <c r="H96" s="5" t="n">
        <v>79</v>
      </c>
      <c r="I96" s="5" t="n">
        <v>29</v>
      </c>
      <c r="J96" s="5" t="n">
        <v>3</v>
      </c>
      <c r="K96" s="5" t="n">
        <v>13</v>
      </c>
      <c r="L96" s="5" t="n">
        <v>0</v>
      </c>
      <c r="M96" s="5" t="s">
        <v>7</v>
      </c>
    </row>
    <row r="97" customFormat="false" ht="15" hidden="false" customHeight="false" outlineLevel="0" collapsed="false">
      <c r="A97" s="5" t="n">
        <f aca="false">RANDBETWEEN(2,164)</f>
        <v>43</v>
      </c>
      <c r="B97" s="5" t="n">
        <f aca="false" t="array" ref="B97:B97">INDEX(Data_DBD!$B:$B,$A97)</f>
        <v>15</v>
      </c>
      <c r="C97" s="5" t="n">
        <f aca="false" t="array" ref="C97:C97">INDEX(Data_DBD!$C:$C,$A97)</f>
        <v>4</v>
      </c>
      <c r="D97" s="5" t="n">
        <f aca="false" t="array" ref="D97:D97">INDEX(Data_DBD!$D:$D,$A97)</f>
        <v>13</v>
      </c>
      <c r="E97" s="5" t="n">
        <f aca="false" t="array" ref="E97:E97">INDEX(Data_DBD!$E:$E,$A97)</f>
        <v>0</v>
      </c>
      <c r="F97" s="5" t="str">
        <f aca="false" t="array" ref="F97:F97">INDEX(Data_DBD!$F:$F,$A97)</f>
        <v>Sedang</v>
      </c>
      <c r="H97" s="5" t="n">
        <v>55</v>
      </c>
      <c r="I97" s="5" t="n">
        <v>7</v>
      </c>
      <c r="J97" s="5" t="n">
        <v>4</v>
      </c>
      <c r="K97" s="5" t="n">
        <v>15</v>
      </c>
      <c r="L97" s="5" t="n">
        <v>1</v>
      </c>
      <c r="M97" s="5" t="s">
        <v>7</v>
      </c>
    </row>
    <row r="98" customFormat="false" ht="15" hidden="false" customHeight="false" outlineLevel="0" collapsed="false">
      <c r="A98" s="5" t="n">
        <f aca="false">RANDBETWEEN(2,164)</f>
        <v>37</v>
      </c>
      <c r="B98" s="5" t="n">
        <f aca="false" t="array" ref="B98:B98">INDEX(Data_DBD!$B:$B,$A98)</f>
        <v>28</v>
      </c>
      <c r="C98" s="5" t="n">
        <f aca="false" t="array" ref="C98:C98">INDEX(Data_DBD!$C:$C,$A98)</f>
        <v>4</v>
      </c>
      <c r="D98" s="5" t="n">
        <f aca="false" t="array" ref="D98:D98">INDEX(Data_DBD!$D:$D,$A98)</f>
        <v>4</v>
      </c>
      <c r="E98" s="5" t="n">
        <f aca="false" t="array" ref="E98:E98">INDEX(Data_DBD!$E:$E,$A98)</f>
        <v>1</v>
      </c>
      <c r="F98" s="5" t="str">
        <f aca="false" t="array" ref="F98:F98">INDEX(Data_DBD!$F:$F,$A98)</f>
        <v>Rendah</v>
      </c>
      <c r="H98" s="5" t="n">
        <v>96</v>
      </c>
      <c r="I98" s="5" t="n">
        <v>56</v>
      </c>
      <c r="J98" s="5" t="n">
        <v>4</v>
      </c>
      <c r="K98" s="5" t="n">
        <v>18</v>
      </c>
      <c r="L98" s="5" t="n">
        <v>0</v>
      </c>
      <c r="M98" s="5" t="s">
        <v>7</v>
      </c>
    </row>
    <row r="99" customFormat="false" ht="15" hidden="false" customHeight="false" outlineLevel="0" collapsed="false">
      <c r="A99" s="5" t="n">
        <f aca="false">RANDBETWEEN(2,164)</f>
        <v>115</v>
      </c>
      <c r="B99" s="5" t="n">
        <f aca="false" t="array" ref="B99:B99">INDEX(Data_DBD!$B:$B,$A99)</f>
        <v>52</v>
      </c>
      <c r="C99" s="5" t="n">
        <f aca="false" t="array" ref="C99:C99">INDEX(Data_DBD!$C:$C,$A99)</f>
        <v>3</v>
      </c>
      <c r="D99" s="5" t="n">
        <f aca="false" t="array" ref="D99:D99">INDEX(Data_DBD!$D:$D,$A99)</f>
        <v>33</v>
      </c>
      <c r="E99" s="5" t="n">
        <f aca="false" t="array" ref="E99:E99">INDEX(Data_DBD!$E:$E,$A99)</f>
        <v>1</v>
      </c>
      <c r="F99" s="5" t="str">
        <f aca="false" t="array" ref="F99:F99">INDEX(Data_DBD!$F:$F,$A99)</f>
        <v>Tinggi</v>
      </c>
      <c r="H99" s="5" t="n">
        <v>139</v>
      </c>
      <c r="I99" s="5" t="n">
        <v>52</v>
      </c>
      <c r="J99" s="5" t="n">
        <v>7</v>
      </c>
      <c r="K99" s="5" t="n">
        <v>21</v>
      </c>
      <c r="L99" s="5" t="n">
        <v>0</v>
      </c>
      <c r="M99" s="5" t="s">
        <v>115</v>
      </c>
    </row>
    <row r="100" customFormat="false" ht="15" hidden="false" customHeight="false" outlineLevel="0" collapsed="false">
      <c r="A100" s="5" t="n">
        <f aca="false">RANDBETWEEN(2,164)</f>
        <v>50</v>
      </c>
      <c r="B100" s="5" t="n">
        <f aca="false" t="array" ref="B100:B100">INDEX(Data_DBD!$B:$B,$A100)</f>
        <v>19</v>
      </c>
      <c r="C100" s="5" t="n">
        <f aca="false" t="array" ref="C100:C100">INDEX(Data_DBD!$C:$C,$A100)</f>
        <v>5</v>
      </c>
      <c r="D100" s="5" t="n">
        <f aca="false" t="array" ref="D100:D100">INDEX(Data_DBD!$D:$D,$A100)</f>
        <v>13</v>
      </c>
      <c r="E100" s="5" t="n">
        <f aca="false" t="array" ref="E100:E100">INDEX(Data_DBD!$E:$E,$A100)</f>
        <v>0</v>
      </c>
      <c r="F100" s="5" t="str">
        <f aca="false" t="array" ref="F100:F100">INDEX(Data_DBD!$F:$F,$A100)</f>
        <v>Sedang</v>
      </c>
      <c r="H100" s="5" t="n">
        <v>14</v>
      </c>
      <c r="I100" s="5" t="n">
        <v>49</v>
      </c>
      <c r="J100" s="5" t="n">
        <v>4</v>
      </c>
      <c r="K100" s="5" t="n">
        <v>7</v>
      </c>
      <c r="L100" s="5" t="n">
        <v>1</v>
      </c>
      <c r="M100" s="5" t="s">
        <v>20</v>
      </c>
    </row>
    <row r="101" customFormat="false" ht="15" hidden="false" customHeight="false" outlineLevel="0" collapsed="false">
      <c r="A101" s="5" t="n">
        <f aca="false">RANDBETWEEN(2,164)</f>
        <v>15</v>
      </c>
      <c r="B101" s="5" t="n">
        <f aca="false" t="array" ref="B101:B101">INDEX(Data_DBD!$B:$B,$A101)</f>
        <v>21</v>
      </c>
      <c r="C101" s="5" t="n">
        <f aca="false" t="array" ref="C101:C101">INDEX(Data_DBD!$C:$C,$A101)</f>
        <v>2</v>
      </c>
      <c r="D101" s="5" t="n">
        <f aca="false" t="array" ref="D101:D101">INDEX(Data_DBD!$D:$D,$A101)</f>
        <v>7</v>
      </c>
      <c r="E101" s="5" t="n">
        <f aca="false" t="array" ref="E101:E101">INDEX(Data_DBD!$E:$E,$A101)</f>
        <v>0</v>
      </c>
      <c r="F101" s="5" t="str">
        <f aca="false" t="array" ref="F101:F101">INDEX(Data_DBD!$F:$F,$A101)</f>
        <v>Rendah</v>
      </c>
      <c r="H101" s="5" t="n">
        <v>30</v>
      </c>
      <c r="I101" s="5" t="n">
        <v>3</v>
      </c>
      <c r="J101" s="5" t="n">
        <v>2</v>
      </c>
      <c r="K101" s="5" t="n">
        <v>14</v>
      </c>
      <c r="L101" s="5" t="n">
        <v>1</v>
      </c>
      <c r="M101" s="5" t="s">
        <v>7</v>
      </c>
    </row>
    <row r="102" customFormat="false" ht="15" hidden="false" customHeight="false" outlineLevel="0" collapsed="false">
      <c r="A102" s="5" t="n">
        <f aca="false">RANDBETWEEN(2,164)</f>
        <v>64</v>
      </c>
      <c r="B102" s="5" t="n">
        <f aca="false" t="array" ref="B102:B102">INDEX(Data_DBD!$B:$B,$A102)</f>
        <v>35</v>
      </c>
      <c r="C102" s="5" t="n">
        <f aca="false" t="array" ref="C102:C102">INDEX(Data_DBD!$C:$C,$A102)</f>
        <v>1</v>
      </c>
      <c r="D102" s="5" t="n">
        <f aca="false" t="array" ref="D102:D102">INDEX(Data_DBD!$D:$D,$A102)</f>
        <v>15</v>
      </c>
      <c r="E102" s="5" t="n">
        <f aca="false" t="array" ref="E102:E102">INDEX(Data_DBD!$E:$E,$A102)</f>
        <v>0</v>
      </c>
      <c r="F102" s="5" t="str">
        <f aca="false" t="array" ref="F102:F102">INDEX(Data_DBD!$F:$F,$A102)</f>
        <v>Sedang</v>
      </c>
      <c r="H102" s="5" t="n">
        <v>148</v>
      </c>
      <c r="I102" s="5" t="n">
        <v>55</v>
      </c>
      <c r="J102" s="5" t="n">
        <v>3</v>
      </c>
      <c r="K102" s="5" t="n">
        <v>21</v>
      </c>
      <c r="L102" s="5" t="n">
        <v>1</v>
      </c>
      <c r="M102" s="5" t="s">
        <v>115</v>
      </c>
    </row>
    <row r="103" customFormat="false" ht="15" hidden="false" customHeight="false" outlineLevel="0" collapsed="false">
      <c r="A103" s="5" t="n">
        <f aca="false">RANDBETWEEN(2,164)</f>
        <v>156</v>
      </c>
      <c r="B103" s="5" t="n">
        <f aca="false" t="array" ref="B103:B103">INDEX(Data_DBD!$B:$B,$A103)</f>
        <v>5</v>
      </c>
      <c r="C103" s="5" t="n">
        <f aca="false" t="array" ref="C103:C103">INDEX(Data_DBD!$C:$C,$A103)</f>
        <v>2</v>
      </c>
      <c r="D103" s="5" t="n">
        <f aca="false" t="array" ref="D103:D103">INDEX(Data_DBD!$D:$D,$A103)</f>
        <v>21</v>
      </c>
      <c r="E103" s="5" t="n">
        <f aca="false" t="array" ref="E103:E103">INDEX(Data_DBD!$E:$E,$A103)</f>
        <v>0</v>
      </c>
      <c r="F103" s="5" t="str">
        <f aca="false" t="array" ref="F103:F103">INDEX(Data_DBD!$F:$F,$A103)</f>
        <v>Tinggi</v>
      </c>
      <c r="H103" s="5" t="n">
        <v>60</v>
      </c>
      <c r="I103" s="5" t="n">
        <v>68</v>
      </c>
      <c r="J103" s="5" t="n">
        <v>4</v>
      </c>
      <c r="K103" s="5" t="n">
        <v>15</v>
      </c>
      <c r="L103" s="5" t="n">
        <v>0</v>
      </c>
      <c r="M103" s="5" t="s">
        <v>7</v>
      </c>
    </row>
    <row r="104" customFormat="false" ht="15" hidden="false" customHeight="false" outlineLevel="0" collapsed="false">
      <c r="A104" s="5" t="n">
        <f aca="false">RANDBETWEEN(2,164)</f>
        <v>20</v>
      </c>
      <c r="B104" s="5" t="n">
        <f aca="false" t="array" ref="B104:B104">INDEX(Data_DBD!$B:$B,$A104)</f>
        <v>15</v>
      </c>
      <c r="C104" s="5" t="n">
        <f aca="false" t="array" ref="C104:C104">INDEX(Data_DBD!$C:$C,$A104)</f>
        <v>5</v>
      </c>
      <c r="D104" s="5" t="n">
        <f aca="false" t="array" ref="D104:D104">INDEX(Data_DBD!$D:$D,$A104)</f>
        <v>7</v>
      </c>
      <c r="E104" s="5" t="n">
        <f aca="false" t="array" ref="E104:E104">INDEX(Data_DBD!$E:$E,$A104)</f>
        <v>0</v>
      </c>
      <c r="F104" s="5" t="str">
        <f aca="false" t="array" ref="F104:F104">INDEX(Data_DBD!$F:$F,$A104)</f>
        <v>Rendah</v>
      </c>
      <c r="H104" s="5" t="n">
        <v>137</v>
      </c>
      <c r="I104" s="5" t="n">
        <v>3</v>
      </c>
      <c r="J104" s="5" t="n">
        <v>1</v>
      </c>
      <c r="K104" s="5" t="n">
        <v>33</v>
      </c>
      <c r="L104" s="5" t="n">
        <v>1</v>
      </c>
      <c r="M104" s="5" t="s">
        <v>115</v>
      </c>
    </row>
    <row r="105" customFormat="false" ht="15" hidden="false" customHeight="false" outlineLevel="0" collapsed="false">
      <c r="A105" s="5" t="n">
        <f aca="false">RANDBETWEEN(2,164)</f>
        <v>162</v>
      </c>
      <c r="B105" s="5" t="n">
        <f aca="false" t="array" ref="B105:B105">INDEX(Data_DBD!$B:$B,$A105)</f>
        <v>22</v>
      </c>
      <c r="C105" s="5" t="n">
        <f aca="false" t="array" ref="C105:C105">INDEX(Data_DBD!$C:$C,$A105)</f>
        <v>3</v>
      </c>
      <c r="D105" s="5" t="n">
        <f aca="false" t="array" ref="D105:D105">INDEX(Data_DBD!$D:$D,$A105)</f>
        <v>3</v>
      </c>
      <c r="E105" s="5" t="n">
        <f aca="false" t="array" ref="E105:E105">INDEX(Data_DBD!$E:$E,$A105)</f>
        <v>1</v>
      </c>
      <c r="F105" s="5" t="str">
        <f aca="false" t="array" ref="F105:F105">INDEX(Data_DBD!$F:$F,$A105)</f>
        <v>Rendah</v>
      </c>
      <c r="H105" s="5" t="n">
        <v>88</v>
      </c>
      <c r="I105" s="5" t="n">
        <v>20</v>
      </c>
      <c r="J105" s="5" t="n">
        <v>4</v>
      </c>
      <c r="K105" s="5" t="n">
        <v>13</v>
      </c>
      <c r="L105" s="5" t="n">
        <v>1</v>
      </c>
      <c r="M105" s="5" t="s">
        <v>7</v>
      </c>
    </row>
    <row r="106" customFormat="false" ht="15" hidden="false" customHeight="false" outlineLevel="0" collapsed="false">
      <c r="A106" s="5" t="n">
        <f aca="false">RANDBETWEEN(2,164)</f>
        <v>112</v>
      </c>
      <c r="B106" s="5" t="n">
        <f aca="false" t="array" ref="B106:B106">INDEX(Data_DBD!$B:$B,$A106)</f>
        <v>61</v>
      </c>
      <c r="C106" s="5" t="n">
        <f aca="false" t="array" ref="C106:C106">INDEX(Data_DBD!$C:$C,$A106)</f>
        <v>3</v>
      </c>
      <c r="D106" s="5" t="n">
        <f aca="false" t="array" ref="D106:D106">INDEX(Data_DBD!$D:$D,$A106)</f>
        <v>33</v>
      </c>
      <c r="E106" s="5" t="n">
        <f aca="false" t="array" ref="E106:E106">INDEX(Data_DBD!$E:$E,$A106)</f>
        <v>1</v>
      </c>
      <c r="F106" s="5" t="str">
        <f aca="false" t="array" ref="F106:F106">INDEX(Data_DBD!$F:$F,$A106)</f>
        <v>Tinggi</v>
      </c>
      <c r="H106" s="5" t="n">
        <v>7</v>
      </c>
      <c r="I106" s="5" t="n">
        <v>12</v>
      </c>
      <c r="J106" s="5" t="n">
        <v>1</v>
      </c>
      <c r="K106" s="5" t="n">
        <v>12</v>
      </c>
      <c r="L106" s="5" t="n">
        <v>1</v>
      </c>
      <c r="M106" s="5" t="s">
        <v>7</v>
      </c>
    </row>
    <row r="107" customFormat="false" ht="15" hidden="false" customHeight="false" outlineLevel="0" collapsed="false">
      <c r="A107" s="5" t="n">
        <f aca="false">RANDBETWEEN(2,164)</f>
        <v>160</v>
      </c>
      <c r="B107" s="5" t="n">
        <f aca="false" t="array" ref="B107:B107">INDEX(Data_DBD!$B:$B,$A107)</f>
        <v>16</v>
      </c>
      <c r="C107" s="5" t="n">
        <f aca="false" t="array" ref="C107:C107">INDEX(Data_DBD!$C:$C,$A107)</f>
        <v>3</v>
      </c>
      <c r="D107" s="5" t="n">
        <f aca="false" t="array" ref="D107:D107">INDEX(Data_DBD!$D:$D,$A107)</f>
        <v>21</v>
      </c>
      <c r="E107" s="5" t="n">
        <f aca="false" t="array" ref="E107:E107">INDEX(Data_DBD!$E:$E,$A107)</f>
        <v>0</v>
      </c>
      <c r="F107" s="5" t="str">
        <f aca="false" t="array" ref="F107:F107">INDEX(Data_DBD!$F:$F,$A107)</f>
        <v>Tinggi</v>
      </c>
      <c r="H107" s="5" t="n">
        <v>157</v>
      </c>
      <c r="I107" s="5" t="n">
        <v>15</v>
      </c>
      <c r="J107" s="5" t="n">
        <v>4</v>
      </c>
      <c r="K107" s="5" t="n">
        <v>21</v>
      </c>
      <c r="L107" s="5" t="n">
        <v>1</v>
      </c>
      <c r="M107" s="5" t="s">
        <v>115</v>
      </c>
    </row>
    <row r="108" customFormat="false" ht="15" hidden="false" customHeight="false" outlineLevel="0" collapsed="false">
      <c r="A108" s="5" t="n">
        <f aca="false">RANDBETWEEN(2,164)</f>
        <v>148</v>
      </c>
      <c r="B108" s="5" t="n">
        <f aca="false" t="array" ref="B108:B108">INDEX(Data_DBD!$B:$B,$A108)</f>
        <v>55</v>
      </c>
      <c r="C108" s="5" t="n">
        <f aca="false" t="array" ref="C108:C108">INDEX(Data_DBD!$C:$C,$A108)</f>
        <v>3</v>
      </c>
      <c r="D108" s="5" t="n">
        <f aca="false" t="array" ref="D108:D108">INDEX(Data_DBD!$D:$D,$A108)</f>
        <v>21</v>
      </c>
      <c r="E108" s="5" t="n">
        <f aca="false" t="array" ref="E108:E108">INDEX(Data_DBD!$E:$E,$A108)</f>
        <v>1</v>
      </c>
      <c r="F108" s="5" t="str">
        <f aca="false" t="array" ref="F108:F108">INDEX(Data_DBD!$F:$F,$A108)</f>
        <v>Tinggi</v>
      </c>
      <c r="H108" s="5" t="n">
        <v>19</v>
      </c>
      <c r="I108" s="5" t="n">
        <v>8</v>
      </c>
      <c r="J108" s="5" t="n">
        <v>4</v>
      </c>
      <c r="K108" s="5" t="n">
        <v>7</v>
      </c>
      <c r="L108" s="5" t="n">
        <v>0</v>
      </c>
      <c r="M108" s="5" t="s">
        <v>20</v>
      </c>
    </row>
    <row r="109" customFormat="false" ht="15" hidden="false" customHeight="false" outlineLevel="0" collapsed="false">
      <c r="A109" s="5" t="n">
        <f aca="false">RANDBETWEEN(2,164)</f>
        <v>159</v>
      </c>
      <c r="B109" s="5" t="n">
        <f aca="false" t="array" ref="B109:B109">INDEX(Data_DBD!$B:$B,$A109)</f>
        <v>17</v>
      </c>
      <c r="C109" s="5" t="n">
        <f aca="false" t="array" ref="C109:C109">INDEX(Data_DBD!$C:$C,$A109)</f>
        <v>2</v>
      </c>
      <c r="D109" s="5" t="n">
        <f aca="false" t="array" ref="D109:D109">INDEX(Data_DBD!$D:$D,$A109)</f>
        <v>21</v>
      </c>
      <c r="E109" s="5" t="n">
        <f aca="false" t="array" ref="E109:E109">INDEX(Data_DBD!$E:$E,$A109)</f>
        <v>0</v>
      </c>
      <c r="F109" s="5" t="str">
        <f aca="false" t="array" ref="F109:F109">INDEX(Data_DBD!$F:$F,$A109)</f>
        <v>Tinggi</v>
      </c>
      <c r="H109" s="5" t="n">
        <v>91</v>
      </c>
      <c r="I109" s="5" t="n">
        <v>35</v>
      </c>
      <c r="J109" s="5" t="n">
        <v>1</v>
      </c>
      <c r="K109" s="5" t="n">
        <v>18</v>
      </c>
      <c r="L109" s="5" t="n">
        <v>1</v>
      </c>
      <c r="M109" s="5" t="s">
        <v>7</v>
      </c>
    </row>
    <row r="110" customFormat="false" ht="15" hidden="false" customHeight="false" outlineLevel="0" collapsed="false">
      <c r="A110" s="5" t="n">
        <f aca="false">RANDBETWEEN(2,164)</f>
        <v>74</v>
      </c>
      <c r="B110" s="5" t="n">
        <f aca="false" t="array" ref="B110:B110">INDEX(Data_DBD!$B:$B,$A110)</f>
        <v>9</v>
      </c>
      <c r="C110" s="5" t="n">
        <f aca="false" t="array" ref="C110:C110">INDEX(Data_DBD!$C:$C,$A110)</f>
        <v>4</v>
      </c>
      <c r="D110" s="5" t="n">
        <f aca="false" t="array" ref="D110:D110">INDEX(Data_DBD!$D:$D,$A110)</f>
        <v>10</v>
      </c>
      <c r="E110" s="5" t="n">
        <f aca="false" t="array" ref="E110:E110">INDEX(Data_DBD!$E:$E,$A110)</f>
        <v>0</v>
      </c>
      <c r="F110" s="5" t="str">
        <f aca="false" t="array" ref="F110:F110">INDEX(Data_DBD!$F:$F,$A110)</f>
        <v>Rendah</v>
      </c>
      <c r="H110" s="5" t="n">
        <v>103</v>
      </c>
      <c r="I110" s="5" t="n">
        <v>22</v>
      </c>
      <c r="J110" s="5" t="n">
        <v>5</v>
      </c>
      <c r="K110" s="5" t="n">
        <v>18</v>
      </c>
      <c r="L110" s="5" t="n">
        <v>0</v>
      </c>
      <c r="M110" s="5" t="s">
        <v>7</v>
      </c>
    </row>
    <row r="111" customFormat="false" ht="15" hidden="false" customHeight="false" outlineLevel="0" collapsed="false">
      <c r="A111" s="5" t="n">
        <f aca="false">RANDBETWEEN(2,164)</f>
        <v>93</v>
      </c>
      <c r="B111" s="5" t="n">
        <f aca="false" t="array" ref="B111:B111">INDEX(Data_DBD!$B:$B,$A111)</f>
        <v>65</v>
      </c>
      <c r="C111" s="5" t="n">
        <f aca="false" t="array" ref="C111:C111">INDEX(Data_DBD!$C:$C,$A111)</f>
        <v>4</v>
      </c>
      <c r="D111" s="5" t="n">
        <f aca="false" t="array" ref="D111:D111">INDEX(Data_DBD!$D:$D,$A111)</f>
        <v>18</v>
      </c>
      <c r="E111" s="5" t="n">
        <f aca="false" t="array" ref="E111:E111">INDEX(Data_DBD!$E:$E,$A111)</f>
        <v>0</v>
      </c>
      <c r="F111" s="5" t="str">
        <f aca="false" t="array" ref="F111:F111">INDEX(Data_DBD!$F:$F,$A111)</f>
        <v>Sedang</v>
      </c>
      <c r="H111" s="5" t="n">
        <v>136</v>
      </c>
      <c r="I111" s="5" t="n">
        <v>6</v>
      </c>
      <c r="J111" s="5" t="n">
        <v>2</v>
      </c>
      <c r="K111" s="5" t="n">
        <v>33</v>
      </c>
      <c r="L111" s="5" t="n">
        <v>0</v>
      </c>
      <c r="M111" s="5" t="s">
        <v>115</v>
      </c>
    </row>
    <row r="112" customFormat="false" ht="15" hidden="false" customHeight="false" outlineLevel="0" collapsed="false">
      <c r="A112" s="5" t="n">
        <f aca="false">RANDBETWEEN(2,164)</f>
        <v>134</v>
      </c>
      <c r="B112" s="5" t="n">
        <f aca="false" t="array" ref="B112:B112">INDEX(Data_DBD!$B:$B,$A112)</f>
        <v>4</v>
      </c>
      <c r="C112" s="5" t="n">
        <f aca="false" t="array" ref="C112:C112">INDEX(Data_DBD!$C:$C,$A112)</f>
        <v>2</v>
      </c>
      <c r="D112" s="5" t="n">
        <f aca="false" t="array" ref="D112:D112">INDEX(Data_DBD!$D:$D,$A112)</f>
        <v>33</v>
      </c>
      <c r="E112" s="5" t="n">
        <f aca="false" t="array" ref="E112:E112">INDEX(Data_DBD!$E:$E,$A112)</f>
        <v>1</v>
      </c>
      <c r="F112" s="5" t="str">
        <f aca="false" t="array" ref="F112:F112">INDEX(Data_DBD!$F:$F,$A112)</f>
        <v>Tinggi</v>
      </c>
      <c r="H112" s="5" t="n">
        <v>158</v>
      </c>
      <c r="I112" s="5" t="n">
        <v>5</v>
      </c>
      <c r="J112" s="5" t="n">
        <v>2</v>
      </c>
      <c r="K112" s="5" t="n">
        <v>21</v>
      </c>
      <c r="L112" s="5" t="n">
        <v>0</v>
      </c>
      <c r="M112" s="5" t="s">
        <v>115</v>
      </c>
    </row>
    <row r="113" customFormat="false" ht="15" hidden="false" customHeight="false" outlineLevel="0" collapsed="false">
      <c r="A113" s="5" t="n">
        <f aca="false">RANDBETWEEN(2,164)</f>
        <v>87</v>
      </c>
      <c r="B113" s="5" t="n">
        <f aca="false" t="array" ref="B113:B113">INDEX(Data_DBD!$B:$B,$A113)</f>
        <v>21</v>
      </c>
      <c r="C113" s="5" t="n">
        <f aca="false" t="array" ref="C113:C113">INDEX(Data_DBD!$C:$C,$A113)</f>
        <v>3</v>
      </c>
      <c r="D113" s="5" t="n">
        <f aca="false" t="array" ref="D113:D113">INDEX(Data_DBD!$D:$D,$A113)</f>
        <v>13</v>
      </c>
      <c r="E113" s="5" t="n">
        <f aca="false" t="array" ref="E113:E113">INDEX(Data_DBD!$E:$E,$A113)</f>
        <v>0</v>
      </c>
      <c r="F113" s="5" t="str">
        <f aca="false" t="array" ref="F113:F113">INDEX(Data_DBD!$F:$F,$A113)</f>
        <v>Sedang</v>
      </c>
      <c r="H113" s="5" t="n">
        <v>163</v>
      </c>
      <c r="I113" s="5" t="n">
        <v>34</v>
      </c>
      <c r="J113" s="5" t="n">
        <v>4</v>
      </c>
      <c r="K113" s="5" t="n">
        <v>3</v>
      </c>
      <c r="L113" s="5" t="n">
        <v>1</v>
      </c>
      <c r="M113" s="5" t="s">
        <v>20</v>
      </c>
    </row>
    <row r="114" customFormat="false" ht="15" hidden="false" customHeight="false" outlineLevel="0" collapsed="false">
      <c r="A114" s="5" t="n">
        <f aca="false">RANDBETWEEN(2,164)</f>
        <v>159</v>
      </c>
      <c r="B114" s="5" t="n">
        <f aca="false" t="array" ref="B114:B114">INDEX(Data_DBD!$B:$B,$A114)</f>
        <v>17</v>
      </c>
      <c r="C114" s="5" t="n">
        <f aca="false" t="array" ref="C114:C114">INDEX(Data_DBD!$C:$C,$A114)</f>
        <v>2</v>
      </c>
      <c r="D114" s="5" t="n">
        <f aca="false" t="array" ref="D114:D114">INDEX(Data_DBD!$D:$D,$A114)</f>
        <v>21</v>
      </c>
      <c r="E114" s="5" t="n">
        <f aca="false" t="array" ref="E114:E114">INDEX(Data_DBD!$E:$E,$A114)</f>
        <v>0</v>
      </c>
      <c r="F114" s="5" t="str">
        <f aca="false" t="array" ref="F114:F114">INDEX(Data_DBD!$F:$F,$A114)</f>
        <v>Tinggi</v>
      </c>
      <c r="H114" s="5" t="n">
        <v>104</v>
      </c>
      <c r="I114" s="5" t="n">
        <v>37</v>
      </c>
      <c r="J114" s="5" t="n">
        <v>4</v>
      </c>
      <c r="K114" s="5" t="n">
        <v>18</v>
      </c>
      <c r="L114" s="5" t="n">
        <v>1</v>
      </c>
      <c r="M114" s="5" t="s">
        <v>7</v>
      </c>
    </row>
    <row r="115" customFormat="false" ht="15" hidden="false" customHeight="false" outlineLevel="0" collapsed="false">
      <c r="A115" s="5" t="n">
        <f aca="false">RANDBETWEEN(2,164)</f>
        <v>130</v>
      </c>
      <c r="B115" s="5" t="n">
        <f aca="false" t="array" ref="B115:B115">INDEX(Data_DBD!$B:$B,$A115)</f>
        <v>12</v>
      </c>
      <c r="C115" s="5" t="n">
        <f aca="false" t="array" ref="C115:C115">INDEX(Data_DBD!$C:$C,$A115)</f>
        <v>4</v>
      </c>
      <c r="D115" s="5" t="n">
        <f aca="false" t="array" ref="D115:D115">INDEX(Data_DBD!$D:$D,$A115)</f>
        <v>33</v>
      </c>
      <c r="E115" s="5" t="n">
        <f aca="false" t="array" ref="E115:E115">INDEX(Data_DBD!$E:$E,$A115)</f>
        <v>0</v>
      </c>
      <c r="F115" s="5" t="str">
        <f aca="false" t="array" ref="F115:F115">INDEX(Data_DBD!$F:$F,$A115)</f>
        <v>Tinggi</v>
      </c>
      <c r="H115" s="5" t="n">
        <v>109</v>
      </c>
      <c r="I115" s="5" t="n">
        <v>40</v>
      </c>
      <c r="J115" s="5" t="n">
        <v>3</v>
      </c>
      <c r="K115" s="5" t="n">
        <v>33</v>
      </c>
      <c r="L115" s="5" t="n">
        <v>1</v>
      </c>
      <c r="M115" s="5" t="s">
        <v>115</v>
      </c>
    </row>
    <row r="116" customFormat="false" ht="15" hidden="false" customHeight="false" outlineLevel="0" collapsed="false">
      <c r="A116" s="5" t="n">
        <f aca="false">RANDBETWEEN(2,164)</f>
        <v>35</v>
      </c>
      <c r="B116" s="5" t="n">
        <f aca="false" t="array" ref="B116:B116">INDEX(Data_DBD!$B:$B,$A116)</f>
        <v>40</v>
      </c>
      <c r="C116" s="5" t="n">
        <f aca="false" t="array" ref="C116:C116">INDEX(Data_DBD!$C:$C,$A116)</f>
        <v>3</v>
      </c>
      <c r="D116" s="5" t="n">
        <f aca="false" t="array" ref="D116:D116">INDEX(Data_DBD!$D:$D,$A116)</f>
        <v>4</v>
      </c>
      <c r="E116" s="5" t="n">
        <f aca="false" t="array" ref="E116:E116">INDEX(Data_DBD!$E:$E,$A116)</f>
        <v>1</v>
      </c>
      <c r="F116" s="5" t="str">
        <f aca="false" t="array" ref="F116:F116">INDEX(Data_DBD!$F:$F,$A116)</f>
        <v>Rendah</v>
      </c>
      <c r="H116" s="5" t="n">
        <v>49</v>
      </c>
      <c r="I116" s="5" t="n">
        <v>64</v>
      </c>
      <c r="J116" s="5" t="n">
        <v>5</v>
      </c>
      <c r="K116" s="5" t="n">
        <v>13</v>
      </c>
      <c r="L116" s="5" t="n">
        <v>0</v>
      </c>
      <c r="M116" s="5" t="s">
        <v>7</v>
      </c>
    </row>
    <row r="117" customFormat="false" ht="15" hidden="false" customHeight="false" outlineLevel="0" collapsed="false">
      <c r="A117" s="5" t="n">
        <f aca="false">RANDBETWEEN(2,164)</f>
        <v>42</v>
      </c>
      <c r="B117" s="5" t="n">
        <f aca="false" t="array" ref="B117:B117">INDEX(Data_DBD!$B:$B,$A117)</f>
        <v>21</v>
      </c>
      <c r="C117" s="5" t="n">
        <f aca="false" t="array" ref="C117:C117">INDEX(Data_DBD!$C:$C,$A117)</f>
        <v>5</v>
      </c>
      <c r="D117" s="5" t="n">
        <f aca="false" t="array" ref="D117:D117">INDEX(Data_DBD!$D:$D,$A117)</f>
        <v>13</v>
      </c>
      <c r="E117" s="5" t="n">
        <f aca="false" t="array" ref="E117:E117">INDEX(Data_DBD!$E:$E,$A117)</f>
        <v>1</v>
      </c>
      <c r="F117" s="5" t="str">
        <f aca="false" t="array" ref="F117:F117">INDEX(Data_DBD!$F:$F,$A117)</f>
        <v>Sedang</v>
      </c>
      <c r="H117" s="5" t="n">
        <v>108</v>
      </c>
      <c r="I117" s="5" t="n">
        <v>69</v>
      </c>
      <c r="J117" s="5" t="n">
        <v>7</v>
      </c>
      <c r="K117" s="5" t="n">
        <v>33</v>
      </c>
      <c r="L117" s="5" t="n">
        <v>1</v>
      </c>
      <c r="M117" s="5" t="s">
        <v>115</v>
      </c>
    </row>
    <row r="118" customFormat="false" ht="15" hidden="false" customHeight="false" outlineLevel="0" collapsed="false">
      <c r="A118" s="5" t="n">
        <f aca="false">RANDBETWEEN(2,164)</f>
        <v>138</v>
      </c>
      <c r="B118" s="5" t="n">
        <f aca="false" t="array" ref="B118:B118">INDEX(Data_DBD!$B:$B,$A118)</f>
        <v>13</v>
      </c>
      <c r="C118" s="5" t="n">
        <f aca="false" t="array" ref="C118:C118">INDEX(Data_DBD!$C:$C,$A118)</f>
        <v>3</v>
      </c>
      <c r="D118" s="5" t="n">
        <f aca="false" t="array" ref="D118:D118">INDEX(Data_DBD!$D:$D,$A118)</f>
        <v>33</v>
      </c>
      <c r="E118" s="5" t="n">
        <f aca="false" t="array" ref="E118:E118">INDEX(Data_DBD!$E:$E,$A118)</f>
        <v>1</v>
      </c>
      <c r="F118" s="5" t="str">
        <f aca="false" t="array" ref="F118:F118">INDEX(Data_DBD!$F:$F,$A118)</f>
        <v>Tinggi</v>
      </c>
      <c r="H118" s="5" t="n">
        <v>84</v>
      </c>
      <c r="I118" s="5" t="n">
        <v>42</v>
      </c>
      <c r="J118" s="5" t="n">
        <v>4</v>
      </c>
      <c r="K118" s="5" t="n">
        <v>13</v>
      </c>
      <c r="L118" s="5" t="n">
        <v>1</v>
      </c>
      <c r="M118" s="5" t="s">
        <v>7</v>
      </c>
    </row>
    <row r="119" customFormat="false" ht="15" hidden="false" customHeight="false" outlineLevel="0" collapsed="false">
      <c r="A119" s="5" t="n">
        <f aca="false">RANDBETWEEN(2,164)</f>
        <v>156</v>
      </c>
      <c r="B119" s="5" t="n">
        <f aca="false" t="array" ref="B119:B119">INDEX(Data_DBD!$B:$B,$A119)</f>
        <v>5</v>
      </c>
      <c r="C119" s="5" t="n">
        <f aca="false" t="array" ref="C119:C119">INDEX(Data_DBD!$C:$C,$A119)</f>
        <v>2</v>
      </c>
      <c r="D119" s="5" t="n">
        <f aca="false" t="array" ref="D119:D119">INDEX(Data_DBD!$D:$D,$A119)</f>
        <v>21</v>
      </c>
      <c r="E119" s="5" t="n">
        <f aca="false" t="array" ref="E119:E119">INDEX(Data_DBD!$E:$E,$A119)</f>
        <v>0</v>
      </c>
      <c r="F119" s="5" t="str">
        <f aca="false" t="array" ref="F119:F119">INDEX(Data_DBD!$F:$F,$A119)</f>
        <v>Tinggi</v>
      </c>
      <c r="H119" s="5" t="n">
        <v>117</v>
      </c>
      <c r="I119" s="5" t="n">
        <v>49</v>
      </c>
      <c r="J119" s="5" t="n">
        <v>4</v>
      </c>
      <c r="K119" s="5" t="n">
        <v>33</v>
      </c>
      <c r="L119" s="5" t="n">
        <v>1</v>
      </c>
      <c r="M119" s="5" t="s">
        <v>115</v>
      </c>
    </row>
    <row r="120" customFormat="false" ht="15" hidden="false" customHeight="false" outlineLevel="0" collapsed="false">
      <c r="A120" s="5" t="n">
        <f aca="false">RANDBETWEEN(2,164)</f>
        <v>39</v>
      </c>
      <c r="B120" s="5" t="n">
        <f aca="false" t="array" ref="B120:B120">INDEX(Data_DBD!$B:$B,$A120)</f>
        <v>12</v>
      </c>
      <c r="C120" s="5" t="n">
        <f aca="false" t="array" ref="C120:C120">INDEX(Data_DBD!$C:$C,$A120)</f>
        <v>5</v>
      </c>
      <c r="D120" s="5" t="n">
        <f aca="false" t="array" ref="D120:D120">INDEX(Data_DBD!$D:$D,$A120)</f>
        <v>13</v>
      </c>
      <c r="E120" s="5" t="n">
        <f aca="false" t="array" ref="E120:E120">INDEX(Data_DBD!$E:$E,$A120)</f>
        <v>1</v>
      </c>
      <c r="F120" s="5" t="str">
        <f aca="false" t="array" ref="F120:F120">INDEX(Data_DBD!$F:$F,$A120)</f>
        <v>Sedang</v>
      </c>
      <c r="H120" s="5" t="n">
        <v>21</v>
      </c>
      <c r="I120" s="5" t="n">
        <v>10</v>
      </c>
      <c r="J120" s="5" t="n">
        <v>5</v>
      </c>
      <c r="K120" s="5" t="n">
        <v>14</v>
      </c>
      <c r="L120" s="5" t="n">
        <v>1</v>
      </c>
      <c r="M120" s="5" t="s">
        <v>7</v>
      </c>
    </row>
    <row r="121" customFormat="false" ht="15" hidden="false" customHeight="false" outlineLevel="0" collapsed="false">
      <c r="A121" s="5" t="n">
        <f aca="false">RANDBETWEEN(2,164)</f>
        <v>54</v>
      </c>
      <c r="B121" s="5" t="n">
        <f aca="false" t="array" ref="B121:B121">INDEX(Data_DBD!$B:$B,$A121)</f>
        <v>7</v>
      </c>
      <c r="C121" s="5" t="n">
        <f aca="false" t="array" ref="C121:C121">INDEX(Data_DBD!$C:$C,$A121)</f>
        <v>3</v>
      </c>
      <c r="D121" s="5" t="n">
        <f aca="false" t="array" ref="D121:D121">INDEX(Data_DBD!$D:$D,$A121)</f>
        <v>15</v>
      </c>
      <c r="E121" s="5" t="n">
        <f aca="false" t="array" ref="E121:E121">INDEX(Data_DBD!$E:$E,$A121)</f>
        <v>0</v>
      </c>
      <c r="F121" s="5" t="str">
        <f aca="false" t="array" ref="F121:F121">INDEX(Data_DBD!$F:$F,$A121)</f>
        <v>Sedang</v>
      </c>
      <c r="H121" s="5" t="n">
        <v>119</v>
      </c>
      <c r="I121" s="5" t="n">
        <v>30</v>
      </c>
      <c r="J121" s="5" t="n">
        <v>7</v>
      </c>
      <c r="K121" s="5" t="n">
        <v>33</v>
      </c>
      <c r="L121" s="5" t="n">
        <v>0</v>
      </c>
      <c r="M121" s="5" t="s">
        <v>115</v>
      </c>
    </row>
    <row r="122" customFormat="false" ht="15" hidden="false" customHeight="false" outlineLevel="0" collapsed="false">
      <c r="A122" s="5" t="n">
        <f aca="false">RANDBETWEEN(2,164)</f>
        <v>22</v>
      </c>
      <c r="B122" s="5" t="n">
        <f aca="false" t="array" ref="B122:B122">INDEX(Data_DBD!$B:$B,$A122)</f>
        <v>6</v>
      </c>
      <c r="C122" s="5" t="n">
        <f aca="false" t="array" ref="C122:C122">INDEX(Data_DBD!$C:$C,$A122)</f>
        <v>3</v>
      </c>
      <c r="D122" s="5" t="n">
        <f aca="false" t="array" ref="D122:D122">INDEX(Data_DBD!$D:$D,$A122)</f>
        <v>14</v>
      </c>
      <c r="E122" s="5" t="n">
        <f aca="false" t="array" ref="E122:E122">INDEX(Data_DBD!$E:$E,$A122)</f>
        <v>0</v>
      </c>
      <c r="F122" s="5" t="str">
        <f aca="false" t="array" ref="F122:F122">INDEX(Data_DBD!$F:$F,$A122)</f>
        <v>Sedang</v>
      </c>
      <c r="H122" s="5" t="n">
        <v>126</v>
      </c>
      <c r="I122" s="5" t="n">
        <v>51</v>
      </c>
      <c r="J122" s="5" t="n">
        <v>3</v>
      </c>
      <c r="K122" s="5" t="n">
        <v>33</v>
      </c>
      <c r="L122" s="5" t="n">
        <v>1</v>
      </c>
      <c r="M122" s="5" t="s">
        <v>115</v>
      </c>
    </row>
    <row r="123" customFormat="false" ht="15" hidden="false" customHeight="false" outlineLevel="0" collapsed="false">
      <c r="A123" s="5" t="n">
        <f aca="false">RANDBETWEEN(2,164)</f>
        <v>29</v>
      </c>
      <c r="B123" s="5" t="n">
        <f aca="false" t="array" ref="B123:B123">INDEX(Data_DBD!$B:$B,$A123)</f>
        <v>19</v>
      </c>
      <c r="C123" s="5" t="n">
        <f aca="false" t="array" ref="C123:C123">INDEX(Data_DBD!$C:$C,$A123)</f>
        <v>2</v>
      </c>
      <c r="D123" s="5" t="n">
        <f aca="false" t="array" ref="D123:D123">INDEX(Data_DBD!$D:$D,$A123)</f>
        <v>14</v>
      </c>
      <c r="E123" s="5" t="n">
        <f aca="false" t="array" ref="E123:E123">INDEX(Data_DBD!$E:$E,$A123)</f>
        <v>1</v>
      </c>
      <c r="F123" s="5" t="str">
        <f aca="false" t="array" ref="F123:F123">INDEX(Data_DBD!$F:$F,$A123)</f>
        <v>Sedang</v>
      </c>
      <c r="H123" s="5" t="n">
        <v>36</v>
      </c>
      <c r="I123" s="5" t="n">
        <v>27</v>
      </c>
      <c r="J123" s="5" t="n">
        <v>1</v>
      </c>
      <c r="K123" s="5" t="n">
        <v>4</v>
      </c>
      <c r="L123" s="5" t="n">
        <v>1</v>
      </c>
      <c r="M123" s="5" t="s">
        <v>20</v>
      </c>
    </row>
    <row r="124" customFormat="false" ht="15" hidden="false" customHeight="false" outlineLevel="0" collapsed="false">
      <c r="A124" s="5" t="n">
        <f aca="false">RANDBETWEEN(2,164)</f>
        <v>43</v>
      </c>
      <c r="B124" s="5" t="n">
        <f aca="false" t="array" ref="B124:B124">INDEX(Data_DBD!$B:$B,$A124)</f>
        <v>15</v>
      </c>
      <c r="C124" s="5" t="n">
        <f aca="false" t="array" ref="C124:C124">INDEX(Data_DBD!$C:$C,$A124)</f>
        <v>4</v>
      </c>
      <c r="D124" s="5" t="n">
        <f aca="false" t="array" ref="D124:D124">INDEX(Data_DBD!$D:$D,$A124)</f>
        <v>13</v>
      </c>
      <c r="E124" s="5" t="n">
        <f aca="false" t="array" ref="E124:E124">INDEX(Data_DBD!$E:$E,$A124)</f>
        <v>0</v>
      </c>
      <c r="F124" s="5" t="str">
        <f aca="false" t="array" ref="F124:F124">INDEX(Data_DBD!$F:$F,$A124)</f>
        <v>Sedang</v>
      </c>
      <c r="H124" s="5" t="n">
        <v>93</v>
      </c>
      <c r="I124" s="5" t="n">
        <v>65</v>
      </c>
      <c r="J124" s="5" t="n">
        <v>4</v>
      </c>
      <c r="K124" s="5" t="n">
        <v>18</v>
      </c>
      <c r="L124" s="5" t="n">
        <v>0</v>
      </c>
      <c r="M124" s="5" t="s">
        <v>7</v>
      </c>
    </row>
    <row r="125" customFormat="false" ht="15" hidden="false" customHeight="false" outlineLevel="0" collapsed="false">
      <c r="A125" s="5" t="n">
        <f aca="false">RANDBETWEEN(2,164)</f>
        <v>109</v>
      </c>
      <c r="B125" s="5" t="n">
        <f aca="false" t="array" ref="B125:B125">INDEX(Data_DBD!$B:$B,$A125)</f>
        <v>40</v>
      </c>
      <c r="C125" s="5" t="n">
        <f aca="false" t="array" ref="C125:C125">INDEX(Data_DBD!$C:$C,$A125)</f>
        <v>3</v>
      </c>
      <c r="D125" s="5" t="n">
        <f aca="false" t="array" ref="D125:D125">INDEX(Data_DBD!$D:$D,$A125)</f>
        <v>33</v>
      </c>
      <c r="E125" s="5" t="n">
        <f aca="false" t="array" ref="E125:E125">INDEX(Data_DBD!$E:$E,$A125)</f>
        <v>1</v>
      </c>
      <c r="F125" s="5" t="str">
        <f aca="false" t="array" ref="F125:F125">INDEX(Data_DBD!$F:$F,$A125)</f>
        <v>Tinggi</v>
      </c>
      <c r="H125" s="5" t="n">
        <v>162</v>
      </c>
      <c r="I125" s="5" t="n">
        <v>22</v>
      </c>
      <c r="J125" s="5" t="n">
        <v>3</v>
      </c>
      <c r="K125" s="5" t="n">
        <v>3</v>
      </c>
      <c r="L125" s="5" t="n">
        <v>1</v>
      </c>
      <c r="M125" s="5" t="s">
        <v>20</v>
      </c>
    </row>
    <row r="126" customFormat="false" ht="15" hidden="false" customHeight="false" outlineLevel="0" collapsed="false">
      <c r="A126" s="5" t="n">
        <f aca="false">RANDBETWEEN(2,164)</f>
        <v>88</v>
      </c>
      <c r="B126" s="5" t="n">
        <f aca="false" t="array" ref="B126:B126">INDEX(Data_DBD!$B:$B,$A126)</f>
        <v>20</v>
      </c>
      <c r="C126" s="5" t="n">
        <f aca="false" t="array" ref="C126:C126">INDEX(Data_DBD!$C:$C,$A126)</f>
        <v>4</v>
      </c>
      <c r="D126" s="5" t="n">
        <f aca="false" t="array" ref="D126:D126">INDEX(Data_DBD!$D:$D,$A126)</f>
        <v>13</v>
      </c>
      <c r="E126" s="5" t="n">
        <f aca="false" t="array" ref="E126:E126">INDEX(Data_DBD!$E:$E,$A126)</f>
        <v>1</v>
      </c>
      <c r="F126" s="5" t="str">
        <f aca="false" t="array" ref="F126:F126">INDEX(Data_DBD!$F:$F,$A126)</f>
        <v>Sedang</v>
      </c>
      <c r="H126" s="5" t="n">
        <v>132</v>
      </c>
      <c r="I126" s="5" t="n">
        <v>10</v>
      </c>
      <c r="J126" s="5" t="n">
        <v>3</v>
      </c>
      <c r="K126" s="5" t="n">
        <v>33</v>
      </c>
      <c r="L126" s="5" t="n">
        <v>1</v>
      </c>
      <c r="M126" s="5" t="s">
        <v>115</v>
      </c>
    </row>
    <row r="127" customFormat="false" ht="15" hidden="false" customHeight="false" outlineLevel="0" collapsed="false">
      <c r="A127" s="5" t="n">
        <f aca="false">RANDBETWEEN(2,164)</f>
        <v>156</v>
      </c>
      <c r="B127" s="5" t="n">
        <f aca="false" t="array" ref="B127:B127">INDEX(Data_DBD!$B:$B,$A127)</f>
        <v>5</v>
      </c>
      <c r="C127" s="5" t="n">
        <f aca="false" t="array" ref="C127:C127">INDEX(Data_DBD!$C:$C,$A127)</f>
        <v>2</v>
      </c>
      <c r="D127" s="5" t="n">
        <f aca="false" t="array" ref="D127:D127">INDEX(Data_DBD!$D:$D,$A127)</f>
        <v>21</v>
      </c>
      <c r="E127" s="5" t="n">
        <f aca="false" t="array" ref="E127:E127">INDEX(Data_DBD!$E:$E,$A127)</f>
        <v>0</v>
      </c>
      <c r="F127" s="5" t="str">
        <f aca="false" t="array" ref="F127:F127">INDEX(Data_DBD!$F:$F,$A127)</f>
        <v>Tinggi</v>
      </c>
      <c r="H127" s="5" t="n">
        <v>105</v>
      </c>
      <c r="I127" s="5" t="n">
        <v>61</v>
      </c>
      <c r="J127" s="5" t="n">
        <v>3</v>
      </c>
      <c r="K127" s="5" t="n">
        <v>18</v>
      </c>
      <c r="L127" s="5" t="n">
        <v>1</v>
      </c>
      <c r="M127" s="5" t="s">
        <v>7</v>
      </c>
    </row>
    <row r="128" customFormat="false" ht="15" hidden="false" customHeight="false" outlineLevel="0" collapsed="false">
      <c r="A128" s="5" t="n">
        <f aca="false">RANDBETWEEN(2,164)</f>
        <v>63</v>
      </c>
      <c r="B128" s="5" t="n">
        <f aca="false" t="array" ref="B128:B128">INDEX(Data_DBD!$B:$B,$A128)</f>
        <v>25</v>
      </c>
      <c r="C128" s="5" t="n">
        <f aca="false" t="array" ref="C128:C128">INDEX(Data_DBD!$C:$C,$A128)</f>
        <v>3</v>
      </c>
      <c r="D128" s="5" t="n">
        <f aca="false" t="array" ref="D128:D128">INDEX(Data_DBD!$D:$D,$A128)</f>
        <v>15</v>
      </c>
      <c r="E128" s="5" t="n">
        <f aca="false" t="array" ref="E128:E128">INDEX(Data_DBD!$E:$E,$A128)</f>
        <v>0</v>
      </c>
      <c r="F128" s="5" t="str">
        <f aca="false" t="array" ref="F128:F128">INDEX(Data_DBD!$F:$F,$A128)</f>
        <v>Sedang</v>
      </c>
      <c r="H128" s="5" t="n">
        <v>59</v>
      </c>
      <c r="I128" s="5" t="n">
        <v>28</v>
      </c>
      <c r="J128" s="5" t="n">
        <v>4</v>
      </c>
      <c r="K128" s="5" t="n">
        <v>15</v>
      </c>
      <c r="L128" s="5" t="n">
        <v>0</v>
      </c>
      <c r="M128" s="5" t="s">
        <v>7</v>
      </c>
    </row>
    <row r="129" customFormat="false" ht="15" hidden="false" customHeight="false" outlineLevel="0" collapsed="false">
      <c r="A129" s="5" t="n">
        <f aca="false">RANDBETWEEN(2,164)</f>
        <v>67</v>
      </c>
      <c r="B129" s="5" t="n">
        <f aca="false" t="array" ref="B129:B129">INDEX(Data_DBD!$B:$B,$A129)</f>
        <v>21</v>
      </c>
      <c r="C129" s="5" t="n">
        <f aca="false" t="array" ref="C129:C129">INDEX(Data_DBD!$C:$C,$A129)</f>
        <v>3</v>
      </c>
      <c r="D129" s="5" t="n">
        <f aca="false" t="array" ref="D129:D129">INDEX(Data_DBD!$D:$D,$A129)</f>
        <v>10</v>
      </c>
      <c r="E129" s="5" t="n">
        <f aca="false" t="array" ref="E129:E129">INDEX(Data_DBD!$E:$E,$A129)</f>
        <v>1</v>
      </c>
      <c r="F129" s="5" t="str">
        <f aca="false" t="array" ref="F129:F129">INDEX(Data_DBD!$F:$F,$A129)</f>
        <v>Rendah</v>
      </c>
      <c r="H129" s="5" t="n">
        <v>32</v>
      </c>
      <c r="I129" s="5" t="n">
        <v>54</v>
      </c>
      <c r="J129" s="5" t="n">
        <v>4</v>
      </c>
      <c r="K129" s="5" t="n">
        <v>14</v>
      </c>
      <c r="L129" s="5" t="n">
        <v>0</v>
      </c>
      <c r="M129" s="5" t="s">
        <v>7</v>
      </c>
    </row>
    <row r="130" customFormat="false" ht="15" hidden="false" customHeight="false" outlineLevel="0" collapsed="false">
      <c r="A130" s="5" t="n">
        <f aca="false">RANDBETWEEN(2,164)</f>
        <v>153</v>
      </c>
      <c r="B130" s="5" t="n">
        <f aca="false" t="array" ref="B130:B130">INDEX(Data_DBD!$B:$B,$A130)</f>
        <v>73</v>
      </c>
      <c r="C130" s="5" t="n">
        <f aca="false" t="array" ref="C130:C130">INDEX(Data_DBD!$C:$C,$A130)</f>
        <v>7</v>
      </c>
      <c r="D130" s="5" t="n">
        <f aca="false" t="array" ref="D130:D130">INDEX(Data_DBD!$D:$D,$A130)</f>
        <v>21</v>
      </c>
      <c r="E130" s="5" t="n">
        <f aca="false" t="array" ref="E130:E130">INDEX(Data_DBD!$E:$E,$A130)</f>
        <v>1</v>
      </c>
      <c r="F130" s="5" t="str">
        <f aca="false" t="array" ref="F130:F130">INDEX(Data_DBD!$F:$F,$A130)</f>
        <v>Tinggi</v>
      </c>
      <c r="H130" s="5" t="n">
        <v>37</v>
      </c>
      <c r="I130" s="5" t="n">
        <v>28</v>
      </c>
      <c r="J130" s="5" t="n">
        <v>4</v>
      </c>
      <c r="K130" s="5" t="n">
        <v>4</v>
      </c>
      <c r="L130" s="5" t="n">
        <v>1</v>
      </c>
      <c r="M130" s="5" t="s">
        <v>20</v>
      </c>
    </row>
    <row r="131" customFormat="false" ht="15" hidden="false" customHeight="false" outlineLevel="0" collapsed="false">
      <c r="A131" s="5" t="n">
        <f aca="false">RANDBETWEEN(2,164)</f>
        <v>21</v>
      </c>
      <c r="B131" s="5" t="n">
        <f aca="false" t="array" ref="B131:B131">INDEX(Data_DBD!$B:$B,$A131)</f>
        <v>10</v>
      </c>
      <c r="C131" s="5" t="n">
        <f aca="false" t="array" ref="C131:C131">INDEX(Data_DBD!$C:$C,$A131)</f>
        <v>5</v>
      </c>
      <c r="D131" s="5" t="n">
        <f aca="false" t="array" ref="D131:D131">INDEX(Data_DBD!$D:$D,$A131)</f>
        <v>14</v>
      </c>
      <c r="E131" s="5" t="n">
        <f aca="false" t="array" ref="E131:E131">INDEX(Data_DBD!$E:$E,$A131)</f>
        <v>1</v>
      </c>
      <c r="F131" s="5" t="str">
        <f aca="false" t="array" ref="F131:F131">INDEX(Data_DBD!$F:$F,$A131)</f>
        <v>Sedang</v>
      </c>
      <c r="H131" s="5" t="n">
        <v>112</v>
      </c>
      <c r="I131" s="5" t="n">
        <v>61</v>
      </c>
      <c r="J131" s="5" t="n">
        <v>3</v>
      </c>
      <c r="K131" s="5" t="n">
        <v>33</v>
      </c>
      <c r="L131" s="5" t="n">
        <v>1</v>
      </c>
      <c r="M131" s="5" t="s">
        <v>115</v>
      </c>
    </row>
    <row r="132" customFormat="false" ht="15" hidden="false" customHeight="false" outlineLevel="0" collapsed="false">
      <c r="A132" s="5" t="n">
        <f aca="false">RANDBETWEEN(2,164)</f>
        <v>149</v>
      </c>
      <c r="B132" s="5" t="n">
        <f aca="false" t="array" ref="B132:B132">INDEX(Data_DBD!$B:$B,$A132)</f>
        <v>19</v>
      </c>
      <c r="C132" s="5" t="n">
        <f aca="false" t="array" ref="C132:C132">INDEX(Data_DBD!$C:$C,$A132)</f>
        <v>5</v>
      </c>
      <c r="D132" s="5" t="n">
        <f aca="false" t="array" ref="D132:D132">INDEX(Data_DBD!$D:$D,$A132)</f>
        <v>21</v>
      </c>
      <c r="E132" s="5" t="n">
        <f aca="false" t="array" ref="E132:E132">INDEX(Data_DBD!$E:$E,$A132)</f>
        <v>0</v>
      </c>
      <c r="F132" s="5" t="str">
        <f aca="false" t="array" ref="F132:F132">INDEX(Data_DBD!$F:$F,$A132)</f>
        <v>Tinggi</v>
      </c>
      <c r="H132" s="5" t="n">
        <v>122</v>
      </c>
      <c r="I132" s="5" t="n">
        <v>28</v>
      </c>
      <c r="J132" s="5" t="n">
        <v>3</v>
      </c>
      <c r="K132" s="5" t="n">
        <v>33</v>
      </c>
      <c r="L132" s="5" t="n">
        <v>1</v>
      </c>
      <c r="M132" s="5" t="s">
        <v>115</v>
      </c>
    </row>
    <row r="133" customFormat="false" ht="15" hidden="false" customHeight="false" outlineLevel="0" collapsed="false">
      <c r="A133" s="5" t="n">
        <f aca="false">RANDBETWEEN(2,164)</f>
        <v>87</v>
      </c>
      <c r="B133" s="5" t="n">
        <f aca="false" t="array" ref="B133:B133">INDEX(Data_DBD!$B:$B,$A133)</f>
        <v>21</v>
      </c>
      <c r="C133" s="5" t="n">
        <f aca="false" t="array" ref="C133:C133">INDEX(Data_DBD!$C:$C,$A133)</f>
        <v>3</v>
      </c>
      <c r="D133" s="5" t="n">
        <f aca="false" t="array" ref="D133:D133">INDEX(Data_DBD!$D:$D,$A133)</f>
        <v>13</v>
      </c>
      <c r="E133" s="5" t="n">
        <f aca="false" t="array" ref="E133:E133">INDEX(Data_DBD!$E:$E,$A133)</f>
        <v>0</v>
      </c>
      <c r="F133" s="5" t="str">
        <f aca="false" t="array" ref="F133:F133">INDEX(Data_DBD!$F:$F,$A133)</f>
        <v>Sedang</v>
      </c>
      <c r="H133" s="5" t="n">
        <v>120</v>
      </c>
      <c r="I133" s="5" t="n">
        <v>26</v>
      </c>
      <c r="J133" s="5" t="n">
        <v>4</v>
      </c>
      <c r="K133" s="5" t="n">
        <v>33</v>
      </c>
      <c r="L133" s="5" t="n">
        <v>1</v>
      </c>
      <c r="M133" s="5" t="s">
        <v>115</v>
      </c>
    </row>
    <row r="134" customFormat="false" ht="15" hidden="false" customHeight="false" outlineLevel="0" collapsed="false">
      <c r="A134" s="5" t="n">
        <f aca="false">RANDBETWEEN(2,164)</f>
        <v>156</v>
      </c>
      <c r="B134" s="5" t="n">
        <f aca="false" t="array" ref="B134:B134">INDEX(Data_DBD!$B:$B,$A134)</f>
        <v>5</v>
      </c>
      <c r="C134" s="5" t="n">
        <f aca="false" t="array" ref="C134:C134">INDEX(Data_DBD!$C:$C,$A134)</f>
        <v>2</v>
      </c>
      <c r="D134" s="5" t="n">
        <f aca="false" t="array" ref="D134:D134">INDEX(Data_DBD!$D:$D,$A134)</f>
        <v>21</v>
      </c>
      <c r="E134" s="5" t="n">
        <f aca="false" t="array" ref="E134:E134">INDEX(Data_DBD!$E:$E,$A134)</f>
        <v>0</v>
      </c>
      <c r="F134" s="5" t="str">
        <f aca="false" t="array" ref="F134:F134">INDEX(Data_DBD!$F:$F,$A134)</f>
        <v>Tinggi</v>
      </c>
      <c r="H134" s="5" t="n">
        <v>24</v>
      </c>
      <c r="I134" s="5" t="n">
        <v>60</v>
      </c>
      <c r="J134" s="5" t="n">
        <v>4</v>
      </c>
      <c r="K134" s="5" t="n">
        <v>14</v>
      </c>
      <c r="L134" s="5" t="n">
        <v>0</v>
      </c>
      <c r="M134" s="5" t="s">
        <v>7</v>
      </c>
    </row>
    <row r="135" customFormat="false" ht="15" hidden="false" customHeight="false" outlineLevel="0" collapsed="false">
      <c r="A135" s="5" t="n">
        <f aca="false">RANDBETWEEN(2,164)</f>
        <v>135</v>
      </c>
      <c r="B135" s="5" t="n">
        <f aca="false" t="array" ref="B135:B135">INDEX(Data_DBD!$B:$B,$A135)</f>
        <v>10</v>
      </c>
      <c r="C135" s="5" t="n">
        <f aca="false" t="array" ref="C135:C135">INDEX(Data_DBD!$C:$C,$A135)</f>
        <v>2</v>
      </c>
      <c r="D135" s="5" t="n">
        <f aca="false" t="array" ref="D135:D135">INDEX(Data_DBD!$D:$D,$A135)</f>
        <v>33</v>
      </c>
      <c r="E135" s="5" t="n">
        <f aca="false" t="array" ref="E135:E135">INDEX(Data_DBD!$E:$E,$A135)</f>
        <v>0</v>
      </c>
      <c r="F135" s="5" t="str">
        <f aca="false" t="array" ref="F135:F135">INDEX(Data_DBD!$F:$F,$A135)</f>
        <v>Tinggi</v>
      </c>
      <c r="H135" s="5" t="n">
        <v>162</v>
      </c>
      <c r="I135" s="5" t="n">
        <v>22</v>
      </c>
      <c r="J135" s="5" t="n">
        <v>3</v>
      </c>
      <c r="K135" s="5" t="n">
        <v>3</v>
      </c>
      <c r="L135" s="5" t="n">
        <v>1</v>
      </c>
      <c r="M135" s="5" t="s">
        <v>20</v>
      </c>
    </row>
    <row r="136" customFormat="false" ht="15" hidden="false" customHeight="false" outlineLevel="0" collapsed="false">
      <c r="A136" s="5" t="n">
        <f aca="false">RANDBETWEEN(2,164)</f>
        <v>137</v>
      </c>
      <c r="B136" s="5" t="n">
        <f aca="false" t="array" ref="B136:B136">INDEX(Data_DBD!$B:$B,$A136)</f>
        <v>3</v>
      </c>
      <c r="C136" s="5" t="n">
        <f aca="false" t="array" ref="C136:C136">INDEX(Data_DBD!$C:$C,$A136)</f>
        <v>1</v>
      </c>
      <c r="D136" s="5" t="n">
        <f aca="false" t="array" ref="D136:D136">INDEX(Data_DBD!$D:$D,$A136)</f>
        <v>33</v>
      </c>
      <c r="E136" s="5" t="n">
        <f aca="false" t="array" ref="E136:E136">INDEX(Data_DBD!$E:$E,$A136)</f>
        <v>1</v>
      </c>
      <c r="F136" s="5" t="str">
        <f aca="false" t="array" ref="F136:F136">INDEX(Data_DBD!$F:$F,$A136)</f>
        <v>Tinggi</v>
      </c>
      <c r="H136" s="5" t="n">
        <v>144</v>
      </c>
      <c r="I136" s="5" t="n">
        <v>61</v>
      </c>
      <c r="J136" s="5" t="n">
        <v>4</v>
      </c>
      <c r="K136" s="5" t="n">
        <v>21</v>
      </c>
      <c r="L136" s="5" t="n">
        <v>1</v>
      </c>
      <c r="M136" s="5" t="s">
        <v>115</v>
      </c>
    </row>
    <row r="137" customFormat="false" ht="15" hidden="false" customHeight="false" outlineLevel="0" collapsed="false">
      <c r="A137" s="5" t="n">
        <f aca="false">RANDBETWEEN(2,164)</f>
        <v>111</v>
      </c>
      <c r="B137" s="5" t="n">
        <f aca="false" t="array" ref="B137:B137">INDEX(Data_DBD!$B:$B,$A137)</f>
        <v>25</v>
      </c>
      <c r="C137" s="5" t="n">
        <f aca="false" t="array" ref="C137:C137">INDEX(Data_DBD!$C:$C,$A137)</f>
        <v>4</v>
      </c>
      <c r="D137" s="5" t="n">
        <f aca="false" t="array" ref="D137:D137">INDEX(Data_DBD!$D:$D,$A137)</f>
        <v>33</v>
      </c>
      <c r="E137" s="5" t="n">
        <f aca="false" t="array" ref="E137:E137">INDEX(Data_DBD!$E:$E,$A137)</f>
        <v>0</v>
      </c>
      <c r="F137" s="5" t="str">
        <f aca="false" t="array" ref="F137:F137">INDEX(Data_DBD!$F:$F,$A137)</f>
        <v>Tinggi</v>
      </c>
      <c r="H137" s="5" t="n">
        <v>157</v>
      </c>
      <c r="I137" s="5" t="n">
        <v>15</v>
      </c>
      <c r="J137" s="5" t="n">
        <v>4</v>
      </c>
      <c r="K137" s="5" t="n">
        <v>21</v>
      </c>
      <c r="L137" s="5" t="n">
        <v>1</v>
      </c>
      <c r="M137" s="5" t="s">
        <v>115</v>
      </c>
    </row>
    <row r="138" customFormat="false" ht="15" hidden="false" customHeight="false" outlineLevel="0" collapsed="false">
      <c r="A138" s="5" t="n">
        <f aca="false">RANDBETWEEN(2,164)</f>
        <v>108</v>
      </c>
      <c r="B138" s="5" t="n">
        <f aca="false" t="array" ref="B138:B138">INDEX(Data_DBD!$B:$B,$A138)</f>
        <v>69</v>
      </c>
      <c r="C138" s="5" t="n">
        <f aca="false" t="array" ref="C138:C138">INDEX(Data_DBD!$C:$C,$A138)</f>
        <v>7</v>
      </c>
      <c r="D138" s="5" t="n">
        <f aca="false" t="array" ref="D138:D138">INDEX(Data_DBD!$D:$D,$A138)</f>
        <v>33</v>
      </c>
      <c r="E138" s="5" t="n">
        <f aca="false" t="array" ref="E138:E138">INDEX(Data_DBD!$E:$E,$A138)</f>
        <v>1</v>
      </c>
      <c r="F138" s="5" t="str">
        <f aca="false" t="array" ref="F138:F138">INDEX(Data_DBD!$F:$F,$A138)</f>
        <v>Tinggi</v>
      </c>
      <c r="H138" s="5" t="n">
        <v>61</v>
      </c>
      <c r="I138" s="5" t="n">
        <v>29</v>
      </c>
      <c r="J138" s="5" t="n">
        <v>3</v>
      </c>
      <c r="K138" s="5" t="n">
        <v>15</v>
      </c>
      <c r="L138" s="5" t="n">
        <v>1</v>
      </c>
      <c r="M138" s="5" t="s">
        <v>7</v>
      </c>
    </row>
    <row r="139" customFormat="false" ht="15" hidden="false" customHeight="false" outlineLevel="0" collapsed="false">
      <c r="A139" s="5" t="n">
        <f aca="false">RANDBETWEEN(2,164)</f>
        <v>82</v>
      </c>
      <c r="B139" s="5" t="n">
        <f aca="false" t="array" ref="B139:B139">INDEX(Data_DBD!$B:$B,$A139)</f>
        <v>28</v>
      </c>
      <c r="C139" s="5" t="n">
        <f aca="false" t="array" ref="C139:C139">INDEX(Data_DBD!$C:$C,$A139)</f>
        <v>3</v>
      </c>
      <c r="D139" s="5" t="n">
        <f aca="false" t="array" ref="D139:D139">INDEX(Data_DBD!$D:$D,$A139)</f>
        <v>13</v>
      </c>
      <c r="E139" s="5" t="n">
        <f aca="false" t="array" ref="E139:E139">INDEX(Data_DBD!$E:$E,$A139)</f>
        <v>1</v>
      </c>
      <c r="F139" s="5" t="str">
        <f aca="false" t="array" ref="F139:F139">INDEX(Data_DBD!$F:$F,$A139)</f>
        <v>Sedang</v>
      </c>
      <c r="H139" s="5" t="n">
        <v>113</v>
      </c>
      <c r="I139" s="5" t="n">
        <v>69</v>
      </c>
      <c r="J139" s="5" t="n">
        <v>1</v>
      </c>
      <c r="K139" s="5" t="n">
        <v>33</v>
      </c>
      <c r="L139" s="5" t="n">
        <v>1</v>
      </c>
      <c r="M139" s="5" t="s">
        <v>115</v>
      </c>
    </row>
    <row r="140" customFormat="false" ht="15" hidden="false" customHeight="false" outlineLevel="0" collapsed="false">
      <c r="A140" s="5" t="n">
        <f aca="false">RANDBETWEEN(2,164)</f>
        <v>39</v>
      </c>
      <c r="B140" s="5" t="n">
        <f aca="false" t="array" ref="B140:B140">INDEX(Data_DBD!$B:$B,$A140)</f>
        <v>12</v>
      </c>
      <c r="C140" s="5" t="n">
        <f aca="false" t="array" ref="C140:C140">INDEX(Data_DBD!$C:$C,$A140)</f>
        <v>5</v>
      </c>
      <c r="D140" s="5" t="n">
        <f aca="false" t="array" ref="D140:D140">INDEX(Data_DBD!$D:$D,$A140)</f>
        <v>13</v>
      </c>
      <c r="E140" s="5" t="n">
        <f aca="false" t="array" ref="E140:E140">INDEX(Data_DBD!$E:$E,$A140)</f>
        <v>1</v>
      </c>
      <c r="F140" s="5" t="str">
        <f aca="false" t="array" ref="F140:F140">INDEX(Data_DBD!$F:$F,$A140)</f>
        <v>Sedang</v>
      </c>
      <c r="H140" s="5" t="n">
        <v>116</v>
      </c>
      <c r="I140" s="5" t="n">
        <v>32</v>
      </c>
      <c r="J140" s="5" t="n">
        <v>4</v>
      </c>
      <c r="K140" s="5" t="n">
        <v>33</v>
      </c>
      <c r="L140" s="5" t="n">
        <v>1</v>
      </c>
      <c r="M140" s="5" t="s">
        <v>115</v>
      </c>
    </row>
    <row r="141" customFormat="false" ht="15" hidden="false" customHeight="false" outlineLevel="0" collapsed="false">
      <c r="A141" s="5" t="n">
        <f aca="false">RANDBETWEEN(2,164)</f>
        <v>22</v>
      </c>
      <c r="B141" s="5" t="n">
        <f aca="false" t="array" ref="B141:B141">INDEX(Data_DBD!$B:$B,$A141)</f>
        <v>6</v>
      </c>
      <c r="C141" s="5" t="n">
        <f aca="false" t="array" ref="C141:C141">INDEX(Data_DBD!$C:$C,$A141)</f>
        <v>3</v>
      </c>
      <c r="D141" s="5" t="n">
        <f aca="false" t="array" ref="D141:D141">INDEX(Data_DBD!$D:$D,$A141)</f>
        <v>14</v>
      </c>
      <c r="E141" s="5" t="n">
        <f aca="false" t="array" ref="E141:E141">INDEX(Data_DBD!$E:$E,$A141)</f>
        <v>0</v>
      </c>
      <c r="F141" s="5" t="str">
        <f aca="false" t="array" ref="F141:F141">INDEX(Data_DBD!$F:$F,$A141)</f>
        <v>Sedang</v>
      </c>
      <c r="H141" s="5" t="n">
        <v>115</v>
      </c>
      <c r="I141" s="5" t="n">
        <v>52</v>
      </c>
      <c r="J141" s="5" t="n">
        <v>3</v>
      </c>
      <c r="K141" s="5" t="n">
        <v>33</v>
      </c>
      <c r="L141" s="5" t="n">
        <v>1</v>
      </c>
      <c r="M141" s="5" t="s">
        <v>115</v>
      </c>
    </row>
    <row r="142" customFormat="false" ht="15" hidden="false" customHeight="false" outlineLevel="0" collapsed="false">
      <c r="A142" s="5" t="n">
        <f aca="false">RANDBETWEEN(2,164)</f>
        <v>93</v>
      </c>
      <c r="B142" s="5" t="n">
        <f aca="false" t="array" ref="B142:B142">INDEX(Data_DBD!$B:$B,$A142)</f>
        <v>65</v>
      </c>
      <c r="C142" s="5" t="n">
        <f aca="false" t="array" ref="C142:C142">INDEX(Data_DBD!$C:$C,$A142)</f>
        <v>4</v>
      </c>
      <c r="D142" s="5" t="n">
        <f aca="false" t="array" ref="D142:D142">INDEX(Data_DBD!$D:$D,$A142)</f>
        <v>18</v>
      </c>
      <c r="E142" s="5" t="n">
        <f aca="false" t="array" ref="E142:E142">INDEX(Data_DBD!$E:$E,$A142)</f>
        <v>0</v>
      </c>
      <c r="F142" s="5" t="str">
        <f aca="false" t="array" ref="F142:F142">INDEX(Data_DBD!$F:$F,$A142)</f>
        <v>Sedang</v>
      </c>
      <c r="H142" s="5" t="n">
        <v>4</v>
      </c>
      <c r="I142" s="5" t="n">
        <v>23</v>
      </c>
      <c r="J142" s="5" t="n">
        <v>5</v>
      </c>
      <c r="K142" s="5" t="n">
        <v>12</v>
      </c>
      <c r="L142" s="5" t="n">
        <v>0</v>
      </c>
      <c r="M142" s="5" t="s">
        <v>7</v>
      </c>
    </row>
    <row r="143" customFormat="false" ht="15" hidden="false" customHeight="false" outlineLevel="0" collapsed="false">
      <c r="A143" s="5" t="n">
        <f aca="false">RANDBETWEEN(2,164)</f>
        <v>34</v>
      </c>
      <c r="B143" s="5" t="n">
        <f aca="false" t="array" ref="B143:B143">INDEX(Data_DBD!$B:$B,$A143)</f>
        <v>55</v>
      </c>
      <c r="C143" s="5" t="n">
        <f aca="false" t="array" ref="C143:C143">INDEX(Data_DBD!$C:$C,$A143)</f>
        <v>3</v>
      </c>
      <c r="D143" s="5" t="n">
        <f aca="false" t="array" ref="D143:D143">INDEX(Data_DBD!$D:$D,$A143)</f>
        <v>14</v>
      </c>
      <c r="E143" s="5" t="n">
        <f aca="false" t="array" ref="E143:E143">INDEX(Data_DBD!$E:$E,$A143)</f>
        <v>0</v>
      </c>
      <c r="F143" s="5" t="str">
        <f aca="false" t="array" ref="F143:F143">INDEX(Data_DBD!$F:$F,$A143)</f>
        <v>Sedang</v>
      </c>
      <c r="H143" s="5" t="n">
        <v>78</v>
      </c>
      <c r="I143" s="5" t="n">
        <v>6</v>
      </c>
      <c r="J143" s="5" t="n">
        <v>3</v>
      </c>
      <c r="K143" s="5" t="n">
        <v>13</v>
      </c>
      <c r="L143" s="5" t="n">
        <v>0</v>
      </c>
      <c r="M143" s="5" t="s">
        <v>7</v>
      </c>
    </row>
    <row r="144" customFormat="false" ht="15" hidden="false" customHeight="false" outlineLevel="0" collapsed="false">
      <c r="A144" s="5" t="n">
        <f aca="false">RANDBETWEEN(2,164)</f>
        <v>139</v>
      </c>
      <c r="B144" s="5" t="n">
        <f aca="false" t="array" ref="B144:B144">INDEX(Data_DBD!$B:$B,$A144)</f>
        <v>52</v>
      </c>
      <c r="C144" s="5" t="n">
        <f aca="false" t="array" ref="C144:C144">INDEX(Data_DBD!$C:$C,$A144)</f>
        <v>7</v>
      </c>
      <c r="D144" s="5" t="n">
        <f aca="false" t="array" ref="D144:D144">INDEX(Data_DBD!$D:$D,$A144)</f>
        <v>21</v>
      </c>
      <c r="E144" s="5" t="n">
        <f aca="false" t="array" ref="E144:E144">INDEX(Data_DBD!$E:$E,$A144)</f>
        <v>0</v>
      </c>
      <c r="F144" s="5" t="str">
        <f aca="false" t="array" ref="F144:F144">INDEX(Data_DBD!$F:$F,$A144)</f>
        <v>Tinggi</v>
      </c>
      <c r="H144" s="5" t="n">
        <v>112</v>
      </c>
      <c r="I144" s="5" t="n">
        <v>61</v>
      </c>
      <c r="J144" s="5" t="n">
        <v>3</v>
      </c>
      <c r="K144" s="5" t="n">
        <v>33</v>
      </c>
      <c r="L144" s="5" t="n">
        <v>1</v>
      </c>
      <c r="M144" s="5" t="s">
        <v>115</v>
      </c>
    </row>
    <row r="145" customFormat="false" ht="15" hidden="false" customHeight="false" outlineLevel="0" collapsed="false">
      <c r="A145" s="5" t="n">
        <f aca="false">RANDBETWEEN(2,164)</f>
        <v>79</v>
      </c>
      <c r="B145" s="5" t="n">
        <f aca="false" t="array" ref="B145:B145">INDEX(Data_DBD!$B:$B,$A145)</f>
        <v>29</v>
      </c>
      <c r="C145" s="5" t="n">
        <f aca="false" t="array" ref="C145:C145">INDEX(Data_DBD!$C:$C,$A145)</f>
        <v>3</v>
      </c>
      <c r="D145" s="5" t="n">
        <f aca="false" t="array" ref="D145:D145">INDEX(Data_DBD!$D:$D,$A145)</f>
        <v>13</v>
      </c>
      <c r="E145" s="5" t="n">
        <f aca="false" t="array" ref="E145:E145">INDEX(Data_DBD!$E:$E,$A145)</f>
        <v>0</v>
      </c>
      <c r="F145" s="5" t="str">
        <f aca="false" t="array" ref="F145:F145">INDEX(Data_DBD!$F:$F,$A145)</f>
        <v>Sedang</v>
      </c>
      <c r="H145" s="5" t="n">
        <v>136</v>
      </c>
      <c r="I145" s="5" t="n">
        <v>6</v>
      </c>
      <c r="J145" s="5" t="n">
        <v>2</v>
      </c>
      <c r="K145" s="5" t="n">
        <v>33</v>
      </c>
      <c r="L145" s="5" t="n">
        <v>0</v>
      </c>
      <c r="M145" s="5" t="s">
        <v>115</v>
      </c>
    </row>
    <row r="146" customFormat="false" ht="15" hidden="false" customHeight="false" outlineLevel="0" collapsed="false">
      <c r="A146" s="5" t="n">
        <f aca="false">RANDBETWEEN(2,164)</f>
        <v>161</v>
      </c>
      <c r="B146" s="5" t="n">
        <f aca="false" t="array" ref="B146:B146">INDEX(Data_DBD!$B:$B,$A146)</f>
        <v>12</v>
      </c>
      <c r="C146" s="5" t="n">
        <f aca="false" t="array" ref="C146:C146">INDEX(Data_DBD!$C:$C,$A146)</f>
        <v>3</v>
      </c>
      <c r="D146" s="5" t="n">
        <f aca="false" t="array" ref="D146:D146">INDEX(Data_DBD!$D:$D,$A146)</f>
        <v>21</v>
      </c>
      <c r="E146" s="5" t="n">
        <f aca="false" t="array" ref="E146:E146">INDEX(Data_DBD!$E:$E,$A146)</f>
        <v>1</v>
      </c>
      <c r="F146" s="5" t="str">
        <f aca="false" t="array" ref="F146:F146">INDEX(Data_DBD!$F:$F,$A146)</f>
        <v>Tinggi</v>
      </c>
      <c r="H146" s="5" t="n">
        <v>84</v>
      </c>
      <c r="I146" s="5" t="n">
        <v>42</v>
      </c>
      <c r="J146" s="5" t="n">
        <v>4</v>
      </c>
      <c r="K146" s="5" t="n">
        <v>13</v>
      </c>
      <c r="L146" s="5" t="n">
        <v>1</v>
      </c>
      <c r="M146" s="5" t="s">
        <v>7</v>
      </c>
    </row>
    <row r="147" customFormat="false" ht="15" hidden="false" customHeight="false" outlineLevel="0" collapsed="false">
      <c r="A147" s="5" t="n">
        <f aca="false">RANDBETWEEN(2,164)</f>
        <v>144</v>
      </c>
      <c r="B147" s="5" t="n">
        <f aca="false" t="array" ref="B147:B147">INDEX(Data_DBD!$B:$B,$A147)</f>
        <v>61</v>
      </c>
      <c r="C147" s="5" t="n">
        <f aca="false" t="array" ref="C147:C147">INDEX(Data_DBD!$C:$C,$A147)</f>
        <v>4</v>
      </c>
      <c r="D147" s="5" t="n">
        <f aca="false" t="array" ref="D147:D147">INDEX(Data_DBD!$D:$D,$A147)</f>
        <v>21</v>
      </c>
      <c r="E147" s="5" t="n">
        <f aca="false" t="array" ref="E147:E147">INDEX(Data_DBD!$E:$E,$A147)</f>
        <v>1</v>
      </c>
      <c r="F147" s="5" t="str">
        <f aca="false" t="array" ref="F147:F147">INDEX(Data_DBD!$F:$F,$A147)</f>
        <v>Tinggi</v>
      </c>
      <c r="H147" s="5" t="n">
        <v>72</v>
      </c>
      <c r="I147" s="5" t="n">
        <v>3</v>
      </c>
      <c r="J147" s="5" t="n">
        <v>5</v>
      </c>
      <c r="K147" s="5" t="n">
        <v>10</v>
      </c>
      <c r="L147" s="5" t="n">
        <v>1</v>
      </c>
      <c r="M147" s="5" t="s">
        <v>20</v>
      </c>
    </row>
    <row r="148" customFormat="false" ht="15" hidden="false" customHeight="false" outlineLevel="0" collapsed="false">
      <c r="A148" s="5" t="n">
        <f aca="false">RANDBETWEEN(2,164)</f>
        <v>116</v>
      </c>
      <c r="B148" s="5" t="n">
        <f aca="false" t="array" ref="B148:B148">INDEX(Data_DBD!$B:$B,$A148)</f>
        <v>32</v>
      </c>
      <c r="C148" s="5" t="n">
        <f aca="false" t="array" ref="C148:C148">INDEX(Data_DBD!$C:$C,$A148)</f>
        <v>4</v>
      </c>
      <c r="D148" s="5" t="n">
        <f aca="false" t="array" ref="D148:D148">INDEX(Data_DBD!$D:$D,$A148)</f>
        <v>33</v>
      </c>
      <c r="E148" s="5" t="n">
        <f aca="false" t="array" ref="E148:E148">INDEX(Data_DBD!$E:$E,$A148)</f>
        <v>1</v>
      </c>
      <c r="F148" s="5" t="str">
        <f aca="false" t="array" ref="F148:F148">INDEX(Data_DBD!$F:$F,$A148)</f>
        <v>Tinggi</v>
      </c>
      <c r="H148" s="5" t="n">
        <v>85</v>
      </c>
      <c r="I148" s="5" t="n">
        <v>27</v>
      </c>
      <c r="J148" s="5" t="n">
        <v>9</v>
      </c>
      <c r="K148" s="5" t="n">
        <v>13</v>
      </c>
      <c r="L148" s="5" t="n">
        <v>0</v>
      </c>
      <c r="M148" s="5" t="s">
        <v>7</v>
      </c>
    </row>
    <row r="149" customFormat="false" ht="15" hidden="false" customHeight="false" outlineLevel="0" collapsed="false">
      <c r="A149" s="5" t="n">
        <f aca="false">RANDBETWEEN(2,164)</f>
        <v>117</v>
      </c>
      <c r="B149" s="5" t="n">
        <f aca="false" t="array" ref="B149:B149">INDEX(Data_DBD!$B:$B,$A149)</f>
        <v>49</v>
      </c>
      <c r="C149" s="5" t="n">
        <f aca="false" t="array" ref="C149:C149">INDEX(Data_DBD!$C:$C,$A149)</f>
        <v>4</v>
      </c>
      <c r="D149" s="5" t="n">
        <f aca="false" t="array" ref="D149:D149">INDEX(Data_DBD!$D:$D,$A149)</f>
        <v>33</v>
      </c>
      <c r="E149" s="5" t="n">
        <f aca="false" t="array" ref="E149:E149">INDEX(Data_DBD!$E:$E,$A149)</f>
        <v>1</v>
      </c>
      <c r="F149" s="5" t="str">
        <f aca="false" t="array" ref="F149:F149">INDEX(Data_DBD!$F:$F,$A149)</f>
        <v>Tinggi</v>
      </c>
      <c r="H149" s="5" t="n">
        <v>5</v>
      </c>
      <c r="I149" s="5" t="n">
        <v>18</v>
      </c>
      <c r="J149" s="5" t="n">
        <v>2</v>
      </c>
      <c r="K149" s="5" t="n">
        <v>12</v>
      </c>
      <c r="L149" s="5" t="n">
        <v>1</v>
      </c>
      <c r="M149" s="5" t="s">
        <v>7</v>
      </c>
    </row>
    <row r="150" customFormat="false" ht="15" hidden="false" customHeight="false" outlineLevel="0" collapsed="false">
      <c r="A150" s="5" t="n">
        <f aca="false">RANDBETWEEN(2,164)</f>
        <v>49</v>
      </c>
      <c r="B150" s="5" t="n">
        <f aca="false" t="array" ref="B150:B150">INDEX(Data_DBD!$B:$B,$A150)</f>
        <v>64</v>
      </c>
      <c r="C150" s="5" t="n">
        <f aca="false" t="array" ref="C150:C150">INDEX(Data_DBD!$C:$C,$A150)</f>
        <v>5</v>
      </c>
      <c r="D150" s="5" t="n">
        <f aca="false" t="array" ref="D150:D150">INDEX(Data_DBD!$D:$D,$A150)</f>
        <v>13</v>
      </c>
      <c r="E150" s="5" t="n">
        <f aca="false" t="array" ref="E150:E150">INDEX(Data_DBD!$E:$E,$A150)</f>
        <v>0</v>
      </c>
      <c r="F150" s="5" t="str">
        <f aca="false" t="array" ref="F150:F150">INDEX(Data_DBD!$F:$F,$A150)</f>
        <v>Sedang</v>
      </c>
      <c r="H150" s="5" t="n">
        <v>88</v>
      </c>
      <c r="I150" s="5" t="n">
        <v>20</v>
      </c>
      <c r="J150" s="5" t="n">
        <v>4</v>
      </c>
      <c r="K150" s="5" t="n">
        <v>13</v>
      </c>
      <c r="L150" s="5" t="n">
        <v>1</v>
      </c>
      <c r="M150" s="5" t="s">
        <v>7</v>
      </c>
    </row>
    <row r="151" customFormat="false" ht="15" hidden="false" customHeight="false" outlineLevel="0" collapsed="false">
      <c r="A151" s="5" t="n">
        <f aca="false">RANDBETWEEN(2,164)</f>
        <v>36</v>
      </c>
      <c r="B151" s="5" t="n">
        <f aca="false" t="array" ref="B151:B151">INDEX(Data_DBD!$B:$B,$A151)</f>
        <v>27</v>
      </c>
      <c r="C151" s="5" t="n">
        <f aca="false" t="array" ref="C151:C151">INDEX(Data_DBD!$C:$C,$A151)</f>
        <v>1</v>
      </c>
      <c r="D151" s="5" t="n">
        <f aca="false" t="array" ref="D151:D151">INDEX(Data_DBD!$D:$D,$A151)</f>
        <v>4</v>
      </c>
      <c r="E151" s="5" t="n">
        <f aca="false" t="array" ref="E151:E151">INDEX(Data_DBD!$E:$E,$A151)</f>
        <v>1</v>
      </c>
      <c r="F151" s="5" t="str">
        <f aca="false" t="array" ref="F151:F151">INDEX(Data_DBD!$F:$F,$A151)</f>
        <v>Rendah</v>
      </c>
      <c r="H151" s="5" t="n">
        <v>88</v>
      </c>
      <c r="I151" s="5" t="n">
        <v>20</v>
      </c>
      <c r="J151" s="5" t="n">
        <v>4</v>
      </c>
      <c r="K151" s="5" t="n">
        <v>13</v>
      </c>
      <c r="L151" s="5" t="n">
        <v>1</v>
      </c>
      <c r="M151" s="5" t="s">
        <v>7</v>
      </c>
    </row>
    <row r="152" customFormat="false" ht="15" hidden="false" customHeight="false" outlineLevel="0" collapsed="false">
      <c r="A152" s="5" t="n">
        <f aca="false">RANDBETWEEN(2,164)</f>
        <v>34</v>
      </c>
      <c r="B152" s="5" t="n">
        <f aca="false" t="array" ref="B152:B152">INDEX(Data_DBD!$B:$B,$A152)</f>
        <v>55</v>
      </c>
      <c r="C152" s="5" t="n">
        <f aca="false" t="array" ref="C152:C152">INDEX(Data_DBD!$C:$C,$A152)</f>
        <v>3</v>
      </c>
      <c r="D152" s="5" t="n">
        <f aca="false" t="array" ref="D152:D152">INDEX(Data_DBD!$D:$D,$A152)</f>
        <v>14</v>
      </c>
      <c r="E152" s="5" t="n">
        <f aca="false" t="array" ref="E152:E152">INDEX(Data_DBD!$E:$E,$A152)</f>
        <v>0</v>
      </c>
      <c r="F152" s="5" t="str">
        <f aca="false" t="array" ref="F152:F152">INDEX(Data_DBD!$F:$F,$A152)</f>
        <v>Sedang</v>
      </c>
      <c r="H152" s="5" t="n">
        <v>126</v>
      </c>
      <c r="I152" s="5" t="n">
        <v>51</v>
      </c>
      <c r="J152" s="5" t="n">
        <v>3</v>
      </c>
      <c r="K152" s="5" t="n">
        <v>33</v>
      </c>
      <c r="L152" s="5" t="n">
        <v>1</v>
      </c>
      <c r="M152" s="5" t="s">
        <v>115</v>
      </c>
    </row>
    <row r="153" customFormat="false" ht="15" hidden="false" customHeight="false" outlineLevel="0" collapsed="false">
      <c r="A153" s="5" t="n">
        <f aca="false">RANDBETWEEN(2,164)</f>
        <v>112</v>
      </c>
      <c r="B153" s="5" t="n">
        <f aca="false" t="array" ref="B153:B153">INDEX(Data_DBD!$B:$B,$A153)</f>
        <v>61</v>
      </c>
      <c r="C153" s="5" t="n">
        <f aca="false" t="array" ref="C153:C153">INDEX(Data_DBD!$C:$C,$A153)</f>
        <v>3</v>
      </c>
      <c r="D153" s="5" t="n">
        <f aca="false" t="array" ref="D153:D153">INDEX(Data_DBD!$D:$D,$A153)</f>
        <v>33</v>
      </c>
      <c r="E153" s="5" t="n">
        <f aca="false" t="array" ref="E153:E153">INDEX(Data_DBD!$E:$E,$A153)</f>
        <v>1</v>
      </c>
      <c r="F153" s="5" t="str">
        <f aca="false" t="array" ref="F153:F153">INDEX(Data_DBD!$F:$F,$A153)</f>
        <v>Tinggi</v>
      </c>
      <c r="H153" s="5" t="n">
        <v>44</v>
      </c>
      <c r="I153" s="5" t="n">
        <v>28</v>
      </c>
      <c r="J153" s="5" t="n">
        <v>5</v>
      </c>
      <c r="K153" s="5" t="n">
        <v>13</v>
      </c>
      <c r="L153" s="5" t="n">
        <v>1</v>
      </c>
      <c r="M153" s="5" t="s">
        <v>7</v>
      </c>
    </row>
    <row r="154" customFormat="false" ht="15" hidden="false" customHeight="false" outlineLevel="0" collapsed="false">
      <c r="A154" s="5" t="n">
        <f aca="false">RANDBETWEEN(2,164)</f>
        <v>2</v>
      </c>
      <c r="B154" s="5" t="n">
        <f aca="false" t="array" ref="B154:B154">INDEX(Data_DBD!$B:$B,$A154)</f>
        <v>34</v>
      </c>
      <c r="C154" s="5" t="n">
        <f aca="false" t="array" ref="C154:C154">INDEX(Data_DBD!$C:$C,$A154)</f>
        <v>3</v>
      </c>
      <c r="D154" s="5" t="n">
        <f aca="false" t="array" ref="D154:D154">INDEX(Data_DBD!$D:$D,$A154)</f>
        <v>12</v>
      </c>
      <c r="E154" s="5" t="n">
        <f aca="false" t="array" ref="E154:E154">INDEX(Data_DBD!$E:$E,$A154)</f>
        <v>0</v>
      </c>
      <c r="F154" s="5" t="str">
        <f aca="false" t="array" ref="F154:F154">INDEX(Data_DBD!$F:$F,$A154)</f>
        <v>Sedang</v>
      </c>
      <c r="H154" s="5" t="n">
        <v>126</v>
      </c>
      <c r="I154" s="5" t="n">
        <v>51</v>
      </c>
      <c r="J154" s="5" t="n">
        <v>3</v>
      </c>
      <c r="K154" s="5" t="n">
        <v>33</v>
      </c>
      <c r="L154" s="5" t="n">
        <v>1</v>
      </c>
      <c r="M154" s="5" t="s">
        <v>115</v>
      </c>
    </row>
    <row r="155" customFormat="false" ht="15" hidden="false" customHeight="false" outlineLevel="0" collapsed="false">
      <c r="A155" s="5" t="n">
        <f aca="false">RANDBETWEEN(2,164)</f>
        <v>96</v>
      </c>
      <c r="B155" s="5" t="n">
        <f aca="false" t="array" ref="B155:B155">INDEX(Data_DBD!$B:$B,$A155)</f>
        <v>56</v>
      </c>
      <c r="C155" s="5" t="n">
        <f aca="false" t="array" ref="C155:C155">INDEX(Data_DBD!$C:$C,$A155)</f>
        <v>4</v>
      </c>
      <c r="D155" s="5" t="n">
        <f aca="false" t="array" ref="D155:D155">INDEX(Data_DBD!$D:$D,$A155)</f>
        <v>18</v>
      </c>
      <c r="E155" s="5" t="n">
        <f aca="false" t="array" ref="E155:E155">INDEX(Data_DBD!$E:$E,$A155)</f>
        <v>0</v>
      </c>
      <c r="F155" s="5" t="str">
        <f aca="false" t="array" ref="F155:F155">INDEX(Data_DBD!$F:$F,$A155)</f>
        <v>Sedang</v>
      </c>
      <c r="H155" s="5" t="n">
        <v>84</v>
      </c>
      <c r="I155" s="5" t="n">
        <v>42</v>
      </c>
      <c r="J155" s="5" t="n">
        <v>4</v>
      </c>
      <c r="K155" s="5" t="n">
        <v>13</v>
      </c>
      <c r="L155" s="5" t="n">
        <v>1</v>
      </c>
      <c r="M155" s="5" t="s">
        <v>7</v>
      </c>
    </row>
    <row r="156" customFormat="false" ht="15" hidden="false" customHeight="false" outlineLevel="0" collapsed="false">
      <c r="A156" s="5" t="n">
        <f aca="false">RANDBETWEEN(2,164)</f>
        <v>151</v>
      </c>
      <c r="B156" s="5" t="n">
        <f aca="false" t="array" ref="B156:B156">INDEX(Data_DBD!$B:$B,$A156)</f>
        <v>24</v>
      </c>
      <c r="C156" s="5" t="n">
        <f aca="false" t="array" ref="C156:C156">INDEX(Data_DBD!$C:$C,$A156)</f>
        <v>3</v>
      </c>
      <c r="D156" s="5" t="n">
        <f aca="false" t="array" ref="D156:D156">INDEX(Data_DBD!$D:$D,$A156)</f>
        <v>21</v>
      </c>
      <c r="E156" s="5" t="n">
        <f aca="false" t="array" ref="E156:E156">INDEX(Data_DBD!$E:$E,$A156)</f>
        <v>0</v>
      </c>
      <c r="F156" s="5" t="str">
        <f aca="false" t="array" ref="F156:F156">INDEX(Data_DBD!$F:$F,$A156)</f>
        <v>Tinggi</v>
      </c>
      <c r="H156" s="5" t="n">
        <v>60</v>
      </c>
      <c r="I156" s="5" t="n">
        <v>68</v>
      </c>
      <c r="J156" s="5" t="n">
        <v>4</v>
      </c>
      <c r="K156" s="5" t="n">
        <v>15</v>
      </c>
      <c r="L156" s="5" t="n">
        <v>0</v>
      </c>
      <c r="M156" s="5" t="s">
        <v>7</v>
      </c>
    </row>
    <row r="157" customFormat="false" ht="15" hidden="false" customHeight="false" outlineLevel="0" collapsed="false">
      <c r="A157" s="5" t="n">
        <f aca="false">RANDBETWEEN(2,164)</f>
        <v>144</v>
      </c>
      <c r="B157" s="5" t="n">
        <f aca="false" t="array" ref="B157:B157">INDEX(Data_DBD!$B:$B,$A157)</f>
        <v>61</v>
      </c>
      <c r="C157" s="5" t="n">
        <f aca="false" t="array" ref="C157:C157">INDEX(Data_DBD!$C:$C,$A157)</f>
        <v>4</v>
      </c>
      <c r="D157" s="5" t="n">
        <f aca="false" t="array" ref="D157:D157">INDEX(Data_DBD!$D:$D,$A157)</f>
        <v>21</v>
      </c>
      <c r="E157" s="5" t="n">
        <f aca="false" t="array" ref="E157:E157">INDEX(Data_DBD!$E:$E,$A157)</f>
        <v>1</v>
      </c>
      <c r="F157" s="5" t="str">
        <f aca="false" t="array" ref="F157:F157">INDEX(Data_DBD!$F:$F,$A157)</f>
        <v>Tinggi</v>
      </c>
      <c r="H157" s="5" t="n">
        <v>89</v>
      </c>
      <c r="I157" s="5" t="n">
        <v>32</v>
      </c>
      <c r="J157" s="5" t="n">
        <v>4</v>
      </c>
      <c r="K157" s="5" t="n">
        <v>13</v>
      </c>
      <c r="L157" s="5" t="n">
        <v>0</v>
      </c>
      <c r="M157" s="5" t="s">
        <v>7</v>
      </c>
    </row>
    <row r="158" customFormat="false" ht="15" hidden="false" customHeight="false" outlineLevel="0" collapsed="false">
      <c r="A158" s="5" t="n">
        <f aca="false">RANDBETWEEN(2,164)</f>
        <v>105</v>
      </c>
      <c r="B158" s="5" t="n">
        <f aca="false" t="array" ref="B158:B158">INDEX(Data_DBD!$B:$B,$A158)</f>
        <v>61</v>
      </c>
      <c r="C158" s="5" t="n">
        <f aca="false" t="array" ref="C158:C158">INDEX(Data_DBD!$C:$C,$A158)</f>
        <v>3</v>
      </c>
      <c r="D158" s="5" t="n">
        <f aca="false" t="array" ref="D158:D158">INDEX(Data_DBD!$D:$D,$A158)</f>
        <v>18</v>
      </c>
      <c r="E158" s="5" t="n">
        <f aca="false" t="array" ref="E158:E158">INDEX(Data_DBD!$E:$E,$A158)</f>
        <v>1</v>
      </c>
      <c r="F158" s="5" t="str">
        <f aca="false" t="array" ref="F158:F158">INDEX(Data_DBD!$F:$F,$A158)</f>
        <v>Sedang</v>
      </c>
      <c r="H158" s="5" t="n">
        <v>60</v>
      </c>
      <c r="I158" s="5" t="n">
        <v>68</v>
      </c>
      <c r="J158" s="5" t="n">
        <v>4</v>
      </c>
      <c r="K158" s="5" t="n">
        <v>15</v>
      </c>
      <c r="L158" s="5" t="n">
        <v>0</v>
      </c>
      <c r="M158" s="5" t="s">
        <v>7</v>
      </c>
    </row>
    <row r="159" customFormat="false" ht="15" hidden="false" customHeight="false" outlineLevel="0" collapsed="false">
      <c r="A159" s="5" t="n">
        <f aca="false">RANDBETWEEN(2,164)</f>
        <v>33</v>
      </c>
      <c r="B159" s="5" t="n">
        <f aca="false" t="array" ref="B159:B159">INDEX(Data_DBD!$B:$B,$A159)</f>
        <v>19</v>
      </c>
      <c r="C159" s="5" t="n">
        <f aca="false" t="array" ref="C159:C159">INDEX(Data_DBD!$C:$C,$A159)</f>
        <v>4</v>
      </c>
      <c r="D159" s="5" t="n">
        <f aca="false" t="array" ref="D159:D159">INDEX(Data_DBD!$D:$D,$A159)</f>
        <v>14</v>
      </c>
      <c r="E159" s="5" t="n">
        <f aca="false" t="array" ref="E159:E159">INDEX(Data_DBD!$E:$E,$A159)</f>
        <v>1</v>
      </c>
      <c r="F159" s="5" t="str">
        <f aca="false" t="array" ref="F159:F159">INDEX(Data_DBD!$F:$F,$A159)</f>
        <v>Sedang</v>
      </c>
      <c r="H159" s="5" t="n">
        <v>153</v>
      </c>
      <c r="I159" s="5" t="n">
        <v>73</v>
      </c>
      <c r="J159" s="5" t="n">
        <v>7</v>
      </c>
      <c r="K159" s="5" t="n">
        <v>21</v>
      </c>
      <c r="L159" s="5" t="n">
        <v>1</v>
      </c>
      <c r="M159" s="5" t="s">
        <v>115</v>
      </c>
    </row>
    <row r="160" customFormat="false" ht="15" hidden="false" customHeight="false" outlineLevel="0" collapsed="false">
      <c r="A160" s="5" t="n">
        <f aca="false">RANDBETWEEN(2,164)</f>
        <v>150</v>
      </c>
      <c r="B160" s="5" t="n">
        <f aca="false" t="array" ref="B160:B160">INDEX(Data_DBD!$B:$B,$A160)</f>
        <v>61</v>
      </c>
      <c r="C160" s="5" t="n">
        <f aca="false" t="array" ref="C160:C160">INDEX(Data_DBD!$C:$C,$A160)</f>
        <v>5</v>
      </c>
      <c r="D160" s="5" t="n">
        <f aca="false" t="array" ref="D160:D160">INDEX(Data_DBD!$D:$D,$A160)</f>
        <v>21</v>
      </c>
      <c r="E160" s="5" t="n">
        <f aca="false" t="array" ref="E160:E160">INDEX(Data_DBD!$E:$E,$A160)</f>
        <v>1</v>
      </c>
      <c r="F160" s="5" t="str">
        <f aca="false" t="array" ref="F160:F160">INDEX(Data_DBD!$F:$F,$A160)</f>
        <v>Tinggi</v>
      </c>
      <c r="H160" s="5" t="n">
        <v>122</v>
      </c>
      <c r="I160" s="5" t="n">
        <v>28</v>
      </c>
      <c r="J160" s="5" t="n">
        <v>3</v>
      </c>
      <c r="K160" s="5" t="n">
        <v>33</v>
      </c>
      <c r="L160" s="5" t="n">
        <v>1</v>
      </c>
      <c r="M160" s="5" t="s">
        <v>115</v>
      </c>
    </row>
    <row r="161" customFormat="false" ht="15" hidden="false" customHeight="false" outlineLevel="0" collapsed="false">
      <c r="A161" s="5" t="n">
        <f aca="false">RANDBETWEEN(2,164)</f>
        <v>149</v>
      </c>
      <c r="B161" s="5" t="n">
        <f aca="false" t="array" ref="B161:B161">INDEX(Data_DBD!$B:$B,$A161)</f>
        <v>19</v>
      </c>
      <c r="C161" s="5" t="n">
        <f aca="false" t="array" ref="C161:C161">INDEX(Data_DBD!$C:$C,$A161)</f>
        <v>5</v>
      </c>
      <c r="D161" s="5" t="n">
        <f aca="false" t="array" ref="D161:D161">INDEX(Data_DBD!$D:$D,$A161)</f>
        <v>21</v>
      </c>
      <c r="E161" s="5" t="n">
        <f aca="false" t="array" ref="E161:E161">INDEX(Data_DBD!$E:$E,$A161)</f>
        <v>0</v>
      </c>
      <c r="F161" s="5" t="str">
        <f aca="false" t="array" ref="F161:F161">INDEX(Data_DBD!$F:$F,$A161)</f>
        <v>Tinggi</v>
      </c>
      <c r="H161" s="5" t="n">
        <v>34</v>
      </c>
      <c r="I161" s="5" t="n">
        <v>55</v>
      </c>
      <c r="J161" s="5" t="n">
        <v>3</v>
      </c>
      <c r="K161" s="5" t="n">
        <v>14</v>
      </c>
      <c r="L161" s="5" t="n">
        <v>0</v>
      </c>
      <c r="M161" s="5" t="s">
        <v>7</v>
      </c>
    </row>
    <row r="162" customFormat="false" ht="15" hidden="false" customHeight="false" outlineLevel="0" collapsed="false">
      <c r="A162" s="5" t="n">
        <f aca="false">RANDBETWEEN(2,164)</f>
        <v>66</v>
      </c>
      <c r="B162" s="5" t="n">
        <f aca="false" t="array" ref="B162:B162">INDEX(Data_DBD!$B:$B,$A162)</f>
        <v>21</v>
      </c>
      <c r="C162" s="5" t="n">
        <f aca="false" t="array" ref="C162:C162">INDEX(Data_DBD!$C:$C,$A162)</f>
        <v>5</v>
      </c>
      <c r="D162" s="5" t="n">
        <f aca="false" t="array" ref="D162:D162">INDEX(Data_DBD!$D:$D,$A162)</f>
        <v>15</v>
      </c>
      <c r="E162" s="5" t="n">
        <f aca="false" t="array" ref="E162:E162">INDEX(Data_DBD!$E:$E,$A162)</f>
        <v>1</v>
      </c>
      <c r="F162" s="5" t="str">
        <f aca="false" t="array" ref="F162:F162">INDEX(Data_DBD!$F:$F,$A162)</f>
        <v>Sedang</v>
      </c>
      <c r="H162" s="5" t="n">
        <v>127</v>
      </c>
      <c r="I162" s="5" t="n">
        <v>21</v>
      </c>
      <c r="J162" s="5" t="n">
        <v>2</v>
      </c>
      <c r="K162" s="5" t="n">
        <v>33</v>
      </c>
      <c r="L162" s="5" t="n">
        <v>0</v>
      </c>
      <c r="M162" s="5" t="s">
        <v>115</v>
      </c>
    </row>
    <row r="163" customFormat="false" ht="15" hidden="false" customHeight="false" outlineLevel="0" collapsed="false">
      <c r="A163" s="5" t="n">
        <f aca="false">RANDBETWEEN(2,164)</f>
        <v>96</v>
      </c>
      <c r="B163" s="5" t="n">
        <f aca="false" t="array" ref="B163:B163">INDEX(Data_DBD!$B:$B,$A163)</f>
        <v>56</v>
      </c>
      <c r="C163" s="5" t="n">
        <f aca="false" t="array" ref="C163:C163">INDEX(Data_DBD!$C:$C,$A163)</f>
        <v>4</v>
      </c>
      <c r="D163" s="5" t="n">
        <f aca="false" t="array" ref="D163:D163">INDEX(Data_DBD!$D:$D,$A163)</f>
        <v>18</v>
      </c>
      <c r="E163" s="5" t="n">
        <f aca="false" t="array" ref="E163:E163">INDEX(Data_DBD!$E:$E,$A163)</f>
        <v>0</v>
      </c>
      <c r="F163" s="5" t="str">
        <f aca="false" t="array" ref="F163:F163">INDEX(Data_DBD!$F:$F,$A163)</f>
        <v>Sedang</v>
      </c>
      <c r="H163" s="5" t="n">
        <v>51</v>
      </c>
      <c r="I163" s="5" t="n">
        <v>48</v>
      </c>
      <c r="J163" s="5" t="n">
        <v>4</v>
      </c>
      <c r="K163" s="5" t="n">
        <v>13</v>
      </c>
      <c r="L163" s="5" t="n">
        <v>0</v>
      </c>
      <c r="M163" s="5" t="s">
        <v>7</v>
      </c>
    </row>
    <row r="164" customFormat="false" ht="15" hidden="false" customHeight="false" outlineLevel="0" collapsed="false">
      <c r="A164" s="5" t="n">
        <f aca="false">RANDBETWEEN(2,164)</f>
        <v>66</v>
      </c>
      <c r="B164" s="5" t="n">
        <f aca="false" t="array" ref="B164:B164">INDEX(Data_DBD!$B:$B,$A164)</f>
        <v>21</v>
      </c>
      <c r="C164" s="5" t="n">
        <f aca="false" t="array" ref="C164:C164">INDEX(Data_DBD!$C:$C,$A164)</f>
        <v>5</v>
      </c>
      <c r="D164" s="5" t="n">
        <f aca="false" t="array" ref="D164:D164">INDEX(Data_DBD!$D:$D,$A164)</f>
        <v>15</v>
      </c>
      <c r="E164" s="5" t="n">
        <f aca="false" t="array" ref="E164:E164">INDEX(Data_DBD!$E:$E,$A164)</f>
        <v>1</v>
      </c>
      <c r="F164" s="5" t="str">
        <f aca="false" t="array" ref="F164:F164">INDEX(Data_DBD!$F:$F,$A164)</f>
        <v>Sedang</v>
      </c>
      <c r="H164" s="5" t="n">
        <v>57</v>
      </c>
      <c r="I164" s="5" t="n">
        <v>2</v>
      </c>
      <c r="J164" s="5" t="n">
        <v>2</v>
      </c>
      <c r="K164" s="5" t="n">
        <v>15</v>
      </c>
      <c r="L164" s="5" t="n">
        <v>1</v>
      </c>
      <c r="M164" s="5" t="s">
        <v>7</v>
      </c>
    </row>
    <row r="165" customFormat="false" ht="15" hidden="false" customHeight="false" outlineLevel="0" collapsed="false">
      <c r="I165" s="0" t="n">
        <f aca="false">AVERAGE(I2:I164)</f>
        <v>32.159509202454</v>
      </c>
      <c r="J165" s="0" t="n">
        <f aca="false">AVERAGE(J2:J164)</f>
        <v>3.66257668711656</v>
      </c>
      <c r="K165" s="0" t="n">
        <f aca="false">AVERAGE(K2:K164)</f>
        <v>18.4110429447853</v>
      </c>
      <c r="L165" s="0" t="n">
        <f aca="false">AVERAGE(L2:L164)</f>
        <v>0.582822085889571</v>
      </c>
    </row>
    <row r="167" customFormat="false" ht="15" hidden="false" customHeight="false" outlineLevel="0" collapsed="false">
      <c r="B167" s="0" t="n">
        <v>18</v>
      </c>
    </row>
    <row r="168" customFormat="false" ht="15" hidden="false" customHeight="false" outlineLevel="0" collapsed="false">
      <c r="E168" s="11" t="s">
        <v>185</v>
      </c>
      <c r="J168" s="11" t="s">
        <v>186</v>
      </c>
      <c r="O168" s="11" t="s">
        <v>187</v>
      </c>
      <c r="T168" s="11" t="s">
        <v>188</v>
      </c>
    </row>
    <row r="169" customFormat="false" ht="15" hidden="false" customHeight="false" outlineLevel="0" collapsed="false">
      <c r="E169" s="5" t="s">
        <v>1</v>
      </c>
      <c r="F169" s="5" t="n">
        <f aca="false">AVERAGEIF($I$2:$I$164,"&lt;="&amp;$I$165)</f>
        <v>17.1530612244898</v>
      </c>
      <c r="G169" s="5" t="n">
        <f aca="false">AVERAGEIF($I$2:$I$164,"&gt;"&amp;$I$165)</f>
        <v>54.7846153846154</v>
      </c>
      <c r="J169" s="5" t="s">
        <v>189</v>
      </c>
      <c r="K169" s="5" t="n">
        <f aca="false">AVERAGEIF($J$2:$J$164,"&lt;="&amp;$J$165)</f>
        <v>2.48051948051948</v>
      </c>
      <c r="L169" s="5" t="n">
        <f aca="false">AVERAGEIF($J$2:$J$164,"&gt;"&amp;$J$165)</f>
        <v>4.72093023255814</v>
      </c>
      <c r="O169" s="5" t="s">
        <v>190</v>
      </c>
      <c r="P169" s="5" t="n">
        <f aca="false">AVERAGEIF($K$2:$K$164,"&lt;="&amp;$K$165)</f>
        <v>12.6037735849057</v>
      </c>
      <c r="Q169" s="5" t="n">
        <f aca="false">AVERAGEIF($K$2:$K$164,"&gt;"&amp;$K$165)</f>
        <v>29.2105263157895</v>
      </c>
      <c r="T169" s="5" t="s">
        <v>191</v>
      </c>
      <c r="U169" s="5" t="n">
        <f aca="false">AVERAGEIF($L$2:$L$164,"&lt;="&amp;$L$165)</f>
        <v>0</v>
      </c>
      <c r="V169" s="5" t="n">
        <f aca="false">AVERAGEIF($L$2:$L$164,"&gt;"&amp;$L$165)</f>
        <v>1</v>
      </c>
    </row>
    <row r="170" customFormat="false" ht="15" hidden="false" customHeight="false" outlineLevel="0" collapsed="false">
      <c r="E170" s="5" t="str">
        <f aca="false" t="array" ref="E170:E332">IF($I$2:$I$164&lt;$F$169,"kiri",IF($I$2:$I$164&lt;$G$169,"tengah","kanan"))</f>
        <v>tengah</v>
      </c>
      <c r="F170" s="5" t="s">
        <v>232</v>
      </c>
      <c r="G170" s="5"/>
      <c r="J170" s="5" t="str">
        <f aca="false" t="array" ref="J170:J332">IF($J$2:$J$164&lt;$K$169,"kiri",IF($J$2:$J$164&lt;$L$169,"tengah","kanan"))</f>
        <v>tengah</v>
      </c>
      <c r="K170" s="5" t="s">
        <v>233</v>
      </c>
      <c r="L170" s="5"/>
      <c r="O170" s="5" t="str">
        <f aca="false" t="array" ref="O170:O332">IF($K$2:$K$164&lt;$P$169,"kiri",IF($K$2:$K$164&lt;$Q$169,"tengah","kanan"))</f>
        <v>kiri</v>
      </c>
      <c r="P170" s="5" t="s">
        <v>234</v>
      </c>
      <c r="Q170" s="5"/>
      <c r="T170" s="5" t="str">
        <f aca="false" t="array" ref="T170:T332">IF($L$2:$L$164&lt;$U$169,"kiri",IF($L$2:$L$164&lt;$V$169,"tengah","kanan"))</f>
        <v>kanan</v>
      </c>
      <c r="U170" s="5" t="s">
        <v>195</v>
      </c>
      <c r="V170" s="5"/>
    </row>
    <row r="171" customFormat="false" ht="15" hidden="false" customHeight="false" outlineLevel="0" collapsed="false">
      <c r="E171" s="5" t="str">
        <v>tengah</v>
      </c>
      <c r="F171" s="5" t="n">
        <f aca="false">COUNTIFS($E$170:$E$332,"Kanan",$M$2:$M$164,"Tinggi")</f>
        <v>13</v>
      </c>
      <c r="G171" s="5" t="n">
        <f aca="false">F171/34</f>
        <v>0.382352941176471</v>
      </c>
      <c r="J171" s="5" t="str">
        <v>kiri</v>
      </c>
      <c r="K171" s="5" t="n">
        <f aca="false">COUNTIFS($J$170:$J$332,"Kanan",$M$2:$M$164,"Tinggi")</f>
        <v>10</v>
      </c>
      <c r="L171" s="5" t="n">
        <f aca="false">K171/33</f>
        <v>0.303030303030303</v>
      </c>
      <c r="O171" s="5" t="str">
        <v>kanan</v>
      </c>
      <c r="P171" s="5" t="n">
        <f aca="false">COUNTIFS($O$170:$O$332,"Kanan",$M$2:$M$164,"Tinggi")</f>
        <v>39</v>
      </c>
      <c r="Q171" s="5" t="n">
        <f aca="false">P171/39</f>
        <v>1</v>
      </c>
      <c r="T171" s="5" t="str">
        <v>tengah</v>
      </c>
      <c r="U171" s="5" t="n">
        <f aca="false">COUNTIFS($T$170:$T$332,"Kanan",$M$2:$M$164,"Tinggi")</f>
        <v>37</v>
      </c>
      <c r="V171" s="5" t="n">
        <f aca="false">U171/95</f>
        <v>0.389473684210526</v>
      </c>
    </row>
    <row r="172" customFormat="false" ht="15" hidden="false" customHeight="false" outlineLevel="0" collapsed="false">
      <c r="E172" s="5" t="str">
        <v>tengah</v>
      </c>
      <c r="F172" s="5" t="n">
        <f aca="false">COUNTIFS($E$170:$E$332,"Kanan",$M$2:$M$164,"Sedang")</f>
        <v>21</v>
      </c>
      <c r="G172" s="5" t="n">
        <f aca="false">F172/34</f>
        <v>0.617647058823529</v>
      </c>
      <c r="J172" s="5" t="str">
        <v>tengah</v>
      </c>
      <c r="K172" s="5" t="n">
        <f aca="false">COUNTIFS($J$170:$J$332,"Kanan",$M$2:$M$164,"Sedang")</f>
        <v>16</v>
      </c>
      <c r="L172" s="5" t="n">
        <f aca="false">K172/33</f>
        <v>0.484848484848485</v>
      </c>
      <c r="O172" s="5" t="str">
        <v>tengah</v>
      </c>
      <c r="P172" s="5" t="n">
        <f aca="false">COUNTIFS($O$170:$O$332,"Kanan",$M$2:$M$164,"Sedang")</f>
        <v>0</v>
      </c>
      <c r="Q172" s="5" t="n">
        <f aca="false">P172/39</f>
        <v>0</v>
      </c>
      <c r="T172" s="5" t="str">
        <v>kanan</v>
      </c>
      <c r="U172" s="5" t="n">
        <f aca="false">COUNTIFS($T$170:$T$332,"Kanan",$M$2:$M$164,"Sedang")</f>
        <v>42</v>
      </c>
      <c r="V172" s="5" t="n">
        <f aca="false">U172/95</f>
        <v>0.442105263157895</v>
      </c>
    </row>
    <row r="173" customFormat="false" ht="15" hidden="false" customHeight="false" outlineLevel="0" collapsed="false">
      <c r="E173" s="5" t="str">
        <v>kiri</v>
      </c>
      <c r="F173" s="5" t="n">
        <f aca="false">COUNTIFS($E$170:$E$332,"Kanan",$M$2:$M$164,"Rendah")</f>
        <v>0</v>
      </c>
      <c r="G173" s="5" t="n">
        <f aca="false">F173/34</f>
        <v>0</v>
      </c>
      <c r="J173" s="5" t="str">
        <v>kiri</v>
      </c>
      <c r="K173" s="5" t="n">
        <f aca="false">COUNTIFS($J$170:$J$332,"Kanan",$M$2:$M$164,"Rendah")</f>
        <v>7</v>
      </c>
      <c r="L173" s="5" t="n">
        <f aca="false">K173/33</f>
        <v>0.212121212121212</v>
      </c>
      <c r="O173" s="5" t="str">
        <v>kanan</v>
      </c>
      <c r="P173" s="5" t="n">
        <f aca="false">COUNTIFS($O$170:$O$332,"Kanan",$M$2:$M$164,"Rendah")</f>
        <v>0</v>
      </c>
      <c r="Q173" s="5" t="n">
        <f aca="false">P173/29</f>
        <v>0</v>
      </c>
      <c r="T173" s="5" t="str">
        <v>kanan</v>
      </c>
      <c r="U173" s="5" t="n">
        <f aca="false">COUNTIFS($T$170:$T$332,"Kanan",$M$2:$M$164,"Rendah")</f>
        <v>16</v>
      </c>
      <c r="V173" s="5" t="n">
        <f aca="false">U173/95</f>
        <v>0.168421052631579</v>
      </c>
    </row>
    <row r="174" customFormat="false" ht="15" hidden="false" customHeight="false" outlineLevel="0" collapsed="false">
      <c r="E174" s="5" t="str">
        <v>kanan</v>
      </c>
      <c r="F174" s="5" t="s">
        <v>196</v>
      </c>
      <c r="G174" s="5" t="n">
        <f aca="false">-(IFERROR(G171*LOG(G171,2),0)+IFERROR(G172*LOG(G172,2),0)+IFERROR(G173*LOG(G173,2),0))</f>
        <v>0.959686893774217</v>
      </c>
      <c r="J174" s="5" t="str">
        <v>kanan</v>
      </c>
      <c r="K174" s="5" t="s">
        <v>196</v>
      </c>
      <c r="L174" s="5" t="n">
        <f aca="false">-(IFERROR(L171*LOG(L171,2),0)+IFERROR(L172*LOG(L172,2),0)+IFERROR(L173*LOG(L173,2),0))</f>
        <v>1.50285577380461</v>
      </c>
      <c r="O174" s="5" t="str">
        <v>tengah</v>
      </c>
      <c r="P174" s="5" t="s">
        <v>196</v>
      </c>
      <c r="Q174" s="5" t="n">
        <f aca="false">-(IFERROR(Q171*LOG(Q171,2),0)+IFERROR(Q172*LOG(Q172,2),0)+IFERROR(Q173*LOG(Q173,2),0))</f>
        <v>-0</v>
      </c>
      <c r="T174" s="5" t="str">
        <v>tengah</v>
      </c>
      <c r="U174" s="5" t="s">
        <v>196</v>
      </c>
      <c r="V174" s="5" t="n">
        <f aca="false">-(IFERROR(V171*LOG(V171,2),0)+IFERROR(V172*LOG(V172,2),0)+IFERROR(V173*LOG(V173,2),0))</f>
        <v>1.48325448954169</v>
      </c>
    </row>
    <row r="175" customFormat="false" ht="15" hidden="false" customHeight="false" outlineLevel="0" collapsed="false">
      <c r="E175" s="5" t="str">
        <v>tengah</v>
      </c>
      <c r="F175" s="5"/>
      <c r="G175" s="5" t="n">
        <f aca="false">SUM(F171:F173)/163</f>
        <v>0.208588957055215</v>
      </c>
      <c r="J175" s="5" t="str">
        <v>tengah</v>
      </c>
      <c r="K175" s="5"/>
      <c r="L175" s="5" t="n">
        <f aca="false">SUM(K171:K173)/163</f>
        <v>0.202453987730061</v>
      </c>
      <c r="O175" s="5" t="str">
        <v>tengah</v>
      </c>
      <c r="P175" s="5"/>
      <c r="Q175" s="5" t="n">
        <f aca="false">SUM(P171:P173)/163</f>
        <v>0.239263803680982</v>
      </c>
      <c r="T175" s="5" t="str">
        <v>tengah</v>
      </c>
      <c r="U175" s="5"/>
      <c r="V175" s="5" t="n">
        <f aca="false">SUM(U171:U173)/163</f>
        <v>0.582822085889571</v>
      </c>
    </row>
    <row r="176" customFormat="false" ht="15" hidden="false" customHeight="false" outlineLevel="0" collapsed="false">
      <c r="E176" s="5" t="str">
        <v>kiri</v>
      </c>
      <c r="F176" s="5"/>
      <c r="G176" s="12" t="n">
        <f aca="false">G174*G175</f>
        <v>0.200180088271923</v>
      </c>
      <c r="J176" s="5" t="str">
        <v>tengah</v>
      </c>
      <c r="K176" s="5"/>
      <c r="L176" s="12" t="n">
        <f aca="false">L174*L175</f>
        <v>0.30425914438989</v>
      </c>
      <c r="O176" s="5" t="str">
        <v>kanan</v>
      </c>
      <c r="P176" s="5"/>
      <c r="Q176" s="12" t="n">
        <f aca="false">Q174*Q175</f>
        <v>-0</v>
      </c>
      <c r="T176" s="5" t="str">
        <v>kanan</v>
      </c>
      <c r="U176" s="5"/>
      <c r="V176" s="12" t="n">
        <f aca="false">V174*V175</f>
        <v>0.864473475499761</v>
      </c>
    </row>
    <row r="177" customFormat="false" ht="15" hidden="false" customHeight="false" outlineLevel="0" collapsed="false">
      <c r="E177" s="5" t="str">
        <v>tengah</v>
      </c>
      <c r="F177" s="5"/>
      <c r="G177" s="5"/>
      <c r="J177" s="5" t="str">
        <v>tengah</v>
      </c>
      <c r="K177" s="5"/>
      <c r="L177" s="5"/>
      <c r="O177" s="5" t="str">
        <v>kiri</v>
      </c>
      <c r="P177" s="5"/>
      <c r="Q177" s="5"/>
      <c r="T177" s="5" t="str">
        <v>kanan</v>
      </c>
      <c r="U177" s="5"/>
      <c r="V177" s="5"/>
    </row>
    <row r="178" customFormat="false" ht="15" hidden="false" customHeight="false" outlineLevel="0" collapsed="false">
      <c r="E178" s="5" t="str">
        <v>tengah</v>
      </c>
      <c r="F178" s="5"/>
      <c r="G178" s="5"/>
      <c r="J178" s="5" t="str">
        <v>tengah</v>
      </c>
      <c r="K178" s="5"/>
      <c r="L178" s="5"/>
      <c r="O178" s="5" t="str">
        <v>tengah</v>
      </c>
      <c r="P178" s="5"/>
      <c r="Q178" s="5"/>
      <c r="T178" s="5" t="str">
        <v>kanan</v>
      </c>
      <c r="U178" s="5"/>
      <c r="V178" s="5"/>
    </row>
    <row r="179" customFormat="false" ht="15" hidden="false" customHeight="false" outlineLevel="0" collapsed="false">
      <c r="E179" s="5" t="str">
        <v>tengah</v>
      </c>
      <c r="F179" s="5" t="s">
        <v>235</v>
      </c>
      <c r="G179" s="5"/>
      <c r="J179" s="5" t="str">
        <v>tengah</v>
      </c>
      <c r="K179" s="5" t="s">
        <v>236</v>
      </c>
      <c r="L179" s="5"/>
      <c r="O179" s="5" t="str">
        <v>tengah</v>
      </c>
      <c r="P179" s="5" t="s">
        <v>237</v>
      </c>
      <c r="Q179" s="5"/>
      <c r="T179" s="5" t="str">
        <v>tengah</v>
      </c>
      <c r="U179" s="5" t="s">
        <v>200</v>
      </c>
      <c r="V179" s="5"/>
    </row>
    <row r="180" customFormat="false" ht="15" hidden="false" customHeight="false" outlineLevel="0" collapsed="false">
      <c r="E180" s="5" t="str">
        <v>kanan</v>
      </c>
      <c r="F180" s="5" t="n">
        <f aca="false">COUNTIFS($E$170:$E$332,"Kiri",$M$2:$M$164,"Tinggi")</f>
        <v>17</v>
      </c>
      <c r="G180" s="5" t="n">
        <f aca="false">F180/44</f>
        <v>0.386363636363636</v>
      </c>
      <c r="J180" s="5" t="str">
        <v>tengah</v>
      </c>
      <c r="K180" s="5" t="n">
        <f aca="false">COUNTIFS($J$170:$J$332,"Kiri",$M$2:$M$164,"Tinggi")</f>
        <v>16</v>
      </c>
      <c r="L180" s="5" t="n">
        <f aca="false">K180/31</f>
        <v>0.516129032258065</v>
      </c>
      <c r="O180" s="5" t="str">
        <v>tengah</v>
      </c>
      <c r="P180" s="5" t="n">
        <f aca="false">COUNTIFS($O$170:$O$332,"Kiri",$M$2:$M$164,"Tinggi")</f>
        <v>0</v>
      </c>
      <c r="Q180" s="5" t="n">
        <f aca="false">P180/57</f>
        <v>0</v>
      </c>
      <c r="T180" s="5" t="str">
        <v>tengah</v>
      </c>
      <c r="U180" s="5" t="n">
        <f aca="false">COUNTIFS($T$170:$T$332,"Kiri",$M$2:$M$164,"Tinggi")</f>
        <v>0</v>
      </c>
      <c r="V180" s="5" t="n">
        <f aca="false">U180/95</f>
        <v>0</v>
      </c>
    </row>
    <row r="181" customFormat="false" ht="15" hidden="false" customHeight="false" outlineLevel="0" collapsed="false">
      <c r="E181" s="5" t="str">
        <v>tengah</v>
      </c>
      <c r="F181" s="5" t="n">
        <f aca="false">COUNTIFS($E$170:$E$332,"Kiri",$M$2:$M$164,"Sedang")</f>
        <v>19</v>
      </c>
      <c r="G181" s="5" t="n">
        <f aca="false">F181/44</f>
        <v>0.431818181818182</v>
      </c>
      <c r="J181" s="5" t="str">
        <v>kiri</v>
      </c>
      <c r="K181" s="5" t="n">
        <f aca="false">COUNTIFS($J$170:$J$332,"Kiri",$M$2:$M$164,"Sedang")</f>
        <v>13</v>
      </c>
      <c r="L181" s="5" t="n">
        <f aca="false">K181/31</f>
        <v>0.419354838709677</v>
      </c>
      <c r="O181" s="5" t="str">
        <v>tengah</v>
      </c>
      <c r="P181" s="5" t="n">
        <f aca="false">COUNTIFS($O$170:$O$332,"Kiri",$M$2:$M$164,"Sedang")</f>
        <v>7</v>
      </c>
      <c r="Q181" s="5" t="n">
        <f aca="false">P181/31</f>
        <v>0.225806451612903</v>
      </c>
      <c r="T181" s="5" t="str">
        <v>kanan</v>
      </c>
      <c r="U181" s="5" t="n">
        <f aca="false">COUNTIFS($T$170:$T$332,"Kiri",$M$2:$M$164,"Sedang")</f>
        <v>0</v>
      </c>
      <c r="V181" s="5" t="n">
        <f aca="false">U181/95</f>
        <v>0</v>
      </c>
    </row>
    <row r="182" customFormat="false" ht="15" hidden="false" customHeight="false" outlineLevel="0" collapsed="false">
      <c r="E182" s="5" t="str">
        <v>tengah</v>
      </c>
      <c r="F182" s="5" t="n">
        <f aca="false">COUNTIFS($E$170:$E$332,"Kiri",$M$2:$M$164,"Rendah")</f>
        <v>8</v>
      </c>
      <c r="G182" s="5" t="n">
        <f aca="false">F182/44</f>
        <v>0.181818181818182</v>
      </c>
      <c r="J182" s="5" t="str">
        <v>kanan</v>
      </c>
      <c r="K182" s="5" t="n">
        <f aca="false">COUNTIFS($J$170:$J$332,"Kiri",$M$2:$M$164,"Rendah")</f>
        <v>2</v>
      </c>
      <c r="L182" s="5" t="n">
        <f aca="false">K182/31</f>
        <v>0.0645161290322581</v>
      </c>
      <c r="O182" s="5" t="str">
        <v>tengah</v>
      </c>
      <c r="P182" s="5" t="n">
        <f aca="false">COUNTIFS($O$170:$O$332,"Kiri",$M$2:$M$164,"Rendah")</f>
        <v>24</v>
      </c>
      <c r="Q182" s="5" t="n">
        <f aca="false">P182/31</f>
        <v>0.774193548387097</v>
      </c>
      <c r="T182" s="5" t="str">
        <v>kanan</v>
      </c>
      <c r="U182" s="5" t="n">
        <f aca="false">COUNTIFS($T$170:$T$332,"Kiri",$M$2:$M$164,"Rendah")</f>
        <v>0</v>
      </c>
      <c r="V182" s="5" t="n">
        <f aca="false">U182/95</f>
        <v>0</v>
      </c>
    </row>
    <row r="183" customFormat="false" ht="15" hidden="false" customHeight="false" outlineLevel="0" collapsed="false">
      <c r="E183" s="5" t="str">
        <v>kiri</v>
      </c>
      <c r="F183" s="5" t="s">
        <v>196</v>
      </c>
      <c r="G183" s="5" t="n">
        <f aca="false">-(IFERROR(G180*LOG(G180,2),0)+IFERROR(G181*LOG(G181,2),0)+IFERROR(G182*LOG(G182,2),0))</f>
        <v>1.50039773098539</v>
      </c>
      <c r="J183" s="5" t="str">
        <v>kiri</v>
      </c>
      <c r="K183" s="5" t="s">
        <v>196</v>
      </c>
      <c r="L183" s="5" t="n">
        <f aca="false">-(IFERROR(L180*LOG(L180,2),0)+IFERROR(L181*LOG(L181,2),0)+IFERROR(L182*LOG(L182,2),0))</f>
        <v>1.27336675116642</v>
      </c>
      <c r="O183" s="5" t="str">
        <v>kanan</v>
      </c>
      <c r="P183" s="5" t="s">
        <v>196</v>
      </c>
      <c r="Q183" s="5" t="n">
        <f aca="false">-(IFERROR(Q180*LOG(Q180,2),0)+IFERROR(Q181*LOG(Q181,2),0)+IFERROR(Q182*LOG(Q182,2),0))</f>
        <v>0.770629069363941</v>
      </c>
      <c r="T183" s="5" t="str">
        <v>tengah</v>
      </c>
      <c r="U183" s="5" t="s">
        <v>196</v>
      </c>
      <c r="V183" s="5" t="n">
        <f aca="false">-(IFERROR(V180*LOG(V180,2),0)+IFERROR(V181*LOG(V181,2),0)+IFERROR(V182*LOG(V182,2),0))</f>
        <v>-0</v>
      </c>
    </row>
    <row r="184" customFormat="false" ht="15" hidden="false" customHeight="false" outlineLevel="0" collapsed="false">
      <c r="E184" s="5" t="str">
        <v>tengah</v>
      </c>
      <c r="F184" s="5"/>
      <c r="G184" s="5" t="n">
        <f aca="false">SUM(F180:F182)/163</f>
        <v>0.269938650306748</v>
      </c>
      <c r="J184" s="5" t="str">
        <v>tengah</v>
      </c>
      <c r="K184" s="5"/>
      <c r="L184" s="5" t="n">
        <f aca="false">SUM(K180:K182)/163</f>
        <v>0.190184049079755</v>
      </c>
      <c r="O184" s="5" t="str">
        <v>kanan</v>
      </c>
      <c r="P184" s="5"/>
      <c r="Q184" s="5" t="n">
        <f aca="false">SUM(P180:P182)/163</f>
        <v>0.190184049079755</v>
      </c>
      <c r="T184" s="5" t="str">
        <v>tengah</v>
      </c>
      <c r="U184" s="5"/>
      <c r="V184" s="5" t="n">
        <f aca="false">SUM(U180:U182)/163</f>
        <v>0</v>
      </c>
    </row>
    <row r="185" customFormat="false" ht="15" hidden="false" customHeight="false" outlineLevel="0" collapsed="false">
      <c r="E185" s="5" t="str">
        <v>tengah</v>
      </c>
      <c r="F185" s="5"/>
      <c r="G185" s="12" t="n">
        <f aca="false">G183*G184</f>
        <v>0.405015338425504</v>
      </c>
      <c r="J185" s="5" t="str">
        <v>tengah</v>
      </c>
      <c r="K185" s="5"/>
      <c r="L185" s="12" t="n">
        <f aca="false">L183*L184</f>
        <v>0.242174044700362</v>
      </c>
      <c r="O185" s="5" t="str">
        <v>kiri</v>
      </c>
      <c r="P185" s="5"/>
      <c r="Q185" s="12" t="n">
        <f aca="false">Q183*Q184</f>
        <v>0.146561356750197</v>
      </c>
      <c r="T185" s="5" t="str">
        <v>kanan</v>
      </c>
      <c r="U185" s="5"/>
      <c r="V185" s="12" t="n">
        <f aca="false">V183*V184</f>
        <v>-0</v>
      </c>
    </row>
    <row r="186" customFormat="false" ht="15" hidden="false" customHeight="false" outlineLevel="0" collapsed="false">
      <c r="E186" s="5" t="str">
        <v>kiri</v>
      </c>
      <c r="F186" s="5"/>
      <c r="G186" s="5"/>
      <c r="J186" s="5" t="str">
        <v>tengah</v>
      </c>
      <c r="K186" s="5"/>
      <c r="L186" s="5"/>
      <c r="O186" s="5" t="str">
        <v>kiri</v>
      </c>
      <c r="P186" s="5"/>
      <c r="Q186" s="5"/>
      <c r="T186" s="5" t="str">
        <v>tengah</v>
      </c>
      <c r="U186" s="5"/>
      <c r="V186" s="5"/>
    </row>
    <row r="187" customFormat="false" ht="15" hidden="false" customHeight="false" outlineLevel="0" collapsed="false">
      <c r="E187" s="5" t="str">
        <v>kiri</v>
      </c>
      <c r="F187" s="5"/>
      <c r="G187" s="5"/>
      <c r="J187" s="5" t="str">
        <v>tengah</v>
      </c>
      <c r="K187" s="5"/>
      <c r="L187" s="5"/>
      <c r="O187" s="5" t="str">
        <v>kanan</v>
      </c>
      <c r="P187" s="5"/>
      <c r="Q187" s="5"/>
      <c r="T187" s="5" t="str">
        <v>kanan</v>
      </c>
      <c r="U187" s="5"/>
      <c r="V187" s="5"/>
    </row>
    <row r="188" customFormat="false" ht="15" hidden="false" customHeight="false" outlineLevel="0" collapsed="false">
      <c r="E188" s="5" t="str">
        <v>tengah</v>
      </c>
      <c r="F188" s="5" t="s">
        <v>201</v>
      </c>
      <c r="G188" s="5"/>
      <c r="J188" s="5" t="str">
        <v>tengah</v>
      </c>
      <c r="K188" s="5" t="s">
        <v>201</v>
      </c>
      <c r="L188" s="5"/>
      <c r="O188" s="5" t="str">
        <v>tengah</v>
      </c>
      <c r="P188" s="5" t="s">
        <v>201</v>
      </c>
      <c r="Q188" s="5"/>
      <c r="T188" s="5" t="str">
        <v>kanan</v>
      </c>
      <c r="U188" s="5" t="s">
        <v>201</v>
      </c>
      <c r="V188" s="5"/>
    </row>
    <row r="189" customFormat="false" ht="15" hidden="false" customHeight="false" outlineLevel="0" collapsed="false">
      <c r="E189" s="5" t="str">
        <v>tengah</v>
      </c>
      <c r="F189" s="5" t="n">
        <f aca="false">COUNTIFS($E$170:$E$332,"Tengah",$M$2:$M$164,"Tinggi")</f>
        <v>27</v>
      </c>
      <c r="G189" s="5" t="n">
        <f aca="false">F189/85</f>
        <v>0.317647058823529</v>
      </c>
      <c r="J189" s="5" t="str">
        <v>kiri</v>
      </c>
      <c r="K189" s="5" t="n">
        <f aca="false">COUNTIFS($J$170:$J$332,"Tengah",$M$2:$M$164,"Tinggi")</f>
        <v>31</v>
      </c>
      <c r="L189" s="5" t="n">
        <f aca="false">K189/99</f>
        <v>0.313131313131313</v>
      </c>
      <c r="O189" s="5" t="str">
        <v>kiri</v>
      </c>
      <c r="P189" s="5" t="n">
        <f aca="false">COUNTIFS($O$170:$O$332,"Tengah",$M$2:$M$164,"Tinggi")</f>
        <v>18</v>
      </c>
      <c r="Q189" s="5" t="n">
        <f aca="false">P189/93</f>
        <v>0.193548387096774</v>
      </c>
      <c r="T189" s="5" t="str">
        <v>tengah</v>
      </c>
      <c r="U189" s="5" t="n">
        <f aca="false">COUNTIFS($T$170:$T$332,"Tengah",$M$2:$M$164,"Tinggi")</f>
        <v>20</v>
      </c>
      <c r="V189" s="5" t="n">
        <f aca="false">U189/68</f>
        <v>0.294117647058824</v>
      </c>
    </row>
    <row r="190" customFormat="false" ht="15" hidden="false" customHeight="false" outlineLevel="0" collapsed="false">
      <c r="E190" s="5" t="str">
        <v>tengah</v>
      </c>
      <c r="F190" s="5" t="n">
        <f aca="false">COUNTIFS($E$170:$E$332,"Tengah",$M$2:$M$164,"Sedang")</f>
        <v>42</v>
      </c>
      <c r="G190" s="5" t="n">
        <f aca="false">F190/85</f>
        <v>0.494117647058824</v>
      </c>
      <c r="J190" s="5" t="str">
        <v>kanan</v>
      </c>
      <c r="K190" s="5" t="n">
        <f aca="false">COUNTIFS($J$170:$J$332,"Tengah",$M$2:$M$164,"Sedang")</f>
        <v>53</v>
      </c>
      <c r="L190" s="5" t="n">
        <f aca="false">K190/99</f>
        <v>0.535353535353535</v>
      </c>
      <c r="O190" s="5" t="str">
        <v>tengah</v>
      </c>
      <c r="P190" s="5" t="n">
        <f aca="false">COUNTIFS($O$170:$O$332,"Tengah",$M$2:$M$164,"Sedang")</f>
        <v>75</v>
      </c>
      <c r="Q190" s="5" t="n">
        <f aca="false">P190/93</f>
        <v>0.806451612903226</v>
      </c>
      <c r="T190" s="5" t="str">
        <v>tengah</v>
      </c>
      <c r="U190" s="5" t="n">
        <f aca="false">COUNTIFS($T$170:$T$332,"Tengah",$M$2:$M$164,"Sedang")</f>
        <v>40</v>
      </c>
      <c r="V190" s="5" t="n">
        <f aca="false">U190/68</f>
        <v>0.588235294117647</v>
      </c>
    </row>
    <row r="191" customFormat="false" ht="15" hidden="false" customHeight="false" outlineLevel="0" collapsed="false">
      <c r="E191" s="5" t="str">
        <v>tengah</v>
      </c>
      <c r="F191" s="5" t="n">
        <f aca="false">COUNTIFS($E$170:$E$332,"Tengah",$M$2:$M$164,"Rendah")</f>
        <v>16</v>
      </c>
      <c r="G191" s="5" t="n">
        <f aca="false">F191/85</f>
        <v>0.188235294117647</v>
      </c>
      <c r="J191" s="5" t="str">
        <v>kiri</v>
      </c>
      <c r="K191" s="5" t="n">
        <f aca="false">COUNTIFS($J$170:$J$332,"Tengah",$M$2:$M$164,"Rendah")</f>
        <v>15</v>
      </c>
      <c r="L191" s="5" t="n">
        <f aca="false">K191/99</f>
        <v>0.151515151515152</v>
      </c>
      <c r="O191" s="5" t="str">
        <v>kiri</v>
      </c>
      <c r="P191" s="5" t="n">
        <f aca="false">COUNTIFS($O$170:$O$332,"Tengah",$M$2:$M$164,"Rendah")</f>
        <v>0</v>
      </c>
      <c r="Q191" s="5" t="n">
        <f aca="false">P191/93</f>
        <v>0</v>
      </c>
      <c r="T191" s="5" t="str">
        <v>tengah</v>
      </c>
      <c r="U191" s="5" t="n">
        <f aca="false">COUNTIFS($T$170:$T$332,"Tengah",$M$2:$M$164,"Rendah")</f>
        <v>8</v>
      </c>
      <c r="V191" s="5" t="n">
        <f aca="false">U191/68</f>
        <v>0.117647058823529</v>
      </c>
    </row>
    <row r="192" customFormat="false" ht="15" hidden="false" customHeight="false" outlineLevel="0" collapsed="false">
      <c r="E192" s="5" t="str">
        <v>kiri</v>
      </c>
      <c r="F192" s="5" t="s">
        <v>196</v>
      </c>
      <c r="G192" s="5" t="n">
        <f aca="false">-(IFERROR(G189*LOG(G189,2),0)+IFERROR(G190*LOG(G190,2),0)+IFERROR(G191*LOG(G191,2),0))</f>
        <v>1.48163453243039</v>
      </c>
      <c r="J192" s="5" t="str">
        <v>kiri</v>
      </c>
      <c r="K192" s="5" t="s">
        <v>196</v>
      </c>
      <c r="L192" s="5" t="n">
        <f aca="false">-(IFERROR(L189*LOG(L189,2),0)+IFERROR(L190*LOG(L190,2),0)+IFERROR(L191*LOG(L191,2),0))</f>
        <v>1.41962703777688</v>
      </c>
      <c r="O192" s="5" t="str">
        <v>tengah</v>
      </c>
      <c r="P192" s="5" t="s">
        <v>196</v>
      </c>
      <c r="Q192" s="5" t="n">
        <f aca="false">-(IFERROR(Q189*LOG(Q189,2),0)+IFERROR(Q190*LOG(Q190,2),0)+IFERROR(Q191*LOG(Q191,2),0))</f>
        <v>0.708835673332196</v>
      </c>
      <c r="T192" s="5" t="str">
        <v>kanan</v>
      </c>
      <c r="U192" s="5" t="s">
        <v>196</v>
      </c>
      <c r="V192" s="5" t="n">
        <f aca="false">-(IFERROR(V189*LOG(V189,2),0)+IFERROR(V190*LOG(V190,2),0)+IFERROR(V191*LOG(V191,2),0))</f>
        <v>1.33282040458502</v>
      </c>
    </row>
    <row r="193" customFormat="false" ht="15" hidden="false" customHeight="false" outlineLevel="0" collapsed="false">
      <c r="E193" s="5" t="str">
        <v>kiri</v>
      </c>
      <c r="F193" s="5"/>
      <c r="G193" s="5" t="n">
        <f aca="false">SUM(F189:F191)/163</f>
        <v>0.521472392638037</v>
      </c>
      <c r="J193" s="5" t="str">
        <v>tengah</v>
      </c>
      <c r="K193" s="5"/>
      <c r="L193" s="5" t="n">
        <f aca="false">SUM(K189:K191)/163</f>
        <v>0.607361963190184</v>
      </c>
      <c r="O193" s="5" t="str">
        <v>tengah</v>
      </c>
      <c r="P193" s="5"/>
      <c r="Q193" s="5" t="n">
        <f aca="false">SUM(P189:P191)/163</f>
        <v>0.570552147239264</v>
      </c>
      <c r="T193" s="5" t="str">
        <v>tengah</v>
      </c>
      <c r="U193" s="5"/>
      <c r="V193" s="5" t="n">
        <f aca="false">SUM(U189:U191)/163</f>
        <v>0.417177914110429</v>
      </c>
    </row>
    <row r="194" customFormat="false" ht="15" hidden="false" customHeight="false" outlineLevel="0" collapsed="false">
      <c r="E194" s="5" t="str">
        <v>tengah</v>
      </c>
      <c r="F194" s="5"/>
      <c r="G194" s="12" t="n">
        <f aca="false">G192*G193</f>
        <v>0.772631504641614</v>
      </c>
      <c r="J194" s="5" t="str">
        <v>tengah</v>
      </c>
      <c r="K194" s="5"/>
      <c r="L194" s="12" t="n">
        <f aca="false">L192*L193</f>
        <v>0.86222746466203</v>
      </c>
      <c r="O194" s="5" t="str">
        <v>tengah</v>
      </c>
      <c r="P194" s="5"/>
      <c r="Q194" s="12" t="n">
        <f aca="false">Q192*Q193</f>
        <v>0.404427715459474</v>
      </c>
      <c r="T194" s="5" t="str">
        <v>tengah</v>
      </c>
      <c r="U194" s="5"/>
      <c r="V194" s="12" t="n">
        <f aca="false">V192*V193</f>
        <v>0.556023236268597</v>
      </c>
    </row>
    <row r="195" customFormat="false" ht="15" hidden="false" customHeight="false" outlineLevel="0" collapsed="false">
      <c r="E195" s="5" t="str">
        <v>tengah</v>
      </c>
      <c r="F195" s="5"/>
      <c r="G195" s="5"/>
      <c r="J195" s="5" t="str">
        <v>tengah</v>
      </c>
      <c r="K195" s="5"/>
      <c r="L195" s="5"/>
      <c r="O195" s="5" t="str">
        <v>kiri</v>
      </c>
      <c r="P195" s="5"/>
      <c r="Q195" s="5"/>
      <c r="T195" s="5" t="str">
        <v>kanan</v>
      </c>
      <c r="U195" s="5"/>
      <c r="V195" s="5"/>
    </row>
    <row r="196" customFormat="false" ht="15" hidden="false" customHeight="false" outlineLevel="0" collapsed="false">
      <c r="E196" s="5" t="str">
        <v>tengah</v>
      </c>
      <c r="F196" s="5" t="s">
        <v>202</v>
      </c>
      <c r="G196" s="5"/>
      <c r="J196" s="5" t="str">
        <v>kanan</v>
      </c>
      <c r="K196" s="5" t="s">
        <v>202</v>
      </c>
      <c r="L196" s="5"/>
      <c r="O196" s="5" t="str">
        <v>tengah</v>
      </c>
      <c r="P196" s="5" t="s">
        <v>202</v>
      </c>
      <c r="Q196" s="5"/>
      <c r="T196" s="5" t="str">
        <v>tengah</v>
      </c>
      <c r="U196" s="5" t="s">
        <v>202</v>
      </c>
      <c r="V196" s="5"/>
    </row>
    <row r="197" customFormat="false" ht="15" hidden="false" customHeight="false" outlineLevel="0" collapsed="false">
      <c r="E197" s="5" t="str">
        <v>tengah</v>
      </c>
      <c r="F197" s="13" t="n">
        <f aca="false">P5-(G176+G185+G194)</f>
        <v>0.0578147492516634</v>
      </c>
      <c r="G197" s="5"/>
      <c r="J197" s="5" t="str">
        <v>tengah</v>
      </c>
      <c r="K197" s="13" t="n">
        <f aca="false">P5-(L176+L185+L194)</f>
        <v>0.0269810268384223</v>
      </c>
      <c r="L197" s="5"/>
      <c r="O197" s="5" t="str">
        <v>tengah</v>
      </c>
      <c r="P197" s="13" t="n">
        <f aca="false">P5-(Q176+Q185+Q194)</f>
        <v>0.884652608381033</v>
      </c>
      <c r="Q197" s="5"/>
      <c r="T197" s="5" t="str">
        <v>kanan</v>
      </c>
      <c r="U197" s="13" t="n">
        <f aca="false">P5-(V176+V185+V194)</f>
        <v>0.0151449688223466</v>
      </c>
      <c r="V197" s="5"/>
    </row>
    <row r="198" customFormat="false" ht="15" hidden="false" customHeight="false" outlineLevel="0" collapsed="false">
      <c r="E198" s="5" t="str">
        <v>tengah</v>
      </c>
      <c r="F198" s="5"/>
      <c r="G198" s="5"/>
      <c r="J198" s="5" t="str">
        <v>tengah</v>
      </c>
      <c r="K198" s="5"/>
      <c r="L198" s="5"/>
      <c r="O198" s="5" t="str">
        <v>tengah</v>
      </c>
      <c r="P198" s="5"/>
      <c r="Q198" s="5"/>
      <c r="T198" s="5" t="str">
        <v>tengah</v>
      </c>
      <c r="U198" s="5"/>
      <c r="V198" s="5"/>
    </row>
    <row r="199" customFormat="false" ht="15" hidden="false" customHeight="false" outlineLevel="0" collapsed="false">
      <c r="E199" s="5" t="str">
        <v>tengah</v>
      </c>
      <c r="F199" s="5"/>
      <c r="G199" s="5"/>
      <c r="J199" s="5" t="str">
        <v>tengah</v>
      </c>
      <c r="K199" s="5"/>
      <c r="L199" s="5"/>
      <c r="O199" s="5" t="str">
        <v>tengah</v>
      </c>
      <c r="P199" s="5"/>
      <c r="Q199" s="5"/>
      <c r="T199" s="5" t="str">
        <v>tengah</v>
      </c>
      <c r="U199" s="5"/>
      <c r="V199" s="5"/>
    </row>
    <row r="200" customFormat="false" ht="15" hidden="false" customHeight="false" outlineLevel="0" collapsed="false">
      <c r="E200" s="5" t="str">
        <v>kanan</v>
      </c>
      <c r="F200" s="5"/>
      <c r="G200" s="5"/>
      <c r="J200" s="5" t="str">
        <v>kiri</v>
      </c>
      <c r="K200" s="5"/>
      <c r="L200" s="5"/>
      <c r="O200" s="5" t="str">
        <v>kanan</v>
      </c>
      <c r="P200" s="5"/>
      <c r="Q200" s="5"/>
      <c r="T200" s="5" t="str">
        <v>kanan</v>
      </c>
      <c r="U200" s="5"/>
      <c r="V200" s="5"/>
    </row>
    <row r="201" customFormat="false" ht="15" hidden="false" customHeight="false" outlineLevel="0" collapsed="false">
      <c r="E201" s="5" t="str">
        <v>tengah</v>
      </c>
      <c r="F201" s="5"/>
      <c r="G201" s="5"/>
      <c r="J201" s="5" t="str">
        <v>tengah</v>
      </c>
      <c r="K201" s="5"/>
      <c r="L201" s="5"/>
      <c r="O201" s="5" t="str">
        <v>tengah</v>
      </c>
      <c r="P201" s="5"/>
      <c r="Q201" s="5"/>
      <c r="T201" s="5" t="str">
        <v>kanan</v>
      </c>
      <c r="U201" s="5"/>
      <c r="V201" s="5"/>
    </row>
    <row r="202" customFormat="false" ht="15" hidden="false" customHeight="false" outlineLevel="0" collapsed="false">
      <c r="E202" s="5" t="str">
        <v>kiri</v>
      </c>
      <c r="F202" s="5"/>
      <c r="G202" s="5"/>
      <c r="J202" s="5" t="str">
        <v>tengah</v>
      </c>
      <c r="K202" s="5"/>
      <c r="L202" s="5"/>
      <c r="O202" s="5" t="str">
        <v>tengah</v>
      </c>
      <c r="P202" s="5"/>
      <c r="Q202" s="5"/>
      <c r="T202" s="5" t="str">
        <v>kanan</v>
      </c>
      <c r="U202" s="5"/>
      <c r="V202" s="5"/>
    </row>
    <row r="203" customFormat="false" ht="15" hidden="false" customHeight="false" outlineLevel="0" collapsed="false">
      <c r="E203" s="5" t="str">
        <v>kiri</v>
      </c>
      <c r="F203" s="5"/>
      <c r="G203" s="5"/>
      <c r="J203" s="5" t="str">
        <v>kiri</v>
      </c>
      <c r="K203" s="5"/>
      <c r="L203" s="5"/>
      <c r="O203" s="5" t="str">
        <v>kanan</v>
      </c>
      <c r="P203" s="5"/>
      <c r="Q203" s="5"/>
      <c r="T203" s="5" t="str">
        <v>tengah</v>
      </c>
      <c r="U203" s="5"/>
      <c r="V203" s="5"/>
    </row>
    <row r="204" customFormat="false" ht="15" hidden="false" customHeight="false" outlineLevel="0" collapsed="false">
      <c r="E204" s="5" t="str">
        <v>tengah</v>
      </c>
      <c r="F204" s="5"/>
      <c r="G204" s="5"/>
      <c r="J204" s="5" t="str">
        <v>kiri</v>
      </c>
      <c r="K204" s="5"/>
      <c r="L204" s="5"/>
      <c r="O204" s="5" t="str">
        <v>tengah</v>
      </c>
      <c r="P204" s="5"/>
      <c r="Q204" s="5"/>
      <c r="T204" s="5" t="str">
        <v>kanan</v>
      </c>
      <c r="U204" s="5"/>
      <c r="V204" s="5"/>
    </row>
    <row r="205" customFormat="false" ht="15" hidden="false" customHeight="false" outlineLevel="0" collapsed="false">
      <c r="E205" s="5" t="str">
        <v>kanan</v>
      </c>
      <c r="F205" s="5"/>
      <c r="G205" s="5"/>
      <c r="J205" s="5" t="str">
        <v>kiri</v>
      </c>
      <c r="K205" s="5"/>
      <c r="L205" s="5"/>
      <c r="O205" s="5" t="str">
        <v>tengah</v>
      </c>
      <c r="P205" s="5"/>
      <c r="Q205" s="5"/>
      <c r="T205" s="5" t="str">
        <v>tengah</v>
      </c>
      <c r="U205" s="5"/>
      <c r="V205" s="5"/>
    </row>
    <row r="206" customFormat="false" ht="15" hidden="false" customHeight="false" outlineLevel="0" collapsed="false">
      <c r="E206" s="5" t="str">
        <v>kanan</v>
      </c>
      <c r="F206" s="5"/>
      <c r="G206" s="5"/>
      <c r="J206" s="5" t="str">
        <v>kiri</v>
      </c>
      <c r="K206" s="5"/>
      <c r="L206" s="5"/>
      <c r="O206" s="5" t="str">
        <v>tengah</v>
      </c>
      <c r="P206" s="5"/>
      <c r="Q206" s="5"/>
      <c r="T206" s="5" t="str">
        <v>tengah</v>
      </c>
      <c r="U206" s="5"/>
      <c r="V206" s="5"/>
    </row>
    <row r="207" customFormat="false" ht="15" hidden="false" customHeight="false" outlineLevel="0" collapsed="false">
      <c r="E207" s="5" t="str">
        <v>kiri</v>
      </c>
      <c r="F207" s="5"/>
      <c r="G207" s="5"/>
      <c r="J207" s="5" t="str">
        <v>kanan</v>
      </c>
      <c r="K207" s="5"/>
      <c r="L207" s="5"/>
      <c r="O207" s="5" t="str">
        <v>tengah</v>
      </c>
      <c r="P207" s="5"/>
      <c r="Q207" s="5"/>
      <c r="T207" s="5" t="str">
        <v>kanan</v>
      </c>
      <c r="U207" s="5"/>
      <c r="V207" s="5"/>
    </row>
    <row r="208" customFormat="false" ht="15" hidden="false" customHeight="false" outlineLevel="0" collapsed="false">
      <c r="E208" s="5" t="str">
        <v>tengah</v>
      </c>
      <c r="F208" s="5"/>
      <c r="G208" s="5"/>
      <c r="J208" s="5" t="str">
        <v>kiri</v>
      </c>
      <c r="K208" s="5"/>
      <c r="L208" s="5"/>
      <c r="O208" s="5" t="str">
        <v>kanan</v>
      </c>
      <c r="P208" s="5"/>
      <c r="Q208" s="5"/>
      <c r="T208" s="5" t="str">
        <v>tengah</v>
      </c>
      <c r="U208" s="5"/>
      <c r="V208" s="5"/>
    </row>
    <row r="209" customFormat="false" ht="15" hidden="false" customHeight="false" outlineLevel="0" collapsed="false">
      <c r="E209" s="5" t="str">
        <v>kiri</v>
      </c>
      <c r="F209" s="5"/>
      <c r="G209" s="5"/>
      <c r="J209" s="5" t="str">
        <v>kiri</v>
      </c>
      <c r="K209" s="5"/>
      <c r="L209" s="5"/>
      <c r="O209" s="5" t="str">
        <v>tengah</v>
      </c>
      <c r="P209" s="5"/>
      <c r="Q209" s="5"/>
      <c r="T209" s="5" t="str">
        <v>tengah</v>
      </c>
      <c r="U209" s="5"/>
      <c r="V209" s="5"/>
    </row>
    <row r="210" customFormat="false" ht="15" hidden="false" customHeight="false" outlineLevel="0" collapsed="false">
      <c r="E210" s="5" t="str">
        <v>tengah</v>
      </c>
      <c r="F210" s="5"/>
      <c r="G210" s="5"/>
      <c r="J210" s="5" t="str">
        <v>kanan</v>
      </c>
      <c r="K210" s="5"/>
      <c r="L210" s="5"/>
      <c r="O210" s="5" t="str">
        <v>kiri</v>
      </c>
      <c r="P210" s="5"/>
      <c r="Q210" s="5"/>
      <c r="T210" s="5" t="str">
        <v>tengah</v>
      </c>
      <c r="U210" s="5"/>
      <c r="V210" s="5"/>
    </row>
    <row r="211" customFormat="false" ht="15" hidden="false" customHeight="false" outlineLevel="0" collapsed="false">
      <c r="E211" s="5" t="str">
        <v>kanan</v>
      </c>
      <c r="F211" s="5"/>
      <c r="G211" s="5"/>
      <c r="J211" s="5" t="str">
        <v>tengah</v>
      </c>
      <c r="K211" s="5"/>
      <c r="L211" s="5"/>
      <c r="O211" s="5" t="str">
        <v>tengah</v>
      </c>
      <c r="P211" s="5"/>
      <c r="Q211" s="5"/>
      <c r="T211" s="5" t="str">
        <v>tengah</v>
      </c>
      <c r="U211" s="5"/>
      <c r="V211" s="5"/>
    </row>
    <row r="212" customFormat="false" ht="15" hidden="false" customHeight="false" outlineLevel="0" collapsed="false">
      <c r="E212" s="5" t="str">
        <v>kanan</v>
      </c>
      <c r="F212" s="5"/>
      <c r="G212" s="5"/>
      <c r="J212" s="5" t="str">
        <v>kanan</v>
      </c>
      <c r="K212" s="5"/>
      <c r="L212" s="5"/>
      <c r="O212" s="5" t="str">
        <v>tengah</v>
      </c>
      <c r="P212" s="5"/>
      <c r="Q212" s="5"/>
      <c r="T212" s="5" t="str">
        <v>kanan</v>
      </c>
      <c r="U212" s="5"/>
      <c r="V212" s="5"/>
    </row>
    <row r="213" customFormat="false" ht="15" hidden="false" customHeight="false" outlineLevel="0" collapsed="false">
      <c r="E213" s="5" t="str">
        <v>tengah</v>
      </c>
      <c r="F213" s="5"/>
      <c r="G213" s="5"/>
      <c r="J213" s="5" t="str">
        <v>kanan</v>
      </c>
      <c r="K213" s="5"/>
      <c r="L213" s="5"/>
      <c r="O213" s="5" t="str">
        <v>tengah</v>
      </c>
      <c r="P213" s="5"/>
      <c r="Q213" s="5"/>
      <c r="T213" s="5" t="str">
        <v>tengah</v>
      </c>
      <c r="U213" s="5"/>
      <c r="V213" s="5"/>
    </row>
    <row r="214" customFormat="false" ht="15" hidden="false" customHeight="false" outlineLevel="0" collapsed="false">
      <c r="E214" s="5" t="str">
        <v>kiri</v>
      </c>
      <c r="F214" s="5"/>
      <c r="G214" s="5"/>
      <c r="J214" s="5" t="str">
        <v>kanan</v>
      </c>
      <c r="K214" s="5"/>
      <c r="L214" s="5"/>
      <c r="O214" s="5" t="str">
        <v>kiri</v>
      </c>
      <c r="P214" s="5"/>
      <c r="Q214" s="5"/>
      <c r="T214" s="5" t="str">
        <v>kanan</v>
      </c>
      <c r="U214" s="5"/>
      <c r="V214" s="5"/>
    </row>
    <row r="215" customFormat="false" ht="15" hidden="false" customHeight="false" outlineLevel="0" collapsed="false">
      <c r="E215" s="5" t="str">
        <v>kiri</v>
      </c>
      <c r="F215" s="5"/>
      <c r="G215" s="5"/>
      <c r="J215" s="5" t="str">
        <v>kiri</v>
      </c>
      <c r="K215" s="5"/>
      <c r="L215" s="5"/>
      <c r="O215" s="5" t="str">
        <v>tengah</v>
      </c>
      <c r="P215" s="5"/>
      <c r="Q215" s="5"/>
      <c r="T215" s="5" t="str">
        <v>kanan</v>
      </c>
      <c r="U215" s="5"/>
      <c r="V215" s="5"/>
    </row>
    <row r="216" customFormat="false" ht="15" hidden="false" customHeight="false" outlineLevel="0" collapsed="false">
      <c r="E216" s="5" t="str">
        <v>tengah</v>
      </c>
      <c r="F216" s="5"/>
      <c r="G216" s="5"/>
      <c r="J216" s="5" t="str">
        <v>tengah</v>
      </c>
      <c r="K216" s="5"/>
      <c r="L216" s="5"/>
      <c r="O216" s="5" t="str">
        <v>kiri</v>
      </c>
      <c r="P216" s="5"/>
      <c r="Q216" s="5"/>
      <c r="T216" s="5" t="str">
        <v>kanan</v>
      </c>
      <c r="U216" s="5"/>
      <c r="V216" s="5"/>
    </row>
    <row r="217" customFormat="false" ht="15" hidden="false" customHeight="false" outlineLevel="0" collapsed="false">
      <c r="E217" s="5" t="str">
        <v>kanan</v>
      </c>
      <c r="F217" s="5"/>
      <c r="G217" s="5"/>
      <c r="J217" s="5" t="str">
        <v>tengah</v>
      </c>
      <c r="K217" s="5"/>
      <c r="L217" s="5"/>
      <c r="O217" s="5" t="str">
        <v>tengah</v>
      </c>
      <c r="P217" s="5"/>
      <c r="Q217" s="5"/>
      <c r="T217" s="5" t="str">
        <v>tengah</v>
      </c>
      <c r="U217" s="5"/>
      <c r="V217" s="5"/>
    </row>
    <row r="218" customFormat="false" ht="15" hidden="false" customHeight="false" outlineLevel="0" collapsed="false">
      <c r="E218" s="5" t="str">
        <v>kiri</v>
      </c>
      <c r="F218" s="5"/>
      <c r="G218" s="5"/>
      <c r="J218" s="5" t="str">
        <v>kanan</v>
      </c>
      <c r="K218" s="5"/>
      <c r="L218" s="5"/>
      <c r="O218" s="5" t="str">
        <v>kiri</v>
      </c>
      <c r="P218" s="5"/>
      <c r="Q218" s="5"/>
      <c r="T218" s="5" t="str">
        <v>kanan</v>
      </c>
      <c r="U218" s="5"/>
      <c r="V218" s="5"/>
    </row>
    <row r="219" customFormat="false" ht="15" hidden="false" customHeight="false" outlineLevel="0" collapsed="false">
      <c r="E219" s="5" t="str">
        <v>tengah</v>
      </c>
      <c r="F219" s="5"/>
      <c r="G219" s="5"/>
      <c r="J219" s="5" t="str">
        <v>tengah</v>
      </c>
      <c r="K219" s="5"/>
      <c r="L219" s="5"/>
      <c r="O219" s="5" t="str">
        <v>kanan</v>
      </c>
      <c r="P219" s="5"/>
      <c r="Q219" s="5"/>
      <c r="T219" s="5" t="str">
        <v>kanan</v>
      </c>
      <c r="U219" s="5"/>
      <c r="V219" s="5"/>
    </row>
    <row r="220" customFormat="false" ht="15" hidden="false" customHeight="false" outlineLevel="0" collapsed="false">
      <c r="E220" s="5" t="str">
        <v>tengah</v>
      </c>
      <c r="F220" s="5"/>
      <c r="G220" s="5"/>
      <c r="J220" s="5" t="str">
        <v>tengah</v>
      </c>
      <c r="K220" s="5"/>
      <c r="L220" s="5"/>
      <c r="O220" s="5" t="str">
        <v>kiri</v>
      </c>
      <c r="P220" s="5"/>
      <c r="Q220" s="5"/>
      <c r="T220" s="5" t="str">
        <v>kanan</v>
      </c>
      <c r="U220" s="5"/>
      <c r="V220" s="5"/>
    </row>
    <row r="221" customFormat="false" ht="15" hidden="false" customHeight="false" outlineLevel="0" collapsed="false">
      <c r="E221" s="5" t="str">
        <v>tengah</v>
      </c>
      <c r="F221" s="5"/>
      <c r="G221" s="5"/>
      <c r="J221" s="5" t="str">
        <v>tengah</v>
      </c>
      <c r="K221" s="5"/>
      <c r="L221" s="5"/>
      <c r="O221" s="5" t="str">
        <v>kiri</v>
      </c>
      <c r="P221" s="5"/>
      <c r="Q221" s="5"/>
      <c r="T221" s="5" t="str">
        <v>tengah</v>
      </c>
      <c r="U221" s="5"/>
      <c r="V221" s="5"/>
    </row>
    <row r="222" customFormat="false" ht="15" hidden="false" customHeight="false" outlineLevel="0" collapsed="false">
      <c r="E222" s="5" t="str">
        <v>kiri</v>
      </c>
      <c r="F222" s="5"/>
      <c r="G222" s="5"/>
      <c r="J222" s="5" t="str">
        <v>tengah</v>
      </c>
      <c r="K222" s="5"/>
      <c r="L222" s="5"/>
      <c r="O222" s="5" t="str">
        <v>tengah</v>
      </c>
      <c r="P222" s="5"/>
      <c r="Q222" s="5"/>
      <c r="T222" s="5" t="str">
        <v>kanan</v>
      </c>
      <c r="U222" s="5"/>
      <c r="V222" s="5"/>
    </row>
    <row r="223" customFormat="false" ht="15" hidden="false" customHeight="false" outlineLevel="0" collapsed="false">
      <c r="E223" s="5" t="str">
        <v>kiri</v>
      </c>
      <c r="F223" s="5"/>
      <c r="G223" s="5"/>
      <c r="J223" s="5" t="str">
        <v>kanan</v>
      </c>
      <c r="K223" s="5"/>
      <c r="L223" s="5"/>
      <c r="O223" s="5" t="str">
        <v>kiri</v>
      </c>
      <c r="P223" s="5"/>
      <c r="Q223" s="5"/>
      <c r="T223" s="5" t="str">
        <v>tengah</v>
      </c>
      <c r="U223" s="5"/>
      <c r="V223" s="5"/>
    </row>
    <row r="224" customFormat="false" ht="15" hidden="false" customHeight="false" outlineLevel="0" collapsed="false">
      <c r="E224" s="5" t="str">
        <v>kiri</v>
      </c>
      <c r="F224" s="5"/>
      <c r="G224" s="5"/>
      <c r="J224" s="5" t="str">
        <v>kanan</v>
      </c>
      <c r="K224" s="5"/>
      <c r="L224" s="5"/>
      <c r="O224" s="5" t="str">
        <v>tengah</v>
      </c>
      <c r="P224" s="5"/>
      <c r="Q224" s="5"/>
      <c r="T224" s="5" t="str">
        <v>kanan</v>
      </c>
      <c r="U224" s="5"/>
      <c r="V224" s="5"/>
    </row>
    <row r="225" customFormat="false" ht="15" hidden="false" customHeight="false" outlineLevel="0" collapsed="false">
      <c r="E225" s="5" t="str">
        <v>kiri</v>
      </c>
      <c r="F225" s="5"/>
      <c r="G225" s="5"/>
      <c r="J225" s="5" t="str">
        <v>tengah</v>
      </c>
      <c r="K225" s="5"/>
      <c r="L225" s="5"/>
      <c r="O225" s="5" t="str">
        <v>tengah</v>
      </c>
      <c r="P225" s="5"/>
      <c r="Q225" s="5"/>
      <c r="T225" s="5" t="str">
        <v>kanan</v>
      </c>
      <c r="U225" s="5"/>
      <c r="V225" s="5"/>
    </row>
    <row r="226" customFormat="false" ht="15" hidden="false" customHeight="false" outlineLevel="0" collapsed="false">
      <c r="E226" s="5" t="str">
        <v>kanan</v>
      </c>
      <c r="F226" s="5"/>
      <c r="G226" s="5"/>
      <c r="J226" s="5" t="str">
        <v>tengah</v>
      </c>
      <c r="K226" s="5"/>
      <c r="L226" s="5"/>
      <c r="O226" s="5" t="str">
        <v>tengah</v>
      </c>
      <c r="P226" s="5"/>
      <c r="Q226" s="5"/>
      <c r="T226" s="5" t="str">
        <v>kanan</v>
      </c>
      <c r="U226" s="5"/>
      <c r="V226" s="5"/>
    </row>
    <row r="227" customFormat="false" ht="15" hidden="false" customHeight="false" outlineLevel="0" collapsed="false">
      <c r="E227" s="5" t="str">
        <v>tengah</v>
      </c>
      <c r="F227" s="5"/>
      <c r="G227" s="5"/>
      <c r="J227" s="5" t="str">
        <v>kanan</v>
      </c>
      <c r="K227" s="5"/>
      <c r="L227" s="5"/>
      <c r="O227" s="5" t="str">
        <v>kanan</v>
      </c>
      <c r="P227" s="5"/>
      <c r="Q227" s="5"/>
      <c r="T227" s="5" t="str">
        <v>tengah</v>
      </c>
      <c r="U227" s="5"/>
      <c r="V227" s="5"/>
    </row>
    <row r="228" customFormat="false" ht="15" hidden="false" customHeight="false" outlineLevel="0" collapsed="false">
      <c r="E228" s="5" t="str">
        <v>tengah</v>
      </c>
      <c r="F228" s="5"/>
      <c r="G228" s="5"/>
      <c r="J228" s="5" t="str">
        <v>tengah</v>
      </c>
      <c r="K228" s="5"/>
      <c r="L228" s="5"/>
      <c r="O228" s="5" t="str">
        <v>tengah</v>
      </c>
      <c r="P228" s="5"/>
      <c r="Q228" s="5"/>
      <c r="T228" s="5" t="str">
        <v>kanan</v>
      </c>
      <c r="U228" s="5"/>
      <c r="V228" s="5"/>
    </row>
    <row r="229" customFormat="false" ht="15" hidden="false" customHeight="false" outlineLevel="0" collapsed="false">
      <c r="E229" s="5" t="str">
        <v>kanan</v>
      </c>
      <c r="F229" s="5"/>
      <c r="G229" s="5"/>
      <c r="J229" s="5" t="str">
        <v>tengah</v>
      </c>
      <c r="K229" s="5"/>
      <c r="L229" s="5"/>
      <c r="O229" s="5" t="str">
        <v>tengah</v>
      </c>
      <c r="P229" s="5"/>
      <c r="Q229" s="5"/>
      <c r="T229" s="5" t="str">
        <v>kanan</v>
      </c>
      <c r="U229" s="5"/>
      <c r="V229" s="5"/>
    </row>
    <row r="230" customFormat="false" ht="15" hidden="false" customHeight="false" outlineLevel="0" collapsed="false">
      <c r="E230" s="5" t="str">
        <v>tengah</v>
      </c>
      <c r="F230" s="5"/>
      <c r="G230" s="5"/>
      <c r="J230" s="5" t="str">
        <v>kanan</v>
      </c>
      <c r="K230" s="5"/>
      <c r="L230" s="5"/>
      <c r="O230" s="5" t="str">
        <v>kiri</v>
      </c>
      <c r="P230" s="5"/>
      <c r="Q230" s="5"/>
      <c r="T230" s="5" t="str">
        <v>tengah</v>
      </c>
      <c r="U230" s="5"/>
      <c r="V230" s="5"/>
    </row>
    <row r="231" customFormat="false" ht="15" hidden="false" customHeight="false" outlineLevel="0" collapsed="false">
      <c r="E231" s="5" t="str">
        <v>kiri</v>
      </c>
      <c r="F231" s="5"/>
      <c r="G231" s="5"/>
      <c r="J231" s="5" t="str">
        <v>tengah</v>
      </c>
      <c r="K231" s="5"/>
      <c r="L231" s="5"/>
      <c r="O231" s="5" t="str">
        <v>kiri</v>
      </c>
      <c r="P231" s="5"/>
      <c r="Q231" s="5"/>
      <c r="T231" s="5" t="str">
        <v>tengah</v>
      </c>
      <c r="U231" s="5"/>
      <c r="V231" s="5"/>
    </row>
    <row r="232" customFormat="false" ht="15" hidden="false" customHeight="false" outlineLevel="0" collapsed="false">
      <c r="E232" s="5" t="str">
        <v>kanan</v>
      </c>
      <c r="F232" s="5"/>
      <c r="G232" s="5"/>
      <c r="J232" s="5" t="str">
        <v>kiri</v>
      </c>
      <c r="K232" s="5"/>
      <c r="L232" s="5"/>
      <c r="O232" s="5" t="str">
        <v>kanan</v>
      </c>
      <c r="P232" s="5"/>
      <c r="Q232" s="5"/>
      <c r="T232" s="5" t="str">
        <v>kanan</v>
      </c>
      <c r="U232" s="5"/>
      <c r="V232" s="5"/>
    </row>
    <row r="233" customFormat="false" ht="15" hidden="false" customHeight="false" outlineLevel="0" collapsed="false">
      <c r="E233" s="5" t="str">
        <v>kanan</v>
      </c>
      <c r="F233" s="5"/>
      <c r="G233" s="5"/>
      <c r="J233" s="5" t="str">
        <v>tengah</v>
      </c>
      <c r="K233" s="5"/>
      <c r="L233" s="5"/>
      <c r="O233" s="5" t="str">
        <v>tengah</v>
      </c>
      <c r="P233" s="5"/>
      <c r="Q233" s="5"/>
      <c r="T233" s="5" t="str">
        <v>tengah</v>
      </c>
      <c r="U233" s="5"/>
      <c r="V233" s="5"/>
    </row>
    <row r="234" customFormat="false" ht="15" hidden="false" customHeight="false" outlineLevel="0" collapsed="false">
      <c r="E234" s="5" t="str">
        <v>tengah</v>
      </c>
      <c r="F234" s="5"/>
      <c r="G234" s="5"/>
      <c r="J234" s="5" t="str">
        <v>kanan</v>
      </c>
      <c r="K234" s="5"/>
      <c r="L234" s="5"/>
      <c r="O234" s="5" t="str">
        <v>tengah</v>
      </c>
      <c r="P234" s="5"/>
      <c r="Q234" s="5"/>
      <c r="T234" s="5" t="str">
        <v>kanan</v>
      </c>
      <c r="U234" s="5"/>
      <c r="V234" s="5"/>
    </row>
    <row r="235" customFormat="false" ht="15" hidden="false" customHeight="false" outlineLevel="0" collapsed="false">
      <c r="E235" s="5" t="str">
        <v>kiri</v>
      </c>
      <c r="F235" s="5"/>
      <c r="G235" s="5"/>
      <c r="J235" s="5" t="str">
        <v>tengah</v>
      </c>
      <c r="K235" s="5"/>
      <c r="L235" s="5"/>
      <c r="O235" s="5" t="str">
        <v>kanan</v>
      </c>
      <c r="P235" s="5"/>
      <c r="Q235" s="5"/>
      <c r="T235" s="5" t="str">
        <v>tengah</v>
      </c>
      <c r="U235" s="5"/>
      <c r="V235" s="5"/>
    </row>
    <row r="236" customFormat="false" ht="15" hidden="false" customHeight="false" outlineLevel="0" collapsed="false">
      <c r="E236" s="5" t="str">
        <v>kanan</v>
      </c>
      <c r="F236" s="5"/>
      <c r="G236" s="5"/>
      <c r="J236" s="5" t="str">
        <v>kiri</v>
      </c>
      <c r="K236" s="5"/>
      <c r="L236" s="5"/>
      <c r="O236" s="5" t="str">
        <v>kanan</v>
      </c>
      <c r="P236" s="5"/>
      <c r="Q236" s="5"/>
      <c r="T236" s="5" t="str">
        <v>kanan</v>
      </c>
      <c r="U236" s="5"/>
      <c r="V236" s="5"/>
    </row>
    <row r="237" customFormat="false" ht="15" hidden="false" customHeight="false" outlineLevel="0" collapsed="false">
      <c r="E237" s="5" t="str">
        <v>kanan</v>
      </c>
      <c r="F237" s="5"/>
      <c r="G237" s="5"/>
      <c r="J237" s="5" t="str">
        <v>tengah</v>
      </c>
      <c r="K237" s="5"/>
      <c r="L237" s="5"/>
      <c r="O237" s="5" t="str">
        <v>tengah</v>
      </c>
      <c r="P237" s="5"/>
      <c r="Q237" s="5"/>
      <c r="T237" s="5" t="str">
        <v>kanan</v>
      </c>
      <c r="U237" s="5"/>
      <c r="V237" s="5"/>
    </row>
    <row r="238" customFormat="false" ht="15" hidden="false" customHeight="false" outlineLevel="0" collapsed="false">
      <c r="E238" s="5" t="str">
        <v>tengah</v>
      </c>
      <c r="F238" s="5"/>
      <c r="G238" s="5"/>
      <c r="J238" s="5" t="str">
        <v>tengah</v>
      </c>
      <c r="K238" s="5"/>
      <c r="L238" s="5"/>
      <c r="O238" s="5" t="str">
        <v>tengah</v>
      </c>
      <c r="P238" s="5"/>
      <c r="Q238" s="5"/>
      <c r="T238" s="5" t="str">
        <v>tengah</v>
      </c>
      <c r="U238" s="5"/>
      <c r="V238" s="5"/>
    </row>
    <row r="239" customFormat="false" ht="15" hidden="false" customHeight="false" outlineLevel="0" collapsed="false">
      <c r="E239" s="5" t="str">
        <v>tengah</v>
      </c>
      <c r="F239" s="5"/>
      <c r="G239" s="5"/>
      <c r="J239" s="5" t="str">
        <v>kiri</v>
      </c>
      <c r="K239" s="5"/>
      <c r="L239" s="5"/>
      <c r="O239" s="5" t="str">
        <v>tengah</v>
      </c>
      <c r="P239" s="5"/>
      <c r="Q239" s="5"/>
      <c r="T239" s="5" t="str">
        <v>kanan</v>
      </c>
      <c r="U239" s="5"/>
      <c r="V239" s="5"/>
    </row>
    <row r="240" customFormat="false" ht="15" hidden="false" customHeight="false" outlineLevel="0" collapsed="false">
      <c r="E240" s="5" t="str">
        <v>tengah</v>
      </c>
      <c r="F240" s="5"/>
      <c r="G240" s="5"/>
      <c r="J240" s="5" t="str">
        <v>tengah</v>
      </c>
      <c r="K240" s="5"/>
      <c r="L240" s="5"/>
      <c r="O240" s="5" t="str">
        <v>tengah</v>
      </c>
      <c r="P240" s="5"/>
      <c r="Q240" s="5"/>
      <c r="T240" s="5" t="str">
        <v>kanan</v>
      </c>
      <c r="U240" s="5"/>
      <c r="V240" s="5"/>
    </row>
    <row r="241" customFormat="false" ht="15" hidden="false" customHeight="false" outlineLevel="0" collapsed="false">
      <c r="E241" s="5" t="str">
        <v>kiri</v>
      </c>
      <c r="F241" s="5"/>
      <c r="G241" s="5"/>
      <c r="J241" s="5" t="str">
        <v>tengah</v>
      </c>
      <c r="K241" s="5"/>
      <c r="L241" s="5"/>
      <c r="O241" s="5" t="str">
        <v>kanan</v>
      </c>
      <c r="P241" s="5"/>
      <c r="Q241" s="5"/>
      <c r="T241" s="5" t="str">
        <v>tengah</v>
      </c>
      <c r="U241" s="5"/>
      <c r="V241" s="5"/>
    </row>
    <row r="242" customFormat="false" ht="15" hidden="false" customHeight="false" outlineLevel="0" collapsed="false">
      <c r="E242" s="5" t="str">
        <v>tengah</v>
      </c>
      <c r="F242" s="5"/>
      <c r="G242" s="5"/>
      <c r="J242" s="5" t="str">
        <v>kanan</v>
      </c>
      <c r="K242" s="5"/>
      <c r="L242" s="5"/>
      <c r="O242" s="5" t="str">
        <v>tengah</v>
      </c>
      <c r="P242" s="5"/>
      <c r="Q242" s="5"/>
      <c r="T242" s="5" t="str">
        <v>tengah</v>
      </c>
      <c r="U242" s="5"/>
      <c r="V242" s="5"/>
    </row>
    <row r="243" customFormat="false" ht="15" hidden="false" customHeight="false" outlineLevel="0" collapsed="false">
      <c r="E243" s="5" t="str">
        <v>tengah</v>
      </c>
      <c r="F243" s="5"/>
      <c r="G243" s="5"/>
      <c r="J243" s="5" t="str">
        <v>tengah</v>
      </c>
      <c r="K243" s="5"/>
      <c r="L243" s="5"/>
      <c r="O243" s="5" t="str">
        <v>tengah</v>
      </c>
      <c r="P243" s="5"/>
      <c r="Q243" s="5"/>
      <c r="T243" s="5" t="str">
        <v>tengah</v>
      </c>
      <c r="U243" s="5"/>
      <c r="V243" s="5"/>
    </row>
    <row r="244" customFormat="false" ht="15" hidden="false" customHeight="false" outlineLevel="0" collapsed="false">
      <c r="E244" s="5" t="str">
        <v>kanan</v>
      </c>
      <c r="F244" s="5"/>
      <c r="G244" s="5"/>
      <c r="J244" s="5" t="str">
        <v>tengah</v>
      </c>
      <c r="K244" s="5"/>
      <c r="L244" s="5"/>
      <c r="O244" s="5" t="str">
        <v>tengah</v>
      </c>
      <c r="P244" s="5"/>
      <c r="Q244" s="5"/>
      <c r="T244" s="5" t="str">
        <v>tengah</v>
      </c>
      <c r="U244" s="5"/>
      <c r="V244" s="5"/>
    </row>
    <row r="245" customFormat="false" ht="15" hidden="false" customHeight="false" outlineLevel="0" collapsed="false">
      <c r="E245" s="5" t="str">
        <v>tengah</v>
      </c>
      <c r="F245" s="5"/>
      <c r="G245" s="5"/>
      <c r="J245" s="5" t="str">
        <v>tengah</v>
      </c>
      <c r="K245" s="5"/>
      <c r="L245" s="5"/>
      <c r="O245" s="5" t="str">
        <v>tengah</v>
      </c>
      <c r="P245" s="5"/>
      <c r="Q245" s="5"/>
      <c r="T245" s="5" t="str">
        <v>tengah</v>
      </c>
      <c r="U245" s="5"/>
      <c r="V245" s="5"/>
    </row>
    <row r="246" customFormat="false" ht="15" hidden="false" customHeight="false" outlineLevel="0" collapsed="false">
      <c r="E246" s="5" t="str">
        <v>kiri</v>
      </c>
      <c r="F246" s="5"/>
      <c r="G246" s="5"/>
      <c r="J246" s="5" t="str">
        <v>tengah</v>
      </c>
      <c r="K246" s="5"/>
      <c r="L246" s="5"/>
      <c r="O246" s="5" t="str">
        <v>kanan</v>
      </c>
      <c r="P246" s="5"/>
      <c r="Q246" s="5"/>
      <c r="T246" s="5" t="str">
        <v>kanan</v>
      </c>
      <c r="U246" s="5"/>
      <c r="V246" s="5"/>
    </row>
    <row r="247" customFormat="false" ht="15" hidden="false" customHeight="false" outlineLevel="0" collapsed="false">
      <c r="E247" s="5" t="str">
        <v>tengah</v>
      </c>
      <c r="F247" s="5"/>
      <c r="G247" s="5"/>
      <c r="J247" s="5" t="str">
        <v>kiri</v>
      </c>
      <c r="K247" s="5"/>
      <c r="L247" s="5"/>
      <c r="O247" s="5" t="str">
        <v>tengah</v>
      </c>
      <c r="P247" s="5"/>
      <c r="Q247" s="5"/>
      <c r="T247" s="5" t="str">
        <v>kanan</v>
      </c>
      <c r="U247" s="5"/>
      <c r="V247" s="5"/>
    </row>
    <row r="248" customFormat="false" ht="15" hidden="false" customHeight="false" outlineLevel="0" collapsed="false">
      <c r="E248" s="5" t="str">
        <v>tengah</v>
      </c>
      <c r="F248" s="5"/>
      <c r="G248" s="5"/>
      <c r="J248" s="5" t="str">
        <v>tengah</v>
      </c>
      <c r="K248" s="5"/>
      <c r="L248" s="5"/>
      <c r="O248" s="5" t="str">
        <v>tengah</v>
      </c>
      <c r="P248" s="5"/>
      <c r="Q248" s="5"/>
      <c r="T248" s="5" t="str">
        <v>tengah</v>
      </c>
      <c r="U248" s="5"/>
      <c r="V248" s="5"/>
    </row>
    <row r="249" customFormat="false" ht="15" hidden="false" customHeight="false" outlineLevel="0" collapsed="false">
      <c r="E249" s="5" t="str">
        <v>tengah</v>
      </c>
      <c r="F249" s="5"/>
      <c r="G249" s="5"/>
      <c r="J249" s="5" t="str">
        <v>kanan</v>
      </c>
      <c r="K249" s="5"/>
      <c r="L249" s="5"/>
      <c r="O249" s="5" t="str">
        <v>kanan</v>
      </c>
      <c r="P249" s="5"/>
      <c r="Q249" s="5"/>
      <c r="T249" s="5" t="str">
        <v>tengah</v>
      </c>
      <c r="U249" s="5"/>
      <c r="V249" s="5"/>
    </row>
    <row r="250" customFormat="false" ht="15" hidden="false" customHeight="false" outlineLevel="0" collapsed="false">
      <c r="E250" s="5" t="str">
        <v>kanan</v>
      </c>
      <c r="F250" s="5"/>
      <c r="G250" s="5"/>
      <c r="J250" s="5" t="str">
        <v>tengah</v>
      </c>
      <c r="K250" s="5"/>
      <c r="L250" s="5"/>
      <c r="O250" s="5" t="str">
        <v>tengah</v>
      </c>
      <c r="P250" s="5"/>
      <c r="Q250" s="5"/>
      <c r="T250" s="5" t="str">
        <v>kanan</v>
      </c>
      <c r="U250" s="5"/>
      <c r="V250" s="5"/>
    </row>
    <row r="251" customFormat="false" ht="15" hidden="false" customHeight="false" outlineLevel="0" collapsed="false">
      <c r="E251" s="5" t="str">
        <v>kanan</v>
      </c>
      <c r="F251" s="5"/>
      <c r="G251" s="5"/>
      <c r="J251" s="5" t="str">
        <v>kanan</v>
      </c>
      <c r="K251" s="5"/>
      <c r="L251" s="5"/>
      <c r="O251" s="5" t="str">
        <v>tengah</v>
      </c>
      <c r="P251" s="5"/>
      <c r="Q251" s="5"/>
      <c r="T251" s="5" t="str">
        <v>kanan</v>
      </c>
      <c r="U251" s="5"/>
      <c r="V251" s="5"/>
    </row>
    <row r="252" customFormat="false" ht="15" hidden="false" customHeight="false" outlineLevel="0" collapsed="false">
      <c r="E252" s="5" t="str">
        <v>tengah</v>
      </c>
      <c r="F252" s="5"/>
      <c r="G252" s="5"/>
      <c r="J252" s="5" t="str">
        <v>tengah</v>
      </c>
      <c r="K252" s="5"/>
      <c r="L252" s="5"/>
      <c r="O252" s="5" t="str">
        <v>tengah</v>
      </c>
      <c r="P252" s="5"/>
      <c r="Q252" s="5"/>
      <c r="T252" s="5" t="str">
        <v>kanan</v>
      </c>
      <c r="U252" s="5"/>
      <c r="V252" s="5"/>
    </row>
    <row r="253" customFormat="false" ht="15" hidden="false" customHeight="false" outlineLevel="0" collapsed="false">
      <c r="E253" s="5" t="str">
        <v>kanan</v>
      </c>
      <c r="F253" s="5"/>
      <c r="G253" s="5"/>
      <c r="J253" s="5" t="str">
        <v>kanan</v>
      </c>
      <c r="K253" s="5"/>
      <c r="L253" s="5"/>
      <c r="O253" s="5" t="str">
        <v>kanan</v>
      </c>
      <c r="P253" s="5"/>
      <c r="Q253" s="5"/>
      <c r="T253" s="5" t="str">
        <v>kanan</v>
      </c>
      <c r="U253" s="5"/>
      <c r="V253" s="5"/>
    </row>
    <row r="254" customFormat="false" ht="15" hidden="false" customHeight="false" outlineLevel="0" collapsed="false">
      <c r="E254" s="5" t="str">
        <v>kiri</v>
      </c>
      <c r="F254" s="5"/>
      <c r="G254" s="5"/>
      <c r="J254" s="5" t="str">
        <v>kanan</v>
      </c>
      <c r="K254" s="5"/>
      <c r="L254" s="5"/>
      <c r="O254" s="5" t="str">
        <v>tengah</v>
      </c>
      <c r="P254" s="5"/>
      <c r="Q254" s="5"/>
      <c r="T254" s="5" t="str">
        <v>kanan</v>
      </c>
      <c r="U254" s="5"/>
      <c r="V254" s="5"/>
    </row>
    <row r="255" customFormat="false" ht="15" hidden="false" customHeight="false" outlineLevel="0" collapsed="false">
      <c r="E255" s="5" t="str">
        <v>kiri</v>
      </c>
      <c r="F255" s="5"/>
      <c r="G255" s="5"/>
      <c r="J255" s="5" t="str">
        <v>kanan</v>
      </c>
      <c r="K255" s="5"/>
      <c r="L255" s="5"/>
      <c r="O255" s="5" t="str">
        <v>kiri</v>
      </c>
      <c r="P255" s="5"/>
      <c r="Q255" s="5"/>
      <c r="T255" s="5" t="str">
        <v>tengah</v>
      </c>
      <c r="U255" s="5"/>
      <c r="V255" s="5"/>
    </row>
    <row r="256" customFormat="false" ht="15" hidden="false" customHeight="false" outlineLevel="0" collapsed="false">
      <c r="E256" s="5" t="str">
        <v>kiri</v>
      </c>
      <c r="F256" s="5"/>
      <c r="G256" s="5"/>
      <c r="J256" s="5" t="str">
        <v>tengah</v>
      </c>
      <c r="K256" s="5"/>
      <c r="L256" s="5"/>
      <c r="O256" s="5" t="str">
        <v>tengah</v>
      </c>
      <c r="P256" s="5"/>
      <c r="Q256" s="5"/>
      <c r="T256" s="5" t="str">
        <v>kanan</v>
      </c>
      <c r="U256" s="5"/>
      <c r="V256" s="5"/>
    </row>
    <row r="257" customFormat="false" ht="15" hidden="false" customHeight="false" outlineLevel="0" collapsed="false">
      <c r="E257" s="5" t="str">
        <v>kiri</v>
      </c>
      <c r="F257" s="5"/>
      <c r="G257" s="5"/>
      <c r="J257" s="5" t="str">
        <v>tengah</v>
      </c>
      <c r="K257" s="5"/>
      <c r="L257" s="5"/>
      <c r="O257" s="5" t="str">
        <v>kanan</v>
      </c>
      <c r="P257" s="5"/>
      <c r="Q257" s="5"/>
      <c r="T257" s="5" t="str">
        <v>kanan</v>
      </c>
      <c r="U257" s="5"/>
      <c r="V257" s="5"/>
    </row>
    <row r="258" customFormat="false" ht="15" hidden="false" customHeight="false" outlineLevel="0" collapsed="false">
      <c r="E258" s="5" t="str">
        <v>kiri</v>
      </c>
      <c r="F258" s="5"/>
      <c r="G258" s="5"/>
      <c r="J258" s="5" t="str">
        <v>tengah</v>
      </c>
      <c r="K258" s="5"/>
      <c r="L258" s="5"/>
      <c r="O258" s="5" t="str">
        <v>tengah</v>
      </c>
      <c r="P258" s="5"/>
      <c r="Q258" s="5"/>
      <c r="T258" s="5" t="str">
        <v>tengah</v>
      </c>
      <c r="U258" s="5"/>
      <c r="V258" s="5"/>
    </row>
    <row r="259" customFormat="false" ht="15" hidden="false" customHeight="false" outlineLevel="0" collapsed="false">
      <c r="E259" s="5" t="str">
        <v>kiri</v>
      </c>
      <c r="F259" s="5"/>
      <c r="G259" s="5"/>
      <c r="J259" s="5" t="str">
        <v>tengah</v>
      </c>
      <c r="K259" s="5"/>
      <c r="L259" s="5"/>
      <c r="O259" s="5" t="str">
        <v>kiri</v>
      </c>
      <c r="P259" s="5"/>
      <c r="Q259" s="5"/>
      <c r="T259" s="5" t="str">
        <v>tengah</v>
      </c>
      <c r="U259" s="5"/>
      <c r="V259" s="5"/>
    </row>
    <row r="260" customFormat="false" ht="15" hidden="false" customHeight="false" outlineLevel="0" collapsed="false">
      <c r="E260" s="5" t="str">
        <v>kiri</v>
      </c>
      <c r="F260" s="5"/>
      <c r="G260" s="5"/>
      <c r="J260" s="5" t="str">
        <v>tengah</v>
      </c>
      <c r="K260" s="5"/>
      <c r="L260" s="5"/>
      <c r="O260" s="5" t="str">
        <v>tengah</v>
      </c>
      <c r="P260" s="5"/>
      <c r="Q260" s="5"/>
      <c r="T260" s="5" t="str">
        <v>kanan</v>
      </c>
      <c r="U260" s="5"/>
      <c r="V260" s="5"/>
    </row>
    <row r="261" customFormat="false" ht="15" hidden="false" customHeight="false" outlineLevel="0" collapsed="false">
      <c r="E261" s="5" t="str">
        <v>tengah</v>
      </c>
      <c r="F261" s="5"/>
      <c r="G261" s="5"/>
      <c r="J261" s="5" t="str">
        <v>tengah</v>
      </c>
      <c r="K261" s="5"/>
      <c r="L261" s="5"/>
      <c r="O261" s="5" t="str">
        <v>kiri</v>
      </c>
      <c r="P261" s="5"/>
      <c r="Q261" s="5"/>
      <c r="T261" s="5" t="str">
        <v>kanan</v>
      </c>
      <c r="U261" s="5"/>
      <c r="V261" s="5"/>
    </row>
    <row r="262" customFormat="false" ht="15" hidden="false" customHeight="false" outlineLevel="0" collapsed="false">
      <c r="E262" s="5" t="str">
        <v>tengah</v>
      </c>
      <c r="F262" s="5"/>
      <c r="G262" s="5"/>
      <c r="J262" s="5" t="str">
        <v>kanan</v>
      </c>
      <c r="K262" s="5"/>
      <c r="L262" s="5"/>
      <c r="O262" s="5" t="str">
        <v>kiri</v>
      </c>
      <c r="P262" s="5"/>
      <c r="Q262" s="5"/>
      <c r="T262" s="5" t="str">
        <v>tengah</v>
      </c>
      <c r="U262" s="5"/>
      <c r="V262" s="5"/>
    </row>
    <row r="263" customFormat="false" ht="15" hidden="false" customHeight="false" outlineLevel="0" collapsed="false">
      <c r="E263" s="5" t="str">
        <v>tengah</v>
      </c>
      <c r="F263" s="5"/>
      <c r="G263" s="5"/>
      <c r="J263" s="5" t="str">
        <v>tengah</v>
      </c>
      <c r="K263" s="5"/>
      <c r="L263" s="5"/>
      <c r="O263" s="5" t="str">
        <v>tengah</v>
      </c>
      <c r="P263" s="5"/>
      <c r="Q263" s="5"/>
      <c r="T263" s="5" t="str">
        <v>kanan</v>
      </c>
      <c r="U263" s="5"/>
      <c r="V263" s="5"/>
    </row>
    <row r="264" customFormat="false" ht="15" hidden="false" customHeight="false" outlineLevel="0" collapsed="false">
      <c r="E264" s="5" t="str">
        <v>tengah</v>
      </c>
      <c r="F264" s="5"/>
      <c r="G264" s="5"/>
      <c r="J264" s="5" t="str">
        <v>tengah</v>
      </c>
      <c r="K264" s="5"/>
      <c r="L264" s="5"/>
      <c r="O264" s="5" t="str">
        <v>tengah</v>
      </c>
      <c r="P264" s="5"/>
      <c r="Q264" s="5"/>
      <c r="T264" s="5" t="str">
        <v>tengah</v>
      </c>
      <c r="U264" s="5"/>
      <c r="V264" s="5"/>
    </row>
    <row r="265" customFormat="false" ht="15" hidden="false" customHeight="false" outlineLevel="0" collapsed="false">
      <c r="E265" s="5" t="str">
        <v>kiri</v>
      </c>
      <c r="F265" s="5"/>
      <c r="G265" s="5"/>
      <c r="J265" s="5" t="str">
        <v>tengah</v>
      </c>
      <c r="K265" s="5"/>
      <c r="L265" s="5"/>
      <c r="O265" s="5" t="str">
        <v>tengah</v>
      </c>
      <c r="P265" s="5"/>
      <c r="Q265" s="5"/>
      <c r="T265" s="5" t="str">
        <v>kanan</v>
      </c>
      <c r="U265" s="5"/>
      <c r="V265" s="5"/>
    </row>
    <row r="266" customFormat="false" ht="15" hidden="false" customHeight="false" outlineLevel="0" collapsed="false">
      <c r="E266" s="5" t="str">
        <v>kanan</v>
      </c>
      <c r="F266" s="5"/>
      <c r="G266" s="5"/>
      <c r="J266" s="5" t="str">
        <v>tengah</v>
      </c>
      <c r="K266" s="5"/>
      <c r="L266" s="5"/>
      <c r="O266" s="5" t="str">
        <v>tengah</v>
      </c>
      <c r="P266" s="5"/>
      <c r="Q266" s="5"/>
      <c r="T266" s="5" t="str">
        <v>tengah</v>
      </c>
      <c r="U266" s="5"/>
      <c r="V266" s="5"/>
    </row>
    <row r="267" customFormat="false" ht="15" hidden="false" customHeight="false" outlineLevel="0" collapsed="false">
      <c r="E267" s="5" t="str">
        <v>tengah</v>
      </c>
      <c r="F267" s="5"/>
      <c r="G267" s="5"/>
      <c r="J267" s="5" t="str">
        <v>kanan</v>
      </c>
      <c r="K267" s="5"/>
      <c r="L267" s="5"/>
      <c r="O267" s="5" t="str">
        <v>tengah</v>
      </c>
      <c r="P267" s="5"/>
      <c r="Q267" s="5"/>
      <c r="T267" s="5" t="str">
        <v>tengah</v>
      </c>
      <c r="U267" s="5"/>
      <c r="V267" s="5"/>
    </row>
    <row r="268" customFormat="false" ht="15" hidden="false" customHeight="false" outlineLevel="0" collapsed="false">
      <c r="E268" s="5" t="str">
        <v>tengah</v>
      </c>
      <c r="F268" s="5"/>
      <c r="G268" s="5"/>
      <c r="J268" s="5" t="str">
        <v>tengah</v>
      </c>
      <c r="K268" s="5"/>
      <c r="L268" s="5"/>
      <c r="O268" s="5" t="str">
        <v>kiri</v>
      </c>
      <c r="P268" s="5"/>
      <c r="Q268" s="5"/>
      <c r="T268" s="5" t="str">
        <v>kanan</v>
      </c>
      <c r="U268" s="5"/>
      <c r="V268" s="5"/>
    </row>
    <row r="269" customFormat="false" ht="15" hidden="false" customHeight="false" outlineLevel="0" collapsed="false">
      <c r="E269" s="5" t="str">
        <v>kiri</v>
      </c>
      <c r="F269" s="5"/>
      <c r="G269" s="5"/>
      <c r="J269" s="5" t="str">
        <v>kiri</v>
      </c>
      <c r="K269" s="5"/>
      <c r="L269" s="5"/>
      <c r="O269" s="5" t="str">
        <v>tengah</v>
      </c>
      <c r="P269" s="5"/>
      <c r="Q269" s="5"/>
      <c r="T269" s="5" t="str">
        <v>kanan</v>
      </c>
      <c r="U269" s="5"/>
      <c r="V269" s="5"/>
    </row>
    <row r="270" customFormat="false" ht="15" hidden="false" customHeight="false" outlineLevel="0" collapsed="false">
      <c r="E270" s="5" t="str">
        <v>kanan</v>
      </c>
      <c r="F270" s="5"/>
      <c r="G270" s="5"/>
      <c r="J270" s="5" t="str">
        <v>tengah</v>
      </c>
      <c r="K270" s="5"/>
      <c r="L270" s="5"/>
      <c r="O270" s="5" t="str">
        <v>tengah</v>
      </c>
      <c r="P270" s="5"/>
      <c r="Q270" s="5"/>
      <c r="T270" s="5" t="str">
        <v>kanan</v>
      </c>
      <c r="U270" s="5"/>
      <c r="V270" s="5"/>
    </row>
    <row r="271" customFormat="false" ht="15" hidden="false" customHeight="false" outlineLevel="0" collapsed="false">
      <c r="E271" s="5" t="str">
        <v>kanan</v>
      </c>
      <c r="F271" s="5"/>
      <c r="G271" s="5"/>
      <c r="J271" s="5" t="str">
        <v>tengah</v>
      </c>
      <c r="K271" s="5"/>
      <c r="L271" s="5"/>
      <c r="O271" s="5" t="str">
        <v>tengah</v>
      </c>
      <c r="P271" s="5"/>
      <c r="Q271" s="5"/>
      <c r="T271" s="5" t="str">
        <v>tengah</v>
      </c>
      <c r="U271" s="5"/>
      <c r="V271" s="5"/>
    </row>
    <row r="272" customFormat="false" ht="15" hidden="false" customHeight="false" outlineLevel="0" collapsed="false">
      <c r="E272" s="5" t="str">
        <v>kiri</v>
      </c>
      <c r="F272" s="5"/>
      <c r="G272" s="5"/>
      <c r="J272" s="5" t="str">
        <v>kiri</v>
      </c>
      <c r="K272" s="5"/>
      <c r="L272" s="5"/>
      <c r="O272" s="5" t="str">
        <v>kanan</v>
      </c>
      <c r="P272" s="5"/>
      <c r="Q272" s="5"/>
      <c r="T272" s="5" t="str">
        <v>kanan</v>
      </c>
      <c r="U272" s="5"/>
      <c r="V272" s="5"/>
    </row>
    <row r="273" customFormat="false" ht="15" hidden="false" customHeight="false" outlineLevel="0" collapsed="false">
      <c r="E273" s="5" t="str">
        <v>tengah</v>
      </c>
      <c r="F273" s="5"/>
      <c r="G273" s="5"/>
      <c r="J273" s="5" t="str">
        <v>tengah</v>
      </c>
      <c r="K273" s="5"/>
      <c r="L273" s="5"/>
      <c r="O273" s="5" t="str">
        <v>tengah</v>
      </c>
      <c r="P273" s="5"/>
      <c r="Q273" s="5"/>
      <c r="T273" s="5" t="str">
        <v>kanan</v>
      </c>
      <c r="U273" s="5"/>
      <c r="V273" s="5"/>
    </row>
    <row r="274" customFormat="false" ht="15" hidden="false" customHeight="false" outlineLevel="0" collapsed="false">
      <c r="E274" s="5" t="str">
        <v>kiri</v>
      </c>
      <c r="F274" s="5"/>
      <c r="G274" s="5"/>
      <c r="J274" s="5" t="str">
        <v>kiri</v>
      </c>
      <c r="K274" s="5"/>
      <c r="L274" s="5"/>
      <c r="O274" s="5" t="str">
        <v>kiri</v>
      </c>
      <c r="P274" s="5"/>
      <c r="Q274" s="5"/>
      <c r="T274" s="5" t="str">
        <v>kanan</v>
      </c>
      <c r="U274" s="5"/>
      <c r="V274" s="5"/>
    </row>
    <row r="275" customFormat="false" ht="15" hidden="false" customHeight="false" outlineLevel="0" collapsed="false">
      <c r="E275" s="5" t="str">
        <v>kiri</v>
      </c>
      <c r="F275" s="5"/>
      <c r="G275" s="5"/>
      <c r="J275" s="5" t="str">
        <v>tengah</v>
      </c>
      <c r="K275" s="5"/>
      <c r="L275" s="5"/>
      <c r="O275" s="5" t="str">
        <v>tengah</v>
      </c>
      <c r="P275" s="5"/>
      <c r="Q275" s="5"/>
      <c r="T275" s="5" t="str">
        <v>kanan</v>
      </c>
      <c r="U275" s="5"/>
      <c r="V275" s="5"/>
    </row>
    <row r="276" customFormat="false" ht="15" hidden="false" customHeight="false" outlineLevel="0" collapsed="false">
      <c r="E276" s="5" t="str">
        <v>kiri</v>
      </c>
      <c r="F276" s="5"/>
      <c r="G276" s="5"/>
      <c r="J276" s="5" t="str">
        <v>tengah</v>
      </c>
      <c r="K276" s="5"/>
      <c r="L276" s="5"/>
      <c r="O276" s="5" t="str">
        <v>kiri</v>
      </c>
      <c r="P276" s="5"/>
      <c r="Q276" s="5"/>
      <c r="T276" s="5" t="str">
        <v>tengah</v>
      </c>
      <c r="U276" s="5"/>
      <c r="V276" s="5"/>
    </row>
    <row r="277" customFormat="false" ht="15" hidden="false" customHeight="false" outlineLevel="0" collapsed="false">
      <c r="E277" s="5" t="str">
        <v>tengah</v>
      </c>
      <c r="F277" s="5"/>
      <c r="G277" s="5"/>
      <c r="J277" s="5" t="str">
        <v>kiri</v>
      </c>
      <c r="K277" s="5"/>
      <c r="L277" s="5"/>
      <c r="O277" s="5" t="str">
        <v>tengah</v>
      </c>
      <c r="P277" s="5"/>
      <c r="Q277" s="5"/>
      <c r="T277" s="5" t="str">
        <v>kanan</v>
      </c>
      <c r="U277" s="5"/>
      <c r="V277" s="5"/>
    </row>
    <row r="278" customFormat="false" ht="15" hidden="false" customHeight="false" outlineLevel="0" collapsed="false">
      <c r="E278" s="5" t="str">
        <v>tengah</v>
      </c>
      <c r="F278" s="5"/>
      <c r="G278" s="5"/>
      <c r="J278" s="5" t="str">
        <v>kanan</v>
      </c>
      <c r="K278" s="5"/>
      <c r="L278" s="5"/>
      <c r="O278" s="5" t="str">
        <v>tengah</v>
      </c>
      <c r="P278" s="5"/>
      <c r="Q278" s="5"/>
      <c r="T278" s="5" t="str">
        <v>tengah</v>
      </c>
      <c r="U278" s="5"/>
      <c r="V278" s="5"/>
    </row>
    <row r="279" customFormat="false" ht="15" hidden="false" customHeight="false" outlineLevel="0" collapsed="false">
      <c r="E279" s="5" t="str">
        <v>kiri</v>
      </c>
      <c r="F279" s="5"/>
      <c r="G279" s="5"/>
      <c r="J279" s="5" t="str">
        <v>kiri</v>
      </c>
      <c r="K279" s="5"/>
      <c r="L279" s="5"/>
      <c r="O279" s="5" t="str">
        <v>kanan</v>
      </c>
      <c r="P279" s="5"/>
      <c r="Q279" s="5"/>
      <c r="T279" s="5" t="str">
        <v>tengah</v>
      </c>
      <c r="U279" s="5"/>
      <c r="V279" s="5"/>
    </row>
    <row r="280" customFormat="false" ht="15" hidden="false" customHeight="false" outlineLevel="0" collapsed="false">
      <c r="E280" s="5" t="str">
        <v>kiri</v>
      </c>
      <c r="F280" s="5"/>
      <c r="G280" s="5"/>
      <c r="J280" s="5" t="str">
        <v>kiri</v>
      </c>
      <c r="K280" s="5"/>
      <c r="L280" s="5"/>
      <c r="O280" s="5" t="str">
        <v>tengah</v>
      </c>
      <c r="P280" s="5"/>
      <c r="Q280" s="5"/>
      <c r="T280" s="5" t="str">
        <v>tengah</v>
      </c>
      <c r="U280" s="5"/>
      <c r="V280" s="5"/>
    </row>
    <row r="281" customFormat="false" ht="15" hidden="false" customHeight="false" outlineLevel="0" collapsed="false">
      <c r="E281" s="5" t="str">
        <v>tengah</v>
      </c>
      <c r="F281" s="5"/>
      <c r="G281" s="5"/>
      <c r="J281" s="5" t="str">
        <v>tengah</v>
      </c>
      <c r="K281" s="5"/>
      <c r="L281" s="5"/>
      <c r="O281" s="5" t="str">
        <v>kiri</v>
      </c>
      <c r="P281" s="5"/>
      <c r="Q281" s="5"/>
      <c r="T281" s="5" t="str">
        <v>kanan</v>
      </c>
      <c r="U281" s="5"/>
      <c r="V281" s="5"/>
    </row>
    <row r="282" customFormat="false" ht="15" hidden="false" customHeight="false" outlineLevel="0" collapsed="false">
      <c r="E282" s="5" t="str">
        <v>tengah</v>
      </c>
      <c r="F282" s="5"/>
      <c r="G282" s="5"/>
      <c r="J282" s="5" t="str">
        <v>tengah</v>
      </c>
      <c r="K282" s="5"/>
      <c r="L282" s="5"/>
      <c r="O282" s="5" t="str">
        <v>tengah</v>
      </c>
      <c r="P282" s="5"/>
      <c r="Q282" s="5"/>
      <c r="T282" s="5" t="str">
        <v>kanan</v>
      </c>
      <c r="U282" s="5"/>
      <c r="V282" s="5"/>
    </row>
    <row r="283" customFormat="false" ht="15" hidden="false" customHeight="false" outlineLevel="0" collapsed="false">
      <c r="E283" s="5" t="str">
        <v>tengah</v>
      </c>
      <c r="F283" s="5"/>
      <c r="G283" s="5"/>
      <c r="J283" s="5" t="str">
        <v>tengah</v>
      </c>
      <c r="K283" s="5"/>
      <c r="L283" s="5"/>
      <c r="O283" s="5" t="str">
        <v>kanan</v>
      </c>
      <c r="P283" s="5"/>
      <c r="Q283" s="5"/>
      <c r="T283" s="5" t="str">
        <v>kanan</v>
      </c>
      <c r="U283" s="5"/>
      <c r="V283" s="5"/>
    </row>
    <row r="284" customFormat="false" ht="15" hidden="false" customHeight="false" outlineLevel="0" collapsed="false">
      <c r="E284" s="5" t="str">
        <v>kanan</v>
      </c>
      <c r="F284" s="5"/>
      <c r="G284" s="5"/>
      <c r="J284" s="5" t="str">
        <v>kanan</v>
      </c>
      <c r="K284" s="5"/>
      <c r="L284" s="5"/>
      <c r="O284" s="5" t="str">
        <v>tengah</v>
      </c>
      <c r="P284" s="5"/>
      <c r="Q284" s="5"/>
      <c r="T284" s="5" t="str">
        <v>tengah</v>
      </c>
      <c r="U284" s="5"/>
      <c r="V284" s="5"/>
    </row>
    <row r="285" customFormat="false" ht="15" hidden="false" customHeight="false" outlineLevel="0" collapsed="false">
      <c r="E285" s="5" t="str">
        <v>kanan</v>
      </c>
      <c r="F285" s="5"/>
      <c r="G285" s="5"/>
      <c r="J285" s="5" t="str">
        <v>kanan</v>
      </c>
      <c r="K285" s="5"/>
      <c r="L285" s="5"/>
      <c r="O285" s="5" t="str">
        <v>kanan</v>
      </c>
      <c r="P285" s="5"/>
      <c r="Q285" s="5"/>
      <c r="T285" s="5" t="str">
        <v>kanan</v>
      </c>
      <c r="U285" s="5"/>
      <c r="V285" s="5"/>
    </row>
    <row r="286" customFormat="false" ht="15" hidden="false" customHeight="false" outlineLevel="0" collapsed="false">
      <c r="E286" s="5" t="str">
        <v>tengah</v>
      </c>
      <c r="F286" s="5"/>
      <c r="G286" s="5"/>
      <c r="J286" s="5" t="str">
        <v>tengah</v>
      </c>
      <c r="K286" s="5"/>
      <c r="L286" s="5"/>
      <c r="O286" s="5" t="str">
        <v>tengah</v>
      </c>
      <c r="P286" s="5"/>
      <c r="Q286" s="5"/>
      <c r="T286" s="5" t="str">
        <v>kanan</v>
      </c>
      <c r="U286" s="5"/>
      <c r="V286" s="5"/>
    </row>
    <row r="287" customFormat="false" ht="15" hidden="false" customHeight="false" outlineLevel="0" collapsed="false">
      <c r="E287" s="5" t="str">
        <v>tengah</v>
      </c>
      <c r="F287" s="5"/>
      <c r="G287" s="5"/>
      <c r="J287" s="5" t="str">
        <v>tengah</v>
      </c>
      <c r="K287" s="5"/>
      <c r="L287" s="5"/>
      <c r="O287" s="5" t="str">
        <v>kanan</v>
      </c>
      <c r="P287" s="5"/>
      <c r="Q287" s="5"/>
      <c r="T287" s="5" t="str">
        <v>kanan</v>
      </c>
      <c r="U287" s="5"/>
      <c r="V287" s="5"/>
    </row>
    <row r="288" customFormat="false" ht="15" hidden="false" customHeight="false" outlineLevel="0" collapsed="false">
      <c r="E288" s="5" t="str">
        <v>kiri</v>
      </c>
      <c r="F288" s="5"/>
      <c r="G288" s="5"/>
      <c r="J288" s="5" t="str">
        <v>kanan</v>
      </c>
      <c r="K288" s="5"/>
      <c r="L288" s="5"/>
      <c r="O288" s="5" t="str">
        <v>tengah</v>
      </c>
      <c r="P288" s="5"/>
      <c r="Q288" s="5"/>
      <c r="T288" s="5" t="str">
        <v>kanan</v>
      </c>
      <c r="U288" s="5"/>
      <c r="V288" s="5"/>
    </row>
    <row r="289" customFormat="false" ht="15" hidden="false" customHeight="false" outlineLevel="0" collapsed="false">
      <c r="E289" s="5" t="str">
        <v>tengah</v>
      </c>
      <c r="F289" s="5"/>
      <c r="G289" s="5"/>
      <c r="J289" s="5" t="str">
        <v>kanan</v>
      </c>
      <c r="K289" s="5"/>
      <c r="L289" s="5"/>
      <c r="O289" s="5" t="str">
        <v>kanan</v>
      </c>
      <c r="P289" s="5"/>
      <c r="Q289" s="5"/>
      <c r="T289" s="5" t="str">
        <v>tengah</v>
      </c>
      <c r="U289" s="5"/>
      <c r="V289" s="5"/>
    </row>
    <row r="290" customFormat="false" ht="15" hidden="false" customHeight="false" outlineLevel="0" collapsed="false">
      <c r="E290" s="5" t="str">
        <v>tengah</v>
      </c>
      <c r="F290" s="5"/>
      <c r="G290" s="5"/>
      <c r="J290" s="5" t="str">
        <v>tengah</v>
      </c>
      <c r="K290" s="5"/>
      <c r="L290" s="5"/>
      <c r="O290" s="5" t="str">
        <v>kanan</v>
      </c>
      <c r="P290" s="5"/>
      <c r="Q290" s="5"/>
      <c r="T290" s="5" t="str">
        <v>kanan</v>
      </c>
      <c r="U290" s="5"/>
      <c r="V290" s="5"/>
    </row>
    <row r="291" customFormat="false" ht="15" hidden="false" customHeight="false" outlineLevel="0" collapsed="false">
      <c r="E291" s="5" t="str">
        <v>tengah</v>
      </c>
      <c r="F291" s="5"/>
      <c r="G291" s="5"/>
      <c r="J291" s="5" t="str">
        <v>kiri</v>
      </c>
      <c r="K291" s="5"/>
      <c r="L291" s="5"/>
      <c r="O291" s="5" t="str">
        <v>kiri</v>
      </c>
      <c r="P291" s="5"/>
      <c r="Q291" s="5"/>
      <c r="T291" s="5" t="str">
        <v>kanan</v>
      </c>
      <c r="U291" s="5"/>
      <c r="V291" s="5"/>
    </row>
    <row r="292" customFormat="false" ht="15" hidden="false" customHeight="false" outlineLevel="0" collapsed="false">
      <c r="E292" s="5" t="str">
        <v>kanan</v>
      </c>
      <c r="F292" s="5"/>
      <c r="G292" s="5"/>
      <c r="J292" s="5" t="str">
        <v>tengah</v>
      </c>
      <c r="K292" s="5"/>
      <c r="L292" s="5"/>
      <c r="O292" s="5" t="str">
        <v>tengah</v>
      </c>
      <c r="P292" s="5"/>
      <c r="Q292" s="5"/>
      <c r="T292" s="5" t="str">
        <v>tengah</v>
      </c>
      <c r="U292" s="5"/>
      <c r="V292" s="5"/>
    </row>
    <row r="293" customFormat="false" ht="15" hidden="false" customHeight="false" outlineLevel="0" collapsed="false">
      <c r="E293" s="5" t="str">
        <v>tengah</v>
      </c>
      <c r="F293" s="5"/>
      <c r="G293" s="5"/>
      <c r="J293" s="5" t="str">
        <v>tengah</v>
      </c>
      <c r="K293" s="5"/>
      <c r="L293" s="5"/>
      <c r="O293" s="5" t="str">
        <v>kiri</v>
      </c>
      <c r="P293" s="5"/>
      <c r="Q293" s="5"/>
      <c r="T293" s="5" t="str">
        <v>kanan</v>
      </c>
      <c r="U293" s="5"/>
      <c r="V293" s="5"/>
    </row>
    <row r="294" customFormat="false" ht="15" hidden="false" customHeight="false" outlineLevel="0" collapsed="false">
      <c r="E294" s="5" t="str">
        <v>kiri</v>
      </c>
      <c r="F294" s="5"/>
      <c r="G294" s="5"/>
      <c r="J294" s="5" t="str">
        <v>tengah</v>
      </c>
      <c r="K294" s="5"/>
      <c r="L294" s="5"/>
      <c r="O294" s="5" t="str">
        <v>kanan</v>
      </c>
      <c r="P294" s="5"/>
      <c r="Q294" s="5"/>
      <c r="T294" s="5" t="str">
        <v>kanan</v>
      </c>
      <c r="U294" s="5"/>
      <c r="V294" s="5"/>
    </row>
    <row r="295" customFormat="false" ht="15" hidden="false" customHeight="false" outlineLevel="0" collapsed="false">
      <c r="E295" s="5" t="str">
        <v>kanan</v>
      </c>
      <c r="F295" s="5"/>
      <c r="G295" s="5"/>
      <c r="J295" s="5" t="str">
        <v>tengah</v>
      </c>
      <c r="K295" s="5"/>
      <c r="L295" s="5"/>
      <c r="O295" s="5" t="str">
        <v>tengah</v>
      </c>
      <c r="P295" s="5"/>
      <c r="Q295" s="5"/>
      <c r="T295" s="5" t="str">
        <v>kanan</v>
      </c>
      <c r="U295" s="5"/>
      <c r="V295" s="5"/>
    </row>
    <row r="296" customFormat="false" ht="15" hidden="false" customHeight="false" outlineLevel="0" collapsed="false">
      <c r="E296" s="5" t="str">
        <v>tengah</v>
      </c>
      <c r="F296" s="5"/>
      <c r="G296" s="5"/>
      <c r="J296" s="5" t="str">
        <v>tengah</v>
      </c>
      <c r="K296" s="5"/>
      <c r="L296" s="5"/>
      <c r="O296" s="5" t="str">
        <v>tengah</v>
      </c>
      <c r="P296" s="5"/>
      <c r="Q296" s="5"/>
      <c r="T296" s="5" t="str">
        <v>tengah</v>
      </c>
      <c r="U296" s="5"/>
      <c r="V296" s="5"/>
    </row>
    <row r="297" customFormat="false" ht="15" hidden="false" customHeight="false" outlineLevel="0" collapsed="false">
      <c r="E297" s="5" t="str">
        <v>tengah</v>
      </c>
      <c r="F297" s="5"/>
      <c r="G297" s="5"/>
      <c r="J297" s="5" t="str">
        <v>tengah</v>
      </c>
      <c r="K297" s="5"/>
      <c r="L297" s="5"/>
      <c r="O297" s="5" t="str">
        <v>tengah</v>
      </c>
      <c r="P297" s="5"/>
      <c r="Q297" s="5"/>
      <c r="T297" s="5" t="str">
        <v>tengah</v>
      </c>
      <c r="U297" s="5"/>
      <c r="V297" s="5"/>
    </row>
    <row r="298" customFormat="false" ht="15" hidden="false" customHeight="false" outlineLevel="0" collapsed="false">
      <c r="E298" s="5" t="str">
        <v>tengah</v>
      </c>
      <c r="F298" s="5"/>
      <c r="G298" s="5"/>
      <c r="J298" s="5" t="str">
        <v>tengah</v>
      </c>
      <c r="K298" s="5"/>
      <c r="L298" s="5"/>
      <c r="O298" s="5" t="str">
        <v>kiri</v>
      </c>
      <c r="P298" s="5"/>
      <c r="Q298" s="5"/>
      <c r="T298" s="5" t="str">
        <v>kanan</v>
      </c>
      <c r="U298" s="5"/>
      <c r="V298" s="5"/>
    </row>
    <row r="299" customFormat="false" ht="15" hidden="false" customHeight="false" outlineLevel="0" collapsed="false">
      <c r="E299" s="5" t="str">
        <v>kanan</v>
      </c>
      <c r="F299" s="5"/>
      <c r="G299" s="5"/>
      <c r="J299" s="5" t="str">
        <v>tengah</v>
      </c>
      <c r="K299" s="5"/>
      <c r="L299" s="5"/>
      <c r="O299" s="5" t="str">
        <v>kanan</v>
      </c>
      <c r="P299" s="5"/>
      <c r="Q299" s="5"/>
      <c r="T299" s="5" t="str">
        <v>kanan</v>
      </c>
      <c r="U299" s="5"/>
      <c r="V299" s="5"/>
    </row>
    <row r="300" customFormat="false" ht="15" hidden="false" customHeight="false" outlineLevel="0" collapsed="false">
      <c r="E300" s="5" t="str">
        <v>tengah</v>
      </c>
      <c r="F300" s="5"/>
      <c r="G300" s="5"/>
      <c r="J300" s="5" t="str">
        <v>tengah</v>
      </c>
      <c r="K300" s="5"/>
      <c r="L300" s="5"/>
      <c r="O300" s="5" t="str">
        <v>kanan</v>
      </c>
      <c r="P300" s="5"/>
      <c r="Q300" s="5"/>
      <c r="T300" s="5" t="str">
        <v>kanan</v>
      </c>
      <c r="U300" s="5"/>
      <c r="V300" s="5"/>
    </row>
    <row r="301" customFormat="false" ht="15" hidden="false" customHeight="false" outlineLevel="0" collapsed="false">
      <c r="E301" s="5" t="str">
        <v>tengah</v>
      </c>
      <c r="F301" s="5"/>
      <c r="G301" s="5"/>
      <c r="J301" s="5" t="str">
        <v>tengah</v>
      </c>
      <c r="K301" s="5"/>
      <c r="L301" s="5"/>
      <c r="O301" s="5" t="str">
        <v>kanan</v>
      </c>
      <c r="P301" s="5"/>
      <c r="Q301" s="5"/>
      <c r="T301" s="5" t="str">
        <v>kanan</v>
      </c>
      <c r="U301" s="5"/>
      <c r="V301" s="5"/>
    </row>
    <row r="302" customFormat="false" ht="15" hidden="false" customHeight="false" outlineLevel="0" collapsed="false">
      <c r="E302" s="5" t="str">
        <v>kanan</v>
      </c>
      <c r="F302" s="5"/>
      <c r="G302" s="5"/>
      <c r="J302" s="5" t="str">
        <v>tengah</v>
      </c>
      <c r="K302" s="5"/>
      <c r="L302" s="5"/>
      <c r="O302" s="5" t="str">
        <v>tengah</v>
      </c>
      <c r="P302" s="5"/>
      <c r="Q302" s="5"/>
      <c r="T302" s="5" t="str">
        <v>tengah</v>
      </c>
      <c r="U302" s="5"/>
      <c r="V302" s="5"/>
    </row>
    <row r="303" customFormat="false" ht="15" hidden="false" customHeight="false" outlineLevel="0" collapsed="false">
      <c r="E303" s="5" t="str">
        <v>tengah</v>
      </c>
      <c r="F303" s="5"/>
      <c r="G303" s="5"/>
      <c r="J303" s="5" t="str">
        <v>tengah</v>
      </c>
      <c r="K303" s="5"/>
      <c r="L303" s="5"/>
      <c r="O303" s="5" t="str">
        <v>kiri</v>
      </c>
      <c r="P303" s="5"/>
      <c r="Q303" s="5"/>
      <c r="T303" s="5" t="str">
        <v>kanan</v>
      </c>
      <c r="U303" s="5"/>
      <c r="V303" s="5"/>
    </row>
    <row r="304" customFormat="false" ht="15" hidden="false" customHeight="false" outlineLevel="0" collapsed="false">
      <c r="E304" s="5" t="str">
        <v>kanan</v>
      </c>
      <c r="F304" s="5"/>
      <c r="G304" s="5"/>
      <c r="J304" s="5" t="str">
        <v>tengah</v>
      </c>
      <c r="K304" s="5"/>
      <c r="L304" s="5"/>
      <c r="O304" s="5" t="str">
        <v>tengah</v>
      </c>
      <c r="P304" s="5"/>
      <c r="Q304" s="5"/>
      <c r="T304" s="5" t="str">
        <v>kanan</v>
      </c>
      <c r="U304" s="5"/>
      <c r="V304" s="5"/>
    </row>
    <row r="305" customFormat="false" ht="15" hidden="false" customHeight="false" outlineLevel="0" collapsed="false">
      <c r="E305" s="5" t="str">
        <v>kiri</v>
      </c>
      <c r="F305" s="5"/>
      <c r="G305" s="5"/>
      <c r="J305" s="5" t="str">
        <v>tengah</v>
      </c>
      <c r="K305" s="5"/>
      <c r="L305" s="5"/>
      <c r="O305" s="5" t="str">
        <v>tengah</v>
      </c>
      <c r="P305" s="5"/>
      <c r="Q305" s="5"/>
      <c r="T305" s="5" t="str">
        <v>kanan</v>
      </c>
      <c r="U305" s="5"/>
      <c r="V305" s="5"/>
    </row>
    <row r="306" customFormat="false" ht="15" hidden="false" customHeight="false" outlineLevel="0" collapsed="false">
      <c r="E306" s="5" t="str">
        <v>tengah</v>
      </c>
      <c r="F306" s="5"/>
      <c r="G306" s="5"/>
      <c r="J306" s="5" t="str">
        <v>tengah</v>
      </c>
      <c r="K306" s="5"/>
      <c r="L306" s="5"/>
      <c r="O306" s="5" t="str">
        <v>tengah</v>
      </c>
      <c r="P306" s="5"/>
      <c r="Q306" s="5"/>
      <c r="T306" s="5" t="str">
        <v>kanan</v>
      </c>
      <c r="U306" s="5"/>
      <c r="V306" s="5"/>
    </row>
    <row r="307" customFormat="false" ht="15" hidden="false" customHeight="false" outlineLevel="0" collapsed="false">
      <c r="E307" s="5" t="str">
        <v>kanan</v>
      </c>
      <c r="F307" s="5"/>
      <c r="G307" s="5"/>
      <c r="J307" s="5" t="str">
        <v>kiri</v>
      </c>
      <c r="K307" s="5"/>
      <c r="L307" s="5"/>
      <c r="O307" s="5" t="str">
        <v>kanan</v>
      </c>
      <c r="P307" s="5"/>
      <c r="Q307" s="5"/>
      <c r="T307" s="5" t="str">
        <v>kanan</v>
      </c>
      <c r="U307" s="5"/>
      <c r="V307" s="5"/>
    </row>
    <row r="308" customFormat="false" ht="15" hidden="false" customHeight="false" outlineLevel="0" collapsed="false">
      <c r="E308" s="5" t="str">
        <v>tengah</v>
      </c>
      <c r="F308" s="5"/>
      <c r="G308" s="5"/>
      <c r="J308" s="5" t="str">
        <v>tengah</v>
      </c>
      <c r="K308" s="5"/>
      <c r="L308" s="5"/>
      <c r="O308" s="5" t="str">
        <v>kanan</v>
      </c>
      <c r="P308" s="5"/>
      <c r="Q308" s="5"/>
      <c r="T308" s="5" t="str">
        <v>kanan</v>
      </c>
      <c r="U308" s="5"/>
      <c r="V308" s="5"/>
    </row>
    <row r="309" customFormat="false" ht="15" hidden="false" customHeight="false" outlineLevel="0" collapsed="false">
      <c r="E309" s="5" t="str">
        <v>tengah</v>
      </c>
      <c r="F309" s="5"/>
      <c r="G309" s="5"/>
      <c r="J309" s="5" t="str">
        <v>tengah</v>
      </c>
      <c r="K309" s="5"/>
      <c r="L309" s="5"/>
      <c r="O309" s="5" t="str">
        <v>kanan</v>
      </c>
      <c r="P309" s="5"/>
      <c r="Q309" s="5"/>
      <c r="T309" s="5" t="str">
        <v>kanan</v>
      </c>
      <c r="U309" s="5"/>
      <c r="V309" s="5"/>
    </row>
    <row r="310" customFormat="false" ht="15" hidden="false" customHeight="false" outlineLevel="0" collapsed="false">
      <c r="E310" s="5" t="str">
        <v>tengah</v>
      </c>
      <c r="F310" s="5"/>
      <c r="G310" s="5"/>
      <c r="J310" s="5" t="str">
        <v>kanan</v>
      </c>
      <c r="K310" s="5"/>
      <c r="L310" s="5"/>
      <c r="O310" s="5" t="str">
        <v>kiri</v>
      </c>
      <c r="P310" s="5"/>
      <c r="Q310" s="5"/>
      <c r="T310" s="5" t="str">
        <v>tengah</v>
      </c>
      <c r="U310" s="5"/>
      <c r="V310" s="5"/>
    </row>
    <row r="311" customFormat="false" ht="15" hidden="false" customHeight="false" outlineLevel="0" collapsed="false">
      <c r="E311" s="5" t="str">
        <v>kiri</v>
      </c>
      <c r="F311" s="5"/>
      <c r="G311" s="5"/>
      <c r="J311" s="5" t="str">
        <v>tengah</v>
      </c>
      <c r="K311" s="5"/>
      <c r="L311" s="5"/>
      <c r="O311" s="5" t="str">
        <v>tengah</v>
      </c>
      <c r="P311" s="5"/>
      <c r="Q311" s="5"/>
      <c r="T311" s="5" t="str">
        <v>tengah</v>
      </c>
      <c r="U311" s="5"/>
      <c r="V311" s="5"/>
    </row>
    <row r="312" customFormat="false" ht="15" hidden="false" customHeight="false" outlineLevel="0" collapsed="false">
      <c r="E312" s="5" t="str">
        <v>kanan</v>
      </c>
      <c r="F312" s="5"/>
      <c r="G312" s="5"/>
      <c r="J312" s="5" t="str">
        <v>tengah</v>
      </c>
      <c r="K312" s="5"/>
      <c r="L312" s="5"/>
      <c r="O312" s="5" t="str">
        <v>kanan</v>
      </c>
      <c r="P312" s="5"/>
      <c r="Q312" s="5"/>
      <c r="T312" s="5" t="str">
        <v>kanan</v>
      </c>
      <c r="U312" s="5"/>
      <c r="V312" s="5"/>
    </row>
    <row r="313" customFormat="false" ht="15" hidden="false" customHeight="false" outlineLevel="0" collapsed="false">
      <c r="E313" s="5" t="str">
        <v>kiri</v>
      </c>
      <c r="F313" s="5"/>
      <c r="G313" s="5"/>
      <c r="J313" s="5" t="str">
        <v>kiri</v>
      </c>
      <c r="K313" s="5"/>
      <c r="L313" s="5"/>
      <c r="O313" s="5" t="str">
        <v>kanan</v>
      </c>
      <c r="P313" s="5"/>
      <c r="Q313" s="5"/>
      <c r="T313" s="5" t="str">
        <v>tengah</v>
      </c>
      <c r="U313" s="5"/>
      <c r="V313" s="5"/>
    </row>
    <row r="314" customFormat="false" ht="15" hidden="false" customHeight="false" outlineLevel="0" collapsed="false">
      <c r="E314" s="5" t="str">
        <v>tengah</v>
      </c>
      <c r="F314" s="5"/>
      <c r="G314" s="5"/>
      <c r="J314" s="5" t="str">
        <v>tengah</v>
      </c>
      <c r="K314" s="5"/>
      <c r="L314" s="5"/>
      <c r="O314" s="5" t="str">
        <v>tengah</v>
      </c>
      <c r="P314" s="5"/>
      <c r="Q314" s="5"/>
      <c r="T314" s="5" t="str">
        <v>kanan</v>
      </c>
      <c r="U314" s="5"/>
      <c r="V314" s="5"/>
    </row>
    <row r="315" customFormat="false" ht="15" hidden="false" customHeight="false" outlineLevel="0" collapsed="false">
      <c r="E315" s="5" t="str">
        <v>kiri</v>
      </c>
      <c r="F315" s="5"/>
      <c r="G315" s="5"/>
      <c r="J315" s="5" t="str">
        <v>kanan</v>
      </c>
      <c r="K315" s="5"/>
      <c r="L315" s="5"/>
      <c r="O315" s="5" t="str">
        <v>kiri</v>
      </c>
      <c r="P315" s="5"/>
      <c r="Q315" s="5"/>
      <c r="T315" s="5" t="str">
        <v>kanan</v>
      </c>
      <c r="U315" s="5"/>
      <c r="V315" s="5"/>
    </row>
    <row r="316" customFormat="false" ht="15" hidden="false" customHeight="false" outlineLevel="0" collapsed="false">
      <c r="E316" s="5" t="str">
        <v>tengah</v>
      </c>
      <c r="F316" s="5"/>
      <c r="G316" s="5"/>
      <c r="J316" s="5" t="str">
        <v>kanan</v>
      </c>
      <c r="K316" s="5"/>
      <c r="L316" s="5"/>
      <c r="O316" s="5" t="str">
        <v>tengah</v>
      </c>
      <c r="P316" s="5"/>
      <c r="Q316" s="5"/>
      <c r="T316" s="5" t="str">
        <v>tengah</v>
      </c>
      <c r="U316" s="5"/>
      <c r="V316" s="5"/>
    </row>
    <row r="317" customFormat="false" ht="15" hidden="false" customHeight="false" outlineLevel="0" collapsed="false">
      <c r="E317" s="5" t="str">
        <v>tengah</v>
      </c>
      <c r="F317" s="5"/>
      <c r="G317" s="5"/>
      <c r="J317" s="5" t="str">
        <v>kiri</v>
      </c>
      <c r="K317" s="5"/>
      <c r="L317" s="5"/>
      <c r="O317" s="5" t="str">
        <v>kiri</v>
      </c>
      <c r="P317" s="5"/>
      <c r="Q317" s="5"/>
      <c r="T317" s="5" t="str">
        <v>kanan</v>
      </c>
      <c r="U317" s="5"/>
      <c r="V317" s="5"/>
    </row>
    <row r="318" customFormat="false" ht="15" hidden="false" customHeight="false" outlineLevel="0" collapsed="false">
      <c r="E318" s="5" t="str">
        <v>tengah</v>
      </c>
      <c r="F318" s="5"/>
      <c r="G318" s="5"/>
      <c r="J318" s="5" t="str">
        <v>tengah</v>
      </c>
      <c r="K318" s="5"/>
      <c r="L318" s="5"/>
      <c r="O318" s="5" t="str">
        <v>tengah</v>
      </c>
      <c r="P318" s="5"/>
      <c r="Q318" s="5"/>
      <c r="T318" s="5" t="str">
        <v>kanan</v>
      </c>
      <c r="U318" s="5"/>
      <c r="V318" s="5"/>
    </row>
    <row r="319" customFormat="false" ht="15" hidden="false" customHeight="false" outlineLevel="0" collapsed="false">
      <c r="E319" s="5" t="str">
        <v>tengah</v>
      </c>
      <c r="F319" s="5"/>
      <c r="G319" s="5"/>
      <c r="J319" s="5" t="str">
        <v>tengah</v>
      </c>
      <c r="K319" s="5"/>
      <c r="L319" s="5"/>
      <c r="O319" s="5" t="str">
        <v>tengah</v>
      </c>
      <c r="P319" s="5"/>
      <c r="Q319" s="5"/>
      <c r="T319" s="5" t="str">
        <v>kanan</v>
      </c>
      <c r="U319" s="5"/>
      <c r="V319" s="5"/>
    </row>
    <row r="320" customFormat="false" ht="15" hidden="false" customHeight="false" outlineLevel="0" collapsed="false">
      <c r="E320" s="5" t="str">
        <v>tengah</v>
      </c>
      <c r="F320" s="5"/>
      <c r="G320" s="5"/>
      <c r="J320" s="5" t="str">
        <v>tengah</v>
      </c>
      <c r="K320" s="5"/>
      <c r="L320" s="5"/>
      <c r="O320" s="5" t="str">
        <v>kanan</v>
      </c>
      <c r="P320" s="5"/>
      <c r="Q320" s="5"/>
      <c r="T320" s="5" t="str">
        <v>kanan</v>
      </c>
      <c r="U320" s="5"/>
      <c r="V320" s="5"/>
    </row>
    <row r="321" customFormat="false" ht="15" hidden="false" customHeight="false" outlineLevel="0" collapsed="false">
      <c r="E321" s="5" t="str">
        <v>tengah</v>
      </c>
      <c r="F321" s="5"/>
      <c r="G321" s="5"/>
      <c r="J321" s="5" t="str">
        <v>kanan</v>
      </c>
      <c r="K321" s="5"/>
      <c r="L321" s="5"/>
      <c r="O321" s="5" t="str">
        <v>tengah</v>
      </c>
      <c r="P321" s="5"/>
      <c r="Q321" s="5"/>
      <c r="T321" s="5" t="str">
        <v>kanan</v>
      </c>
      <c r="U321" s="5"/>
      <c r="V321" s="5"/>
    </row>
    <row r="322" customFormat="false" ht="15" hidden="false" customHeight="false" outlineLevel="0" collapsed="false">
      <c r="E322" s="5" t="str">
        <v>tengah</v>
      </c>
      <c r="F322" s="5"/>
      <c r="G322" s="5"/>
      <c r="J322" s="5" t="str">
        <v>tengah</v>
      </c>
      <c r="K322" s="5"/>
      <c r="L322" s="5"/>
      <c r="O322" s="5" t="str">
        <v>kanan</v>
      </c>
      <c r="P322" s="5"/>
      <c r="Q322" s="5"/>
      <c r="T322" s="5" t="str">
        <v>kanan</v>
      </c>
      <c r="U322" s="5"/>
      <c r="V322" s="5"/>
    </row>
    <row r="323" customFormat="false" ht="15" hidden="false" customHeight="false" outlineLevel="0" collapsed="false">
      <c r="E323" s="5" t="str">
        <v>tengah</v>
      </c>
      <c r="F323" s="5"/>
      <c r="G323" s="5"/>
      <c r="J323" s="5" t="str">
        <v>tengah</v>
      </c>
      <c r="K323" s="5"/>
      <c r="L323" s="5"/>
      <c r="O323" s="5" t="str">
        <v>tengah</v>
      </c>
      <c r="P323" s="5"/>
      <c r="Q323" s="5"/>
      <c r="T323" s="5" t="str">
        <v>kanan</v>
      </c>
      <c r="U323" s="5"/>
      <c r="V323" s="5"/>
    </row>
    <row r="324" customFormat="false" ht="15" hidden="false" customHeight="false" outlineLevel="0" collapsed="false">
      <c r="E324" s="5" t="str">
        <v>kanan</v>
      </c>
      <c r="F324" s="5"/>
      <c r="G324" s="5"/>
      <c r="J324" s="5" t="str">
        <v>tengah</v>
      </c>
      <c r="K324" s="5"/>
      <c r="L324" s="5"/>
      <c r="O324" s="5" t="str">
        <v>tengah</v>
      </c>
      <c r="P324" s="5"/>
      <c r="Q324" s="5"/>
      <c r="T324" s="5" t="str">
        <v>tengah</v>
      </c>
      <c r="U324" s="5"/>
      <c r="V324" s="5"/>
    </row>
    <row r="325" customFormat="false" ht="15" hidden="false" customHeight="false" outlineLevel="0" collapsed="false">
      <c r="E325" s="5" t="str">
        <v>tengah</v>
      </c>
      <c r="F325" s="5"/>
      <c r="G325" s="5"/>
      <c r="J325" s="5" t="str">
        <v>tengah</v>
      </c>
      <c r="K325" s="5"/>
      <c r="L325" s="5"/>
      <c r="O325" s="5" t="str">
        <v>tengah</v>
      </c>
      <c r="P325" s="5"/>
      <c r="Q325" s="5"/>
      <c r="T325" s="5" t="str">
        <v>tengah</v>
      </c>
      <c r="U325" s="5"/>
      <c r="V325" s="5"/>
    </row>
    <row r="326" customFormat="false" ht="15" hidden="false" customHeight="false" outlineLevel="0" collapsed="false">
      <c r="E326" s="5" t="str">
        <v>kanan</v>
      </c>
      <c r="F326" s="5"/>
      <c r="G326" s="5"/>
      <c r="J326" s="5" t="str">
        <v>tengah</v>
      </c>
      <c r="K326" s="5"/>
      <c r="L326" s="5"/>
      <c r="O326" s="5" t="str">
        <v>tengah</v>
      </c>
      <c r="P326" s="5"/>
      <c r="Q326" s="5"/>
      <c r="T326" s="5" t="str">
        <v>tengah</v>
      </c>
      <c r="U326" s="5"/>
      <c r="V326" s="5"/>
    </row>
    <row r="327" customFormat="false" ht="15" hidden="false" customHeight="false" outlineLevel="0" collapsed="false">
      <c r="E327" s="5" t="str">
        <v>kanan</v>
      </c>
      <c r="F327" s="5"/>
      <c r="G327" s="5"/>
      <c r="J327" s="5" t="str">
        <v>kanan</v>
      </c>
      <c r="K327" s="5"/>
      <c r="L327" s="5"/>
      <c r="O327" s="5" t="str">
        <v>tengah</v>
      </c>
      <c r="P327" s="5"/>
      <c r="Q327" s="5"/>
      <c r="T327" s="5" t="str">
        <v>kanan</v>
      </c>
      <c r="U327" s="5"/>
      <c r="V327" s="5"/>
    </row>
    <row r="328" customFormat="false" ht="15" hidden="false" customHeight="false" outlineLevel="0" collapsed="false">
      <c r="E328" s="5" t="str">
        <v>tengah</v>
      </c>
      <c r="F328" s="5"/>
      <c r="G328" s="5"/>
      <c r="J328" s="5" t="str">
        <v>tengah</v>
      </c>
      <c r="K328" s="5"/>
      <c r="L328" s="5"/>
      <c r="O328" s="5" t="str">
        <v>kanan</v>
      </c>
      <c r="P328" s="5"/>
      <c r="Q328" s="5"/>
      <c r="T328" s="5" t="str">
        <v>kanan</v>
      </c>
      <c r="U328" s="5"/>
      <c r="V328" s="5"/>
    </row>
    <row r="329" customFormat="false" ht="15" hidden="false" customHeight="false" outlineLevel="0" collapsed="false">
      <c r="E329" s="5" t="str">
        <v>kanan</v>
      </c>
      <c r="F329" s="5"/>
      <c r="G329" s="5"/>
      <c r="J329" s="5" t="str">
        <v>tengah</v>
      </c>
      <c r="K329" s="5"/>
      <c r="L329" s="5"/>
      <c r="O329" s="5" t="str">
        <v>tengah</v>
      </c>
      <c r="P329" s="5"/>
      <c r="Q329" s="5"/>
      <c r="T329" s="5" t="str">
        <v>tengah</v>
      </c>
      <c r="U329" s="5"/>
      <c r="V329" s="5"/>
    </row>
    <row r="330" customFormat="false" ht="15" hidden="false" customHeight="false" outlineLevel="0" collapsed="false">
      <c r="E330" s="5" t="str">
        <v>tengah</v>
      </c>
      <c r="F330" s="5"/>
      <c r="G330" s="5"/>
      <c r="J330" s="5" t="str">
        <v>kiri</v>
      </c>
      <c r="K330" s="5"/>
      <c r="L330" s="5"/>
      <c r="O330" s="5" t="str">
        <v>kanan</v>
      </c>
      <c r="P330" s="5"/>
      <c r="Q330" s="5"/>
      <c r="T330" s="5" t="str">
        <v>tengah</v>
      </c>
      <c r="U330" s="5"/>
      <c r="V330" s="5"/>
    </row>
    <row r="331" customFormat="false" ht="15" hidden="false" customHeight="false" outlineLevel="0" collapsed="false">
      <c r="E331" s="5" t="str">
        <v>tengah</v>
      </c>
      <c r="F331" s="5"/>
      <c r="G331" s="5"/>
      <c r="J331" s="5" t="str">
        <v>tengah</v>
      </c>
      <c r="K331" s="5"/>
      <c r="L331" s="5"/>
      <c r="O331" s="5" t="str">
        <v>tengah</v>
      </c>
      <c r="P331" s="5"/>
      <c r="Q331" s="5"/>
      <c r="T331" s="5" t="str">
        <v>tengah</v>
      </c>
      <c r="U331" s="5"/>
      <c r="V331" s="5"/>
    </row>
    <row r="332" customFormat="false" ht="15" hidden="false" customHeight="false" outlineLevel="0" collapsed="false">
      <c r="E332" s="5" t="str">
        <v>kiri</v>
      </c>
      <c r="F332" s="5"/>
      <c r="G332" s="5"/>
      <c r="J332" s="5" t="str">
        <v>kiri</v>
      </c>
      <c r="K332" s="5"/>
      <c r="L332" s="5"/>
      <c r="O332" s="5" t="str">
        <v>tengah</v>
      </c>
      <c r="P332" s="5"/>
      <c r="Q332" s="5"/>
      <c r="T332" s="5" t="str">
        <v>kanan</v>
      </c>
      <c r="U332" s="5"/>
      <c r="V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2"/>
  <sheetViews>
    <sheetView showFormulas="false" showGridLines="true" showRowColHeaders="true" showZeros="true" rightToLeft="false" tabSelected="false" showOutlineSymbols="true" defaultGridColor="true" view="normal" topLeftCell="P138" colorId="64" zoomScale="112" zoomScaleNormal="112" zoomScalePageLayoutView="100" workbookViewId="0">
      <selection pane="topLeft" activeCell="AA140" activeCellId="0" sqref="AA140"/>
    </sheetView>
  </sheetViews>
  <sheetFormatPr defaultColWidth="9.14453125" defaultRowHeight="15" customHeight="false" zeroHeight="false" outlineLevelRow="0" outlineLevelCol="0"/>
  <cols>
    <col collapsed="false" customWidth="false" hidden="false" outlineLevel="0" max="2" min="1" style="19" width="9.14"/>
    <col collapsed="false" customWidth="true" hidden="false" outlineLevel="0" max="3" min="3" style="19" width="15.86"/>
    <col collapsed="false" customWidth="true" hidden="false" outlineLevel="0" max="4" min="4" style="19" width="13.29"/>
    <col collapsed="false" customWidth="true" hidden="false" outlineLevel="0" max="5" min="5" style="19" width="15.57"/>
    <col collapsed="false" customWidth="true" hidden="false" outlineLevel="0" max="6" min="6" style="19" width="13.14"/>
    <col collapsed="false" customWidth="false" hidden="false" outlineLevel="0" max="9" min="7" style="19" width="9.14"/>
    <col collapsed="false" customWidth="true" hidden="false" outlineLevel="0" max="10" min="10" style="19" width="17"/>
    <col collapsed="false" customWidth="true" hidden="false" outlineLevel="0" max="11" min="11" style="19" width="13.29"/>
    <col collapsed="false" customWidth="true" hidden="false" outlineLevel="0" max="12" min="12" style="19" width="13.86"/>
    <col collapsed="false" customWidth="false" hidden="false" outlineLevel="0" max="14" min="13" style="19" width="9.14"/>
    <col collapsed="false" customWidth="true" hidden="false" outlineLevel="0" max="15" min="15" style="19" width="16.14"/>
    <col collapsed="false" customWidth="false" hidden="false" outlineLevel="0" max="18" min="16" style="19" width="9.14"/>
    <col collapsed="false" customWidth="true" hidden="false" outlineLevel="0" max="19" min="19" style="19" width="6.43"/>
    <col collapsed="false" customWidth="true" hidden="false" outlineLevel="0" max="20" min="20" style="19" width="14.29"/>
    <col collapsed="false" customWidth="false" hidden="false" outlineLevel="0" max="16384" min="21" style="19" width="9.14"/>
  </cols>
  <sheetData>
    <row r="1" customFormat="false" ht="15" hidden="false" customHeight="false" outlineLevel="0" collapsed="false">
      <c r="A1" s="20" t="s">
        <v>173</v>
      </c>
      <c r="B1" s="20" t="s">
        <v>1</v>
      </c>
      <c r="C1" s="20" t="s">
        <v>2</v>
      </c>
      <c r="D1" s="20" t="s">
        <v>4</v>
      </c>
      <c r="E1" s="20" t="s">
        <v>5</v>
      </c>
      <c r="H1" s="21" t="s">
        <v>173</v>
      </c>
      <c r="I1" s="21" t="s">
        <v>1</v>
      </c>
      <c r="J1" s="21" t="s">
        <v>2</v>
      </c>
      <c r="K1" s="21" t="s">
        <v>4</v>
      </c>
      <c r="L1" s="21" t="s">
        <v>5</v>
      </c>
      <c r="O1" s="20" t="s">
        <v>174</v>
      </c>
      <c r="P1" s="22"/>
      <c r="Q1" s="22"/>
    </row>
    <row r="2" customFormat="false" ht="15" hidden="false" customHeight="false" outlineLevel="0" collapsed="false">
      <c r="A2" s="23" t="n">
        <f aca="false">RANDBETWEEN(2,164)</f>
        <v>120</v>
      </c>
      <c r="B2" s="23" t="e">
        <f aca="false" t="array" ref="B2:B2">INDEX([1]data_dbd!$b:$b,$A2)</f>
        <v>#NAME?</v>
      </c>
      <c r="C2" s="23" t="e">
        <f aca="false" t="array" ref="C2:C2">INDEX([1]data_dbd!$c:$c,$A2)</f>
        <v>#NAME?</v>
      </c>
      <c r="D2" s="23" t="e">
        <f aca="false" t="array" ref="D2:D2">INDEX([1]data_dbd!$e:$e,$A2)</f>
        <v>#NAME?</v>
      </c>
      <c r="E2" s="23" t="e">
        <f aca="false" t="array" ref="E2:E2">INDEX([1]data_dbd!$f:$f,$A2)</f>
        <v>#NAME?</v>
      </c>
      <c r="H2" s="24" t="n">
        <v>42</v>
      </c>
      <c r="I2" s="24" t="n">
        <v>21</v>
      </c>
      <c r="J2" s="24" t="n">
        <v>5</v>
      </c>
      <c r="K2" s="24" t="n">
        <v>1</v>
      </c>
      <c r="L2" s="24" t="s">
        <v>7</v>
      </c>
      <c r="O2" s="22" t="s">
        <v>115</v>
      </c>
      <c r="P2" s="22" t="n">
        <f aca="false">COUNTIF(L2:L164,"Tinggi")</f>
        <v>74</v>
      </c>
      <c r="Q2" s="22" t="n">
        <f aca="false">P2/163</f>
        <v>0.45398773006135</v>
      </c>
    </row>
    <row r="3" customFormat="false" ht="15" hidden="false" customHeight="false" outlineLevel="0" collapsed="false">
      <c r="A3" s="23" t="n">
        <f aca="false">RANDBETWEEN(2,164)</f>
        <v>145</v>
      </c>
      <c r="B3" s="23" t="e">
        <f aca="false" t="array" ref="B3:B3">INDEX([1]data_dbd!$b:$b,$A3)</f>
        <v>#NAME?</v>
      </c>
      <c r="C3" s="23" t="e">
        <f aca="false" t="array" ref="C3:C3">INDEX([1]data_dbd!$c:$c,$A3)</f>
        <v>#NAME?</v>
      </c>
      <c r="D3" s="23" t="e">
        <f aca="false" t="array" ref="D3:D3">INDEX([1]data_dbd!$e:$e,$A3)</f>
        <v>#NAME?</v>
      </c>
      <c r="E3" s="23" t="e">
        <f aca="false" t="array" ref="E3:E3">INDEX([1]data_dbd!$f:$f,$A3)</f>
        <v>#NAME?</v>
      </c>
      <c r="H3" s="24" t="n">
        <v>30</v>
      </c>
      <c r="I3" s="24" t="n">
        <v>3</v>
      </c>
      <c r="J3" s="24" t="n">
        <v>2</v>
      </c>
      <c r="K3" s="24" t="n">
        <v>1</v>
      </c>
      <c r="L3" s="24" t="s">
        <v>7</v>
      </c>
      <c r="O3" s="22" t="s">
        <v>7</v>
      </c>
      <c r="P3" s="22" t="n">
        <f aca="false">COUNTIF(L2:L164,"Sedang")</f>
        <v>74</v>
      </c>
      <c r="Q3" s="22" t="n">
        <f aca="false">P3/163</f>
        <v>0.45398773006135</v>
      </c>
    </row>
    <row r="4" customFormat="false" ht="15" hidden="false" customHeight="false" outlineLevel="0" collapsed="false">
      <c r="A4" s="23" t="n">
        <f aca="false">RANDBETWEEN(2,164)</f>
        <v>26</v>
      </c>
      <c r="B4" s="23" t="e">
        <f aca="false" t="array" ref="B4:B4">INDEX([1]data_dbd!$b:$b,$A4)</f>
        <v>#NAME?</v>
      </c>
      <c r="C4" s="23" t="e">
        <f aca="false" t="array" ref="C4:C4">INDEX([1]data_dbd!$c:$c,$A4)</f>
        <v>#NAME?</v>
      </c>
      <c r="D4" s="23" t="e">
        <f aca="false" t="array" ref="D4:D4">INDEX([1]data_dbd!$e:$e,$A4)</f>
        <v>#NAME?</v>
      </c>
      <c r="E4" s="23" t="e">
        <f aca="false" t="array" ref="E4:E4">INDEX([1]data_dbd!$f:$f,$A4)</f>
        <v>#NAME?</v>
      </c>
      <c r="H4" s="24" t="n">
        <v>139</v>
      </c>
      <c r="I4" s="24" t="n">
        <v>52</v>
      </c>
      <c r="J4" s="24" t="n">
        <v>7</v>
      </c>
      <c r="K4" s="24" t="n">
        <v>0</v>
      </c>
      <c r="L4" s="24" t="s">
        <v>115</v>
      </c>
      <c r="O4" s="22" t="s">
        <v>20</v>
      </c>
      <c r="P4" s="22" t="n">
        <f aca="false">COUNTIF(L2:L164,"Rendah")</f>
        <v>15</v>
      </c>
      <c r="Q4" s="22" t="n">
        <f aca="false">P4/163</f>
        <v>0.0920245398773006</v>
      </c>
    </row>
    <row r="5" customFormat="false" ht="15" hidden="false" customHeight="false" outlineLevel="0" collapsed="false">
      <c r="A5" s="23" t="n">
        <f aca="false">RANDBETWEEN(2,164)</f>
        <v>16</v>
      </c>
      <c r="B5" s="23" t="e">
        <f aca="false" t="array" ref="B5:B5">INDEX([1]data_dbd!$b:$b,$A5)</f>
        <v>#NAME?</v>
      </c>
      <c r="C5" s="23" t="e">
        <f aca="false" t="array" ref="C5:C5">INDEX([1]data_dbd!$c:$c,$A5)</f>
        <v>#NAME?</v>
      </c>
      <c r="D5" s="23" t="e">
        <f aca="false" t="array" ref="D5:D5">INDEX([1]data_dbd!$e:$e,$A5)</f>
        <v>#NAME?</v>
      </c>
      <c r="E5" s="23" t="e">
        <f aca="false" t="array" ref="E5:E5">INDEX([1]data_dbd!$f:$f,$A5)</f>
        <v>#NAME?</v>
      </c>
      <c r="H5" s="24" t="n">
        <v>60</v>
      </c>
      <c r="I5" s="24" t="n">
        <v>68</v>
      </c>
      <c r="J5" s="24" t="n">
        <v>4</v>
      </c>
      <c r="K5" s="24" t="n">
        <v>0</v>
      </c>
      <c r="L5" s="24" t="s">
        <v>7</v>
      </c>
      <c r="O5" s="25" t="s">
        <v>175</v>
      </c>
      <c r="P5" s="19" t="n">
        <f aca="false">-(IFERROR(Q2*LOG(Q2,2),0)+IFERROR(Q3*LOG(Q3,2),0)+IFERROR(Q4*LOG(Q4,2),0))</f>
        <v>1.35116706805186</v>
      </c>
    </row>
    <row r="6" customFormat="false" ht="15" hidden="false" customHeight="false" outlineLevel="0" collapsed="false">
      <c r="A6" s="23" t="n">
        <f aca="false">RANDBETWEEN(2,164)</f>
        <v>65</v>
      </c>
      <c r="B6" s="23" t="e">
        <f aca="false" t="array" ref="B6:B6">INDEX([1]data_dbd!$b:$b,$A6)</f>
        <v>#NAME?</v>
      </c>
      <c r="C6" s="23" t="e">
        <f aca="false" t="array" ref="C6:C6">INDEX([1]data_dbd!$c:$c,$A6)</f>
        <v>#NAME?</v>
      </c>
      <c r="D6" s="23" t="e">
        <f aca="false" t="array" ref="D6:D6">INDEX([1]data_dbd!$e:$e,$A6)</f>
        <v>#NAME?</v>
      </c>
      <c r="E6" s="23" t="e">
        <f aca="false" t="array" ref="E6:E6">INDEX([1]data_dbd!$f:$f,$A6)</f>
        <v>#NAME?</v>
      </c>
      <c r="H6" s="24" t="n">
        <v>76</v>
      </c>
      <c r="I6" s="24" t="n">
        <v>70</v>
      </c>
      <c r="J6" s="24" t="n">
        <v>2</v>
      </c>
      <c r="K6" s="24" t="n">
        <v>0</v>
      </c>
      <c r="L6" s="24" t="s">
        <v>7</v>
      </c>
    </row>
    <row r="7" customFormat="false" ht="15" hidden="false" customHeight="false" outlineLevel="0" collapsed="false">
      <c r="A7" s="23" t="n">
        <f aca="false">RANDBETWEEN(2,164)</f>
        <v>7</v>
      </c>
      <c r="B7" s="23" t="e">
        <f aca="false" t="array" ref="B7:B7">INDEX([1]data_dbd!$b:$b,$A7)</f>
        <v>#NAME?</v>
      </c>
      <c r="C7" s="23" t="e">
        <f aca="false" t="array" ref="C7:C7">INDEX([1]data_dbd!$c:$c,$A7)</f>
        <v>#NAME?</v>
      </c>
      <c r="D7" s="23" t="e">
        <f aca="false" t="array" ref="D7:D7">INDEX([1]data_dbd!$e:$e,$A7)</f>
        <v>#NAME?</v>
      </c>
      <c r="E7" s="23" t="e">
        <f aca="false" t="array" ref="E7:E7">INDEX([1]data_dbd!$f:$f,$A7)</f>
        <v>#NAME?</v>
      </c>
      <c r="H7" s="24" t="n">
        <v>157</v>
      </c>
      <c r="I7" s="24" t="n">
        <v>15</v>
      </c>
      <c r="J7" s="24" t="n">
        <v>4</v>
      </c>
      <c r="K7" s="24" t="n">
        <v>1</v>
      </c>
      <c r="L7" s="24" t="s">
        <v>115</v>
      </c>
    </row>
    <row r="8" customFormat="false" ht="15" hidden="false" customHeight="false" outlineLevel="0" collapsed="false">
      <c r="A8" s="23" t="n">
        <f aca="false">RANDBETWEEN(2,164)</f>
        <v>90</v>
      </c>
      <c r="B8" s="23" t="e">
        <f aca="false" t="array" ref="B8:B8">INDEX([1]data_dbd!$b:$b,$A8)</f>
        <v>#NAME?</v>
      </c>
      <c r="C8" s="23" t="e">
        <f aca="false" t="array" ref="C8:C8">INDEX([1]data_dbd!$c:$c,$A8)</f>
        <v>#NAME?</v>
      </c>
      <c r="D8" s="23" t="e">
        <f aca="false" t="array" ref="D8:D8">INDEX([1]data_dbd!$e:$e,$A8)</f>
        <v>#NAME?</v>
      </c>
      <c r="E8" s="23" t="e">
        <f aca="false" t="array" ref="E8:E8">INDEX([1]data_dbd!$f:$f,$A8)</f>
        <v>#NAME?</v>
      </c>
      <c r="H8" s="24" t="n">
        <v>48</v>
      </c>
      <c r="I8" s="24" t="n">
        <v>50</v>
      </c>
      <c r="J8" s="24" t="n">
        <v>5</v>
      </c>
      <c r="K8" s="24" t="n">
        <v>1</v>
      </c>
      <c r="L8" s="24" t="s">
        <v>7</v>
      </c>
    </row>
    <row r="9" customFormat="false" ht="15" hidden="false" customHeight="false" outlineLevel="0" collapsed="false">
      <c r="A9" s="23" t="n">
        <f aca="false">RANDBETWEEN(2,164)</f>
        <v>37</v>
      </c>
      <c r="B9" s="23" t="e">
        <f aca="false" t="array" ref="B9:B9">INDEX([1]data_dbd!$b:$b,$A9)</f>
        <v>#NAME?</v>
      </c>
      <c r="C9" s="23" t="e">
        <f aca="false" t="array" ref="C9:C9">INDEX([1]data_dbd!$c:$c,$A9)</f>
        <v>#NAME?</v>
      </c>
      <c r="D9" s="23" t="e">
        <f aca="false" t="array" ref="D9:D9">INDEX([1]data_dbd!$e:$e,$A9)</f>
        <v>#NAME?</v>
      </c>
      <c r="E9" s="23" t="e">
        <f aca="false" t="array" ref="E9:E9">INDEX([1]data_dbd!$f:$f,$A9)</f>
        <v>#NAME?</v>
      </c>
      <c r="H9" s="24" t="n">
        <v>60</v>
      </c>
      <c r="I9" s="24" t="n">
        <v>68</v>
      </c>
      <c r="J9" s="24" t="n">
        <v>4</v>
      </c>
      <c r="K9" s="24" t="n">
        <v>0</v>
      </c>
      <c r="L9" s="24" t="s">
        <v>7</v>
      </c>
    </row>
    <row r="10" customFormat="false" ht="15" hidden="false" customHeight="false" outlineLevel="0" collapsed="false">
      <c r="A10" s="23" t="n">
        <f aca="false">RANDBETWEEN(2,164)</f>
        <v>87</v>
      </c>
      <c r="B10" s="23" t="e">
        <f aca="false" t="array" ref="B10:B10">INDEX([1]data_dbd!$b:$b,$A10)</f>
        <v>#NAME?</v>
      </c>
      <c r="C10" s="23" t="e">
        <f aca="false" t="array" ref="C10:C10">INDEX([1]data_dbd!$c:$c,$A10)</f>
        <v>#NAME?</v>
      </c>
      <c r="D10" s="23" t="e">
        <f aca="false" t="array" ref="D10:D10">INDEX([1]data_dbd!$e:$e,$A10)</f>
        <v>#NAME?</v>
      </c>
      <c r="E10" s="23" t="e">
        <f aca="false" t="array" ref="E10:E10">INDEX([1]data_dbd!$f:$f,$A10)</f>
        <v>#NAME?</v>
      </c>
      <c r="H10" s="24" t="n">
        <v>8</v>
      </c>
      <c r="I10" s="24" t="n">
        <v>4</v>
      </c>
      <c r="J10" s="24" t="n">
        <v>2</v>
      </c>
      <c r="K10" s="24" t="n">
        <v>0</v>
      </c>
      <c r="L10" s="24" t="s">
        <v>7</v>
      </c>
    </row>
    <row r="11" customFormat="false" ht="15" hidden="false" customHeight="false" outlineLevel="0" collapsed="false">
      <c r="A11" s="23" t="n">
        <f aca="false">RANDBETWEEN(2,164)</f>
        <v>21</v>
      </c>
      <c r="B11" s="23" t="e">
        <f aca="false" t="array" ref="B11:B11">INDEX([1]data_dbd!$b:$b,$A11)</f>
        <v>#NAME?</v>
      </c>
      <c r="C11" s="23" t="e">
        <f aca="false" t="array" ref="C11:C11">INDEX([1]data_dbd!$c:$c,$A11)</f>
        <v>#NAME?</v>
      </c>
      <c r="D11" s="23" t="e">
        <f aca="false" t="array" ref="D11:D11">INDEX([1]data_dbd!$e:$e,$A11)</f>
        <v>#NAME?</v>
      </c>
      <c r="E11" s="23" t="e">
        <f aca="false" t="array" ref="E11:E11">INDEX([1]data_dbd!$f:$f,$A11)</f>
        <v>#NAME?</v>
      </c>
      <c r="H11" s="24" t="n">
        <v>149</v>
      </c>
      <c r="I11" s="24" t="n">
        <v>19</v>
      </c>
      <c r="J11" s="24" t="n">
        <v>5</v>
      </c>
      <c r="K11" s="24" t="n">
        <v>0</v>
      </c>
      <c r="L11" s="24" t="s">
        <v>115</v>
      </c>
    </row>
    <row r="12" customFormat="false" ht="15" hidden="false" customHeight="false" outlineLevel="0" collapsed="false">
      <c r="A12" s="23" t="n">
        <f aca="false">RANDBETWEEN(2,164)</f>
        <v>119</v>
      </c>
      <c r="B12" s="23" t="e">
        <f aca="false" t="array" ref="B12:B12">INDEX([1]data_dbd!$b:$b,$A12)</f>
        <v>#NAME?</v>
      </c>
      <c r="C12" s="23" t="e">
        <f aca="false" t="array" ref="C12:C12">INDEX([1]data_dbd!$c:$c,$A12)</f>
        <v>#NAME?</v>
      </c>
      <c r="D12" s="23" t="e">
        <f aca="false" t="array" ref="D12:D12">INDEX([1]data_dbd!$e:$e,$A12)</f>
        <v>#NAME?</v>
      </c>
      <c r="E12" s="23" t="e">
        <f aca="false" t="array" ref="E12:E12">INDEX([1]data_dbd!$f:$f,$A12)</f>
        <v>#NAME?</v>
      </c>
      <c r="H12" s="24" t="n">
        <v>141</v>
      </c>
      <c r="I12" s="24" t="n">
        <v>36</v>
      </c>
      <c r="J12" s="24" t="n">
        <v>2</v>
      </c>
      <c r="K12" s="24" t="n">
        <v>0</v>
      </c>
      <c r="L12" s="24" t="s">
        <v>115</v>
      </c>
    </row>
    <row r="13" customFormat="false" ht="15" hidden="false" customHeight="false" outlineLevel="0" collapsed="false">
      <c r="A13" s="23" t="n">
        <f aca="false">RANDBETWEEN(2,164)</f>
        <v>82</v>
      </c>
      <c r="B13" s="23" t="e">
        <f aca="false" t="array" ref="B13:B13">INDEX([1]data_dbd!$b:$b,$A13)</f>
        <v>#NAME?</v>
      </c>
      <c r="C13" s="23" t="e">
        <f aca="false" t="array" ref="C13:C13">INDEX([1]data_dbd!$c:$c,$A13)</f>
        <v>#NAME?</v>
      </c>
      <c r="D13" s="23" t="e">
        <f aca="false" t="array" ref="D13:D13">INDEX([1]data_dbd!$e:$e,$A13)</f>
        <v>#NAME?</v>
      </c>
      <c r="E13" s="23" t="e">
        <f aca="false" t="array" ref="E13:E13">INDEX([1]data_dbd!$f:$f,$A13)</f>
        <v>#NAME?</v>
      </c>
      <c r="H13" s="24" t="n">
        <v>6</v>
      </c>
      <c r="I13" s="24" t="n">
        <v>14</v>
      </c>
      <c r="J13" s="24" t="n">
        <v>4</v>
      </c>
      <c r="K13" s="24" t="n">
        <v>0</v>
      </c>
      <c r="L13" s="24" t="s">
        <v>7</v>
      </c>
    </row>
    <row r="14" customFormat="false" ht="15" hidden="false" customHeight="false" outlineLevel="0" collapsed="false">
      <c r="A14" s="23" t="n">
        <f aca="false">RANDBETWEEN(2,164)</f>
        <v>69</v>
      </c>
      <c r="B14" s="23" t="e">
        <f aca="false" t="array" ref="B14:B14">INDEX([1]data_dbd!$b:$b,$A14)</f>
        <v>#NAME?</v>
      </c>
      <c r="C14" s="23" t="e">
        <f aca="false" t="array" ref="C14:C14">INDEX([1]data_dbd!$c:$c,$A14)</f>
        <v>#NAME?</v>
      </c>
      <c r="D14" s="23" t="e">
        <f aca="false" t="array" ref="D14:D14">INDEX([1]data_dbd!$e:$e,$A14)</f>
        <v>#NAME?</v>
      </c>
      <c r="E14" s="23" t="e">
        <f aca="false" t="array" ref="E14:E14">INDEX([1]data_dbd!$f:$f,$A14)</f>
        <v>#NAME?</v>
      </c>
      <c r="H14" s="24" t="n">
        <v>39</v>
      </c>
      <c r="I14" s="24" t="n">
        <v>12</v>
      </c>
      <c r="J14" s="24" t="n">
        <v>5</v>
      </c>
      <c r="K14" s="24" t="n">
        <v>1</v>
      </c>
      <c r="L14" s="24" t="s">
        <v>7</v>
      </c>
    </row>
    <row r="15" customFormat="false" ht="15" hidden="false" customHeight="false" outlineLevel="0" collapsed="false">
      <c r="A15" s="23" t="n">
        <f aca="false">RANDBETWEEN(2,164)</f>
        <v>146</v>
      </c>
      <c r="B15" s="23" t="e">
        <f aca="false" t="array" ref="B15:B15">INDEX([1]data_dbd!$b:$b,$A15)</f>
        <v>#NAME?</v>
      </c>
      <c r="C15" s="23" t="e">
        <f aca="false" t="array" ref="C15:C15">INDEX([1]data_dbd!$c:$c,$A15)</f>
        <v>#NAME?</v>
      </c>
      <c r="D15" s="23" t="e">
        <f aca="false" t="array" ref="D15:D15">INDEX([1]data_dbd!$e:$e,$A15)</f>
        <v>#NAME?</v>
      </c>
      <c r="E15" s="23" t="e">
        <f aca="false" t="array" ref="E15:E15">INDEX([1]data_dbd!$f:$f,$A15)</f>
        <v>#NAME?</v>
      </c>
      <c r="H15" s="24" t="n">
        <v>54</v>
      </c>
      <c r="I15" s="24" t="n">
        <v>7</v>
      </c>
      <c r="J15" s="24" t="n">
        <v>3</v>
      </c>
      <c r="K15" s="24" t="n">
        <v>0</v>
      </c>
      <c r="L15" s="24" t="s">
        <v>7</v>
      </c>
    </row>
    <row r="16" customFormat="false" ht="15" hidden="false" customHeight="false" outlineLevel="0" collapsed="false">
      <c r="A16" s="23" t="n">
        <f aca="false">RANDBETWEEN(2,164)</f>
        <v>92</v>
      </c>
      <c r="B16" s="23" t="e">
        <f aca="false" t="array" ref="B16:B16">INDEX([1]data_dbd!$b:$b,$A16)</f>
        <v>#NAME?</v>
      </c>
      <c r="C16" s="23" t="e">
        <f aca="false" t="array" ref="C16:C16">INDEX([1]data_dbd!$c:$c,$A16)</f>
        <v>#NAME?</v>
      </c>
      <c r="D16" s="23" t="e">
        <f aca="false" t="array" ref="D16:D16">INDEX([1]data_dbd!$e:$e,$A16)</f>
        <v>#NAME?</v>
      </c>
      <c r="E16" s="23" t="e">
        <f aca="false" t="array" ref="E16:E16">INDEX([1]data_dbd!$f:$f,$A16)</f>
        <v>#NAME?</v>
      </c>
      <c r="H16" s="24" t="n">
        <v>8</v>
      </c>
      <c r="I16" s="24" t="n">
        <v>4</v>
      </c>
      <c r="J16" s="24" t="n">
        <v>2</v>
      </c>
      <c r="K16" s="24" t="n">
        <v>0</v>
      </c>
      <c r="L16" s="24" t="s">
        <v>7</v>
      </c>
    </row>
    <row r="17" customFormat="false" ht="15" hidden="false" customHeight="false" outlineLevel="0" collapsed="false">
      <c r="A17" s="23" t="n">
        <f aca="false">RANDBETWEEN(2,164)</f>
        <v>157</v>
      </c>
      <c r="B17" s="23" t="e">
        <f aca="false" t="array" ref="B17:B17">INDEX([1]data_dbd!$b:$b,$A17)</f>
        <v>#NAME?</v>
      </c>
      <c r="C17" s="23" t="e">
        <f aca="false" t="array" ref="C17:C17">INDEX([1]data_dbd!$c:$c,$A17)</f>
        <v>#NAME?</v>
      </c>
      <c r="D17" s="23" t="e">
        <f aca="false" t="array" ref="D17:D17">INDEX([1]data_dbd!$e:$e,$A17)</f>
        <v>#NAME?</v>
      </c>
      <c r="E17" s="23" t="e">
        <f aca="false" t="array" ref="E17:E17">INDEX([1]data_dbd!$f:$f,$A17)</f>
        <v>#NAME?</v>
      </c>
      <c r="H17" s="24" t="n">
        <v>44</v>
      </c>
      <c r="I17" s="24" t="n">
        <v>28</v>
      </c>
      <c r="J17" s="24" t="n">
        <v>5</v>
      </c>
      <c r="K17" s="24" t="n">
        <v>1</v>
      </c>
      <c r="L17" s="24" t="s">
        <v>7</v>
      </c>
    </row>
    <row r="18" customFormat="false" ht="15" hidden="false" customHeight="false" outlineLevel="0" collapsed="false">
      <c r="A18" s="23" t="n">
        <f aca="false">RANDBETWEEN(2,164)</f>
        <v>116</v>
      </c>
      <c r="B18" s="23" t="e">
        <f aca="false" t="array" ref="B18:B18">INDEX([1]data_dbd!$b:$b,$A18)</f>
        <v>#NAME?</v>
      </c>
      <c r="C18" s="23" t="e">
        <f aca="false" t="array" ref="C18:C18">INDEX([1]data_dbd!$c:$c,$A18)</f>
        <v>#NAME?</v>
      </c>
      <c r="D18" s="23" t="e">
        <f aca="false" t="array" ref="D18:D18">INDEX([1]data_dbd!$e:$e,$A18)</f>
        <v>#NAME?</v>
      </c>
      <c r="E18" s="23" t="e">
        <f aca="false" t="array" ref="E18:E18">INDEX([1]data_dbd!$f:$f,$A18)</f>
        <v>#NAME?</v>
      </c>
      <c r="H18" s="24" t="n">
        <v>40</v>
      </c>
      <c r="I18" s="24" t="n">
        <v>65</v>
      </c>
      <c r="J18" s="24" t="n">
        <v>3</v>
      </c>
      <c r="K18" s="24" t="n">
        <v>1</v>
      </c>
      <c r="L18" s="24" t="s">
        <v>7</v>
      </c>
    </row>
    <row r="19" customFormat="false" ht="15" hidden="false" customHeight="false" outlineLevel="0" collapsed="false">
      <c r="A19" s="23" t="n">
        <f aca="false">RANDBETWEEN(2,164)</f>
        <v>58</v>
      </c>
      <c r="B19" s="23" t="e">
        <f aca="false" t="array" ref="B19:B19">INDEX([1]data_dbd!$b:$b,$A19)</f>
        <v>#NAME?</v>
      </c>
      <c r="C19" s="23" t="e">
        <f aca="false" t="array" ref="C19:C19">INDEX([1]data_dbd!$c:$c,$A19)</f>
        <v>#NAME?</v>
      </c>
      <c r="D19" s="23" t="e">
        <f aca="false" t="array" ref="D19:D19">INDEX([1]data_dbd!$e:$e,$A19)</f>
        <v>#NAME?</v>
      </c>
      <c r="E19" s="23" t="e">
        <f aca="false" t="array" ref="E19:E19">INDEX([1]data_dbd!$f:$f,$A19)</f>
        <v>#NAME?</v>
      </c>
      <c r="H19" s="24" t="n">
        <v>93</v>
      </c>
      <c r="I19" s="24" t="n">
        <v>65</v>
      </c>
      <c r="J19" s="24" t="n">
        <v>4</v>
      </c>
      <c r="K19" s="24" t="n">
        <v>0</v>
      </c>
      <c r="L19" s="24" t="s">
        <v>115</v>
      </c>
    </row>
    <row r="20" customFormat="false" ht="15" hidden="false" customHeight="false" outlineLevel="0" collapsed="false">
      <c r="A20" s="23" t="n">
        <f aca="false">RANDBETWEEN(2,164)</f>
        <v>122</v>
      </c>
      <c r="B20" s="23" t="e">
        <f aca="false" t="array" ref="B20:B20">INDEX([1]data_dbd!$b:$b,$A20)</f>
        <v>#NAME?</v>
      </c>
      <c r="C20" s="23" t="e">
        <f aca="false" t="array" ref="C20:C20">INDEX([1]data_dbd!$c:$c,$A20)</f>
        <v>#NAME?</v>
      </c>
      <c r="D20" s="23" t="e">
        <f aca="false" t="array" ref="D20:D20">INDEX([1]data_dbd!$e:$e,$A20)</f>
        <v>#NAME?</v>
      </c>
      <c r="E20" s="23" t="e">
        <f aca="false" t="array" ref="E20:E20">INDEX([1]data_dbd!$f:$f,$A20)</f>
        <v>#NAME?</v>
      </c>
      <c r="H20" s="24" t="n">
        <v>129</v>
      </c>
      <c r="I20" s="24" t="n">
        <v>4</v>
      </c>
      <c r="J20" s="24" t="n">
        <v>3</v>
      </c>
      <c r="K20" s="24" t="n">
        <v>0</v>
      </c>
      <c r="L20" s="24" t="s">
        <v>115</v>
      </c>
    </row>
    <row r="21" customFormat="false" ht="15" hidden="false" customHeight="false" outlineLevel="0" collapsed="false">
      <c r="A21" s="23" t="n">
        <f aca="false">RANDBETWEEN(2,164)</f>
        <v>45</v>
      </c>
      <c r="B21" s="23" t="e">
        <f aca="false" t="array" ref="B21:B21">INDEX([1]data_dbd!$b:$b,$A21)</f>
        <v>#NAME?</v>
      </c>
      <c r="C21" s="23" t="e">
        <f aca="false" t="array" ref="C21:C21">INDEX([1]data_dbd!$c:$c,$A21)</f>
        <v>#NAME?</v>
      </c>
      <c r="D21" s="23" t="e">
        <f aca="false" t="array" ref="D21:D21">INDEX([1]data_dbd!$e:$e,$A21)</f>
        <v>#NAME?</v>
      </c>
      <c r="E21" s="23" t="e">
        <f aca="false" t="array" ref="E21:E21">INDEX([1]data_dbd!$f:$f,$A21)</f>
        <v>#NAME?</v>
      </c>
      <c r="H21" s="24" t="n">
        <v>162</v>
      </c>
      <c r="I21" s="24" t="n">
        <v>22</v>
      </c>
      <c r="J21" s="24" t="n">
        <v>3</v>
      </c>
      <c r="K21" s="24" t="n">
        <v>1</v>
      </c>
      <c r="L21" s="24" t="s">
        <v>20</v>
      </c>
    </row>
    <row r="22" customFormat="false" ht="15" hidden="false" customHeight="false" outlineLevel="0" collapsed="false">
      <c r="A22" s="23" t="n">
        <f aca="false">RANDBETWEEN(2,164)</f>
        <v>28</v>
      </c>
      <c r="B22" s="23" t="e">
        <f aca="false" t="array" ref="B22:B22">INDEX([1]data_dbd!$b:$b,$A22)</f>
        <v>#NAME?</v>
      </c>
      <c r="C22" s="23" t="e">
        <f aca="false" t="array" ref="C22:C22">INDEX([1]data_dbd!$c:$c,$A22)</f>
        <v>#NAME?</v>
      </c>
      <c r="D22" s="23" t="e">
        <f aca="false" t="array" ref="D22:D22">INDEX([1]data_dbd!$e:$e,$A22)</f>
        <v>#NAME?</v>
      </c>
      <c r="E22" s="23" t="e">
        <f aca="false" t="array" ref="E22:E22">INDEX([1]data_dbd!$f:$f,$A22)</f>
        <v>#NAME?</v>
      </c>
      <c r="H22" s="24" t="n">
        <v>58</v>
      </c>
      <c r="I22" s="24" t="n">
        <v>17</v>
      </c>
      <c r="J22" s="24" t="n">
        <v>3</v>
      </c>
      <c r="K22" s="24" t="n">
        <v>0</v>
      </c>
      <c r="L22" s="24" t="s">
        <v>7</v>
      </c>
    </row>
    <row r="23" customFormat="false" ht="15" hidden="false" customHeight="false" outlineLevel="0" collapsed="false">
      <c r="A23" s="23" t="n">
        <f aca="false">RANDBETWEEN(2,164)</f>
        <v>50</v>
      </c>
      <c r="B23" s="23" t="e">
        <f aca="false" t="array" ref="B23:B23">INDEX([1]data_dbd!$b:$b,$A23)</f>
        <v>#NAME?</v>
      </c>
      <c r="C23" s="23" t="e">
        <f aca="false" t="array" ref="C23:C23">INDEX([1]data_dbd!$c:$c,$A23)</f>
        <v>#NAME?</v>
      </c>
      <c r="D23" s="23" t="e">
        <f aca="false" t="array" ref="D23:D23">INDEX([1]data_dbd!$e:$e,$A23)</f>
        <v>#NAME?</v>
      </c>
      <c r="E23" s="23" t="e">
        <f aca="false" t="array" ref="E23:E23">INDEX([1]data_dbd!$f:$f,$A23)</f>
        <v>#NAME?</v>
      </c>
      <c r="H23" s="24" t="n">
        <v>39</v>
      </c>
      <c r="I23" s="24" t="n">
        <v>12</v>
      </c>
      <c r="J23" s="24" t="n">
        <v>5</v>
      </c>
      <c r="K23" s="24" t="n">
        <v>1</v>
      </c>
      <c r="L23" s="24" t="s">
        <v>7</v>
      </c>
    </row>
    <row r="24" customFormat="false" ht="15" hidden="false" customHeight="false" outlineLevel="0" collapsed="false">
      <c r="A24" s="23" t="n">
        <f aca="false">RANDBETWEEN(2,164)</f>
        <v>133</v>
      </c>
      <c r="B24" s="23" t="e">
        <f aca="false" t="array" ref="B24:B24">INDEX([1]data_dbd!$b:$b,$A24)</f>
        <v>#NAME?</v>
      </c>
      <c r="C24" s="23" t="e">
        <f aca="false" t="array" ref="C24:C24">INDEX([1]data_dbd!$c:$c,$A24)</f>
        <v>#NAME?</v>
      </c>
      <c r="D24" s="23" t="e">
        <f aca="false" t="array" ref="D24:D24">INDEX([1]data_dbd!$e:$e,$A24)</f>
        <v>#NAME?</v>
      </c>
      <c r="E24" s="23" t="e">
        <f aca="false" t="array" ref="E24:E24">INDEX([1]data_dbd!$f:$f,$A24)</f>
        <v>#NAME?</v>
      </c>
      <c r="H24" s="24" t="n">
        <v>6</v>
      </c>
      <c r="I24" s="24" t="n">
        <v>14</v>
      </c>
      <c r="J24" s="24" t="n">
        <v>4</v>
      </c>
      <c r="K24" s="24" t="n">
        <v>0</v>
      </c>
      <c r="L24" s="24" t="s">
        <v>7</v>
      </c>
    </row>
    <row r="25" customFormat="false" ht="15" hidden="false" customHeight="false" outlineLevel="0" collapsed="false">
      <c r="A25" s="23" t="n">
        <f aca="false">RANDBETWEEN(2,164)</f>
        <v>137</v>
      </c>
      <c r="B25" s="23" t="e">
        <f aca="false" t="array" ref="B25:B25">INDEX([1]data_dbd!$b:$b,$A25)</f>
        <v>#NAME?</v>
      </c>
      <c r="C25" s="23" t="e">
        <f aca="false" t="array" ref="C25:C25">INDEX([1]data_dbd!$c:$c,$A25)</f>
        <v>#NAME?</v>
      </c>
      <c r="D25" s="23" t="e">
        <f aca="false" t="array" ref="D25:D25">INDEX([1]data_dbd!$e:$e,$A25)</f>
        <v>#NAME?</v>
      </c>
      <c r="E25" s="23" t="e">
        <f aca="false" t="array" ref="E25:E25">INDEX([1]data_dbd!$f:$f,$A25)</f>
        <v>#NAME?</v>
      </c>
      <c r="H25" s="24" t="n">
        <v>153</v>
      </c>
      <c r="I25" s="24" t="n">
        <v>73</v>
      </c>
      <c r="J25" s="24" t="n">
        <v>7</v>
      </c>
      <c r="K25" s="24" t="n">
        <v>1</v>
      </c>
      <c r="L25" s="24" t="s">
        <v>115</v>
      </c>
    </row>
    <row r="26" customFormat="false" ht="15" hidden="false" customHeight="false" outlineLevel="0" collapsed="false">
      <c r="A26" s="23" t="n">
        <f aca="false">RANDBETWEEN(2,164)</f>
        <v>111</v>
      </c>
      <c r="B26" s="23" t="e">
        <f aca="false" t="array" ref="B26:B26">INDEX([1]data_dbd!$b:$b,$A26)</f>
        <v>#NAME?</v>
      </c>
      <c r="C26" s="23" t="e">
        <f aca="false" t="array" ref="C26:C26">INDEX([1]data_dbd!$c:$c,$A26)</f>
        <v>#NAME?</v>
      </c>
      <c r="D26" s="23" t="e">
        <f aca="false" t="array" ref="D26:D26">INDEX([1]data_dbd!$e:$e,$A26)</f>
        <v>#NAME?</v>
      </c>
      <c r="E26" s="23" t="e">
        <f aca="false" t="array" ref="E26:E26">INDEX([1]data_dbd!$f:$f,$A26)</f>
        <v>#NAME?</v>
      </c>
      <c r="H26" s="24" t="n">
        <v>37</v>
      </c>
      <c r="I26" s="24" t="n">
        <v>28</v>
      </c>
      <c r="J26" s="24" t="n">
        <v>4</v>
      </c>
      <c r="K26" s="24" t="n">
        <v>1</v>
      </c>
      <c r="L26" s="24" t="s">
        <v>20</v>
      </c>
    </row>
    <row r="27" customFormat="false" ht="15" hidden="false" customHeight="false" outlineLevel="0" collapsed="false">
      <c r="A27" s="23" t="n">
        <f aca="false">RANDBETWEEN(2,164)</f>
        <v>77</v>
      </c>
      <c r="B27" s="23" t="e">
        <f aca="false" t="array" ref="B27:B27">INDEX([1]data_dbd!$b:$b,$A27)</f>
        <v>#NAME?</v>
      </c>
      <c r="C27" s="23" t="e">
        <f aca="false" t="array" ref="C27:C27">INDEX([1]data_dbd!$c:$c,$A27)</f>
        <v>#NAME?</v>
      </c>
      <c r="D27" s="23" t="e">
        <f aca="false" t="array" ref="D27:D27">INDEX([1]data_dbd!$e:$e,$A27)</f>
        <v>#NAME?</v>
      </c>
      <c r="E27" s="23" t="e">
        <f aca="false" t="array" ref="E27:E27">INDEX([1]data_dbd!$f:$f,$A27)</f>
        <v>#NAME?</v>
      </c>
      <c r="H27" s="24" t="n">
        <v>118</v>
      </c>
      <c r="I27" s="24" t="n">
        <v>67</v>
      </c>
      <c r="J27" s="24" t="n">
        <v>4</v>
      </c>
      <c r="K27" s="24" t="n">
        <v>1</v>
      </c>
      <c r="L27" s="24" t="s">
        <v>115</v>
      </c>
    </row>
    <row r="28" customFormat="false" ht="15" hidden="false" customHeight="false" outlineLevel="0" collapsed="false">
      <c r="A28" s="23" t="n">
        <f aca="false">RANDBETWEEN(2,164)</f>
        <v>36</v>
      </c>
      <c r="B28" s="23" t="e">
        <f aca="false" t="array" ref="B28:B28">INDEX([1]data_dbd!$b:$b,$A28)</f>
        <v>#NAME?</v>
      </c>
      <c r="C28" s="23" t="e">
        <f aca="false" t="array" ref="C28:C28">INDEX([1]data_dbd!$c:$c,$A28)</f>
        <v>#NAME?</v>
      </c>
      <c r="D28" s="23" t="e">
        <f aca="false" t="array" ref="D28:D28">INDEX([1]data_dbd!$e:$e,$A28)</f>
        <v>#NAME?</v>
      </c>
      <c r="E28" s="23" t="e">
        <f aca="false" t="array" ref="E28:E28">INDEX([1]data_dbd!$f:$f,$A28)</f>
        <v>#NAME?</v>
      </c>
      <c r="H28" s="24" t="n">
        <v>16</v>
      </c>
      <c r="I28" s="24" t="n">
        <v>66</v>
      </c>
      <c r="J28" s="24" t="n">
        <v>5</v>
      </c>
      <c r="K28" s="24" t="n">
        <v>1</v>
      </c>
      <c r="L28" s="24" t="s">
        <v>20</v>
      </c>
    </row>
    <row r="29" customFormat="false" ht="15" hidden="false" customHeight="false" outlineLevel="0" collapsed="false">
      <c r="A29" s="23" t="n">
        <f aca="false">RANDBETWEEN(2,164)</f>
        <v>99</v>
      </c>
      <c r="B29" s="23" t="e">
        <f aca="false" t="array" ref="B29:B29">INDEX([1]data_dbd!$b:$b,$A29)</f>
        <v>#NAME?</v>
      </c>
      <c r="C29" s="23" t="e">
        <f aca="false" t="array" ref="C29:C29">INDEX([1]data_dbd!$c:$c,$A29)</f>
        <v>#NAME?</v>
      </c>
      <c r="D29" s="23" t="e">
        <f aca="false" t="array" ref="D29:D29">INDEX([1]data_dbd!$e:$e,$A29)</f>
        <v>#NAME?</v>
      </c>
      <c r="E29" s="23" t="e">
        <f aca="false" t="array" ref="E29:E29">INDEX([1]data_dbd!$f:$f,$A29)</f>
        <v>#NAME?</v>
      </c>
      <c r="H29" s="24" t="n">
        <v>103</v>
      </c>
      <c r="I29" s="24" t="n">
        <v>22</v>
      </c>
      <c r="J29" s="24" t="n">
        <v>5</v>
      </c>
      <c r="K29" s="24" t="n">
        <v>0</v>
      </c>
      <c r="L29" s="24" t="s">
        <v>115</v>
      </c>
    </row>
    <row r="30" customFormat="false" ht="15" hidden="false" customHeight="false" outlineLevel="0" collapsed="false">
      <c r="A30" s="23" t="n">
        <f aca="false">RANDBETWEEN(2,164)</f>
        <v>140</v>
      </c>
      <c r="B30" s="23" t="e">
        <f aca="false" t="array" ref="B30:B30">INDEX([1]data_dbd!$b:$b,$A30)</f>
        <v>#NAME?</v>
      </c>
      <c r="C30" s="23" t="e">
        <f aca="false" t="array" ref="C30:C30">INDEX([1]data_dbd!$c:$c,$A30)</f>
        <v>#NAME?</v>
      </c>
      <c r="D30" s="23" t="e">
        <f aca="false" t="array" ref="D30:D30">INDEX([1]data_dbd!$e:$e,$A30)</f>
        <v>#NAME?</v>
      </c>
      <c r="E30" s="23" t="e">
        <f aca="false" t="array" ref="E30:E30">INDEX([1]data_dbd!$f:$f,$A30)</f>
        <v>#NAME?</v>
      </c>
      <c r="H30" s="24" t="n">
        <v>101</v>
      </c>
      <c r="I30" s="24" t="n">
        <v>42</v>
      </c>
      <c r="J30" s="24" t="n">
        <v>5</v>
      </c>
      <c r="K30" s="24" t="n">
        <v>0</v>
      </c>
      <c r="L30" s="24" t="s">
        <v>115</v>
      </c>
    </row>
    <row r="31" customFormat="false" ht="15" hidden="false" customHeight="false" outlineLevel="0" collapsed="false">
      <c r="A31" s="23" t="n">
        <f aca="false">RANDBETWEEN(2,164)</f>
        <v>154</v>
      </c>
      <c r="B31" s="23" t="e">
        <f aca="false" t="array" ref="B31:B31">INDEX([1]data_dbd!$b:$b,$A31)</f>
        <v>#NAME?</v>
      </c>
      <c r="C31" s="23" t="e">
        <f aca="false" t="array" ref="C31:C31">INDEX([1]data_dbd!$c:$c,$A31)</f>
        <v>#NAME?</v>
      </c>
      <c r="D31" s="23" t="e">
        <f aca="false" t="array" ref="D31:D31">INDEX([1]data_dbd!$e:$e,$A31)</f>
        <v>#NAME?</v>
      </c>
      <c r="E31" s="23" t="e">
        <f aca="false" t="array" ref="E31:E31">INDEX([1]data_dbd!$f:$f,$A31)</f>
        <v>#NAME?</v>
      </c>
      <c r="H31" s="24" t="n">
        <v>132</v>
      </c>
      <c r="I31" s="24" t="n">
        <v>10</v>
      </c>
      <c r="J31" s="24" t="n">
        <v>3</v>
      </c>
      <c r="K31" s="24" t="n">
        <v>1</v>
      </c>
      <c r="L31" s="24" t="s">
        <v>115</v>
      </c>
    </row>
    <row r="32" customFormat="false" ht="15" hidden="false" customHeight="false" outlineLevel="0" collapsed="false">
      <c r="A32" s="23" t="n">
        <f aca="false">RANDBETWEEN(2,164)</f>
        <v>33</v>
      </c>
      <c r="B32" s="23" t="e">
        <f aca="false" t="array" ref="B32:B32">INDEX([1]data_dbd!$b:$b,$A32)</f>
        <v>#NAME?</v>
      </c>
      <c r="C32" s="23" t="e">
        <f aca="false" t="array" ref="C32:C32">INDEX([1]data_dbd!$c:$c,$A32)</f>
        <v>#NAME?</v>
      </c>
      <c r="D32" s="23" t="e">
        <f aca="false" t="array" ref="D32:D32">INDEX([1]data_dbd!$e:$e,$A32)</f>
        <v>#NAME?</v>
      </c>
      <c r="E32" s="23" t="e">
        <f aca="false" t="array" ref="E32:E32">INDEX([1]data_dbd!$f:$f,$A32)</f>
        <v>#NAME?</v>
      </c>
      <c r="H32" s="24" t="n">
        <v>58</v>
      </c>
      <c r="I32" s="24" t="n">
        <v>17</v>
      </c>
      <c r="J32" s="24" t="n">
        <v>3</v>
      </c>
      <c r="K32" s="24" t="n">
        <v>0</v>
      </c>
      <c r="L32" s="24" t="s">
        <v>7</v>
      </c>
    </row>
    <row r="33" customFormat="false" ht="15" hidden="false" customHeight="false" outlineLevel="0" collapsed="false">
      <c r="A33" s="23" t="n">
        <f aca="false">RANDBETWEEN(2,164)</f>
        <v>135</v>
      </c>
      <c r="B33" s="23" t="e">
        <f aca="false" t="array" ref="B33:B33">INDEX([1]data_dbd!$b:$b,$A33)</f>
        <v>#NAME?</v>
      </c>
      <c r="C33" s="23" t="e">
        <f aca="false" t="array" ref="C33:C33">INDEX([1]data_dbd!$c:$c,$A33)</f>
        <v>#NAME?</v>
      </c>
      <c r="D33" s="23" t="e">
        <f aca="false" t="array" ref="D33:D33">INDEX([1]data_dbd!$e:$e,$A33)</f>
        <v>#NAME?</v>
      </c>
      <c r="E33" s="23" t="e">
        <f aca="false" t="array" ref="E33:E33">INDEX([1]data_dbd!$f:$f,$A33)</f>
        <v>#NAME?</v>
      </c>
      <c r="H33" s="24" t="n">
        <v>99</v>
      </c>
      <c r="I33" s="24" t="n">
        <v>4</v>
      </c>
      <c r="J33" s="24" t="n">
        <v>2</v>
      </c>
      <c r="K33" s="24" t="n">
        <v>1</v>
      </c>
      <c r="L33" s="24" t="s">
        <v>115</v>
      </c>
    </row>
    <row r="34" customFormat="false" ht="15" hidden="false" customHeight="false" outlineLevel="0" collapsed="false">
      <c r="A34" s="23" t="n">
        <f aca="false">RANDBETWEEN(2,164)</f>
        <v>153</v>
      </c>
      <c r="B34" s="23" t="e">
        <f aca="false" t="array" ref="B34:B34">INDEX([1]data_dbd!$b:$b,$A34)</f>
        <v>#NAME?</v>
      </c>
      <c r="C34" s="23" t="e">
        <f aca="false" t="array" ref="C34:C34">INDEX([1]data_dbd!$c:$c,$A34)</f>
        <v>#NAME?</v>
      </c>
      <c r="D34" s="23" t="e">
        <f aca="false" t="array" ref="D34:D34">INDEX([1]data_dbd!$e:$e,$A34)</f>
        <v>#NAME?</v>
      </c>
      <c r="E34" s="23" t="e">
        <f aca="false" t="array" ref="E34:E34">INDEX([1]data_dbd!$f:$f,$A34)</f>
        <v>#NAME?</v>
      </c>
      <c r="H34" s="24" t="n">
        <v>69</v>
      </c>
      <c r="I34" s="24" t="n">
        <v>24</v>
      </c>
      <c r="J34" s="24" t="n">
        <v>4</v>
      </c>
      <c r="K34" s="24" t="n">
        <v>1</v>
      </c>
      <c r="L34" s="24" t="s">
        <v>7</v>
      </c>
    </row>
    <row r="35" customFormat="false" ht="15" hidden="false" customHeight="false" outlineLevel="0" collapsed="false">
      <c r="A35" s="23" t="n">
        <f aca="false">RANDBETWEEN(2,164)</f>
        <v>131</v>
      </c>
      <c r="B35" s="23" t="e">
        <f aca="false" t="array" ref="B35:B35">INDEX([1]data_dbd!$b:$b,$A35)</f>
        <v>#NAME?</v>
      </c>
      <c r="C35" s="23" t="e">
        <f aca="false" t="array" ref="C35:C35">INDEX([1]data_dbd!$c:$c,$A35)</f>
        <v>#NAME?</v>
      </c>
      <c r="D35" s="23" t="e">
        <f aca="false" t="array" ref="D35:D35">INDEX([1]data_dbd!$e:$e,$A35)</f>
        <v>#NAME?</v>
      </c>
      <c r="E35" s="23" t="e">
        <f aca="false" t="array" ref="E35:E35">INDEX([1]data_dbd!$f:$f,$A35)</f>
        <v>#NAME?</v>
      </c>
      <c r="H35" s="24" t="n">
        <v>18</v>
      </c>
      <c r="I35" s="24" t="n">
        <v>49</v>
      </c>
      <c r="J35" s="24" t="n">
        <v>4</v>
      </c>
      <c r="K35" s="24" t="n">
        <v>1</v>
      </c>
      <c r="L35" s="24" t="s">
        <v>20</v>
      </c>
    </row>
    <row r="36" customFormat="false" ht="15" hidden="false" customHeight="false" outlineLevel="0" collapsed="false">
      <c r="A36" s="23" t="n">
        <f aca="false">RANDBETWEEN(2,164)</f>
        <v>127</v>
      </c>
      <c r="B36" s="23" t="e">
        <f aca="false" t="array" ref="B36:B36">INDEX([1]data_dbd!$b:$b,$A36)</f>
        <v>#NAME?</v>
      </c>
      <c r="C36" s="23" t="e">
        <f aca="false" t="array" ref="C36:C36">INDEX([1]data_dbd!$c:$c,$A36)</f>
        <v>#NAME?</v>
      </c>
      <c r="D36" s="23" t="e">
        <f aca="false" t="array" ref="D36:D36">INDEX([1]data_dbd!$e:$e,$A36)</f>
        <v>#NAME?</v>
      </c>
      <c r="E36" s="23" t="e">
        <f aca="false" t="array" ref="E36:E36">INDEX([1]data_dbd!$f:$f,$A36)</f>
        <v>#NAME?</v>
      </c>
      <c r="H36" s="24" t="n">
        <v>160</v>
      </c>
      <c r="I36" s="24" t="n">
        <v>16</v>
      </c>
      <c r="J36" s="24" t="n">
        <v>3</v>
      </c>
      <c r="K36" s="24" t="n">
        <v>0</v>
      </c>
      <c r="L36" s="24" t="s">
        <v>115</v>
      </c>
    </row>
    <row r="37" customFormat="false" ht="15" hidden="false" customHeight="false" outlineLevel="0" collapsed="false">
      <c r="A37" s="23" t="n">
        <f aca="false">RANDBETWEEN(2,164)</f>
        <v>96</v>
      </c>
      <c r="B37" s="23" t="e">
        <f aca="false" t="array" ref="B37:B37">INDEX([1]data_dbd!$b:$b,$A37)</f>
        <v>#NAME?</v>
      </c>
      <c r="C37" s="23" t="e">
        <f aca="false" t="array" ref="C37:C37">INDEX([1]data_dbd!$c:$c,$A37)</f>
        <v>#NAME?</v>
      </c>
      <c r="D37" s="23" t="e">
        <f aca="false" t="array" ref="D37:D37">INDEX([1]data_dbd!$e:$e,$A37)</f>
        <v>#NAME?</v>
      </c>
      <c r="E37" s="23" t="e">
        <f aca="false" t="array" ref="E37:E37">INDEX([1]data_dbd!$f:$f,$A37)</f>
        <v>#NAME?</v>
      </c>
      <c r="H37" s="24" t="n">
        <v>114</v>
      </c>
      <c r="I37" s="24" t="n">
        <v>14</v>
      </c>
      <c r="J37" s="24" t="n">
        <v>2</v>
      </c>
      <c r="K37" s="24" t="n">
        <v>1</v>
      </c>
      <c r="L37" s="24" t="s">
        <v>115</v>
      </c>
    </row>
    <row r="38" customFormat="false" ht="15" hidden="false" customHeight="false" outlineLevel="0" collapsed="false">
      <c r="A38" s="23" t="n">
        <f aca="false">RANDBETWEEN(2,164)</f>
        <v>92</v>
      </c>
      <c r="B38" s="23" t="e">
        <f aca="false" t="array" ref="B38:B38">INDEX([1]data_dbd!$b:$b,$A38)</f>
        <v>#NAME?</v>
      </c>
      <c r="C38" s="23" t="e">
        <f aca="false" t="array" ref="C38:C38">INDEX([1]data_dbd!$c:$c,$A38)</f>
        <v>#NAME?</v>
      </c>
      <c r="D38" s="23" t="e">
        <f aca="false" t="array" ref="D38:D38">INDEX([1]data_dbd!$e:$e,$A38)</f>
        <v>#NAME?</v>
      </c>
      <c r="E38" s="23" t="e">
        <f aca="false" t="array" ref="E38:E38">INDEX([1]data_dbd!$f:$f,$A38)</f>
        <v>#NAME?</v>
      </c>
      <c r="H38" s="24" t="n">
        <v>94</v>
      </c>
      <c r="I38" s="24" t="n">
        <v>12</v>
      </c>
      <c r="J38" s="24" t="n">
        <v>4</v>
      </c>
      <c r="K38" s="24" t="n">
        <v>0</v>
      </c>
      <c r="L38" s="24" t="s">
        <v>115</v>
      </c>
    </row>
    <row r="39" customFormat="false" ht="15" hidden="false" customHeight="false" outlineLevel="0" collapsed="false">
      <c r="A39" s="23" t="n">
        <f aca="false">RANDBETWEEN(2,164)</f>
        <v>4</v>
      </c>
      <c r="B39" s="23" t="e">
        <f aca="false" t="array" ref="B39:B39">INDEX([1]data_dbd!$b:$b,$A39)</f>
        <v>#NAME?</v>
      </c>
      <c r="C39" s="23" t="e">
        <f aca="false" t="array" ref="C39:C39">INDEX([1]data_dbd!$c:$c,$A39)</f>
        <v>#NAME?</v>
      </c>
      <c r="D39" s="23" t="e">
        <f aca="false" t="array" ref="D39:D39">INDEX([1]data_dbd!$e:$e,$A39)</f>
        <v>#NAME?</v>
      </c>
      <c r="E39" s="23" t="e">
        <f aca="false" t="array" ref="E39:E39">INDEX([1]data_dbd!$f:$f,$A39)</f>
        <v>#NAME?</v>
      </c>
      <c r="H39" s="24" t="n">
        <v>113</v>
      </c>
      <c r="I39" s="24" t="n">
        <v>69</v>
      </c>
      <c r="J39" s="24" t="n">
        <v>1</v>
      </c>
      <c r="K39" s="24" t="n">
        <v>1</v>
      </c>
      <c r="L39" s="24" t="s">
        <v>115</v>
      </c>
    </row>
    <row r="40" customFormat="false" ht="15" hidden="false" customHeight="false" outlineLevel="0" collapsed="false">
      <c r="A40" s="23" t="n">
        <f aca="false">RANDBETWEEN(2,164)</f>
        <v>89</v>
      </c>
      <c r="B40" s="23" t="e">
        <f aca="false" t="array" ref="B40:B40">INDEX([1]data_dbd!$b:$b,$A40)</f>
        <v>#NAME?</v>
      </c>
      <c r="C40" s="23" t="e">
        <f aca="false" t="array" ref="C40:C40">INDEX([1]data_dbd!$c:$c,$A40)</f>
        <v>#NAME?</v>
      </c>
      <c r="D40" s="23" t="e">
        <f aca="false" t="array" ref="D40:D40">INDEX([1]data_dbd!$e:$e,$A40)</f>
        <v>#NAME?</v>
      </c>
      <c r="E40" s="23" t="e">
        <f aca="false" t="array" ref="E40:E40">INDEX([1]data_dbd!$f:$f,$A40)</f>
        <v>#NAME?</v>
      </c>
      <c r="H40" s="24" t="n">
        <v>116</v>
      </c>
      <c r="I40" s="24" t="n">
        <v>32</v>
      </c>
      <c r="J40" s="24" t="n">
        <v>4</v>
      </c>
      <c r="K40" s="24" t="n">
        <v>1</v>
      </c>
      <c r="L40" s="24" t="s">
        <v>115</v>
      </c>
    </row>
    <row r="41" customFormat="false" ht="15" hidden="false" customHeight="false" outlineLevel="0" collapsed="false">
      <c r="A41" s="23" t="n">
        <f aca="false">RANDBETWEEN(2,164)</f>
        <v>84</v>
      </c>
      <c r="B41" s="23" t="e">
        <f aca="false" t="array" ref="B41:B41">INDEX([1]data_dbd!$b:$b,$A41)</f>
        <v>#NAME?</v>
      </c>
      <c r="C41" s="23" t="e">
        <f aca="false" t="array" ref="C41:C41">INDEX([1]data_dbd!$c:$c,$A41)</f>
        <v>#NAME?</v>
      </c>
      <c r="D41" s="23" t="e">
        <f aca="false" t="array" ref="D41:D41">INDEX([1]data_dbd!$e:$e,$A41)</f>
        <v>#NAME?</v>
      </c>
      <c r="E41" s="23" t="e">
        <f aca="false" t="array" ref="E41:E41">INDEX([1]data_dbd!$f:$f,$A41)</f>
        <v>#NAME?</v>
      </c>
      <c r="H41" s="24" t="n">
        <v>123</v>
      </c>
      <c r="I41" s="24" t="n">
        <v>22</v>
      </c>
      <c r="J41" s="24" t="n">
        <v>4</v>
      </c>
      <c r="K41" s="24" t="n">
        <v>0</v>
      </c>
      <c r="L41" s="24" t="s">
        <v>115</v>
      </c>
    </row>
    <row r="42" customFormat="false" ht="15" hidden="false" customHeight="false" outlineLevel="0" collapsed="false">
      <c r="A42" s="23" t="n">
        <f aca="false">RANDBETWEEN(2,164)</f>
        <v>101</v>
      </c>
      <c r="B42" s="23" t="e">
        <f aca="false" t="array" ref="B42:B42">INDEX([1]data_dbd!$b:$b,$A42)</f>
        <v>#NAME?</v>
      </c>
      <c r="C42" s="23" t="e">
        <f aca="false" t="array" ref="C42:C42">INDEX([1]data_dbd!$c:$c,$A42)</f>
        <v>#NAME?</v>
      </c>
      <c r="D42" s="23" t="e">
        <f aca="false" t="array" ref="D42:D42">INDEX([1]data_dbd!$e:$e,$A42)</f>
        <v>#NAME?</v>
      </c>
      <c r="E42" s="23" t="e">
        <f aca="false" t="array" ref="E42:E42">INDEX([1]data_dbd!$f:$f,$A42)</f>
        <v>#NAME?</v>
      </c>
      <c r="H42" s="24" t="n">
        <v>122</v>
      </c>
      <c r="I42" s="24" t="n">
        <v>28</v>
      </c>
      <c r="J42" s="24" t="n">
        <v>3</v>
      </c>
      <c r="K42" s="24" t="n">
        <v>1</v>
      </c>
      <c r="L42" s="24" t="s">
        <v>115</v>
      </c>
    </row>
    <row r="43" customFormat="false" ht="15" hidden="false" customHeight="false" outlineLevel="0" collapsed="false">
      <c r="A43" s="23" t="n">
        <f aca="false">RANDBETWEEN(2,164)</f>
        <v>144</v>
      </c>
      <c r="B43" s="23" t="e">
        <f aca="false" t="array" ref="B43:B43">INDEX([1]data_dbd!$b:$b,$A43)</f>
        <v>#NAME?</v>
      </c>
      <c r="C43" s="23" t="e">
        <f aca="false" t="array" ref="C43:C43">INDEX([1]data_dbd!$c:$c,$A43)</f>
        <v>#NAME?</v>
      </c>
      <c r="D43" s="23" t="e">
        <f aca="false" t="array" ref="D43:D43">INDEX([1]data_dbd!$e:$e,$A43)</f>
        <v>#NAME?</v>
      </c>
      <c r="E43" s="23" t="e">
        <f aca="false" t="array" ref="E43:E43">INDEX([1]data_dbd!$f:$f,$A43)</f>
        <v>#NAME?</v>
      </c>
      <c r="H43" s="24" t="n">
        <v>137</v>
      </c>
      <c r="I43" s="24" t="n">
        <v>3</v>
      </c>
      <c r="J43" s="24" t="n">
        <v>1</v>
      </c>
      <c r="K43" s="24" t="n">
        <v>1</v>
      </c>
      <c r="L43" s="24" t="s">
        <v>115</v>
      </c>
    </row>
    <row r="44" customFormat="false" ht="15" hidden="false" customHeight="false" outlineLevel="0" collapsed="false">
      <c r="A44" s="23" t="n">
        <f aca="false">RANDBETWEEN(2,164)</f>
        <v>34</v>
      </c>
      <c r="B44" s="23" t="e">
        <f aca="false" t="array" ref="B44:B44">INDEX([1]data_dbd!$b:$b,$A44)</f>
        <v>#NAME?</v>
      </c>
      <c r="C44" s="23" t="e">
        <f aca="false" t="array" ref="C44:C44">INDEX([1]data_dbd!$c:$c,$A44)</f>
        <v>#NAME?</v>
      </c>
      <c r="D44" s="23" t="e">
        <f aca="false" t="array" ref="D44:D44">INDEX([1]data_dbd!$e:$e,$A44)</f>
        <v>#NAME?</v>
      </c>
      <c r="E44" s="23" t="e">
        <f aca="false" t="array" ref="E44:E44">INDEX([1]data_dbd!$f:$f,$A44)</f>
        <v>#NAME?</v>
      </c>
      <c r="H44" s="24" t="n">
        <v>136</v>
      </c>
      <c r="I44" s="24" t="n">
        <v>6</v>
      </c>
      <c r="J44" s="24" t="n">
        <v>2</v>
      </c>
      <c r="K44" s="24" t="n">
        <v>0</v>
      </c>
      <c r="L44" s="24" t="s">
        <v>115</v>
      </c>
    </row>
    <row r="45" customFormat="false" ht="15" hidden="false" customHeight="false" outlineLevel="0" collapsed="false">
      <c r="A45" s="23" t="n">
        <f aca="false">RANDBETWEEN(2,164)</f>
        <v>134</v>
      </c>
      <c r="B45" s="23" t="e">
        <f aca="false" t="array" ref="B45:B45">INDEX([1]data_dbd!$b:$b,$A45)</f>
        <v>#NAME?</v>
      </c>
      <c r="C45" s="23" t="e">
        <f aca="false" t="array" ref="C45:C45">INDEX([1]data_dbd!$c:$c,$A45)</f>
        <v>#NAME?</v>
      </c>
      <c r="D45" s="23" t="e">
        <f aca="false" t="array" ref="D45:D45">INDEX([1]data_dbd!$e:$e,$A45)</f>
        <v>#NAME?</v>
      </c>
      <c r="E45" s="23" t="e">
        <f aca="false" t="array" ref="E45:E45">INDEX([1]data_dbd!$f:$f,$A45)</f>
        <v>#NAME?</v>
      </c>
      <c r="H45" s="24" t="n">
        <v>37</v>
      </c>
      <c r="I45" s="24" t="n">
        <v>28</v>
      </c>
      <c r="J45" s="24" t="n">
        <v>4</v>
      </c>
      <c r="K45" s="24" t="n">
        <v>1</v>
      </c>
      <c r="L45" s="24" t="s">
        <v>20</v>
      </c>
    </row>
    <row r="46" customFormat="false" ht="15" hidden="false" customHeight="false" outlineLevel="0" collapsed="false">
      <c r="A46" s="23" t="n">
        <f aca="false">RANDBETWEEN(2,164)</f>
        <v>49</v>
      </c>
      <c r="B46" s="23" t="e">
        <f aca="false" t="array" ref="B46:B46">INDEX([1]data_dbd!$b:$b,$A46)</f>
        <v>#NAME?</v>
      </c>
      <c r="C46" s="23" t="e">
        <f aca="false" t="array" ref="C46:C46">INDEX([1]data_dbd!$c:$c,$A46)</f>
        <v>#NAME?</v>
      </c>
      <c r="D46" s="23" t="e">
        <f aca="false" t="array" ref="D46:D46">INDEX([1]data_dbd!$e:$e,$A46)</f>
        <v>#NAME?</v>
      </c>
      <c r="E46" s="23" t="e">
        <f aca="false" t="array" ref="E46:E46">INDEX([1]data_dbd!$f:$f,$A46)</f>
        <v>#NAME?</v>
      </c>
      <c r="H46" s="24" t="n">
        <v>16</v>
      </c>
      <c r="I46" s="24" t="n">
        <v>66</v>
      </c>
      <c r="J46" s="24" t="n">
        <v>5</v>
      </c>
      <c r="K46" s="24" t="n">
        <v>1</v>
      </c>
      <c r="L46" s="24" t="s">
        <v>20</v>
      </c>
    </row>
    <row r="47" customFormat="false" ht="15" hidden="false" customHeight="false" outlineLevel="0" collapsed="false">
      <c r="A47" s="23" t="n">
        <f aca="false">RANDBETWEEN(2,164)</f>
        <v>145</v>
      </c>
      <c r="B47" s="23" t="e">
        <f aca="false" t="array" ref="B47:B47">INDEX([1]data_dbd!$b:$b,$A47)</f>
        <v>#NAME?</v>
      </c>
      <c r="C47" s="23" t="e">
        <f aca="false" t="array" ref="C47:C47">INDEX([1]data_dbd!$c:$c,$A47)</f>
        <v>#NAME?</v>
      </c>
      <c r="D47" s="23" t="e">
        <f aca="false" t="array" ref="D47:D47">INDEX([1]data_dbd!$e:$e,$A47)</f>
        <v>#NAME?</v>
      </c>
      <c r="E47" s="23" t="e">
        <f aca="false" t="array" ref="E47:E47">INDEX([1]data_dbd!$f:$f,$A47)</f>
        <v>#NAME?</v>
      </c>
      <c r="H47" s="24" t="n">
        <v>13</v>
      </c>
      <c r="I47" s="24" t="n">
        <v>47</v>
      </c>
      <c r="J47" s="24" t="n">
        <v>2</v>
      </c>
      <c r="K47" s="24" t="n">
        <v>0</v>
      </c>
      <c r="L47" s="24" t="s">
        <v>7</v>
      </c>
    </row>
    <row r="48" customFormat="false" ht="15" hidden="false" customHeight="false" outlineLevel="0" collapsed="false">
      <c r="A48" s="23" t="n">
        <f aca="false">RANDBETWEEN(2,164)</f>
        <v>74</v>
      </c>
      <c r="B48" s="23" t="e">
        <f aca="false" t="array" ref="B48:B48">INDEX([1]data_dbd!$b:$b,$A48)</f>
        <v>#NAME?</v>
      </c>
      <c r="C48" s="23" t="e">
        <f aca="false" t="array" ref="C48:C48">INDEX([1]data_dbd!$c:$c,$A48)</f>
        <v>#NAME?</v>
      </c>
      <c r="D48" s="23" t="e">
        <f aca="false" t="array" ref="D48:D48">INDEX([1]data_dbd!$e:$e,$A48)</f>
        <v>#NAME?</v>
      </c>
      <c r="E48" s="23" t="e">
        <f aca="false" t="array" ref="E48:E48">INDEX([1]data_dbd!$f:$f,$A48)</f>
        <v>#NAME?</v>
      </c>
      <c r="H48" s="24" t="n">
        <v>157</v>
      </c>
      <c r="I48" s="24" t="n">
        <v>15</v>
      </c>
      <c r="J48" s="24" t="n">
        <v>4</v>
      </c>
      <c r="K48" s="24" t="n">
        <v>1</v>
      </c>
      <c r="L48" s="24" t="s">
        <v>115</v>
      </c>
    </row>
    <row r="49" customFormat="false" ht="15" hidden="false" customHeight="false" outlineLevel="0" collapsed="false">
      <c r="A49" s="23" t="n">
        <f aca="false">RANDBETWEEN(2,164)</f>
        <v>92</v>
      </c>
      <c r="B49" s="23" t="e">
        <f aca="false" t="array" ref="B49:B49">INDEX([1]data_dbd!$b:$b,$A49)</f>
        <v>#NAME?</v>
      </c>
      <c r="C49" s="23" t="e">
        <f aca="false" t="array" ref="C49:C49">INDEX([1]data_dbd!$c:$c,$A49)</f>
        <v>#NAME?</v>
      </c>
      <c r="D49" s="23" t="e">
        <f aca="false" t="array" ref="D49:D49">INDEX([1]data_dbd!$e:$e,$A49)</f>
        <v>#NAME?</v>
      </c>
      <c r="E49" s="23" t="e">
        <f aca="false" t="array" ref="E49:E49">INDEX([1]data_dbd!$f:$f,$A49)</f>
        <v>#NAME?</v>
      </c>
      <c r="H49" s="24" t="n">
        <v>43</v>
      </c>
      <c r="I49" s="24" t="n">
        <v>15</v>
      </c>
      <c r="J49" s="24" t="n">
        <v>4</v>
      </c>
      <c r="K49" s="24" t="n">
        <v>0</v>
      </c>
      <c r="L49" s="24" t="s">
        <v>7</v>
      </c>
    </row>
    <row r="50" customFormat="false" ht="15" hidden="false" customHeight="false" outlineLevel="0" collapsed="false">
      <c r="A50" s="23" t="n">
        <f aca="false">RANDBETWEEN(2,164)</f>
        <v>24</v>
      </c>
      <c r="B50" s="23" t="e">
        <f aca="false" t="array" ref="B50:B50">INDEX([1]data_dbd!$b:$b,$A50)</f>
        <v>#NAME?</v>
      </c>
      <c r="C50" s="23" t="e">
        <f aca="false" t="array" ref="C50:C50">INDEX([1]data_dbd!$c:$c,$A50)</f>
        <v>#NAME?</v>
      </c>
      <c r="D50" s="23" t="e">
        <f aca="false" t="array" ref="D50:D50">INDEX([1]data_dbd!$e:$e,$A50)</f>
        <v>#NAME?</v>
      </c>
      <c r="E50" s="23" t="e">
        <f aca="false" t="array" ref="E50:E50">INDEX([1]data_dbd!$f:$f,$A50)</f>
        <v>#NAME?</v>
      </c>
      <c r="H50" s="24" t="n">
        <v>126</v>
      </c>
      <c r="I50" s="24" t="n">
        <v>51</v>
      </c>
      <c r="J50" s="24" t="n">
        <v>3</v>
      </c>
      <c r="K50" s="24" t="n">
        <v>1</v>
      </c>
      <c r="L50" s="24" t="s">
        <v>115</v>
      </c>
    </row>
    <row r="51" customFormat="false" ht="15" hidden="false" customHeight="false" outlineLevel="0" collapsed="false">
      <c r="A51" s="23" t="n">
        <f aca="false">RANDBETWEEN(2,164)</f>
        <v>151</v>
      </c>
      <c r="B51" s="23" t="e">
        <f aca="false" t="array" ref="B51:B51">INDEX([1]data_dbd!$b:$b,$A51)</f>
        <v>#NAME?</v>
      </c>
      <c r="C51" s="23" t="e">
        <f aca="false" t="array" ref="C51:C51">INDEX([1]data_dbd!$c:$c,$A51)</f>
        <v>#NAME?</v>
      </c>
      <c r="D51" s="23" t="e">
        <f aca="false" t="array" ref="D51:D51">INDEX([1]data_dbd!$e:$e,$A51)</f>
        <v>#NAME?</v>
      </c>
      <c r="E51" s="23" t="e">
        <f aca="false" t="array" ref="E51:E51">INDEX([1]data_dbd!$f:$f,$A51)</f>
        <v>#NAME?</v>
      </c>
      <c r="H51" s="24" t="n">
        <v>70</v>
      </c>
      <c r="I51" s="24" t="n">
        <v>26</v>
      </c>
      <c r="J51" s="24" t="n">
        <v>3</v>
      </c>
      <c r="K51" s="24" t="n">
        <v>1</v>
      </c>
      <c r="L51" s="24" t="s">
        <v>7</v>
      </c>
    </row>
    <row r="52" customFormat="false" ht="15" hidden="false" customHeight="false" outlineLevel="0" collapsed="false">
      <c r="A52" s="23" t="n">
        <f aca="false">RANDBETWEEN(2,164)</f>
        <v>82</v>
      </c>
      <c r="B52" s="23" t="e">
        <f aca="false" t="array" ref="B52:B52">INDEX([1]data_dbd!$b:$b,$A52)</f>
        <v>#NAME?</v>
      </c>
      <c r="C52" s="23" t="e">
        <f aca="false" t="array" ref="C52:C52">INDEX([1]data_dbd!$c:$c,$A52)</f>
        <v>#NAME?</v>
      </c>
      <c r="D52" s="23" t="e">
        <f aca="false" t="array" ref="D52:D52">INDEX([1]data_dbd!$e:$e,$A52)</f>
        <v>#NAME?</v>
      </c>
      <c r="E52" s="23" t="e">
        <f aca="false" t="array" ref="E52:E52">INDEX([1]data_dbd!$f:$f,$A52)</f>
        <v>#NAME?</v>
      </c>
      <c r="H52" s="24" t="n">
        <v>26</v>
      </c>
      <c r="I52" s="24" t="n">
        <v>75</v>
      </c>
      <c r="J52" s="24" t="n">
        <v>4</v>
      </c>
      <c r="K52" s="24" t="n">
        <v>1</v>
      </c>
      <c r="L52" s="24" t="s">
        <v>7</v>
      </c>
    </row>
    <row r="53" customFormat="false" ht="15" hidden="false" customHeight="false" outlineLevel="0" collapsed="false">
      <c r="A53" s="23" t="n">
        <f aca="false">RANDBETWEEN(2,164)</f>
        <v>81</v>
      </c>
      <c r="B53" s="23" t="e">
        <f aca="false" t="array" ref="B53:B53">INDEX([1]data_dbd!$b:$b,$A53)</f>
        <v>#NAME?</v>
      </c>
      <c r="C53" s="23" t="e">
        <f aca="false" t="array" ref="C53:C53">INDEX([1]data_dbd!$c:$c,$A53)</f>
        <v>#NAME?</v>
      </c>
      <c r="D53" s="23" t="e">
        <f aca="false" t="array" ref="D53:D53">INDEX([1]data_dbd!$e:$e,$A53)</f>
        <v>#NAME?</v>
      </c>
      <c r="E53" s="23" t="e">
        <f aca="false" t="array" ref="E53:E53">INDEX([1]data_dbd!$f:$f,$A53)</f>
        <v>#NAME?</v>
      </c>
      <c r="H53" s="24" t="n">
        <v>46</v>
      </c>
      <c r="I53" s="24" t="n">
        <v>62</v>
      </c>
      <c r="J53" s="24" t="n">
        <v>2</v>
      </c>
      <c r="K53" s="24" t="n">
        <v>0</v>
      </c>
      <c r="L53" s="24" t="s">
        <v>7</v>
      </c>
    </row>
    <row r="54" customFormat="false" ht="15" hidden="false" customHeight="false" outlineLevel="0" collapsed="false">
      <c r="A54" s="23" t="n">
        <f aca="false">RANDBETWEEN(2,164)</f>
        <v>154</v>
      </c>
      <c r="B54" s="23" t="e">
        <f aca="false" t="array" ref="B54:B54">INDEX([1]data_dbd!$b:$b,$A54)</f>
        <v>#NAME?</v>
      </c>
      <c r="C54" s="23" t="e">
        <f aca="false" t="array" ref="C54:C54">INDEX([1]data_dbd!$c:$c,$A54)</f>
        <v>#NAME?</v>
      </c>
      <c r="D54" s="23" t="e">
        <f aca="false" t="array" ref="D54:D54">INDEX([1]data_dbd!$e:$e,$A54)</f>
        <v>#NAME?</v>
      </c>
      <c r="E54" s="23" t="e">
        <f aca="false" t="array" ref="E54:E54">INDEX([1]data_dbd!$f:$f,$A54)</f>
        <v>#NAME?</v>
      </c>
      <c r="H54" s="24" t="n">
        <v>82</v>
      </c>
      <c r="I54" s="24" t="n">
        <v>28</v>
      </c>
      <c r="J54" s="24" t="n">
        <v>3</v>
      </c>
      <c r="K54" s="24" t="n">
        <v>1</v>
      </c>
      <c r="L54" s="24" t="s">
        <v>7</v>
      </c>
    </row>
    <row r="55" customFormat="false" ht="15" hidden="false" customHeight="false" outlineLevel="0" collapsed="false">
      <c r="A55" s="23" t="n">
        <f aca="false">RANDBETWEEN(2,164)</f>
        <v>11</v>
      </c>
      <c r="B55" s="23" t="e">
        <f aca="false" t="array" ref="B55:B55">INDEX([1]data_dbd!$b:$b,$A55)</f>
        <v>#NAME?</v>
      </c>
      <c r="C55" s="23" t="e">
        <f aca="false" t="array" ref="C55:C55">INDEX([1]data_dbd!$c:$c,$A55)</f>
        <v>#NAME?</v>
      </c>
      <c r="D55" s="23" t="e">
        <f aca="false" t="array" ref="D55:D55">INDEX([1]data_dbd!$e:$e,$A55)</f>
        <v>#NAME?</v>
      </c>
      <c r="E55" s="23" t="e">
        <f aca="false" t="array" ref="E55:E55">INDEX([1]data_dbd!$f:$f,$A55)</f>
        <v>#NAME?</v>
      </c>
      <c r="H55" s="24" t="n">
        <v>96</v>
      </c>
      <c r="I55" s="24" t="n">
        <v>56</v>
      </c>
      <c r="J55" s="24" t="n">
        <v>4</v>
      </c>
      <c r="K55" s="24" t="n">
        <v>0</v>
      </c>
      <c r="L55" s="24" t="s">
        <v>115</v>
      </c>
    </row>
    <row r="56" customFormat="false" ht="15" hidden="false" customHeight="false" outlineLevel="0" collapsed="false">
      <c r="A56" s="23" t="n">
        <f aca="false">RANDBETWEEN(2,164)</f>
        <v>21</v>
      </c>
      <c r="B56" s="23" t="e">
        <f aca="false" t="array" ref="B56:B56">INDEX([1]data_dbd!$b:$b,$A56)</f>
        <v>#NAME?</v>
      </c>
      <c r="C56" s="23" t="e">
        <f aca="false" t="array" ref="C56:C56">INDEX([1]data_dbd!$c:$c,$A56)</f>
        <v>#NAME?</v>
      </c>
      <c r="D56" s="23" t="e">
        <f aca="false" t="array" ref="D56:D56">INDEX([1]data_dbd!$e:$e,$A56)</f>
        <v>#NAME?</v>
      </c>
      <c r="E56" s="23" t="e">
        <f aca="false" t="array" ref="E56:E56">INDEX([1]data_dbd!$f:$f,$A56)</f>
        <v>#NAME?</v>
      </c>
      <c r="H56" s="24" t="n">
        <v>72</v>
      </c>
      <c r="I56" s="24" t="n">
        <v>3</v>
      </c>
      <c r="J56" s="24" t="n">
        <v>5</v>
      </c>
      <c r="K56" s="24" t="n">
        <v>1</v>
      </c>
      <c r="L56" s="24" t="s">
        <v>7</v>
      </c>
    </row>
    <row r="57" customFormat="false" ht="15" hidden="false" customHeight="false" outlineLevel="0" collapsed="false">
      <c r="A57" s="23" t="n">
        <f aca="false">RANDBETWEEN(2,164)</f>
        <v>117</v>
      </c>
      <c r="B57" s="23" t="e">
        <f aca="false" t="array" ref="B57:B57">INDEX([1]data_dbd!$b:$b,$A57)</f>
        <v>#NAME?</v>
      </c>
      <c r="C57" s="23" t="e">
        <f aca="false" t="array" ref="C57:C57">INDEX([1]data_dbd!$c:$c,$A57)</f>
        <v>#NAME?</v>
      </c>
      <c r="D57" s="23" t="e">
        <f aca="false" t="array" ref="D57:D57">INDEX([1]data_dbd!$e:$e,$A57)</f>
        <v>#NAME?</v>
      </c>
      <c r="E57" s="23" t="e">
        <f aca="false" t="array" ref="E57:E57">INDEX([1]data_dbd!$f:$f,$A57)</f>
        <v>#NAME?</v>
      </c>
      <c r="H57" s="24" t="n">
        <v>8</v>
      </c>
      <c r="I57" s="24" t="n">
        <v>4</v>
      </c>
      <c r="J57" s="24" t="n">
        <v>2</v>
      </c>
      <c r="K57" s="24" t="n">
        <v>0</v>
      </c>
      <c r="L57" s="24" t="s">
        <v>7</v>
      </c>
    </row>
    <row r="58" customFormat="false" ht="15" hidden="false" customHeight="false" outlineLevel="0" collapsed="false">
      <c r="A58" s="23" t="n">
        <f aca="false">RANDBETWEEN(2,164)</f>
        <v>128</v>
      </c>
      <c r="B58" s="23" t="e">
        <f aca="false" t="array" ref="B58:B58">INDEX([1]data_dbd!$b:$b,$A58)</f>
        <v>#NAME?</v>
      </c>
      <c r="C58" s="23" t="e">
        <f aca="false" t="array" ref="C58:C58">INDEX([1]data_dbd!$c:$c,$A58)</f>
        <v>#NAME?</v>
      </c>
      <c r="D58" s="23" t="e">
        <f aca="false" t="array" ref="D58:D58">INDEX([1]data_dbd!$e:$e,$A58)</f>
        <v>#NAME?</v>
      </c>
      <c r="E58" s="23" t="e">
        <f aca="false" t="array" ref="E58:E58">INDEX([1]data_dbd!$f:$f,$A58)</f>
        <v>#NAME?</v>
      </c>
      <c r="H58" s="24" t="n">
        <v>83</v>
      </c>
      <c r="I58" s="24" t="n">
        <v>50</v>
      </c>
      <c r="J58" s="24" t="n">
        <v>3</v>
      </c>
      <c r="K58" s="24" t="n">
        <v>0</v>
      </c>
      <c r="L58" s="24" t="s">
        <v>7</v>
      </c>
    </row>
    <row r="59" customFormat="false" ht="15" hidden="false" customHeight="false" outlineLevel="0" collapsed="false">
      <c r="A59" s="23" t="n">
        <f aca="false">RANDBETWEEN(2,164)</f>
        <v>50</v>
      </c>
      <c r="B59" s="23" t="e">
        <f aca="false" t="array" ref="B59:B59">INDEX([1]data_dbd!$b:$b,$A59)</f>
        <v>#NAME?</v>
      </c>
      <c r="C59" s="23" t="e">
        <f aca="false" t="array" ref="C59:C59">INDEX([1]data_dbd!$c:$c,$A59)</f>
        <v>#NAME?</v>
      </c>
      <c r="D59" s="23" t="e">
        <f aca="false" t="array" ref="D59:D59">INDEX([1]data_dbd!$e:$e,$A59)</f>
        <v>#NAME?</v>
      </c>
      <c r="E59" s="23" t="e">
        <f aca="false" t="array" ref="E59:E59">INDEX([1]data_dbd!$f:$f,$A59)</f>
        <v>#NAME?</v>
      </c>
      <c r="H59" s="24" t="n">
        <v>147</v>
      </c>
      <c r="I59" s="24" t="n">
        <v>66</v>
      </c>
      <c r="J59" s="24" t="n">
        <v>10</v>
      </c>
      <c r="K59" s="24" t="n">
        <v>1</v>
      </c>
      <c r="L59" s="24" t="s">
        <v>115</v>
      </c>
    </row>
    <row r="60" customFormat="false" ht="15" hidden="false" customHeight="false" outlineLevel="0" collapsed="false">
      <c r="A60" s="23" t="n">
        <f aca="false">RANDBETWEEN(2,164)</f>
        <v>43</v>
      </c>
      <c r="B60" s="23" t="e">
        <f aca="false" t="array" ref="B60:B60">INDEX([1]data_dbd!$b:$b,$A60)</f>
        <v>#NAME?</v>
      </c>
      <c r="C60" s="23" t="e">
        <f aca="false" t="array" ref="C60:C60">INDEX([1]data_dbd!$c:$c,$A60)</f>
        <v>#NAME?</v>
      </c>
      <c r="D60" s="23" t="e">
        <f aca="false" t="array" ref="D60:D60">INDEX([1]data_dbd!$e:$e,$A60)</f>
        <v>#NAME?</v>
      </c>
      <c r="E60" s="23" t="e">
        <f aca="false" t="array" ref="E60:E60">INDEX([1]data_dbd!$f:$f,$A60)</f>
        <v>#NAME?</v>
      </c>
      <c r="H60" s="24" t="n">
        <v>125</v>
      </c>
      <c r="I60" s="24" t="n">
        <v>39</v>
      </c>
      <c r="J60" s="24" t="n">
        <v>4</v>
      </c>
      <c r="K60" s="24" t="n">
        <v>0</v>
      </c>
      <c r="L60" s="24" t="s">
        <v>115</v>
      </c>
    </row>
    <row r="61" customFormat="false" ht="15" hidden="false" customHeight="false" outlineLevel="0" collapsed="false">
      <c r="A61" s="23" t="n">
        <f aca="false">RANDBETWEEN(2,164)</f>
        <v>16</v>
      </c>
      <c r="B61" s="23" t="e">
        <f aca="false" t="array" ref="B61:B61">INDEX([1]data_dbd!$b:$b,$A61)</f>
        <v>#NAME?</v>
      </c>
      <c r="C61" s="23" t="e">
        <f aca="false" t="array" ref="C61:C61">INDEX([1]data_dbd!$c:$c,$A61)</f>
        <v>#NAME?</v>
      </c>
      <c r="D61" s="23" t="e">
        <f aca="false" t="array" ref="D61:D61">INDEX([1]data_dbd!$e:$e,$A61)</f>
        <v>#NAME?</v>
      </c>
      <c r="E61" s="23" t="e">
        <f aca="false" t="array" ref="E61:E61">INDEX([1]data_dbd!$f:$f,$A61)</f>
        <v>#NAME?</v>
      </c>
      <c r="H61" s="24" t="n">
        <v>108</v>
      </c>
      <c r="I61" s="24" t="n">
        <v>69</v>
      </c>
      <c r="J61" s="24" t="n">
        <v>7</v>
      </c>
      <c r="K61" s="24" t="n">
        <v>1</v>
      </c>
      <c r="L61" s="24" t="s">
        <v>115</v>
      </c>
    </row>
    <row r="62" customFormat="false" ht="15" hidden="false" customHeight="false" outlineLevel="0" collapsed="false">
      <c r="A62" s="23" t="n">
        <f aca="false">RANDBETWEEN(2,164)</f>
        <v>40</v>
      </c>
      <c r="B62" s="23" t="e">
        <f aca="false" t="array" ref="B62:B62">INDEX([1]data_dbd!$b:$b,$A62)</f>
        <v>#NAME?</v>
      </c>
      <c r="C62" s="23" t="e">
        <f aca="false" t="array" ref="C62:C62">INDEX([1]data_dbd!$c:$c,$A62)</f>
        <v>#NAME?</v>
      </c>
      <c r="D62" s="23" t="e">
        <f aca="false" t="array" ref="D62:D62">INDEX([1]data_dbd!$e:$e,$A62)</f>
        <v>#NAME?</v>
      </c>
      <c r="E62" s="23" t="e">
        <f aca="false" t="array" ref="E62:E62">INDEX([1]data_dbd!$f:$f,$A62)</f>
        <v>#NAME?</v>
      </c>
      <c r="H62" s="24" t="n">
        <v>115</v>
      </c>
      <c r="I62" s="24" t="n">
        <v>52</v>
      </c>
      <c r="J62" s="24" t="n">
        <v>3</v>
      </c>
      <c r="K62" s="24" t="n">
        <v>1</v>
      </c>
      <c r="L62" s="24" t="s">
        <v>115</v>
      </c>
    </row>
    <row r="63" customFormat="false" ht="15" hidden="false" customHeight="false" outlineLevel="0" collapsed="false">
      <c r="A63" s="23" t="n">
        <f aca="false">RANDBETWEEN(2,164)</f>
        <v>120</v>
      </c>
      <c r="B63" s="23" t="e">
        <f aca="false" t="array" ref="B63:B63">INDEX([1]data_dbd!$b:$b,$A63)</f>
        <v>#NAME?</v>
      </c>
      <c r="C63" s="23" t="e">
        <f aca="false" t="array" ref="C63:C63">INDEX([1]data_dbd!$c:$c,$A63)</f>
        <v>#NAME?</v>
      </c>
      <c r="D63" s="23" t="e">
        <f aca="false" t="array" ref="D63:D63">INDEX([1]data_dbd!$e:$e,$A63)</f>
        <v>#NAME?</v>
      </c>
      <c r="E63" s="23" t="e">
        <f aca="false" t="array" ref="E63:E63">INDEX([1]data_dbd!$f:$f,$A63)</f>
        <v>#NAME?</v>
      </c>
      <c r="H63" s="24" t="n">
        <v>7</v>
      </c>
      <c r="I63" s="24" t="n">
        <v>12</v>
      </c>
      <c r="J63" s="24" t="n">
        <v>1</v>
      </c>
      <c r="K63" s="24" t="n">
        <v>1</v>
      </c>
      <c r="L63" s="24" t="s">
        <v>7</v>
      </c>
    </row>
    <row r="64" customFormat="false" ht="15" hidden="false" customHeight="false" outlineLevel="0" collapsed="false">
      <c r="A64" s="23" t="n">
        <f aca="false">RANDBETWEEN(2,164)</f>
        <v>116</v>
      </c>
      <c r="B64" s="23" t="e">
        <f aca="false" t="array" ref="B64:B64">INDEX([1]data_dbd!$b:$b,$A64)</f>
        <v>#NAME?</v>
      </c>
      <c r="C64" s="23" t="e">
        <f aca="false" t="array" ref="C64:C64">INDEX([1]data_dbd!$c:$c,$A64)</f>
        <v>#NAME?</v>
      </c>
      <c r="D64" s="23" t="e">
        <f aca="false" t="array" ref="D64:D64">INDEX([1]data_dbd!$e:$e,$A64)</f>
        <v>#NAME?</v>
      </c>
      <c r="E64" s="23" t="e">
        <f aca="false" t="array" ref="E64:E64">INDEX([1]data_dbd!$f:$f,$A64)</f>
        <v>#NAME?</v>
      </c>
      <c r="H64" s="24" t="n">
        <v>115</v>
      </c>
      <c r="I64" s="24" t="n">
        <v>52</v>
      </c>
      <c r="J64" s="24" t="n">
        <v>3</v>
      </c>
      <c r="K64" s="24" t="n">
        <v>1</v>
      </c>
      <c r="L64" s="24" t="s">
        <v>115</v>
      </c>
    </row>
    <row r="65" customFormat="false" ht="15" hidden="false" customHeight="false" outlineLevel="0" collapsed="false">
      <c r="A65" s="23" t="n">
        <f aca="false">RANDBETWEEN(2,164)</f>
        <v>161</v>
      </c>
      <c r="B65" s="23" t="e">
        <f aca="false" t="array" ref="B65:B65">INDEX([1]data_dbd!$b:$b,$A65)</f>
        <v>#NAME?</v>
      </c>
      <c r="C65" s="23" t="e">
        <f aca="false" t="array" ref="C65:C65">INDEX([1]data_dbd!$c:$c,$A65)</f>
        <v>#NAME?</v>
      </c>
      <c r="D65" s="23" t="e">
        <f aca="false" t="array" ref="D65:D65">INDEX([1]data_dbd!$e:$e,$A65)</f>
        <v>#NAME?</v>
      </c>
      <c r="E65" s="23" t="e">
        <f aca="false" t="array" ref="E65:E65">INDEX([1]data_dbd!$f:$f,$A65)</f>
        <v>#NAME?</v>
      </c>
      <c r="H65" s="24" t="n">
        <v>141</v>
      </c>
      <c r="I65" s="24" t="n">
        <v>36</v>
      </c>
      <c r="J65" s="24" t="n">
        <v>2</v>
      </c>
      <c r="K65" s="24" t="n">
        <v>0</v>
      </c>
      <c r="L65" s="24" t="s">
        <v>115</v>
      </c>
    </row>
    <row r="66" customFormat="false" ht="15" hidden="false" customHeight="false" outlineLevel="0" collapsed="false">
      <c r="A66" s="23" t="n">
        <f aca="false">RANDBETWEEN(2,164)</f>
        <v>84</v>
      </c>
      <c r="B66" s="23" t="e">
        <f aca="false" t="array" ref="B66:B66">INDEX([1]data_dbd!$b:$b,$A66)</f>
        <v>#NAME?</v>
      </c>
      <c r="C66" s="23" t="e">
        <f aca="false" t="array" ref="C66:C66">INDEX([1]data_dbd!$c:$c,$A66)</f>
        <v>#NAME?</v>
      </c>
      <c r="D66" s="23" t="e">
        <f aca="false" t="array" ref="D66:D66">INDEX([1]data_dbd!$e:$e,$A66)</f>
        <v>#NAME?</v>
      </c>
      <c r="E66" s="23" t="e">
        <f aca="false" t="array" ref="E66:E66">INDEX([1]data_dbd!$f:$f,$A66)</f>
        <v>#NAME?</v>
      </c>
      <c r="H66" s="24" t="n">
        <v>90</v>
      </c>
      <c r="I66" s="24" t="n">
        <v>47</v>
      </c>
      <c r="J66" s="24" t="n">
        <v>3</v>
      </c>
      <c r="K66" s="24" t="n">
        <v>0</v>
      </c>
      <c r="L66" s="24" t="s">
        <v>115</v>
      </c>
    </row>
    <row r="67" customFormat="false" ht="15" hidden="false" customHeight="false" outlineLevel="0" collapsed="false">
      <c r="A67" s="23" t="n">
        <f aca="false">RANDBETWEEN(2,164)</f>
        <v>49</v>
      </c>
      <c r="B67" s="23" t="e">
        <f aca="false" t="array" ref="B67:B67">INDEX([1]data_dbd!$b:$b,$A67)</f>
        <v>#NAME?</v>
      </c>
      <c r="C67" s="23" t="e">
        <f aca="false" t="array" ref="C67:C67">INDEX([1]data_dbd!$c:$c,$A67)</f>
        <v>#NAME?</v>
      </c>
      <c r="D67" s="23" t="e">
        <f aca="false" t="array" ref="D67:D67">INDEX([1]data_dbd!$e:$e,$A67)</f>
        <v>#NAME?</v>
      </c>
      <c r="E67" s="23" t="e">
        <f aca="false" t="array" ref="E67:E67">INDEX([1]data_dbd!$f:$f,$A67)</f>
        <v>#NAME?</v>
      </c>
      <c r="H67" s="24" t="n">
        <v>130</v>
      </c>
      <c r="I67" s="24" t="n">
        <v>12</v>
      </c>
      <c r="J67" s="24" t="n">
        <v>4</v>
      </c>
      <c r="K67" s="24" t="n">
        <v>0</v>
      </c>
      <c r="L67" s="24" t="s">
        <v>115</v>
      </c>
    </row>
    <row r="68" customFormat="false" ht="15" hidden="false" customHeight="false" outlineLevel="0" collapsed="false">
      <c r="A68" s="23" t="n">
        <f aca="false">RANDBETWEEN(2,164)</f>
        <v>113</v>
      </c>
      <c r="B68" s="23" t="e">
        <f aca="false" t="array" ref="B68:B68">INDEX([1]data_dbd!$b:$b,$A68)</f>
        <v>#NAME?</v>
      </c>
      <c r="C68" s="23" t="e">
        <f aca="false" t="array" ref="C68:C68">INDEX([1]data_dbd!$c:$c,$A68)</f>
        <v>#NAME?</v>
      </c>
      <c r="D68" s="23" t="e">
        <f aca="false" t="array" ref="D68:D68">INDEX([1]data_dbd!$e:$e,$A68)</f>
        <v>#NAME?</v>
      </c>
      <c r="E68" s="23" t="e">
        <f aca="false" t="array" ref="E68:E68">INDEX([1]data_dbd!$f:$f,$A68)</f>
        <v>#NAME?</v>
      </c>
      <c r="H68" s="24" t="n">
        <v>23</v>
      </c>
      <c r="I68" s="24" t="n">
        <v>28</v>
      </c>
      <c r="J68" s="24" t="n">
        <v>4</v>
      </c>
      <c r="K68" s="24" t="n">
        <v>1</v>
      </c>
      <c r="L68" s="24" t="s">
        <v>7</v>
      </c>
    </row>
    <row r="69" customFormat="false" ht="15" hidden="false" customHeight="false" outlineLevel="0" collapsed="false">
      <c r="A69" s="23" t="n">
        <f aca="false">RANDBETWEEN(2,164)</f>
        <v>123</v>
      </c>
      <c r="B69" s="23" t="e">
        <f aca="false" t="array" ref="B69:B69">INDEX([1]data_dbd!$b:$b,$A69)</f>
        <v>#NAME?</v>
      </c>
      <c r="C69" s="23" t="e">
        <f aca="false" t="array" ref="C69:C69">INDEX([1]data_dbd!$c:$c,$A69)</f>
        <v>#NAME?</v>
      </c>
      <c r="D69" s="23" t="e">
        <f aca="false" t="array" ref="D69:D69">INDEX([1]data_dbd!$e:$e,$A69)</f>
        <v>#NAME?</v>
      </c>
      <c r="E69" s="23" t="e">
        <f aca="false" t="array" ref="E69:E69">INDEX([1]data_dbd!$f:$f,$A69)</f>
        <v>#NAME?</v>
      </c>
      <c r="H69" s="24" t="n">
        <v>66</v>
      </c>
      <c r="I69" s="24" t="n">
        <v>21</v>
      </c>
      <c r="J69" s="24" t="n">
        <v>5</v>
      </c>
      <c r="K69" s="24" t="n">
        <v>1</v>
      </c>
      <c r="L69" s="24" t="s">
        <v>7</v>
      </c>
    </row>
    <row r="70" customFormat="false" ht="15" hidden="false" customHeight="false" outlineLevel="0" collapsed="false">
      <c r="A70" s="23" t="n">
        <f aca="false">RANDBETWEEN(2,164)</f>
        <v>9</v>
      </c>
      <c r="B70" s="23" t="e">
        <f aca="false" t="array" ref="B70:B70">INDEX([1]data_dbd!$b:$b,$A70)</f>
        <v>#NAME?</v>
      </c>
      <c r="C70" s="23" t="e">
        <f aca="false" t="array" ref="C70:C70">INDEX([1]data_dbd!$c:$c,$A70)</f>
        <v>#NAME?</v>
      </c>
      <c r="D70" s="23" t="e">
        <f aca="false" t="array" ref="D70:D70">INDEX([1]data_dbd!$e:$e,$A70)</f>
        <v>#NAME?</v>
      </c>
      <c r="E70" s="23" t="e">
        <f aca="false" t="array" ref="E70:E70">INDEX([1]data_dbd!$f:$f,$A70)</f>
        <v>#NAME?</v>
      </c>
      <c r="H70" s="24" t="n">
        <v>140</v>
      </c>
      <c r="I70" s="24" t="n">
        <v>74</v>
      </c>
      <c r="J70" s="24" t="n">
        <v>5</v>
      </c>
      <c r="K70" s="24" t="n">
        <v>1</v>
      </c>
      <c r="L70" s="24" t="s">
        <v>115</v>
      </c>
    </row>
    <row r="71" customFormat="false" ht="15" hidden="false" customHeight="false" outlineLevel="0" collapsed="false">
      <c r="A71" s="23" t="n">
        <f aca="false">RANDBETWEEN(2,164)</f>
        <v>97</v>
      </c>
      <c r="B71" s="23" t="e">
        <f aca="false" t="array" ref="B71:B71">INDEX([1]data_dbd!$b:$b,$A71)</f>
        <v>#NAME?</v>
      </c>
      <c r="C71" s="23" t="e">
        <f aca="false" t="array" ref="C71:C71">INDEX([1]data_dbd!$c:$c,$A71)</f>
        <v>#NAME?</v>
      </c>
      <c r="D71" s="23" t="e">
        <f aca="false" t="array" ref="D71:D71">INDEX([1]data_dbd!$e:$e,$A71)</f>
        <v>#NAME?</v>
      </c>
      <c r="E71" s="23" t="e">
        <f aca="false" t="array" ref="E71:E71">INDEX([1]data_dbd!$f:$f,$A71)</f>
        <v>#NAME?</v>
      </c>
      <c r="H71" s="24" t="n">
        <v>94</v>
      </c>
      <c r="I71" s="24" t="n">
        <v>12</v>
      </c>
      <c r="J71" s="24" t="n">
        <v>4</v>
      </c>
      <c r="K71" s="24" t="n">
        <v>0</v>
      </c>
      <c r="L71" s="24" t="s">
        <v>115</v>
      </c>
    </row>
    <row r="72" customFormat="false" ht="15" hidden="false" customHeight="false" outlineLevel="0" collapsed="false">
      <c r="A72" s="23" t="n">
        <f aca="false">RANDBETWEEN(2,164)</f>
        <v>36</v>
      </c>
      <c r="B72" s="23" t="e">
        <f aca="false" t="array" ref="B72:B72">INDEX([1]data_dbd!$b:$b,$A72)</f>
        <v>#NAME?</v>
      </c>
      <c r="C72" s="23" t="e">
        <f aca="false" t="array" ref="C72:C72">INDEX([1]data_dbd!$c:$c,$A72)</f>
        <v>#NAME?</v>
      </c>
      <c r="D72" s="23" t="e">
        <f aca="false" t="array" ref="D72:D72">INDEX([1]data_dbd!$e:$e,$A72)</f>
        <v>#NAME?</v>
      </c>
      <c r="E72" s="23" t="e">
        <f aca="false" t="array" ref="E72:E72">INDEX([1]data_dbd!$f:$f,$A72)</f>
        <v>#NAME?</v>
      </c>
      <c r="H72" s="24" t="n">
        <v>164</v>
      </c>
      <c r="I72" s="24" t="n">
        <v>10</v>
      </c>
      <c r="J72" s="24" t="n">
        <v>6</v>
      </c>
      <c r="K72" s="24" t="n">
        <v>0</v>
      </c>
      <c r="L72" s="24" t="s">
        <v>20</v>
      </c>
    </row>
    <row r="73" customFormat="false" ht="15" hidden="false" customHeight="false" outlineLevel="0" collapsed="false">
      <c r="A73" s="23" t="n">
        <f aca="false">RANDBETWEEN(2,164)</f>
        <v>69</v>
      </c>
      <c r="B73" s="23" t="e">
        <f aca="false" t="array" ref="B73:B73">INDEX([1]data_dbd!$b:$b,$A73)</f>
        <v>#NAME?</v>
      </c>
      <c r="C73" s="23" t="e">
        <f aca="false" t="array" ref="C73:C73">INDEX([1]data_dbd!$c:$c,$A73)</f>
        <v>#NAME?</v>
      </c>
      <c r="D73" s="23" t="e">
        <f aca="false" t="array" ref="D73:D73">INDEX([1]data_dbd!$e:$e,$A73)</f>
        <v>#NAME?</v>
      </c>
      <c r="E73" s="23" t="e">
        <f aca="false" t="array" ref="E73:E73">INDEX([1]data_dbd!$f:$f,$A73)</f>
        <v>#NAME?</v>
      </c>
      <c r="H73" s="24" t="n">
        <v>27</v>
      </c>
      <c r="I73" s="24" t="n">
        <v>37</v>
      </c>
      <c r="J73" s="24" t="n">
        <v>4</v>
      </c>
      <c r="K73" s="24" t="n">
        <v>1</v>
      </c>
      <c r="L73" s="24" t="s">
        <v>7</v>
      </c>
    </row>
    <row r="74" customFormat="false" ht="15" hidden="false" customHeight="false" outlineLevel="0" collapsed="false">
      <c r="A74" s="23" t="n">
        <f aca="false">RANDBETWEEN(2,164)</f>
        <v>76</v>
      </c>
      <c r="B74" s="23" t="e">
        <f aca="false" t="array" ref="B74:B74">INDEX([1]data_dbd!$b:$b,$A74)</f>
        <v>#NAME?</v>
      </c>
      <c r="C74" s="23" t="e">
        <f aca="false" t="array" ref="C74:C74">INDEX([1]data_dbd!$c:$c,$A74)</f>
        <v>#NAME?</v>
      </c>
      <c r="D74" s="23" t="e">
        <f aca="false" t="array" ref="D74:D74">INDEX([1]data_dbd!$e:$e,$A74)</f>
        <v>#NAME?</v>
      </c>
      <c r="E74" s="23" t="e">
        <f aca="false" t="array" ref="E74:E74">INDEX([1]data_dbd!$f:$f,$A74)</f>
        <v>#NAME?</v>
      </c>
      <c r="H74" s="24" t="n">
        <v>130</v>
      </c>
      <c r="I74" s="24" t="n">
        <v>12</v>
      </c>
      <c r="J74" s="24" t="n">
        <v>4</v>
      </c>
      <c r="K74" s="24" t="n">
        <v>0</v>
      </c>
      <c r="L74" s="24" t="s">
        <v>115</v>
      </c>
    </row>
    <row r="75" customFormat="false" ht="15" hidden="false" customHeight="false" outlineLevel="0" collapsed="false">
      <c r="A75" s="23" t="n">
        <f aca="false">RANDBETWEEN(2,164)</f>
        <v>152</v>
      </c>
      <c r="B75" s="23" t="e">
        <f aca="false" t="array" ref="B75:B75">INDEX([1]data_dbd!$b:$b,$A75)</f>
        <v>#NAME?</v>
      </c>
      <c r="C75" s="23" t="e">
        <f aca="false" t="array" ref="C75:C75">INDEX([1]data_dbd!$c:$c,$A75)</f>
        <v>#NAME?</v>
      </c>
      <c r="D75" s="23" t="e">
        <f aca="false" t="array" ref="D75:D75">INDEX([1]data_dbd!$e:$e,$A75)</f>
        <v>#NAME?</v>
      </c>
      <c r="E75" s="23" t="e">
        <f aca="false" t="array" ref="E75:E75">INDEX([1]data_dbd!$f:$f,$A75)</f>
        <v>#NAME?</v>
      </c>
      <c r="H75" s="24" t="n">
        <v>72</v>
      </c>
      <c r="I75" s="24" t="n">
        <v>3</v>
      </c>
      <c r="J75" s="24" t="n">
        <v>5</v>
      </c>
      <c r="K75" s="24" t="n">
        <v>1</v>
      </c>
      <c r="L75" s="24" t="s">
        <v>7</v>
      </c>
    </row>
    <row r="76" customFormat="false" ht="15" hidden="false" customHeight="false" outlineLevel="0" collapsed="false">
      <c r="A76" s="23" t="n">
        <f aca="false">RANDBETWEEN(2,164)</f>
        <v>82</v>
      </c>
      <c r="B76" s="23" t="e">
        <f aca="false" t="array" ref="B76:B76">INDEX([1]data_dbd!$b:$b,$A76)</f>
        <v>#NAME?</v>
      </c>
      <c r="C76" s="23" t="e">
        <f aca="false" t="array" ref="C76:C76">INDEX([1]data_dbd!$c:$c,$A76)</f>
        <v>#NAME?</v>
      </c>
      <c r="D76" s="23" t="e">
        <f aca="false" t="array" ref="D76:D76">INDEX([1]data_dbd!$e:$e,$A76)</f>
        <v>#NAME?</v>
      </c>
      <c r="E76" s="23" t="e">
        <f aca="false" t="array" ref="E76:E76">INDEX([1]data_dbd!$f:$f,$A76)</f>
        <v>#NAME?</v>
      </c>
      <c r="H76" s="24" t="n">
        <v>103</v>
      </c>
      <c r="I76" s="24" t="n">
        <v>22</v>
      </c>
      <c r="J76" s="24" t="n">
        <v>5</v>
      </c>
      <c r="K76" s="24" t="n">
        <v>0</v>
      </c>
      <c r="L76" s="24" t="s">
        <v>115</v>
      </c>
    </row>
    <row r="77" customFormat="false" ht="15" hidden="false" customHeight="false" outlineLevel="0" collapsed="false">
      <c r="A77" s="23" t="n">
        <f aca="false">RANDBETWEEN(2,164)</f>
        <v>132</v>
      </c>
      <c r="B77" s="23" t="e">
        <f aca="false" t="array" ref="B77:B77">INDEX([1]data_dbd!$b:$b,$A77)</f>
        <v>#NAME?</v>
      </c>
      <c r="C77" s="23" t="e">
        <f aca="false" t="array" ref="C77:C77">INDEX([1]data_dbd!$c:$c,$A77)</f>
        <v>#NAME?</v>
      </c>
      <c r="D77" s="23" t="e">
        <f aca="false" t="array" ref="D77:D77">INDEX([1]data_dbd!$e:$e,$A77)</f>
        <v>#NAME?</v>
      </c>
      <c r="E77" s="23" t="e">
        <f aca="false" t="array" ref="E77:E77">INDEX([1]data_dbd!$f:$f,$A77)</f>
        <v>#NAME?</v>
      </c>
      <c r="H77" s="24" t="n">
        <v>84</v>
      </c>
      <c r="I77" s="24" t="n">
        <v>42</v>
      </c>
      <c r="J77" s="24" t="n">
        <v>4</v>
      </c>
      <c r="K77" s="24" t="n">
        <v>1</v>
      </c>
      <c r="L77" s="24" t="s">
        <v>7</v>
      </c>
    </row>
    <row r="78" customFormat="false" ht="15" hidden="false" customHeight="false" outlineLevel="0" collapsed="false">
      <c r="A78" s="23" t="n">
        <f aca="false">RANDBETWEEN(2,164)</f>
        <v>93</v>
      </c>
      <c r="B78" s="23" t="e">
        <f aca="false" t="array" ref="B78:B78">INDEX([1]data_dbd!$b:$b,$A78)</f>
        <v>#NAME?</v>
      </c>
      <c r="C78" s="23" t="e">
        <f aca="false" t="array" ref="C78:C78">INDEX([1]data_dbd!$c:$c,$A78)</f>
        <v>#NAME?</v>
      </c>
      <c r="D78" s="23" t="e">
        <f aca="false" t="array" ref="D78:D78">INDEX([1]data_dbd!$e:$e,$A78)</f>
        <v>#NAME?</v>
      </c>
      <c r="E78" s="23" t="e">
        <f aca="false" t="array" ref="E78:E78">INDEX([1]data_dbd!$f:$f,$A78)</f>
        <v>#NAME?</v>
      </c>
      <c r="H78" s="24" t="n">
        <v>17</v>
      </c>
      <c r="I78" s="24" t="n">
        <v>2</v>
      </c>
      <c r="J78" s="24" t="n">
        <v>3</v>
      </c>
      <c r="K78" s="24" t="n">
        <v>0</v>
      </c>
      <c r="L78" s="24" t="s">
        <v>20</v>
      </c>
    </row>
    <row r="79" customFormat="false" ht="15" hidden="false" customHeight="false" outlineLevel="0" collapsed="false">
      <c r="A79" s="23" t="n">
        <f aca="false">RANDBETWEEN(2,164)</f>
        <v>90</v>
      </c>
      <c r="B79" s="23" t="e">
        <f aca="false" t="array" ref="B79:B79">INDEX([1]data_dbd!$b:$b,$A79)</f>
        <v>#NAME?</v>
      </c>
      <c r="C79" s="23" t="e">
        <f aca="false" t="array" ref="C79:C79">INDEX([1]data_dbd!$c:$c,$A79)</f>
        <v>#NAME?</v>
      </c>
      <c r="D79" s="23" t="e">
        <f aca="false" t="array" ref="D79:D79">INDEX([1]data_dbd!$e:$e,$A79)</f>
        <v>#NAME?</v>
      </c>
      <c r="E79" s="23" t="e">
        <f aca="false" t="array" ref="E79:E79">INDEX([1]data_dbd!$f:$f,$A79)</f>
        <v>#NAME?</v>
      </c>
      <c r="H79" s="24" t="n">
        <v>12</v>
      </c>
      <c r="I79" s="24" t="n">
        <v>23</v>
      </c>
      <c r="J79" s="24" t="n">
        <v>3</v>
      </c>
      <c r="K79" s="24" t="n">
        <v>0</v>
      </c>
      <c r="L79" s="24" t="s">
        <v>7</v>
      </c>
    </row>
    <row r="80" customFormat="false" ht="15" hidden="false" customHeight="false" outlineLevel="0" collapsed="false">
      <c r="A80" s="23" t="n">
        <f aca="false">RANDBETWEEN(2,164)</f>
        <v>51</v>
      </c>
      <c r="B80" s="23" t="e">
        <f aca="false" t="array" ref="B80:B80">INDEX([1]data_dbd!$b:$b,$A80)</f>
        <v>#NAME?</v>
      </c>
      <c r="C80" s="23" t="e">
        <f aca="false" t="array" ref="C80:C80">INDEX([1]data_dbd!$c:$c,$A80)</f>
        <v>#NAME?</v>
      </c>
      <c r="D80" s="23" t="e">
        <f aca="false" t="array" ref="D80:D80">INDEX([1]data_dbd!$e:$e,$A80)</f>
        <v>#NAME?</v>
      </c>
      <c r="E80" s="23" t="e">
        <f aca="false" t="array" ref="E80:E80">INDEX([1]data_dbd!$f:$f,$A80)</f>
        <v>#NAME?</v>
      </c>
      <c r="H80" s="24" t="n">
        <v>85</v>
      </c>
      <c r="I80" s="24" t="n">
        <v>27</v>
      </c>
      <c r="J80" s="24" t="n">
        <v>9</v>
      </c>
      <c r="K80" s="24" t="n">
        <v>0</v>
      </c>
      <c r="L80" s="24" t="s">
        <v>7</v>
      </c>
    </row>
    <row r="81" customFormat="false" ht="15" hidden="false" customHeight="false" outlineLevel="0" collapsed="false">
      <c r="A81" s="23" t="n">
        <f aca="false">RANDBETWEEN(2,164)</f>
        <v>138</v>
      </c>
      <c r="B81" s="23" t="e">
        <f aca="false" t="array" ref="B81:B81">INDEX([1]data_dbd!$b:$b,$A81)</f>
        <v>#NAME?</v>
      </c>
      <c r="C81" s="23" t="e">
        <f aca="false" t="array" ref="C81:C81">INDEX([1]data_dbd!$c:$c,$A81)</f>
        <v>#NAME?</v>
      </c>
      <c r="D81" s="23" t="e">
        <f aca="false" t="array" ref="D81:D81">INDEX([1]data_dbd!$e:$e,$A81)</f>
        <v>#NAME?</v>
      </c>
      <c r="E81" s="23" t="e">
        <f aca="false" t="array" ref="E81:E81">INDEX([1]data_dbd!$f:$f,$A81)</f>
        <v>#NAME?</v>
      </c>
      <c r="H81" s="24" t="n">
        <v>70</v>
      </c>
      <c r="I81" s="24" t="n">
        <v>26</v>
      </c>
      <c r="J81" s="24" t="n">
        <v>3</v>
      </c>
      <c r="K81" s="24" t="n">
        <v>1</v>
      </c>
      <c r="L81" s="24" t="s">
        <v>7</v>
      </c>
    </row>
    <row r="82" customFormat="false" ht="15" hidden="false" customHeight="false" outlineLevel="0" collapsed="false">
      <c r="A82" s="23" t="n">
        <f aca="false">RANDBETWEEN(2,164)</f>
        <v>37</v>
      </c>
      <c r="B82" s="23" t="e">
        <f aca="false" t="array" ref="B82:B82">INDEX([1]data_dbd!$b:$b,$A82)</f>
        <v>#NAME?</v>
      </c>
      <c r="C82" s="23" t="e">
        <f aca="false" t="array" ref="C82:C82">INDEX([1]data_dbd!$c:$c,$A82)</f>
        <v>#NAME?</v>
      </c>
      <c r="D82" s="23" t="e">
        <f aca="false" t="array" ref="D82:D82">INDEX([1]data_dbd!$e:$e,$A82)</f>
        <v>#NAME?</v>
      </c>
      <c r="E82" s="23" t="e">
        <f aca="false" t="array" ref="E82:E82">INDEX([1]data_dbd!$f:$f,$A82)</f>
        <v>#NAME?</v>
      </c>
      <c r="H82" s="24" t="n">
        <v>163</v>
      </c>
      <c r="I82" s="24" t="n">
        <v>34</v>
      </c>
      <c r="J82" s="24" t="n">
        <v>4</v>
      </c>
      <c r="K82" s="24" t="n">
        <v>1</v>
      </c>
      <c r="L82" s="24" t="s">
        <v>20</v>
      </c>
    </row>
    <row r="83" customFormat="false" ht="15" hidden="false" customHeight="false" outlineLevel="0" collapsed="false">
      <c r="A83" s="23" t="n">
        <f aca="false">RANDBETWEEN(2,164)</f>
        <v>49</v>
      </c>
      <c r="B83" s="23" t="e">
        <f aca="false" t="array" ref="B83:B83">INDEX([1]data_dbd!$b:$b,$A83)</f>
        <v>#NAME?</v>
      </c>
      <c r="C83" s="23" t="e">
        <f aca="false" t="array" ref="C83:C83">INDEX([1]data_dbd!$c:$c,$A83)</f>
        <v>#NAME?</v>
      </c>
      <c r="D83" s="23" t="e">
        <f aca="false" t="array" ref="D83:D83">INDEX([1]data_dbd!$e:$e,$A83)</f>
        <v>#NAME?</v>
      </c>
      <c r="E83" s="23" t="e">
        <f aca="false" t="array" ref="E83:E83">INDEX([1]data_dbd!$f:$f,$A83)</f>
        <v>#NAME?</v>
      </c>
      <c r="H83" s="24" t="n">
        <v>114</v>
      </c>
      <c r="I83" s="24" t="n">
        <v>14</v>
      </c>
      <c r="J83" s="24" t="n">
        <v>2</v>
      </c>
      <c r="K83" s="24" t="n">
        <v>1</v>
      </c>
      <c r="L83" s="24" t="s">
        <v>115</v>
      </c>
    </row>
    <row r="84" customFormat="false" ht="15" hidden="false" customHeight="false" outlineLevel="0" collapsed="false">
      <c r="A84" s="23" t="n">
        <f aca="false">RANDBETWEEN(2,164)</f>
        <v>66</v>
      </c>
      <c r="B84" s="23" t="e">
        <f aca="false" t="array" ref="B84:B84">INDEX([1]data_dbd!$b:$b,$A84)</f>
        <v>#NAME?</v>
      </c>
      <c r="C84" s="23" t="e">
        <f aca="false" t="array" ref="C84:C84">INDEX([1]data_dbd!$c:$c,$A84)</f>
        <v>#NAME?</v>
      </c>
      <c r="D84" s="23" t="e">
        <f aca="false" t="array" ref="D84:D84">INDEX([1]data_dbd!$e:$e,$A84)</f>
        <v>#NAME?</v>
      </c>
      <c r="E84" s="23" t="e">
        <f aca="false" t="array" ref="E84:E84">INDEX([1]data_dbd!$f:$f,$A84)</f>
        <v>#NAME?</v>
      </c>
      <c r="H84" s="24" t="n">
        <v>133</v>
      </c>
      <c r="I84" s="24" t="n">
        <v>6</v>
      </c>
      <c r="J84" s="24" t="n">
        <v>4</v>
      </c>
      <c r="K84" s="24" t="n">
        <v>0</v>
      </c>
      <c r="L84" s="24" t="s">
        <v>115</v>
      </c>
    </row>
    <row r="85" customFormat="false" ht="15" hidden="false" customHeight="false" outlineLevel="0" collapsed="false">
      <c r="A85" s="23" t="n">
        <f aca="false">RANDBETWEEN(2,164)</f>
        <v>83</v>
      </c>
      <c r="B85" s="23" t="e">
        <f aca="false" t="array" ref="B85:B85">INDEX([1]data_dbd!$b:$b,$A85)</f>
        <v>#NAME?</v>
      </c>
      <c r="C85" s="23" t="e">
        <f aca="false" t="array" ref="C85:C85">INDEX([1]data_dbd!$c:$c,$A85)</f>
        <v>#NAME?</v>
      </c>
      <c r="D85" s="23" t="e">
        <f aca="false" t="array" ref="D85:D85">INDEX([1]data_dbd!$e:$e,$A85)</f>
        <v>#NAME?</v>
      </c>
      <c r="E85" s="23" t="e">
        <f aca="false" t="array" ref="E85:E85">INDEX([1]data_dbd!$f:$f,$A85)</f>
        <v>#NAME?</v>
      </c>
      <c r="H85" s="24" t="n">
        <v>40</v>
      </c>
      <c r="I85" s="24" t="n">
        <v>65</v>
      </c>
      <c r="J85" s="24" t="n">
        <v>3</v>
      </c>
      <c r="K85" s="24" t="n">
        <v>1</v>
      </c>
      <c r="L85" s="24" t="s">
        <v>7</v>
      </c>
    </row>
    <row r="86" customFormat="false" ht="15" hidden="false" customHeight="false" outlineLevel="0" collapsed="false">
      <c r="A86" s="23" t="n">
        <f aca="false">RANDBETWEEN(2,164)</f>
        <v>51</v>
      </c>
      <c r="B86" s="23" t="e">
        <f aca="false" t="array" ref="B86:B86">INDEX([1]data_dbd!$b:$b,$A86)</f>
        <v>#NAME?</v>
      </c>
      <c r="C86" s="23" t="e">
        <f aca="false" t="array" ref="C86:C86">INDEX([1]data_dbd!$c:$c,$A86)</f>
        <v>#NAME?</v>
      </c>
      <c r="D86" s="23" t="e">
        <f aca="false" t="array" ref="D86:D86">INDEX([1]data_dbd!$e:$e,$A86)</f>
        <v>#NAME?</v>
      </c>
      <c r="E86" s="23" t="e">
        <f aca="false" t="array" ref="E86:E86">INDEX([1]data_dbd!$f:$f,$A86)</f>
        <v>#NAME?</v>
      </c>
      <c r="H86" s="24" t="n">
        <v>123</v>
      </c>
      <c r="I86" s="24" t="n">
        <v>22</v>
      </c>
      <c r="J86" s="24" t="n">
        <v>4</v>
      </c>
      <c r="K86" s="24" t="n">
        <v>0</v>
      </c>
      <c r="L86" s="24" t="s">
        <v>115</v>
      </c>
    </row>
    <row r="87" customFormat="false" ht="15" hidden="false" customHeight="false" outlineLevel="0" collapsed="false">
      <c r="A87" s="23" t="n">
        <f aca="false">RANDBETWEEN(2,164)</f>
        <v>47</v>
      </c>
      <c r="B87" s="23" t="e">
        <f aca="false" t="array" ref="B87:B87">INDEX([1]data_dbd!$b:$b,$A87)</f>
        <v>#NAME?</v>
      </c>
      <c r="C87" s="23" t="e">
        <f aca="false" t="array" ref="C87:C87">INDEX([1]data_dbd!$c:$c,$A87)</f>
        <v>#NAME?</v>
      </c>
      <c r="D87" s="23" t="e">
        <f aca="false" t="array" ref="D87:D87">INDEX([1]data_dbd!$e:$e,$A87)</f>
        <v>#NAME?</v>
      </c>
      <c r="E87" s="23" t="e">
        <f aca="false" t="array" ref="E87:E87">INDEX([1]data_dbd!$f:$f,$A87)</f>
        <v>#NAME?</v>
      </c>
      <c r="H87" s="24" t="n">
        <v>156</v>
      </c>
      <c r="I87" s="24" t="n">
        <v>5</v>
      </c>
      <c r="J87" s="24" t="n">
        <v>2</v>
      </c>
      <c r="K87" s="24" t="n">
        <v>0</v>
      </c>
      <c r="L87" s="24" t="s">
        <v>115</v>
      </c>
    </row>
    <row r="88" customFormat="false" ht="15" hidden="false" customHeight="false" outlineLevel="0" collapsed="false">
      <c r="A88" s="23" t="n">
        <f aca="false">RANDBETWEEN(2,164)</f>
        <v>60</v>
      </c>
      <c r="B88" s="23" t="e">
        <f aca="false" t="array" ref="B88:B88">INDEX([1]data_dbd!$b:$b,$A88)</f>
        <v>#NAME?</v>
      </c>
      <c r="C88" s="23" t="e">
        <f aca="false" t="array" ref="C88:C88">INDEX([1]data_dbd!$c:$c,$A88)</f>
        <v>#NAME?</v>
      </c>
      <c r="D88" s="23" t="e">
        <f aca="false" t="array" ref="D88:D88">INDEX([1]data_dbd!$e:$e,$A88)</f>
        <v>#NAME?</v>
      </c>
      <c r="E88" s="23" t="e">
        <f aca="false" t="array" ref="E88:E88">INDEX([1]data_dbd!$f:$f,$A88)</f>
        <v>#NAME?</v>
      </c>
      <c r="H88" s="24" t="n">
        <v>112</v>
      </c>
      <c r="I88" s="24" t="n">
        <v>61</v>
      </c>
      <c r="J88" s="24" t="n">
        <v>3</v>
      </c>
      <c r="K88" s="24" t="n">
        <v>1</v>
      </c>
      <c r="L88" s="24" t="s">
        <v>115</v>
      </c>
    </row>
    <row r="89" customFormat="false" ht="15" hidden="false" customHeight="false" outlineLevel="0" collapsed="false">
      <c r="A89" s="23" t="n">
        <f aca="false">RANDBETWEEN(2,164)</f>
        <v>112</v>
      </c>
      <c r="B89" s="23" t="e">
        <f aca="false" t="array" ref="B89:B89">INDEX([1]data_dbd!$b:$b,$A89)</f>
        <v>#NAME?</v>
      </c>
      <c r="C89" s="23" t="e">
        <f aca="false" t="array" ref="C89:C89">INDEX([1]data_dbd!$c:$c,$A89)</f>
        <v>#NAME?</v>
      </c>
      <c r="D89" s="23" t="e">
        <f aca="false" t="array" ref="D89:D89">INDEX([1]data_dbd!$e:$e,$A89)</f>
        <v>#NAME?</v>
      </c>
      <c r="E89" s="23" t="e">
        <f aca="false" t="array" ref="E89:E89">INDEX([1]data_dbd!$f:$f,$A89)</f>
        <v>#NAME?</v>
      </c>
      <c r="H89" s="24" t="n">
        <v>98</v>
      </c>
      <c r="I89" s="24" t="n">
        <v>16</v>
      </c>
      <c r="J89" s="24" t="n">
        <v>2</v>
      </c>
      <c r="K89" s="24" t="n">
        <v>1</v>
      </c>
      <c r="L89" s="24" t="s">
        <v>115</v>
      </c>
    </row>
    <row r="90" customFormat="false" ht="15" hidden="false" customHeight="false" outlineLevel="0" collapsed="false">
      <c r="A90" s="23" t="n">
        <f aca="false">RANDBETWEEN(2,164)</f>
        <v>19</v>
      </c>
      <c r="B90" s="23" t="e">
        <f aca="false" t="array" ref="B90:B90">INDEX([1]data_dbd!$b:$b,$A90)</f>
        <v>#NAME?</v>
      </c>
      <c r="C90" s="23" t="e">
        <f aca="false" t="array" ref="C90:C90">INDEX([1]data_dbd!$c:$c,$A90)</f>
        <v>#NAME?</v>
      </c>
      <c r="D90" s="23" t="e">
        <f aca="false" t="array" ref="D90:D90">INDEX([1]data_dbd!$e:$e,$A90)</f>
        <v>#NAME?</v>
      </c>
      <c r="E90" s="23" t="e">
        <f aca="false" t="array" ref="E90:E90">INDEX([1]data_dbd!$f:$f,$A90)</f>
        <v>#NAME?</v>
      </c>
      <c r="H90" s="24" t="n">
        <v>13</v>
      </c>
      <c r="I90" s="24" t="n">
        <v>47</v>
      </c>
      <c r="J90" s="24" t="n">
        <v>2</v>
      </c>
      <c r="K90" s="24" t="n">
        <v>0</v>
      </c>
      <c r="L90" s="24" t="s">
        <v>7</v>
      </c>
    </row>
    <row r="91" customFormat="false" ht="15" hidden="false" customHeight="false" outlineLevel="0" collapsed="false">
      <c r="A91" s="23" t="n">
        <f aca="false">RANDBETWEEN(2,164)</f>
        <v>6</v>
      </c>
      <c r="B91" s="23" t="e">
        <f aca="false" t="array" ref="B91:B91">INDEX([1]data_dbd!$b:$b,$A91)</f>
        <v>#NAME?</v>
      </c>
      <c r="C91" s="23" t="e">
        <f aca="false" t="array" ref="C91:C91">INDEX([1]data_dbd!$c:$c,$A91)</f>
        <v>#NAME?</v>
      </c>
      <c r="D91" s="23" t="e">
        <f aca="false" t="array" ref="D91:D91">INDEX([1]data_dbd!$e:$e,$A91)</f>
        <v>#NAME?</v>
      </c>
      <c r="E91" s="23" t="e">
        <f aca="false" t="array" ref="E91:E91">INDEX([1]data_dbd!$f:$f,$A91)</f>
        <v>#NAME?</v>
      </c>
      <c r="H91" s="24" t="n">
        <v>106</v>
      </c>
      <c r="I91" s="24" t="n">
        <v>23</v>
      </c>
      <c r="J91" s="24" t="n">
        <v>3</v>
      </c>
      <c r="K91" s="24" t="n">
        <v>1</v>
      </c>
      <c r="L91" s="24" t="s">
        <v>115</v>
      </c>
    </row>
    <row r="92" customFormat="false" ht="15" hidden="false" customHeight="false" outlineLevel="0" collapsed="false">
      <c r="A92" s="23" t="n">
        <f aca="false">RANDBETWEEN(2,164)</f>
        <v>28</v>
      </c>
      <c r="B92" s="23" t="e">
        <f aca="false" t="array" ref="B92:B92">INDEX([1]data_dbd!$b:$b,$A92)</f>
        <v>#NAME?</v>
      </c>
      <c r="C92" s="23" t="e">
        <f aca="false" t="array" ref="C92:C92">INDEX([1]data_dbd!$c:$c,$A92)</f>
        <v>#NAME?</v>
      </c>
      <c r="D92" s="23" t="e">
        <f aca="false" t="array" ref="D92:D92">INDEX([1]data_dbd!$e:$e,$A92)</f>
        <v>#NAME?</v>
      </c>
      <c r="E92" s="23" t="e">
        <f aca="false" t="array" ref="E92:E92">INDEX([1]data_dbd!$f:$f,$A92)</f>
        <v>#NAME?</v>
      </c>
      <c r="H92" s="24" t="n">
        <v>90</v>
      </c>
      <c r="I92" s="24" t="n">
        <v>47</v>
      </c>
      <c r="J92" s="24" t="n">
        <v>3</v>
      </c>
      <c r="K92" s="24" t="n">
        <v>0</v>
      </c>
      <c r="L92" s="24" t="s">
        <v>115</v>
      </c>
    </row>
    <row r="93" customFormat="false" ht="15" hidden="false" customHeight="false" outlineLevel="0" collapsed="false">
      <c r="A93" s="23" t="n">
        <f aca="false">RANDBETWEEN(2,164)</f>
        <v>116</v>
      </c>
      <c r="B93" s="23" t="e">
        <f aca="false" t="array" ref="B93:B93">INDEX([1]data_dbd!$b:$b,$A93)</f>
        <v>#NAME?</v>
      </c>
      <c r="C93" s="23" t="e">
        <f aca="false" t="array" ref="C93:C93">INDEX([1]data_dbd!$c:$c,$A93)</f>
        <v>#NAME?</v>
      </c>
      <c r="D93" s="23" t="e">
        <f aca="false" t="array" ref="D93:D93">INDEX([1]data_dbd!$e:$e,$A93)</f>
        <v>#NAME?</v>
      </c>
      <c r="E93" s="23" t="e">
        <f aca="false" t="array" ref="E93:E93">INDEX([1]data_dbd!$f:$f,$A93)</f>
        <v>#NAME?</v>
      </c>
      <c r="H93" s="24" t="n">
        <v>108</v>
      </c>
      <c r="I93" s="24" t="n">
        <v>69</v>
      </c>
      <c r="J93" s="24" t="n">
        <v>7</v>
      </c>
      <c r="K93" s="24" t="n">
        <v>1</v>
      </c>
      <c r="L93" s="24" t="s">
        <v>115</v>
      </c>
    </row>
    <row r="94" customFormat="false" ht="15" hidden="false" customHeight="false" outlineLevel="0" collapsed="false">
      <c r="A94" s="23" t="n">
        <f aca="false">RANDBETWEEN(2,164)</f>
        <v>156</v>
      </c>
      <c r="B94" s="23" t="e">
        <f aca="false" t="array" ref="B94:B94">INDEX([1]data_dbd!$b:$b,$A94)</f>
        <v>#NAME?</v>
      </c>
      <c r="C94" s="23" t="e">
        <f aca="false" t="array" ref="C94:C94">INDEX([1]data_dbd!$c:$c,$A94)</f>
        <v>#NAME?</v>
      </c>
      <c r="D94" s="23" t="e">
        <f aca="false" t="array" ref="D94:D94">INDEX([1]data_dbd!$e:$e,$A94)</f>
        <v>#NAME?</v>
      </c>
      <c r="E94" s="23" t="e">
        <f aca="false" t="array" ref="E94:E94">INDEX([1]data_dbd!$f:$f,$A94)</f>
        <v>#NAME?</v>
      </c>
      <c r="H94" s="24" t="n">
        <v>90</v>
      </c>
      <c r="I94" s="24" t="n">
        <v>47</v>
      </c>
      <c r="J94" s="24" t="n">
        <v>3</v>
      </c>
      <c r="K94" s="24" t="n">
        <v>0</v>
      </c>
      <c r="L94" s="24" t="s">
        <v>115</v>
      </c>
    </row>
    <row r="95" customFormat="false" ht="15" hidden="false" customHeight="false" outlineLevel="0" collapsed="false">
      <c r="A95" s="23" t="n">
        <f aca="false">RANDBETWEEN(2,164)</f>
        <v>115</v>
      </c>
      <c r="B95" s="23" t="e">
        <f aca="false" t="array" ref="B95:B95">INDEX([1]data_dbd!$b:$b,$A95)</f>
        <v>#NAME?</v>
      </c>
      <c r="C95" s="23" t="e">
        <f aca="false" t="array" ref="C95:C95">INDEX([1]data_dbd!$c:$c,$A95)</f>
        <v>#NAME?</v>
      </c>
      <c r="D95" s="23" t="e">
        <f aca="false" t="array" ref="D95:D95">INDEX([1]data_dbd!$e:$e,$A95)</f>
        <v>#NAME?</v>
      </c>
      <c r="E95" s="23" t="e">
        <f aca="false" t="array" ref="E95:E95">INDEX([1]data_dbd!$f:$f,$A95)</f>
        <v>#NAME?</v>
      </c>
      <c r="H95" s="24" t="n">
        <v>37</v>
      </c>
      <c r="I95" s="24" t="n">
        <v>28</v>
      </c>
      <c r="J95" s="24" t="n">
        <v>4</v>
      </c>
      <c r="K95" s="24" t="n">
        <v>1</v>
      </c>
      <c r="L95" s="24" t="s">
        <v>20</v>
      </c>
    </row>
    <row r="96" customFormat="false" ht="15" hidden="false" customHeight="false" outlineLevel="0" collapsed="false">
      <c r="A96" s="23" t="n">
        <f aca="false">RANDBETWEEN(2,164)</f>
        <v>106</v>
      </c>
      <c r="B96" s="23" t="e">
        <f aca="false" t="array" ref="B96:B96">INDEX([1]data_dbd!$b:$b,$A96)</f>
        <v>#NAME?</v>
      </c>
      <c r="C96" s="23" t="e">
        <f aca="false" t="array" ref="C96:C96">INDEX([1]data_dbd!$c:$c,$A96)</f>
        <v>#NAME?</v>
      </c>
      <c r="D96" s="23" t="e">
        <f aca="false" t="array" ref="D96:D96">INDEX([1]data_dbd!$e:$e,$A96)</f>
        <v>#NAME?</v>
      </c>
      <c r="E96" s="23" t="e">
        <f aca="false" t="array" ref="E96:E96">INDEX([1]data_dbd!$f:$f,$A96)</f>
        <v>#NAME?</v>
      </c>
      <c r="H96" s="24" t="n">
        <v>64</v>
      </c>
      <c r="I96" s="24" t="n">
        <v>35</v>
      </c>
      <c r="J96" s="24" t="n">
        <v>1</v>
      </c>
      <c r="K96" s="24" t="n">
        <v>0</v>
      </c>
      <c r="L96" s="24" t="s">
        <v>7</v>
      </c>
    </row>
    <row r="97" customFormat="false" ht="15" hidden="false" customHeight="false" outlineLevel="0" collapsed="false">
      <c r="A97" s="23" t="n">
        <f aca="false">RANDBETWEEN(2,164)</f>
        <v>107</v>
      </c>
      <c r="B97" s="23" t="e">
        <f aca="false" t="array" ref="B97:B97">INDEX([1]data_dbd!$b:$b,$A97)</f>
        <v>#NAME?</v>
      </c>
      <c r="C97" s="23" t="e">
        <f aca="false" t="array" ref="C97:C97">INDEX([1]data_dbd!$c:$c,$A97)</f>
        <v>#NAME?</v>
      </c>
      <c r="D97" s="23" t="e">
        <f aca="false" t="array" ref="D97:D97">INDEX([1]data_dbd!$e:$e,$A97)</f>
        <v>#NAME?</v>
      </c>
      <c r="E97" s="23" t="e">
        <f aca="false" t="array" ref="E97:E97">INDEX([1]data_dbd!$f:$f,$A97)</f>
        <v>#NAME?</v>
      </c>
      <c r="H97" s="24" t="n">
        <v>9</v>
      </c>
      <c r="I97" s="24" t="n">
        <v>16</v>
      </c>
      <c r="J97" s="24" t="n">
        <v>6</v>
      </c>
      <c r="K97" s="24" t="n">
        <v>1</v>
      </c>
      <c r="L97" s="24" t="s">
        <v>7</v>
      </c>
    </row>
    <row r="98" customFormat="false" ht="15" hidden="false" customHeight="false" outlineLevel="0" collapsed="false">
      <c r="A98" s="23" t="n">
        <f aca="false">RANDBETWEEN(2,164)</f>
        <v>45</v>
      </c>
      <c r="B98" s="23" t="e">
        <f aca="false" t="array" ref="B98:B98">INDEX([1]data_dbd!$b:$b,$A98)</f>
        <v>#NAME?</v>
      </c>
      <c r="C98" s="23" t="e">
        <f aca="false" t="array" ref="C98:C98">INDEX([1]data_dbd!$c:$c,$A98)</f>
        <v>#NAME?</v>
      </c>
      <c r="D98" s="23" t="e">
        <f aca="false" t="array" ref="D98:D98">INDEX([1]data_dbd!$e:$e,$A98)</f>
        <v>#NAME?</v>
      </c>
      <c r="E98" s="23" t="e">
        <f aca="false" t="array" ref="E98:E98">INDEX([1]data_dbd!$f:$f,$A98)</f>
        <v>#NAME?</v>
      </c>
      <c r="H98" s="24" t="n">
        <v>80</v>
      </c>
      <c r="I98" s="24" t="n">
        <v>27</v>
      </c>
      <c r="J98" s="24" t="n">
        <v>3</v>
      </c>
      <c r="K98" s="24" t="n">
        <v>1</v>
      </c>
      <c r="L98" s="24" t="s">
        <v>7</v>
      </c>
    </row>
    <row r="99" customFormat="false" ht="15" hidden="false" customHeight="false" outlineLevel="0" collapsed="false">
      <c r="A99" s="23" t="n">
        <f aca="false">RANDBETWEEN(2,164)</f>
        <v>28</v>
      </c>
      <c r="B99" s="23" t="e">
        <f aca="false" t="array" ref="B99:B99">INDEX([1]data_dbd!$b:$b,$A99)</f>
        <v>#NAME?</v>
      </c>
      <c r="C99" s="23" t="e">
        <f aca="false" t="array" ref="C99:C99">INDEX([1]data_dbd!$c:$c,$A99)</f>
        <v>#NAME?</v>
      </c>
      <c r="D99" s="23" t="e">
        <f aca="false" t="array" ref="D99:D99">INDEX([1]data_dbd!$e:$e,$A99)</f>
        <v>#NAME?</v>
      </c>
      <c r="E99" s="23" t="e">
        <f aca="false" t="array" ref="E99:E99">INDEX([1]data_dbd!$f:$f,$A99)</f>
        <v>#NAME?</v>
      </c>
      <c r="H99" s="24" t="n">
        <v>101</v>
      </c>
      <c r="I99" s="24" t="n">
        <v>42</v>
      </c>
      <c r="J99" s="24" t="n">
        <v>5</v>
      </c>
      <c r="K99" s="24" t="n">
        <v>0</v>
      </c>
      <c r="L99" s="24" t="s">
        <v>115</v>
      </c>
    </row>
    <row r="100" customFormat="false" ht="15" hidden="false" customHeight="false" outlineLevel="0" collapsed="false">
      <c r="A100" s="23" t="n">
        <f aca="false">RANDBETWEEN(2,164)</f>
        <v>51</v>
      </c>
      <c r="B100" s="23" t="e">
        <f aca="false" t="array" ref="B100:B100">INDEX([1]data_dbd!$b:$b,$A100)</f>
        <v>#NAME?</v>
      </c>
      <c r="C100" s="23" t="e">
        <f aca="false" t="array" ref="C100:C100">INDEX([1]data_dbd!$c:$c,$A100)</f>
        <v>#NAME?</v>
      </c>
      <c r="D100" s="23" t="e">
        <f aca="false" t="array" ref="D100:D100">INDEX([1]data_dbd!$e:$e,$A100)</f>
        <v>#NAME?</v>
      </c>
      <c r="E100" s="23" t="e">
        <f aca="false" t="array" ref="E100:E100">INDEX([1]data_dbd!$f:$f,$A100)</f>
        <v>#NAME?</v>
      </c>
      <c r="H100" s="24" t="n">
        <v>33</v>
      </c>
      <c r="I100" s="24" t="n">
        <v>19</v>
      </c>
      <c r="J100" s="24" t="n">
        <v>4</v>
      </c>
      <c r="K100" s="24" t="n">
        <v>1</v>
      </c>
      <c r="L100" s="24" t="s">
        <v>7</v>
      </c>
    </row>
    <row r="101" customFormat="false" ht="15" hidden="false" customHeight="false" outlineLevel="0" collapsed="false">
      <c r="A101" s="23" t="n">
        <f aca="false">RANDBETWEEN(2,164)</f>
        <v>37</v>
      </c>
      <c r="B101" s="23" t="e">
        <f aca="false" t="array" ref="B101:B101">INDEX([1]data_dbd!$b:$b,$A101)</f>
        <v>#NAME?</v>
      </c>
      <c r="C101" s="23" t="e">
        <f aca="false" t="array" ref="C101:C101">INDEX([1]data_dbd!$c:$c,$A101)</f>
        <v>#NAME?</v>
      </c>
      <c r="D101" s="23" t="e">
        <f aca="false" t="array" ref="D101:D101">INDEX([1]data_dbd!$e:$e,$A101)</f>
        <v>#NAME?</v>
      </c>
      <c r="E101" s="23" t="e">
        <f aca="false" t="array" ref="E101:E101">INDEX([1]data_dbd!$f:$f,$A101)</f>
        <v>#NAME?</v>
      </c>
      <c r="H101" s="24" t="n">
        <v>88</v>
      </c>
      <c r="I101" s="24" t="n">
        <v>20</v>
      </c>
      <c r="J101" s="24" t="n">
        <v>4</v>
      </c>
      <c r="K101" s="24" t="n">
        <v>1</v>
      </c>
      <c r="L101" s="24" t="s">
        <v>7</v>
      </c>
    </row>
    <row r="102" customFormat="false" ht="15" hidden="false" customHeight="false" outlineLevel="0" collapsed="false">
      <c r="A102" s="23" t="n">
        <f aca="false">RANDBETWEEN(2,164)</f>
        <v>134</v>
      </c>
      <c r="B102" s="23" t="e">
        <f aca="false" t="array" ref="B102:B102">INDEX([1]data_dbd!$b:$b,$A102)</f>
        <v>#NAME?</v>
      </c>
      <c r="C102" s="23" t="e">
        <f aca="false" t="array" ref="C102:C102">INDEX([1]data_dbd!$c:$c,$A102)</f>
        <v>#NAME?</v>
      </c>
      <c r="D102" s="23" t="e">
        <f aca="false" t="array" ref="D102:D102">INDEX([1]data_dbd!$e:$e,$A102)</f>
        <v>#NAME?</v>
      </c>
      <c r="E102" s="23" t="e">
        <f aca="false" t="array" ref="E102:E102">INDEX([1]data_dbd!$f:$f,$A102)</f>
        <v>#NAME?</v>
      </c>
      <c r="H102" s="24" t="n">
        <v>25</v>
      </c>
      <c r="I102" s="24" t="n">
        <v>81</v>
      </c>
      <c r="J102" s="24" t="n">
        <v>5</v>
      </c>
      <c r="K102" s="24" t="n">
        <v>0</v>
      </c>
      <c r="L102" s="24" t="s">
        <v>7</v>
      </c>
    </row>
    <row r="103" customFormat="false" ht="15" hidden="false" customHeight="false" outlineLevel="0" collapsed="false">
      <c r="A103" s="23" t="n">
        <f aca="false">RANDBETWEEN(2,164)</f>
        <v>164</v>
      </c>
      <c r="B103" s="23" t="e">
        <f aca="false" t="array" ref="B103:B103">INDEX([1]data_dbd!$b:$b,$A103)</f>
        <v>#NAME?</v>
      </c>
      <c r="C103" s="23" t="e">
        <f aca="false" t="array" ref="C103:C103">INDEX([1]data_dbd!$c:$c,$A103)</f>
        <v>#NAME?</v>
      </c>
      <c r="D103" s="23" t="e">
        <f aca="false" t="array" ref="D103:D103">INDEX([1]data_dbd!$e:$e,$A103)</f>
        <v>#NAME?</v>
      </c>
      <c r="E103" s="23" t="e">
        <f aca="false" t="array" ref="E103:E103">INDEX([1]data_dbd!$f:$f,$A103)</f>
        <v>#NAME?</v>
      </c>
      <c r="H103" s="24" t="n">
        <v>107</v>
      </c>
      <c r="I103" s="24" t="n">
        <v>48</v>
      </c>
      <c r="J103" s="24" t="n">
        <v>5</v>
      </c>
      <c r="K103" s="24" t="n">
        <v>0</v>
      </c>
      <c r="L103" s="24" t="s">
        <v>115</v>
      </c>
    </row>
    <row r="104" customFormat="false" ht="15" hidden="false" customHeight="false" outlineLevel="0" collapsed="false">
      <c r="A104" s="23" t="n">
        <f aca="false">RANDBETWEEN(2,164)</f>
        <v>152</v>
      </c>
      <c r="B104" s="23" t="e">
        <f aca="false" t="array" ref="B104:B104">INDEX([1]data_dbd!$b:$b,$A104)</f>
        <v>#NAME?</v>
      </c>
      <c r="C104" s="23" t="e">
        <f aca="false" t="array" ref="C104:C104">INDEX([1]data_dbd!$c:$c,$A104)</f>
        <v>#NAME?</v>
      </c>
      <c r="D104" s="23" t="e">
        <f aca="false" t="array" ref="D104:D104">INDEX([1]data_dbd!$e:$e,$A104)</f>
        <v>#NAME?</v>
      </c>
      <c r="E104" s="23" t="e">
        <f aca="false" t="array" ref="E104:E104">INDEX([1]data_dbd!$f:$f,$A104)</f>
        <v>#NAME?</v>
      </c>
      <c r="H104" s="24" t="n">
        <v>71</v>
      </c>
      <c r="I104" s="24" t="n">
        <v>84</v>
      </c>
      <c r="J104" s="24" t="n">
        <v>3</v>
      </c>
      <c r="K104" s="24" t="n">
        <v>0</v>
      </c>
      <c r="L104" s="24" t="s">
        <v>7</v>
      </c>
    </row>
    <row r="105" customFormat="false" ht="15" hidden="false" customHeight="false" outlineLevel="0" collapsed="false">
      <c r="A105" s="23" t="n">
        <f aca="false">RANDBETWEEN(2,164)</f>
        <v>143</v>
      </c>
      <c r="B105" s="23" t="e">
        <f aca="false" t="array" ref="B105:B105">INDEX([1]data_dbd!$b:$b,$A105)</f>
        <v>#NAME?</v>
      </c>
      <c r="C105" s="23" t="e">
        <f aca="false" t="array" ref="C105:C105">INDEX([1]data_dbd!$c:$c,$A105)</f>
        <v>#NAME?</v>
      </c>
      <c r="D105" s="23" t="e">
        <f aca="false" t="array" ref="D105:D105">INDEX([1]data_dbd!$e:$e,$A105)</f>
        <v>#NAME?</v>
      </c>
      <c r="E105" s="23" t="e">
        <f aca="false" t="array" ref="E105:E105">INDEX([1]data_dbd!$f:$f,$A105)</f>
        <v>#NAME?</v>
      </c>
      <c r="H105" s="24" t="n">
        <v>90</v>
      </c>
      <c r="I105" s="24" t="n">
        <v>47</v>
      </c>
      <c r="J105" s="24" t="n">
        <v>3</v>
      </c>
      <c r="K105" s="24" t="n">
        <v>0</v>
      </c>
      <c r="L105" s="24" t="s">
        <v>115</v>
      </c>
    </row>
    <row r="106" customFormat="false" ht="15" hidden="false" customHeight="false" outlineLevel="0" collapsed="false">
      <c r="A106" s="23" t="n">
        <f aca="false">RANDBETWEEN(2,164)</f>
        <v>151</v>
      </c>
      <c r="B106" s="23" t="e">
        <f aca="false" t="array" ref="B106:B106">INDEX([1]data_dbd!$b:$b,$A106)</f>
        <v>#NAME?</v>
      </c>
      <c r="C106" s="23" t="e">
        <f aca="false" t="array" ref="C106:C106">INDEX([1]data_dbd!$c:$c,$A106)</f>
        <v>#NAME?</v>
      </c>
      <c r="D106" s="23" t="e">
        <f aca="false" t="array" ref="D106:D106">INDEX([1]data_dbd!$e:$e,$A106)</f>
        <v>#NAME?</v>
      </c>
      <c r="E106" s="23" t="e">
        <f aca="false" t="array" ref="E106:E106">INDEX([1]data_dbd!$f:$f,$A106)</f>
        <v>#NAME?</v>
      </c>
      <c r="H106" s="24" t="n">
        <v>11</v>
      </c>
      <c r="I106" s="24" t="n">
        <v>24</v>
      </c>
      <c r="J106" s="24" t="n">
        <v>5</v>
      </c>
      <c r="K106" s="24" t="n">
        <v>1</v>
      </c>
      <c r="L106" s="24" t="s">
        <v>7</v>
      </c>
    </row>
    <row r="107" customFormat="false" ht="15" hidden="false" customHeight="false" outlineLevel="0" collapsed="false">
      <c r="A107" s="23" t="n">
        <f aca="false">RANDBETWEEN(2,164)</f>
        <v>44</v>
      </c>
      <c r="B107" s="23" t="e">
        <f aca="false" t="array" ref="B107:B107">INDEX([1]data_dbd!$b:$b,$A107)</f>
        <v>#NAME?</v>
      </c>
      <c r="C107" s="23" t="e">
        <f aca="false" t="array" ref="C107:C107">INDEX([1]data_dbd!$c:$c,$A107)</f>
        <v>#NAME?</v>
      </c>
      <c r="D107" s="23" t="e">
        <f aca="false" t="array" ref="D107:D107">INDEX([1]data_dbd!$e:$e,$A107)</f>
        <v>#NAME?</v>
      </c>
      <c r="E107" s="23" t="e">
        <f aca="false" t="array" ref="E107:E107">INDEX([1]data_dbd!$f:$f,$A107)</f>
        <v>#NAME?</v>
      </c>
      <c r="H107" s="24" t="n">
        <v>26</v>
      </c>
      <c r="I107" s="24" t="n">
        <v>75</v>
      </c>
      <c r="J107" s="24" t="n">
        <v>4</v>
      </c>
      <c r="K107" s="24" t="n">
        <v>1</v>
      </c>
      <c r="L107" s="24" t="s">
        <v>7</v>
      </c>
    </row>
    <row r="108" customFormat="false" ht="15" hidden="false" customHeight="false" outlineLevel="0" collapsed="false">
      <c r="A108" s="23" t="n">
        <f aca="false">RANDBETWEEN(2,164)</f>
        <v>30</v>
      </c>
      <c r="B108" s="23" t="e">
        <f aca="false" t="array" ref="B108:B108">INDEX([1]data_dbd!$b:$b,$A108)</f>
        <v>#NAME?</v>
      </c>
      <c r="C108" s="23" t="e">
        <f aca="false" t="array" ref="C108:C108">INDEX([1]data_dbd!$c:$c,$A108)</f>
        <v>#NAME?</v>
      </c>
      <c r="D108" s="23" t="e">
        <f aca="false" t="array" ref="D108:D108">INDEX([1]data_dbd!$e:$e,$A108)</f>
        <v>#NAME?</v>
      </c>
      <c r="E108" s="23" t="e">
        <f aca="false" t="array" ref="E108:E108">INDEX([1]data_dbd!$f:$f,$A108)</f>
        <v>#NAME?</v>
      </c>
      <c r="H108" s="24" t="n">
        <v>133</v>
      </c>
      <c r="I108" s="24" t="n">
        <v>6</v>
      </c>
      <c r="J108" s="24" t="n">
        <v>4</v>
      </c>
      <c r="K108" s="24" t="n">
        <v>0</v>
      </c>
      <c r="L108" s="24" t="s">
        <v>115</v>
      </c>
    </row>
    <row r="109" customFormat="false" ht="15" hidden="false" customHeight="false" outlineLevel="0" collapsed="false">
      <c r="A109" s="23" t="n">
        <f aca="false">RANDBETWEEN(2,164)</f>
        <v>31</v>
      </c>
      <c r="B109" s="23" t="e">
        <f aca="false" t="array" ref="B109:B109">INDEX([1]data_dbd!$b:$b,$A109)</f>
        <v>#NAME?</v>
      </c>
      <c r="C109" s="23" t="e">
        <f aca="false" t="array" ref="C109:C109">INDEX([1]data_dbd!$c:$c,$A109)</f>
        <v>#NAME?</v>
      </c>
      <c r="D109" s="23" t="e">
        <f aca="false" t="array" ref="D109:D109">INDEX([1]data_dbd!$e:$e,$A109)</f>
        <v>#NAME?</v>
      </c>
      <c r="E109" s="23" t="e">
        <f aca="false" t="array" ref="E109:E109">INDEX([1]data_dbd!$f:$f,$A109)</f>
        <v>#NAME?</v>
      </c>
      <c r="H109" s="24" t="n">
        <v>26</v>
      </c>
      <c r="I109" s="24" t="n">
        <v>75</v>
      </c>
      <c r="J109" s="24" t="n">
        <v>4</v>
      </c>
      <c r="K109" s="24" t="n">
        <v>1</v>
      </c>
      <c r="L109" s="24" t="s">
        <v>7</v>
      </c>
    </row>
    <row r="110" customFormat="false" ht="15" hidden="false" customHeight="false" outlineLevel="0" collapsed="false">
      <c r="A110" s="23" t="n">
        <f aca="false">RANDBETWEEN(2,164)</f>
        <v>157</v>
      </c>
      <c r="B110" s="23" t="e">
        <f aca="false" t="array" ref="B110:B110">INDEX([1]data_dbd!$b:$b,$A110)</f>
        <v>#NAME?</v>
      </c>
      <c r="C110" s="23" t="e">
        <f aca="false" t="array" ref="C110:C110">INDEX([1]data_dbd!$c:$c,$A110)</f>
        <v>#NAME?</v>
      </c>
      <c r="D110" s="23" t="e">
        <f aca="false" t="array" ref="D110:D110">INDEX([1]data_dbd!$e:$e,$A110)</f>
        <v>#NAME?</v>
      </c>
      <c r="E110" s="23" t="e">
        <f aca="false" t="array" ref="E110:E110">INDEX([1]data_dbd!$f:$f,$A110)</f>
        <v>#NAME?</v>
      </c>
      <c r="H110" s="24" t="n">
        <v>116</v>
      </c>
      <c r="I110" s="24" t="n">
        <v>32</v>
      </c>
      <c r="J110" s="24" t="n">
        <v>4</v>
      </c>
      <c r="K110" s="24" t="n">
        <v>1</v>
      </c>
      <c r="L110" s="24" t="s">
        <v>115</v>
      </c>
    </row>
    <row r="111" customFormat="false" ht="15" hidden="false" customHeight="false" outlineLevel="0" collapsed="false">
      <c r="A111" s="23" t="n">
        <f aca="false">RANDBETWEEN(2,164)</f>
        <v>120</v>
      </c>
      <c r="B111" s="23" t="e">
        <f aca="false" t="array" ref="B111:B111">INDEX([1]data_dbd!$b:$b,$A111)</f>
        <v>#NAME?</v>
      </c>
      <c r="C111" s="23" t="e">
        <f aca="false" t="array" ref="C111:C111">INDEX([1]data_dbd!$c:$c,$A111)</f>
        <v>#NAME?</v>
      </c>
      <c r="D111" s="23" t="e">
        <f aca="false" t="array" ref="D111:D111">INDEX([1]data_dbd!$e:$e,$A111)</f>
        <v>#NAME?</v>
      </c>
      <c r="E111" s="23" t="e">
        <f aca="false" t="array" ref="E111:E111">INDEX([1]data_dbd!$f:$f,$A111)</f>
        <v>#NAME?</v>
      </c>
      <c r="H111" s="24" t="n">
        <v>162</v>
      </c>
      <c r="I111" s="24" t="n">
        <v>22</v>
      </c>
      <c r="J111" s="24" t="n">
        <v>3</v>
      </c>
      <c r="K111" s="24" t="n">
        <v>1</v>
      </c>
      <c r="L111" s="24" t="s">
        <v>20</v>
      </c>
    </row>
    <row r="112" customFormat="false" ht="15" hidden="false" customHeight="false" outlineLevel="0" collapsed="false">
      <c r="A112" s="23" t="n">
        <f aca="false">RANDBETWEEN(2,164)</f>
        <v>69</v>
      </c>
      <c r="B112" s="23" t="e">
        <f aca="false" t="array" ref="B112:B112">INDEX([1]data_dbd!$b:$b,$A112)</f>
        <v>#NAME?</v>
      </c>
      <c r="C112" s="23" t="e">
        <f aca="false" t="array" ref="C112:C112">INDEX([1]data_dbd!$c:$c,$A112)</f>
        <v>#NAME?</v>
      </c>
      <c r="D112" s="23" t="e">
        <f aca="false" t="array" ref="D112:D112">INDEX([1]data_dbd!$e:$e,$A112)</f>
        <v>#NAME?</v>
      </c>
      <c r="E112" s="23" t="e">
        <f aca="false" t="array" ref="E112:E112">INDEX([1]data_dbd!$f:$f,$A112)</f>
        <v>#NAME?</v>
      </c>
      <c r="H112" s="24" t="n">
        <v>154</v>
      </c>
      <c r="I112" s="24" t="n">
        <v>18</v>
      </c>
      <c r="J112" s="24" t="n">
        <v>5</v>
      </c>
      <c r="K112" s="24" t="n">
        <v>1</v>
      </c>
      <c r="L112" s="24" t="s">
        <v>115</v>
      </c>
    </row>
    <row r="113" customFormat="false" ht="15" hidden="false" customHeight="false" outlineLevel="0" collapsed="false">
      <c r="A113" s="23" t="n">
        <f aca="false">RANDBETWEEN(2,164)</f>
        <v>6</v>
      </c>
      <c r="B113" s="23" t="e">
        <f aca="false" t="array" ref="B113:B113">INDEX([1]data_dbd!$b:$b,$A113)</f>
        <v>#NAME?</v>
      </c>
      <c r="C113" s="23" t="e">
        <f aca="false" t="array" ref="C113:C113">INDEX([1]data_dbd!$c:$c,$A113)</f>
        <v>#NAME?</v>
      </c>
      <c r="D113" s="23" t="e">
        <f aca="false" t="array" ref="D113:D113">INDEX([1]data_dbd!$e:$e,$A113)</f>
        <v>#NAME?</v>
      </c>
      <c r="E113" s="23" t="e">
        <f aca="false" t="array" ref="E113:E113">INDEX([1]data_dbd!$f:$f,$A113)</f>
        <v>#NAME?</v>
      </c>
      <c r="H113" s="24" t="n">
        <v>114</v>
      </c>
      <c r="I113" s="24" t="n">
        <v>14</v>
      </c>
      <c r="J113" s="24" t="n">
        <v>2</v>
      </c>
      <c r="K113" s="24" t="n">
        <v>1</v>
      </c>
      <c r="L113" s="24" t="s">
        <v>115</v>
      </c>
    </row>
    <row r="114" customFormat="false" ht="15" hidden="false" customHeight="false" outlineLevel="0" collapsed="false">
      <c r="A114" s="23" t="n">
        <f aca="false">RANDBETWEEN(2,164)</f>
        <v>90</v>
      </c>
      <c r="B114" s="23" t="e">
        <f aca="false" t="array" ref="B114:B114">INDEX([1]data_dbd!$b:$b,$A114)</f>
        <v>#NAME?</v>
      </c>
      <c r="C114" s="23" t="e">
        <f aca="false" t="array" ref="C114:C114">INDEX([1]data_dbd!$c:$c,$A114)</f>
        <v>#NAME?</v>
      </c>
      <c r="D114" s="23" t="e">
        <f aca="false" t="array" ref="D114:D114">INDEX([1]data_dbd!$e:$e,$A114)</f>
        <v>#NAME?</v>
      </c>
      <c r="E114" s="23" t="e">
        <f aca="false" t="array" ref="E114:E114">INDEX([1]data_dbd!$f:$f,$A114)</f>
        <v>#NAME?</v>
      </c>
      <c r="H114" s="24" t="n">
        <v>104</v>
      </c>
      <c r="I114" s="24" t="n">
        <v>37</v>
      </c>
      <c r="J114" s="24" t="n">
        <v>4</v>
      </c>
      <c r="K114" s="24" t="n">
        <v>1</v>
      </c>
      <c r="L114" s="24" t="s">
        <v>115</v>
      </c>
    </row>
    <row r="115" customFormat="false" ht="15" hidden="false" customHeight="false" outlineLevel="0" collapsed="false">
      <c r="A115" s="23" t="n">
        <f aca="false">RANDBETWEEN(2,164)</f>
        <v>55</v>
      </c>
      <c r="B115" s="23" t="e">
        <f aca="false" t="array" ref="B115:B115">INDEX([1]data_dbd!$b:$b,$A115)</f>
        <v>#NAME?</v>
      </c>
      <c r="C115" s="23" t="e">
        <f aca="false" t="array" ref="C115:C115">INDEX([1]data_dbd!$c:$c,$A115)</f>
        <v>#NAME?</v>
      </c>
      <c r="D115" s="23" t="e">
        <f aca="false" t="array" ref="D115:D115">INDEX([1]data_dbd!$e:$e,$A115)</f>
        <v>#NAME?</v>
      </c>
      <c r="E115" s="23" t="e">
        <f aca="false" t="array" ref="E115:E115">INDEX([1]data_dbd!$f:$f,$A115)</f>
        <v>#NAME?</v>
      </c>
      <c r="H115" s="24" t="n">
        <v>24</v>
      </c>
      <c r="I115" s="24" t="n">
        <v>60</v>
      </c>
      <c r="J115" s="24" t="n">
        <v>4</v>
      </c>
      <c r="K115" s="24" t="n">
        <v>0</v>
      </c>
      <c r="L115" s="24" t="s">
        <v>7</v>
      </c>
    </row>
    <row r="116" customFormat="false" ht="15" hidden="false" customHeight="false" outlineLevel="0" collapsed="false">
      <c r="A116" s="23" t="n">
        <f aca="false">RANDBETWEEN(2,164)</f>
        <v>90</v>
      </c>
      <c r="B116" s="23" t="e">
        <f aca="false" t="array" ref="B116:B116">INDEX([1]data_dbd!$b:$b,$A116)</f>
        <v>#NAME?</v>
      </c>
      <c r="C116" s="23" t="e">
        <f aca="false" t="array" ref="C116:C116">INDEX([1]data_dbd!$c:$c,$A116)</f>
        <v>#NAME?</v>
      </c>
      <c r="D116" s="23" t="e">
        <f aca="false" t="array" ref="D116:D116">INDEX([1]data_dbd!$e:$e,$A116)</f>
        <v>#NAME?</v>
      </c>
      <c r="E116" s="23" t="e">
        <f aca="false" t="array" ref="E116:E116">INDEX([1]data_dbd!$f:$f,$A116)</f>
        <v>#NAME?</v>
      </c>
      <c r="H116" s="24" t="n">
        <v>116</v>
      </c>
      <c r="I116" s="24" t="n">
        <v>32</v>
      </c>
      <c r="J116" s="24" t="n">
        <v>4</v>
      </c>
      <c r="K116" s="24" t="n">
        <v>1</v>
      </c>
      <c r="L116" s="24" t="s">
        <v>115</v>
      </c>
    </row>
    <row r="117" customFormat="false" ht="15" hidden="false" customHeight="false" outlineLevel="0" collapsed="false">
      <c r="A117" s="23" t="n">
        <f aca="false">RANDBETWEEN(2,164)</f>
        <v>131</v>
      </c>
      <c r="B117" s="23" t="e">
        <f aca="false" t="array" ref="B117:B117">INDEX([1]data_dbd!$b:$b,$A117)</f>
        <v>#NAME?</v>
      </c>
      <c r="C117" s="23" t="e">
        <f aca="false" t="array" ref="C117:C117">INDEX([1]data_dbd!$c:$c,$A117)</f>
        <v>#NAME?</v>
      </c>
      <c r="D117" s="23" t="e">
        <f aca="false" t="array" ref="D117:D117">INDEX([1]data_dbd!$e:$e,$A117)</f>
        <v>#NAME?</v>
      </c>
      <c r="E117" s="23" t="e">
        <f aca="false" t="array" ref="E117:E117">INDEX([1]data_dbd!$f:$f,$A117)</f>
        <v>#NAME?</v>
      </c>
      <c r="H117" s="24" t="n">
        <v>99</v>
      </c>
      <c r="I117" s="24" t="n">
        <v>4</v>
      </c>
      <c r="J117" s="24" t="n">
        <v>2</v>
      </c>
      <c r="K117" s="24" t="n">
        <v>1</v>
      </c>
      <c r="L117" s="24" t="s">
        <v>115</v>
      </c>
    </row>
    <row r="118" customFormat="false" ht="15" hidden="false" customHeight="false" outlineLevel="0" collapsed="false">
      <c r="A118" s="23" t="n">
        <f aca="false">RANDBETWEEN(2,164)</f>
        <v>113</v>
      </c>
      <c r="B118" s="23" t="e">
        <f aca="false" t="array" ref="B118:B118">INDEX([1]data_dbd!$b:$b,$A118)</f>
        <v>#NAME?</v>
      </c>
      <c r="C118" s="23" t="e">
        <f aca="false" t="array" ref="C118:C118">INDEX([1]data_dbd!$c:$c,$A118)</f>
        <v>#NAME?</v>
      </c>
      <c r="D118" s="23" t="e">
        <f aca="false" t="array" ref="D118:D118">INDEX([1]data_dbd!$e:$e,$A118)</f>
        <v>#NAME?</v>
      </c>
      <c r="E118" s="23" t="e">
        <f aca="false" t="array" ref="E118:E118">INDEX([1]data_dbd!$f:$f,$A118)</f>
        <v>#NAME?</v>
      </c>
      <c r="H118" s="24" t="n">
        <v>128</v>
      </c>
      <c r="I118" s="24" t="n">
        <v>38</v>
      </c>
      <c r="J118" s="24" t="n">
        <v>2</v>
      </c>
      <c r="K118" s="24" t="n">
        <v>0</v>
      </c>
      <c r="L118" s="24" t="s">
        <v>115</v>
      </c>
    </row>
    <row r="119" customFormat="false" ht="15" hidden="false" customHeight="false" outlineLevel="0" collapsed="false">
      <c r="A119" s="23" t="n">
        <f aca="false">RANDBETWEEN(2,164)</f>
        <v>97</v>
      </c>
      <c r="B119" s="23" t="e">
        <f aca="false" t="array" ref="B119:B119">INDEX([1]data_dbd!$b:$b,$A119)</f>
        <v>#NAME?</v>
      </c>
      <c r="C119" s="23" t="e">
        <f aca="false" t="array" ref="C119:C119">INDEX([1]data_dbd!$c:$c,$A119)</f>
        <v>#NAME?</v>
      </c>
      <c r="D119" s="23" t="e">
        <f aca="false" t="array" ref="D119:D119">INDEX([1]data_dbd!$e:$e,$A119)</f>
        <v>#NAME?</v>
      </c>
      <c r="E119" s="23" t="e">
        <f aca="false" t="array" ref="E119:E119">INDEX([1]data_dbd!$f:$f,$A119)</f>
        <v>#NAME?</v>
      </c>
      <c r="H119" s="24" t="n">
        <v>8</v>
      </c>
      <c r="I119" s="24" t="n">
        <v>4</v>
      </c>
      <c r="J119" s="24" t="n">
        <v>2</v>
      </c>
      <c r="K119" s="24" t="n">
        <v>0</v>
      </c>
      <c r="L119" s="24" t="s">
        <v>7</v>
      </c>
    </row>
    <row r="120" customFormat="false" ht="15" hidden="false" customHeight="false" outlineLevel="0" collapsed="false">
      <c r="A120" s="23" t="n">
        <f aca="false">RANDBETWEEN(2,164)</f>
        <v>70</v>
      </c>
      <c r="B120" s="23" t="e">
        <f aca="false" t="array" ref="B120:B120">INDEX([1]data_dbd!$b:$b,$A120)</f>
        <v>#NAME?</v>
      </c>
      <c r="C120" s="23" t="e">
        <f aca="false" t="array" ref="C120:C120">INDEX([1]data_dbd!$c:$c,$A120)</f>
        <v>#NAME?</v>
      </c>
      <c r="D120" s="23" t="e">
        <f aca="false" t="array" ref="D120:D120">INDEX([1]data_dbd!$e:$e,$A120)</f>
        <v>#NAME?</v>
      </c>
      <c r="E120" s="23" t="e">
        <f aca="false" t="array" ref="E120:E120">INDEX([1]data_dbd!$f:$f,$A120)</f>
        <v>#NAME?</v>
      </c>
      <c r="H120" s="24" t="n">
        <v>103</v>
      </c>
      <c r="I120" s="24" t="n">
        <v>22</v>
      </c>
      <c r="J120" s="24" t="n">
        <v>5</v>
      </c>
      <c r="K120" s="24" t="n">
        <v>0</v>
      </c>
      <c r="L120" s="24" t="s">
        <v>115</v>
      </c>
    </row>
    <row r="121" customFormat="false" ht="15" hidden="false" customHeight="false" outlineLevel="0" collapsed="false">
      <c r="A121" s="23" t="n">
        <f aca="false">RANDBETWEEN(2,164)</f>
        <v>97</v>
      </c>
      <c r="B121" s="23" t="e">
        <f aca="false" t="array" ref="B121:B121">INDEX([1]data_dbd!$b:$b,$A121)</f>
        <v>#NAME?</v>
      </c>
      <c r="C121" s="23" t="e">
        <f aca="false" t="array" ref="C121:C121">INDEX([1]data_dbd!$c:$c,$A121)</f>
        <v>#NAME?</v>
      </c>
      <c r="D121" s="23" t="e">
        <f aca="false" t="array" ref="D121:D121">INDEX([1]data_dbd!$e:$e,$A121)</f>
        <v>#NAME?</v>
      </c>
      <c r="E121" s="23" t="e">
        <f aca="false" t="array" ref="E121:E121">INDEX([1]data_dbd!$f:$f,$A121)</f>
        <v>#NAME?</v>
      </c>
      <c r="H121" s="24" t="n">
        <v>126</v>
      </c>
      <c r="I121" s="24" t="n">
        <v>51</v>
      </c>
      <c r="J121" s="24" t="n">
        <v>3</v>
      </c>
      <c r="K121" s="24" t="n">
        <v>1</v>
      </c>
      <c r="L121" s="24" t="s">
        <v>115</v>
      </c>
    </row>
    <row r="122" customFormat="false" ht="15" hidden="false" customHeight="false" outlineLevel="0" collapsed="false">
      <c r="A122" s="23" t="n">
        <f aca="false">RANDBETWEEN(2,164)</f>
        <v>23</v>
      </c>
      <c r="B122" s="23" t="e">
        <f aca="false" t="array" ref="B122:B122">INDEX([1]data_dbd!$b:$b,$A122)</f>
        <v>#NAME?</v>
      </c>
      <c r="C122" s="23" t="e">
        <f aca="false" t="array" ref="C122:C122">INDEX([1]data_dbd!$c:$c,$A122)</f>
        <v>#NAME?</v>
      </c>
      <c r="D122" s="23" t="e">
        <f aca="false" t="array" ref="D122:D122">INDEX([1]data_dbd!$e:$e,$A122)</f>
        <v>#NAME?</v>
      </c>
      <c r="E122" s="23" t="e">
        <f aca="false" t="array" ref="E122:E122">INDEX([1]data_dbd!$f:$f,$A122)</f>
        <v>#NAME?</v>
      </c>
      <c r="H122" s="24" t="n">
        <v>48</v>
      </c>
      <c r="I122" s="24" t="n">
        <v>50</v>
      </c>
      <c r="J122" s="24" t="n">
        <v>5</v>
      </c>
      <c r="K122" s="24" t="n">
        <v>1</v>
      </c>
      <c r="L122" s="24" t="s">
        <v>7</v>
      </c>
    </row>
    <row r="123" customFormat="false" ht="15" hidden="false" customHeight="false" outlineLevel="0" collapsed="false">
      <c r="A123" s="23" t="n">
        <f aca="false">RANDBETWEEN(2,164)</f>
        <v>69</v>
      </c>
      <c r="B123" s="23" t="e">
        <f aca="false" t="array" ref="B123:B123">INDEX([1]data_dbd!$b:$b,$A123)</f>
        <v>#NAME?</v>
      </c>
      <c r="C123" s="23" t="e">
        <f aca="false" t="array" ref="C123:C123">INDEX([1]data_dbd!$c:$c,$A123)</f>
        <v>#NAME?</v>
      </c>
      <c r="D123" s="23" t="e">
        <f aca="false" t="array" ref="D123:D123">INDEX([1]data_dbd!$e:$e,$A123)</f>
        <v>#NAME?</v>
      </c>
      <c r="E123" s="23" t="e">
        <f aca="false" t="array" ref="E123:E123">INDEX([1]data_dbd!$f:$f,$A123)</f>
        <v>#NAME?</v>
      </c>
      <c r="H123" s="24" t="n">
        <v>35</v>
      </c>
      <c r="I123" s="24" t="n">
        <v>40</v>
      </c>
      <c r="J123" s="24" t="n">
        <v>3</v>
      </c>
      <c r="K123" s="24" t="n">
        <v>1</v>
      </c>
      <c r="L123" s="24" t="s">
        <v>20</v>
      </c>
    </row>
    <row r="124" customFormat="false" ht="15" hidden="false" customHeight="false" outlineLevel="0" collapsed="false">
      <c r="A124" s="23" t="n">
        <f aca="false">RANDBETWEEN(2,164)</f>
        <v>17</v>
      </c>
      <c r="B124" s="23" t="e">
        <f aca="false" t="array" ref="B124:B124">INDEX([1]data_dbd!$b:$b,$A124)</f>
        <v>#NAME?</v>
      </c>
      <c r="C124" s="23" t="e">
        <f aca="false" t="array" ref="C124:C124">INDEX([1]data_dbd!$c:$c,$A124)</f>
        <v>#NAME?</v>
      </c>
      <c r="D124" s="23" t="e">
        <f aca="false" t="array" ref="D124:D124">INDEX([1]data_dbd!$e:$e,$A124)</f>
        <v>#NAME?</v>
      </c>
      <c r="E124" s="23" t="e">
        <f aca="false" t="array" ref="E124:E124">INDEX([1]data_dbd!$f:$f,$A124)</f>
        <v>#NAME?</v>
      </c>
      <c r="H124" s="24" t="n">
        <v>20</v>
      </c>
      <c r="I124" s="24" t="n">
        <v>15</v>
      </c>
      <c r="J124" s="24" t="n">
        <v>5</v>
      </c>
      <c r="K124" s="24" t="n">
        <v>0</v>
      </c>
      <c r="L124" s="24" t="s">
        <v>20</v>
      </c>
    </row>
    <row r="125" customFormat="false" ht="15" hidden="false" customHeight="false" outlineLevel="0" collapsed="false">
      <c r="A125" s="23" t="n">
        <f aca="false">RANDBETWEEN(2,164)</f>
        <v>80</v>
      </c>
      <c r="B125" s="23" t="e">
        <f aca="false" t="array" ref="B125:B125">INDEX([1]data_dbd!$b:$b,$A125)</f>
        <v>#NAME?</v>
      </c>
      <c r="C125" s="23" t="e">
        <f aca="false" t="array" ref="C125:C125">INDEX([1]data_dbd!$c:$c,$A125)</f>
        <v>#NAME?</v>
      </c>
      <c r="D125" s="23" t="e">
        <f aca="false" t="array" ref="D125:D125">INDEX([1]data_dbd!$e:$e,$A125)</f>
        <v>#NAME?</v>
      </c>
      <c r="E125" s="23" t="e">
        <f aca="false" t="array" ref="E125:E125">INDEX([1]data_dbd!$f:$f,$A125)</f>
        <v>#NAME?</v>
      </c>
      <c r="H125" s="24" t="n">
        <v>25</v>
      </c>
      <c r="I125" s="24" t="n">
        <v>81</v>
      </c>
      <c r="J125" s="24" t="n">
        <v>5</v>
      </c>
      <c r="K125" s="24" t="n">
        <v>0</v>
      </c>
      <c r="L125" s="24" t="s">
        <v>7</v>
      </c>
    </row>
    <row r="126" customFormat="false" ht="15" hidden="false" customHeight="false" outlineLevel="0" collapsed="false">
      <c r="A126" s="23" t="n">
        <f aca="false">RANDBETWEEN(2,164)</f>
        <v>53</v>
      </c>
      <c r="B126" s="23" t="e">
        <f aca="false" t="array" ref="B126:B126">INDEX([1]data_dbd!$b:$b,$A126)</f>
        <v>#NAME?</v>
      </c>
      <c r="C126" s="23" t="e">
        <f aca="false" t="array" ref="C126:C126">INDEX([1]data_dbd!$c:$c,$A126)</f>
        <v>#NAME?</v>
      </c>
      <c r="D126" s="23" t="e">
        <f aca="false" t="array" ref="D126:D126">INDEX([1]data_dbd!$e:$e,$A126)</f>
        <v>#NAME?</v>
      </c>
      <c r="E126" s="23" t="e">
        <f aca="false" t="array" ref="E126:E126">INDEX([1]data_dbd!$f:$f,$A126)</f>
        <v>#NAME?</v>
      </c>
      <c r="H126" s="24" t="n">
        <v>109</v>
      </c>
      <c r="I126" s="24" t="n">
        <v>40</v>
      </c>
      <c r="J126" s="24" t="n">
        <v>3</v>
      </c>
      <c r="K126" s="24" t="n">
        <v>1</v>
      </c>
      <c r="L126" s="24" t="s">
        <v>115</v>
      </c>
    </row>
    <row r="127" customFormat="false" ht="15" hidden="false" customHeight="false" outlineLevel="0" collapsed="false">
      <c r="A127" s="23" t="n">
        <f aca="false">RANDBETWEEN(2,164)</f>
        <v>3</v>
      </c>
      <c r="B127" s="23" t="e">
        <f aca="false" t="array" ref="B127:B127">INDEX([1]data_dbd!$b:$b,$A127)</f>
        <v>#NAME?</v>
      </c>
      <c r="C127" s="23" t="e">
        <f aca="false" t="array" ref="C127:C127">INDEX([1]data_dbd!$c:$c,$A127)</f>
        <v>#NAME?</v>
      </c>
      <c r="D127" s="23" t="e">
        <f aca="false" t="array" ref="D127:D127">INDEX([1]data_dbd!$e:$e,$A127)</f>
        <v>#NAME?</v>
      </c>
      <c r="E127" s="23" t="e">
        <f aca="false" t="array" ref="E127:E127">INDEX([1]data_dbd!$f:$f,$A127)</f>
        <v>#NAME?</v>
      </c>
      <c r="H127" s="24" t="n">
        <v>63</v>
      </c>
      <c r="I127" s="24" t="n">
        <v>25</v>
      </c>
      <c r="J127" s="24" t="n">
        <v>3</v>
      </c>
      <c r="K127" s="24" t="n">
        <v>0</v>
      </c>
      <c r="L127" s="24" t="s">
        <v>7</v>
      </c>
    </row>
    <row r="128" customFormat="false" ht="15" hidden="false" customHeight="false" outlineLevel="0" collapsed="false">
      <c r="A128" s="23" t="n">
        <f aca="false">RANDBETWEEN(2,164)</f>
        <v>157</v>
      </c>
      <c r="B128" s="23" t="e">
        <f aca="false" t="array" ref="B128:B128">INDEX([1]data_dbd!$b:$b,$A128)</f>
        <v>#NAME?</v>
      </c>
      <c r="C128" s="23" t="e">
        <f aca="false" t="array" ref="C128:C128">INDEX([1]data_dbd!$c:$c,$A128)</f>
        <v>#NAME?</v>
      </c>
      <c r="D128" s="23" t="e">
        <f aca="false" t="array" ref="D128:D128">INDEX([1]data_dbd!$e:$e,$A128)</f>
        <v>#NAME?</v>
      </c>
      <c r="E128" s="23" t="e">
        <f aca="false" t="array" ref="E128:E128">INDEX([1]data_dbd!$f:$f,$A128)</f>
        <v>#NAME?</v>
      </c>
      <c r="H128" s="24" t="n">
        <v>74</v>
      </c>
      <c r="I128" s="24" t="n">
        <v>9</v>
      </c>
      <c r="J128" s="24" t="n">
        <v>4</v>
      </c>
      <c r="K128" s="24" t="n">
        <v>0</v>
      </c>
      <c r="L128" s="24" t="s">
        <v>7</v>
      </c>
    </row>
    <row r="129" customFormat="false" ht="15" hidden="false" customHeight="false" outlineLevel="0" collapsed="false">
      <c r="A129" s="23" t="n">
        <f aca="false">RANDBETWEEN(2,164)</f>
        <v>144</v>
      </c>
      <c r="B129" s="23" t="e">
        <f aca="false" t="array" ref="B129:B129">INDEX([1]data_dbd!$b:$b,$A129)</f>
        <v>#NAME?</v>
      </c>
      <c r="C129" s="23" t="e">
        <f aca="false" t="array" ref="C129:C129">INDEX([1]data_dbd!$c:$c,$A129)</f>
        <v>#NAME?</v>
      </c>
      <c r="D129" s="23" t="e">
        <f aca="false" t="array" ref="D129:D129">INDEX([1]data_dbd!$e:$e,$A129)</f>
        <v>#NAME?</v>
      </c>
      <c r="E129" s="23" t="e">
        <f aca="false" t="array" ref="E129:E129">INDEX([1]data_dbd!$f:$f,$A129)</f>
        <v>#NAME?</v>
      </c>
      <c r="H129" s="24" t="n">
        <v>132</v>
      </c>
      <c r="I129" s="24" t="n">
        <v>10</v>
      </c>
      <c r="J129" s="24" t="n">
        <v>3</v>
      </c>
      <c r="K129" s="24" t="n">
        <v>1</v>
      </c>
      <c r="L129" s="24" t="s">
        <v>115</v>
      </c>
    </row>
    <row r="130" customFormat="false" ht="15" hidden="false" customHeight="false" outlineLevel="0" collapsed="false">
      <c r="A130" s="23" t="n">
        <f aca="false">RANDBETWEEN(2,164)</f>
        <v>25</v>
      </c>
      <c r="B130" s="23" t="e">
        <f aca="false" t="array" ref="B130:B130">INDEX([1]data_dbd!$b:$b,$A130)</f>
        <v>#NAME?</v>
      </c>
      <c r="C130" s="23" t="e">
        <f aca="false" t="array" ref="C130:C130">INDEX([1]data_dbd!$c:$c,$A130)</f>
        <v>#NAME?</v>
      </c>
      <c r="D130" s="23" t="e">
        <f aca="false" t="array" ref="D130:D130">INDEX([1]data_dbd!$e:$e,$A130)</f>
        <v>#NAME?</v>
      </c>
      <c r="E130" s="23" t="e">
        <f aca="false" t="array" ref="E130:E130">INDEX([1]data_dbd!$f:$f,$A130)</f>
        <v>#NAME?</v>
      </c>
      <c r="H130" s="24" t="n">
        <v>14</v>
      </c>
      <c r="I130" s="24" t="n">
        <v>49</v>
      </c>
      <c r="J130" s="24" t="n">
        <v>4</v>
      </c>
      <c r="K130" s="24" t="n">
        <v>1</v>
      </c>
      <c r="L130" s="24" t="s">
        <v>20</v>
      </c>
    </row>
    <row r="131" customFormat="false" ht="15" hidden="false" customHeight="false" outlineLevel="0" collapsed="false">
      <c r="A131" s="23" t="n">
        <f aca="false">RANDBETWEEN(2,164)</f>
        <v>5</v>
      </c>
      <c r="B131" s="23" t="e">
        <f aca="false" t="array" ref="B131:B131">INDEX([1]data_dbd!$b:$b,$A131)</f>
        <v>#NAME?</v>
      </c>
      <c r="C131" s="23" t="e">
        <f aca="false" t="array" ref="C131:C131">INDEX([1]data_dbd!$c:$c,$A131)</f>
        <v>#NAME?</v>
      </c>
      <c r="D131" s="23" t="e">
        <f aca="false" t="array" ref="D131:D131">INDEX([1]data_dbd!$e:$e,$A131)</f>
        <v>#NAME?</v>
      </c>
      <c r="E131" s="23" t="e">
        <f aca="false" t="array" ref="E131:E131">INDEX([1]data_dbd!$f:$f,$A131)</f>
        <v>#NAME?</v>
      </c>
      <c r="H131" s="24" t="n">
        <v>60</v>
      </c>
      <c r="I131" s="24" t="n">
        <v>68</v>
      </c>
      <c r="J131" s="24" t="n">
        <v>4</v>
      </c>
      <c r="K131" s="24" t="n">
        <v>0</v>
      </c>
      <c r="L131" s="24" t="s">
        <v>7</v>
      </c>
    </row>
    <row r="132" customFormat="false" ht="15" hidden="false" customHeight="false" outlineLevel="0" collapsed="false">
      <c r="A132" s="23" t="n">
        <f aca="false">RANDBETWEEN(2,164)</f>
        <v>99</v>
      </c>
      <c r="B132" s="23" t="e">
        <f aca="false" t="array" ref="B132:B132">INDEX([1]data_dbd!$b:$b,$A132)</f>
        <v>#NAME?</v>
      </c>
      <c r="C132" s="23" t="e">
        <f aca="false" t="array" ref="C132:C132">INDEX([1]data_dbd!$c:$c,$A132)</f>
        <v>#NAME?</v>
      </c>
      <c r="D132" s="23" t="e">
        <f aca="false" t="array" ref="D132:D132">INDEX([1]data_dbd!$e:$e,$A132)</f>
        <v>#NAME?</v>
      </c>
      <c r="E132" s="23" t="e">
        <f aca="false" t="array" ref="E132:E132">INDEX([1]data_dbd!$f:$f,$A132)</f>
        <v>#NAME?</v>
      </c>
      <c r="H132" s="24" t="n">
        <v>82</v>
      </c>
      <c r="I132" s="24" t="n">
        <v>28</v>
      </c>
      <c r="J132" s="24" t="n">
        <v>3</v>
      </c>
      <c r="K132" s="24" t="n">
        <v>1</v>
      </c>
      <c r="L132" s="24" t="s">
        <v>7</v>
      </c>
    </row>
    <row r="133" customFormat="false" ht="15" hidden="false" customHeight="false" outlineLevel="0" collapsed="false">
      <c r="A133" s="23" t="n">
        <f aca="false">RANDBETWEEN(2,164)</f>
        <v>125</v>
      </c>
      <c r="B133" s="23" t="e">
        <f aca="false" t="array" ref="B133:B133">INDEX([1]data_dbd!$b:$b,$A133)</f>
        <v>#NAME?</v>
      </c>
      <c r="C133" s="23" t="e">
        <f aca="false" t="array" ref="C133:C133">INDEX([1]data_dbd!$c:$c,$A133)</f>
        <v>#NAME?</v>
      </c>
      <c r="D133" s="23" t="e">
        <f aca="false" t="array" ref="D133:D133">INDEX([1]data_dbd!$e:$e,$A133)</f>
        <v>#NAME?</v>
      </c>
      <c r="E133" s="23" t="e">
        <f aca="false" t="array" ref="E133:E133">INDEX([1]data_dbd!$f:$f,$A133)</f>
        <v>#NAME?</v>
      </c>
      <c r="H133" s="24" t="n">
        <v>107</v>
      </c>
      <c r="I133" s="24" t="n">
        <v>48</v>
      </c>
      <c r="J133" s="24" t="n">
        <v>5</v>
      </c>
      <c r="K133" s="24" t="n">
        <v>0</v>
      </c>
      <c r="L133" s="24" t="s">
        <v>115</v>
      </c>
    </row>
    <row r="134" customFormat="false" ht="15" hidden="false" customHeight="false" outlineLevel="0" collapsed="false">
      <c r="A134" s="23" t="n">
        <f aca="false">RANDBETWEEN(2,164)</f>
        <v>36</v>
      </c>
      <c r="B134" s="23" t="e">
        <f aca="false" t="array" ref="B134:B134">INDEX([1]data_dbd!$b:$b,$A134)</f>
        <v>#NAME?</v>
      </c>
      <c r="C134" s="23" t="e">
        <f aca="false" t="array" ref="C134:C134">INDEX([1]data_dbd!$c:$c,$A134)</f>
        <v>#NAME?</v>
      </c>
      <c r="D134" s="23" t="e">
        <f aca="false" t="array" ref="D134:D134">INDEX([1]data_dbd!$e:$e,$A134)</f>
        <v>#NAME?</v>
      </c>
      <c r="E134" s="23" t="e">
        <f aca="false" t="array" ref="E134:E134">INDEX([1]data_dbd!$f:$f,$A134)</f>
        <v>#NAME?</v>
      </c>
      <c r="H134" s="24" t="n">
        <v>154</v>
      </c>
      <c r="I134" s="24" t="n">
        <v>18</v>
      </c>
      <c r="J134" s="24" t="n">
        <v>5</v>
      </c>
      <c r="K134" s="24" t="n">
        <v>1</v>
      </c>
      <c r="L134" s="24" t="s">
        <v>115</v>
      </c>
    </row>
    <row r="135" customFormat="false" ht="15" hidden="false" customHeight="false" outlineLevel="0" collapsed="false">
      <c r="A135" s="23" t="n">
        <f aca="false">RANDBETWEEN(2,164)</f>
        <v>158</v>
      </c>
      <c r="B135" s="23" t="e">
        <f aca="false" t="array" ref="B135:B135">INDEX([1]data_dbd!$b:$b,$A135)</f>
        <v>#NAME?</v>
      </c>
      <c r="C135" s="23" t="e">
        <f aca="false" t="array" ref="C135:C135">INDEX([1]data_dbd!$c:$c,$A135)</f>
        <v>#NAME?</v>
      </c>
      <c r="D135" s="23" t="e">
        <f aca="false" t="array" ref="D135:D135">INDEX([1]data_dbd!$e:$e,$A135)</f>
        <v>#NAME?</v>
      </c>
      <c r="E135" s="23" t="e">
        <f aca="false" t="array" ref="E135:E135">INDEX([1]data_dbd!$f:$f,$A135)</f>
        <v>#NAME?</v>
      </c>
      <c r="H135" s="24" t="n">
        <v>103</v>
      </c>
      <c r="I135" s="24" t="n">
        <v>22</v>
      </c>
      <c r="J135" s="24" t="n">
        <v>5</v>
      </c>
      <c r="K135" s="24" t="n">
        <v>0</v>
      </c>
      <c r="L135" s="24" t="s">
        <v>115</v>
      </c>
    </row>
    <row r="136" customFormat="false" ht="15" hidden="false" customHeight="false" outlineLevel="0" collapsed="false">
      <c r="A136" s="23" t="n">
        <f aca="false">RANDBETWEEN(2,164)</f>
        <v>118</v>
      </c>
      <c r="B136" s="23" t="e">
        <f aca="false" t="array" ref="B136:B136">INDEX([1]data_dbd!$b:$b,$A136)</f>
        <v>#NAME?</v>
      </c>
      <c r="C136" s="23" t="e">
        <f aca="false" t="array" ref="C136:C136">INDEX([1]data_dbd!$c:$c,$A136)</f>
        <v>#NAME?</v>
      </c>
      <c r="D136" s="23" t="e">
        <f aca="false" t="array" ref="D136:D136">INDEX([1]data_dbd!$e:$e,$A136)</f>
        <v>#NAME?</v>
      </c>
      <c r="E136" s="23" t="e">
        <f aca="false" t="array" ref="E136:E136">INDEX([1]data_dbd!$f:$f,$A136)</f>
        <v>#NAME?</v>
      </c>
      <c r="H136" s="24" t="n">
        <v>143</v>
      </c>
      <c r="I136" s="24" t="n">
        <v>20</v>
      </c>
      <c r="J136" s="24" t="n">
        <v>4</v>
      </c>
      <c r="K136" s="24" t="n">
        <v>1</v>
      </c>
      <c r="L136" s="24" t="s">
        <v>115</v>
      </c>
    </row>
    <row r="137" customFormat="false" ht="15" hidden="false" customHeight="false" outlineLevel="0" collapsed="false">
      <c r="A137" s="23" t="n">
        <f aca="false">RANDBETWEEN(2,164)</f>
        <v>91</v>
      </c>
      <c r="B137" s="23" t="e">
        <f aca="false" t="array" ref="B137:B137">INDEX([1]data_dbd!$b:$b,$A137)</f>
        <v>#NAME?</v>
      </c>
      <c r="C137" s="23" t="e">
        <f aca="false" t="array" ref="C137:C137">INDEX([1]data_dbd!$c:$c,$A137)</f>
        <v>#NAME?</v>
      </c>
      <c r="D137" s="23" t="e">
        <f aca="false" t="array" ref="D137:D137">INDEX([1]data_dbd!$e:$e,$A137)</f>
        <v>#NAME?</v>
      </c>
      <c r="E137" s="23" t="e">
        <f aca="false" t="array" ref="E137:E137">INDEX([1]data_dbd!$f:$f,$A137)</f>
        <v>#NAME?</v>
      </c>
      <c r="H137" s="24" t="n">
        <v>40</v>
      </c>
      <c r="I137" s="24" t="n">
        <v>65</v>
      </c>
      <c r="J137" s="24" t="n">
        <v>3</v>
      </c>
      <c r="K137" s="24" t="n">
        <v>1</v>
      </c>
      <c r="L137" s="24" t="s">
        <v>7</v>
      </c>
    </row>
    <row r="138" customFormat="false" ht="15" hidden="false" customHeight="false" outlineLevel="0" collapsed="false">
      <c r="A138" s="23" t="n">
        <f aca="false">RANDBETWEEN(2,164)</f>
        <v>32</v>
      </c>
      <c r="B138" s="23" t="e">
        <f aca="false" t="array" ref="B138:B138">INDEX([1]data_dbd!$b:$b,$A138)</f>
        <v>#NAME?</v>
      </c>
      <c r="C138" s="23" t="e">
        <f aca="false" t="array" ref="C138:C138">INDEX([1]data_dbd!$c:$c,$A138)</f>
        <v>#NAME?</v>
      </c>
      <c r="D138" s="23" t="e">
        <f aca="false" t="array" ref="D138:D138">INDEX([1]data_dbd!$e:$e,$A138)</f>
        <v>#NAME?</v>
      </c>
      <c r="E138" s="23" t="e">
        <f aca="false" t="array" ref="E138:E138">INDEX([1]data_dbd!$f:$f,$A138)</f>
        <v>#NAME?</v>
      </c>
      <c r="H138" s="24" t="n">
        <v>21</v>
      </c>
      <c r="I138" s="24" t="n">
        <v>10</v>
      </c>
      <c r="J138" s="24" t="n">
        <v>5</v>
      </c>
      <c r="K138" s="24" t="n">
        <v>1</v>
      </c>
      <c r="L138" s="24" t="s">
        <v>7</v>
      </c>
    </row>
    <row r="139" customFormat="false" ht="15.75" hidden="false" customHeight="true" outlineLevel="0" collapsed="false">
      <c r="A139" s="23" t="n">
        <f aca="false">RANDBETWEEN(2,164)</f>
        <v>10</v>
      </c>
      <c r="B139" s="23" t="e">
        <f aca="false" t="array" ref="B139:B139">INDEX([1]data_dbd!$b:$b,$A139)</f>
        <v>#NAME?</v>
      </c>
      <c r="C139" s="23" t="e">
        <f aca="false" t="array" ref="C139:C139">INDEX([1]data_dbd!$c:$c,$A139)</f>
        <v>#NAME?</v>
      </c>
      <c r="D139" s="23" t="e">
        <f aca="false" t="array" ref="D139:D139">INDEX([1]data_dbd!$e:$e,$A139)</f>
        <v>#NAME?</v>
      </c>
      <c r="E139" s="23" t="e">
        <f aca="false" t="array" ref="E139:E139">INDEX([1]data_dbd!$f:$f,$A139)</f>
        <v>#NAME?</v>
      </c>
      <c r="H139" s="24" t="n">
        <v>95</v>
      </c>
      <c r="I139" s="24" t="n">
        <v>11</v>
      </c>
      <c r="J139" s="24" t="n">
        <v>3</v>
      </c>
      <c r="K139" s="24" t="n">
        <v>1</v>
      </c>
      <c r="L139" s="24" t="s">
        <v>115</v>
      </c>
      <c r="W139" s="7" t="s">
        <v>238</v>
      </c>
    </row>
    <row r="140" customFormat="false" ht="15.75" hidden="false" customHeight="true" outlineLevel="0" collapsed="false">
      <c r="A140" s="23" t="n">
        <f aca="false">RANDBETWEEN(2,164)</f>
        <v>143</v>
      </c>
      <c r="B140" s="23" t="e">
        <f aca="false" t="array" ref="B140:B140">INDEX([1]data_dbd!$b:$b,$A140)</f>
        <v>#NAME?</v>
      </c>
      <c r="C140" s="23" t="e">
        <f aca="false" t="array" ref="C140:C140">INDEX([1]data_dbd!$c:$c,$A140)</f>
        <v>#NAME?</v>
      </c>
      <c r="D140" s="23" t="e">
        <f aca="false" t="array" ref="D140:D140">INDEX([1]data_dbd!$e:$e,$A140)</f>
        <v>#NAME?</v>
      </c>
      <c r="E140" s="23" t="e">
        <f aca="false" t="array" ref="E140:E140">INDEX([1]data_dbd!$f:$f,$A140)</f>
        <v>#NAME?</v>
      </c>
      <c r="H140" s="24" t="n">
        <v>68</v>
      </c>
      <c r="I140" s="24" t="n">
        <v>44</v>
      </c>
      <c r="J140" s="24" t="n">
        <v>5</v>
      </c>
      <c r="K140" s="24" t="n">
        <v>0</v>
      </c>
      <c r="L140" s="24" t="s">
        <v>7</v>
      </c>
      <c r="W140" s="8" t="s">
        <v>177</v>
      </c>
    </row>
    <row r="141" customFormat="false" ht="15.75" hidden="false" customHeight="true" outlineLevel="0" collapsed="false">
      <c r="A141" s="23" t="n">
        <f aca="false">RANDBETWEEN(2,164)</f>
        <v>93</v>
      </c>
      <c r="B141" s="23" t="e">
        <f aca="false" t="array" ref="B141:B141">INDEX([1]data_dbd!$b:$b,$A141)</f>
        <v>#NAME?</v>
      </c>
      <c r="C141" s="23" t="e">
        <f aca="false" t="array" ref="C141:C141">INDEX([1]data_dbd!$c:$c,$A141)</f>
        <v>#NAME?</v>
      </c>
      <c r="D141" s="23" t="e">
        <f aca="false" t="array" ref="D141:D141">INDEX([1]data_dbd!$e:$e,$A141)</f>
        <v>#NAME?</v>
      </c>
      <c r="E141" s="23" t="e">
        <f aca="false" t="array" ref="E141:E141">INDEX([1]data_dbd!$f:$f,$A141)</f>
        <v>#NAME?</v>
      </c>
      <c r="H141" s="24" t="n">
        <v>14</v>
      </c>
      <c r="I141" s="24" t="n">
        <v>49</v>
      </c>
      <c r="J141" s="24" t="n">
        <v>4</v>
      </c>
      <c r="K141" s="24" t="n">
        <v>1</v>
      </c>
      <c r="L141" s="24" t="s">
        <v>20</v>
      </c>
      <c r="W141" s="9" t="s">
        <v>239</v>
      </c>
    </row>
    <row r="142" customFormat="false" ht="15.75" hidden="false" customHeight="true" outlineLevel="0" collapsed="false">
      <c r="A142" s="23" t="n">
        <f aca="false">RANDBETWEEN(2,164)</f>
        <v>93</v>
      </c>
      <c r="B142" s="23" t="e">
        <f aca="false" t="array" ref="B142:B142">INDEX([1]data_dbd!$b:$b,$A142)</f>
        <v>#NAME?</v>
      </c>
      <c r="C142" s="23" t="e">
        <f aca="false" t="array" ref="C142:C142">INDEX([1]data_dbd!$c:$c,$A142)</f>
        <v>#NAME?</v>
      </c>
      <c r="D142" s="23" t="e">
        <f aca="false" t="array" ref="D142:D142">INDEX([1]data_dbd!$e:$e,$A142)</f>
        <v>#NAME?</v>
      </c>
      <c r="E142" s="23" t="e">
        <f aca="false" t="array" ref="E142:E142">INDEX([1]data_dbd!$f:$f,$A142)</f>
        <v>#NAME?</v>
      </c>
      <c r="H142" s="24" t="n">
        <v>102</v>
      </c>
      <c r="I142" s="24" t="n">
        <v>41</v>
      </c>
      <c r="J142" s="24" t="n">
        <v>4</v>
      </c>
      <c r="K142" s="24" t="n">
        <v>0</v>
      </c>
      <c r="L142" s="24" t="s">
        <v>115</v>
      </c>
      <c r="W142" s="9" t="s">
        <v>215</v>
      </c>
    </row>
    <row r="143" customFormat="false" ht="15.75" hidden="false" customHeight="true" outlineLevel="0" collapsed="false">
      <c r="A143" s="23" t="n">
        <f aca="false">RANDBETWEEN(2,164)</f>
        <v>118</v>
      </c>
      <c r="B143" s="23" t="e">
        <f aca="false" t="array" ref="B143:B143">INDEX([1]data_dbd!$b:$b,$A143)</f>
        <v>#NAME?</v>
      </c>
      <c r="C143" s="23" t="e">
        <f aca="false" t="array" ref="C143:C143">INDEX([1]data_dbd!$c:$c,$A143)</f>
        <v>#NAME?</v>
      </c>
      <c r="D143" s="23" t="e">
        <f aca="false" t="array" ref="D143:D143">INDEX([1]data_dbd!$e:$e,$A143)</f>
        <v>#NAME?</v>
      </c>
      <c r="E143" s="23" t="e">
        <f aca="false" t="array" ref="E143:E143">INDEX([1]data_dbd!$f:$f,$A143)</f>
        <v>#NAME?</v>
      </c>
      <c r="H143" s="24" t="n">
        <v>30</v>
      </c>
      <c r="I143" s="24" t="n">
        <v>3</v>
      </c>
      <c r="J143" s="24" t="n">
        <v>2</v>
      </c>
      <c r="K143" s="24" t="n">
        <v>1</v>
      </c>
      <c r="L143" s="24" t="s">
        <v>7</v>
      </c>
      <c r="W143" s="8" t="s">
        <v>180</v>
      </c>
    </row>
    <row r="144" customFormat="false" ht="15.75" hidden="false" customHeight="true" outlineLevel="0" collapsed="false">
      <c r="A144" s="23" t="n">
        <f aca="false">RANDBETWEEN(2,164)</f>
        <v>49</v>
      </c>
      <c r="B144" s="23" t="e">
        <f aca="false" t="array" ref="B144:B144">INDEX([1]data_dbd!$b:$b,$A144)</f>
        <v>#NAME?</v>
      </c>
      <c r="C144" s="23" t="e">
        <f aca="false" t="array" ref="C144:C144">INDEX([1]data_dbd!$c:$c,$A144)</f>
        <v>#NAME?</v>
      </c>
      <c r="D144" s="23" t="e">
        <f aca="false" t="array" ref="D144:D144">INDEX([1]data_dbd!$e:$e,$A144)</f>
        <v>#NAME?</v>
      </c>
      <c r="E144" s="23" t="e">
        <f aca="false" t="array" ref="E144:E144">INDEX([1]data_dbd!$f:$f,$A144)</f>
        <v>#NAME?</v>
      </c>
      <c r="H144" s="24" t="n">
        <v>51</v>
      </c>
      <c r="I144" s="24" t="n">
        <v>48</v>
      </c>
      <c r="J144" s="24" t="n">
        <v>4</v>
      </c>
      <c r="K144" s="24" t="n">
        <v>0</v>
      </c>
      <c r="L144" s="24" t="s">
        <v>7</v>
      </c>
      <c r="W144" s="9" t="s">
        <v>240</v>
      </c>
    </row>
    <row r="145" customFormat="false" ht="15.75" hidden="false" customHeight="true" outlineLevel="0" collapsed="false">
      <c r="A145" s="23" t="n">
        <f aca="false">RANDBETWEEN(2,164)</f>
        <v>44</v>
      </c>
      <c r="B145" s="23" t="e">
        <f aca="false" t="array" ref="B145:B145">INDEX([1]data_dbd!$b:$b,$A145)</f>
        <v>#NAME?</v>
      </c>
      <c r="C145" s="23" t="e">
        <f aca="false" t="array" ref="C145:C145">INDEX([1]data_dbd!$c:$c,$A145)</f>
        <v>#NAME?</v>
      </c>
      <c r="D145" s="23" t="e">
        <f aca="false" t="array" ref="D145:D145">INDEX([1]data_dbd!$e:$e,$A145)</f>
        <v>#NAME?</v>
      </c>
      <c r="E145" s="23" t="e">
        <f aca="false" t="array" ref="E145:E145">INDEX([1]data_dbd!$f:$f,$A145)</f>
        <v>#NAME?</v>
      </c>
      <c r="H145" s="24" t="n">
        <v>74</v>
      </c>
      <c r="I145" s="24" t="n">
        <v>9</v>
      </c>
      <c r="J145" s="24" t="n">
        <v>4</v>
      </c>
      <c r="K145" s="24" t="n">
        <v>0</v>
      </c>
      <c r="L145" s="24" t="s">
        <v>7</v>
      </c>
      <c r="W145" s="9" t="s">
        <v>217</v>
      </c>
    </row>
    <row r="146" customFormat="false" ht="15.75" hidden="false" customHeight="true" outlineLevel="0" collapsed="false">
      <c r="A146" s="23" t="n">
        <f aca="false">RANDBETWEEN(2,164)</f>
        <v>11</v>
      </c>
      <c r="B146" s="23" t="e">
        <f aca="false" t="array" ref="B146:B146">INDEX([1]data_dbd!$b:$b,$A146)</f>
        <v>#NAME?</v>
      </c>
      <c r="C146" s="23" t="e">
        <f aca="false" t="array" ref="C146:C146">INDEX([1]data_dbd!$c:$c,$A146)</f>
        <v>#NAME?</v>
      </c>
      <c r="D146" s="23" t="e">
        <f aca="false" t="array" ref="D146:D146">INDEX([1]data_dbd!$e:$e,$A146)</f>
        <v>#NAME?</v>
      </c>
      <c r="E146" s="23" t="e">
        <f aca="false" t="array" ref="E146:E146">INDEX([1]data_dbd!$f:$f,$A146)</f>
        <v>#NAME?</v>
      </c>
      <c r="H146" s="24" t="n">
        <v>26</v>
      </c>
      <c r="I146" s="24" t="n">
        <v>75</v>
      </c>
      <c r="J146" s="24" t="n">
        <v>4</v>
      </c>
      <c r="K146" s="24" t="n">
        <v>1</v>
      </c>
      <c r="L146" s="24" t="s">
        <v>7</v>
      </c>
      <c r="W146" s="8" t="s">
        <v>183</v>
      </c>
    </row>
    <row r="147" customFormat="false" ht="15.75" hidden="false" customHeight="true" outlineLevel="0" collapsed="false">
      <c r="A147" s="23" t="n">
        <f aca="false">RANDBETWEEN(2,164)</f>
        <v>159</v>
      </c>
      <c r="B147" s="23" t="e">
        <f aca="false" t="array" ref="B147:B147">INDEX([1]data_dbd!$b:$b,$A147)</f>
        <v>#NAME?</v>
      </c>
      <c r="C147" s="23" t="e">
        <f aca="false" t="array" ref="C147:C147">INDEX([1]data_dbd!$c:$c,$A147)</f>
        <v>#NAME?</v>
      </c>
      <c r="D147" s="23" t="e">
        <f aca="false" t="array" ref="D147:D147">INDEX([1]data_dbd!$e:$e,$A147)</f>
        <v>#NAME?</v>
      </c>
      <c r="E147" s="23" t="e">
        <f aca="false" t="array" ref="E147:E147">INDEX([1]data_dbd!$f:$f,$A147)</f>
        <v>#NAME?</v>
      </c>
      <c r="H147" s="24" t="n">
        <v>23</v>
      </c>
      <c r="I147" s="24" t="n">
        <v>28</v>
      </c>
      <c r="J147" s="24" t="n">
        <v>4</v>
      </c>
      <c r="K147" s="24" t="n">
        <v>1</v>
      </c>
      <c r="L147" s="24" t="s">
        <v>7</v>
      </c>
      <c r="W147" s="9" t="s">
        <v>241</v>
      </c>
    </row>
    <row r="148" customFormat="false" ht="15" hidden="false" customHeight="false" outlineLevel="0" collapsed="false">
      <c r="A148" s="23" t="n">
        <f aca="false">RANDBETWEEN(2,164)</f>
        <v>107</v>
      </c>
      <c r="B148" s="23" t="e">
        <f aca="false" t="array" ref="B148:B148">INDEX([1]data_dbd!$b:$b,$A148)</f>
        <v>#NAME?</v>
      </c>
      <c r="C148" s="23" t="e">
        <f aca="false" t="array" ref="C148:C148">INDEX([1]data_dbd!$c:$c,$A148)</f>
        <v>#NAME?</v>
      </c>
      <c r="D148" s="23" t="e">
        <f aca="false" t="array" ref="D148:D148">INDEX([1]data_dbd!$e:$e,$A148)</f>
        <v>#NAME?</v>
      </c>
      <c r="E148" s="23" t="e">
        <f aca="false" t="array" ref="E148:E148">INDEX([1]data_dbd!$f:$f,$A148)</f>
        <v>#NAME?</v>
      </c>
      <c r="H148" s="24" t="n">
        <v>125</v>
      </c>
      <c r="I148" s="24" t="n">
        <v>39</v>
      </c>
      <c r="J148" s="24" t="n">
        <v>4</v>
      </c>
      <c r="K148" s="24" t="n">
        <v>0</v>
      </c>
      <c r="L148" s="24" t="s">
        <v>115</v>
      </c>
    </row>
    <row r="149" customFormat="false" ht="15" hidden="false" customHeight="false" outlineLevel="0" collapsed="false">
      <c r="A149" s="23" t="n">
        <f aca="false">RANDBETWEEN(2,164)</f>
        <v>62</v>
      </c>
      <c r="B149" s="23" t="e">
        <f aca="false" t="array" ref="B149:B149">INDEX([1]data_dbd!$b:$b,$A149)</f>
        <v>#NAME?</v>
      </c>
      <c r="C149" s="23" t="e">
        <f aca="false" t="array" ref="C149:C149">INDEX([1]data_dbd!$c:$c,$A149)</f>
        <v>#NAME?</v>
      </c>
      <c r="D149" s="23" t="e">
        <f aca="false" t="array" ref="D149:D149">INDEX([1]data_dbd!$e:$e,$A149)</f>
        <v>#NAME?</v>
      </c>
      <c r="E149" s="23" t="e">
        <f aca="false" t="array" ref="E149:E149">INDEX([1]data_dbd!$f:$f,$A149)</f>
        <v>#NAME?</v>
      </c>
      <c r="H149" s="24" t="n">
        <v>74</v>
      </c>
      <c r="I149" s="24" t="n">
        <v>9</v>
      </c>
      <c r="J149" s="24" t="n">
        <v>4</v>
      </c>
      <c r="K149" s="24" t="n">
        <v>0</v>
      </c>
      <c r="L149" s="24" t="s">
        <v>7</v>
      </c>
    </row>
    <row r="150" customFormat="false" ht="15" hidden="false" customHeight="false" outlineLevel="0" collapsed="false">
      <c r="A150" s="23" t="n">
        <f aca="false">RANDBETWEEN(2,164)</f>
        <v>70</v>
      </c>
      <c r="B150" s="23" t="e">
        <f aca="false" t="array" ref="B150:B150">INDEX([1]data_dbd!$b:$b,$A150)</f>
        <v>#NAME?</v>
      </c>
      <c r="C150" s="23" t="e">
        <f aca="false" t="array" ref="C150:C150">INDEX([1]data_dbd!$c:$c,$A150)</f>
        <v>#NAME?</v>
      </c>
      <c r="D150" s="23" t="e">
        <f aca="false" t="array" ref="D150:D150">INDEX([1]data_dbd!$e:$e,$A150)</f>
        <v>#NAME?</v>
      </c>
      <c r="E150" s="23" t="e">
        <f aca="false" t="array" ref="E150:E150">INDEX([1]data_dbd!$f:$f,$A150)</f>
        <v>#NAME?</v>
      </c>
      <c r="H150" s="24" t="n">
        <v>22</v>
      </c>
      <c r="I150" s="24" t="n">
        <v>6</v>
      </c>
      <c r="J150" s="24" t="n">
        <v>3</v>
      </c>
      <c r="K150" s="24" t="n">
        <v>0</v>
      </c>
      <c r="L150" s="24" t="s">
        <v>7</v>
      </c>
    </row>
    <row r="151" customFormat="false" ht="15" hidden="false" customHeight="false" outlineLevel="0" collapsed="false">
      <c r="A151" s="23" t="n">
        <f aca="false">RANDBETWEEN(2,164)</f>
        <v>22</v>
      </c>
      <c r="B151" s="23" t="e">
        <f aca="false" t="array" ref="B151:B151">INDEX([1]data_dbd!$b:$b,$A151)</f>
        <v>#NAME?</v>
      </c>
      <c r="C151" s="23" t="e">
        <f aca="false" t="array" ref="C151:C151">INDEX([1]data_dbd!$c:$c,$A151)</f>
        <v>#NAME?</v>
      </c>
      <c r="D151" s="23" t="e">
        <f aca="false" t="array" ref="D151:D151">INDEX([1]data_dbd!$e:$e,$A151)</f>
        <v>#NAME?</v>
      </c>
      <c r="E151" s="23" t="e">
        <f aca="false" t="array" ref="E151:E151">INDEX([1]data_dbd!$f:$f,$A151)</f>
        <v>#NAME?</v>
      </c>
      <c r="H151" s="24" t="n">
        <v>69</v>
      </c>
      <c r="I151" s="24" t="n">
        <v>24</v>
      </c>
      <c r="J151" s="24" t="n">
        <v>4</v>
      </c>
      <c r="K151" s="24" t="n">
        <v>1</v>
      </c>
      <c r="L151" s="24" t="s">
        <v>7</v>
      </c>
    </row>
    <row r="152" customFormat="false" ht="15" hidden="false" customHeight="false" outlineLevel="0" collapsed="false">
      <c r="A152" s="23" t="n">
        <f aca="false">RANDBETWEEN(2,164)</f>
        <v>8</v>
      </c>
      <c r="B152" s="23" t="e">
        <f aca="false" t="array" ref="B152:B152">INDEX([1]data_dbd!$b:$b,$A152)</f>
        <v>#NAME?</v>
      </c>
      <c r="C152" s="23" t="e">
        <f aca="false" t="array" ref="C152:C152">INDEX([1]data_dbd!$c:$c,$A152)</f>
        <v>#NAME?</v>
      </c>
      <c r="D152" s="23" t="e">
        <f aca="false" t="array" ref="D152:D152">INDEX([1]data_dbd!$e:$e,$A152)</f>
        <v>#NAME?</v>
      </c>
      <c r="E152" s="23" t="e">
        <f aca="false" t="array" ref="E152:E152">INDEX([1]data_dbd!$f:$f,$A152)</f>
        <v>#NAME?</v>
      </c>
      <c r="H152" s="24" t="n">
        <v>11</v>
      </c>
      <c r="I152" s="24" t="n">
        <v>24</v>
      </c>
      <c r="J152" s="24" t="n">
        <v>5</v>
      </c>
      <c r="K152" s="24" t="n">
        <v>1</v>
      </c>
      <c r="L152" s="24" t="s">
        <v>7</v>
      </c>
    </row>
    <row r="153" customFormat="false" ht="15" hidden="false" customHeight="false" outlineLevel="0" collapsed="false">
      <c r="A153" s="23" t="n">
        <f aca="false">RANDBETWEEN(2,164)</f>
        <v>12</v>
      </c>
      <c r="B153" s="23" t="e">
        <f aca="false" t="array" ref="B153:B153">INDEX([1]data_dbd!$b:$b,$A153)</f>
        <v>#NAME?</v>
      </c>
      <c r="C153" s="23" t="e">
        <f aca="false" t="array" ref="C153:C153">INDEX([1]data_dbd!$c:$c,$A153)</f>
        <v>#NAME?</v>
      </c>
      <c r="D153" s="23" t="e">
        <f aca="false" t="array" ref="D153:D153">INDEX([1]data_dbd!$e:$e,$A153)</f>
        <v>#NAME?</v>
      </c>
      <c r="E153" s="23" t="e">
        <f aca="false" t="array" ref="E153:E153">INDEX([1]data_dbd!$f:$f,$A153)</f>
        <v>#NAME?</v>
      </c>
      <c r="H153" s="24" t="n">
        <v>94</v>
      </c>
      <c r="I153" s="24" t="n">
        <v>12</v>
      </c>
      <c r="J153" s="24" t="n">
        <v>4</v>
      </c>
      <c r="K153" s="24" t="n">
        <v>0</v>
      </c>
      <c r="L153" s="24" t="s">
        <v>115</v>
      </c>
    </row>
    <row r="154" customFormat="false" ht="15" hidden="false" customHeight="false" outlineLevel="0" collapsed="false">
      <c r="A154" s="23" t="n">
        <f aca="false">RANDBETWEEN(2,164)</f>
        <v>121</v>
      </c>
      <c r="B154" s="23" t="e">
        <f aca="false" t="array" ref="B154:B154">INDEX([1]data_dbd!$b:$b,$A154)</f>
        <v>#NAME?</v>
      </c>
      <c r="C154" s="23" t="e">
        <f aca="false" t="array" ref="C154:C154">INDEX([1]data_dbd!$c:$c,$A154)</f>
        <v>#NAME?</v>
      </c>
      <c r="D154" s="23" t="e">
        <f aca="false" t="array" ref="D154:D154">INDEX([1]data_dbd!$e:$e,$A154)</f>
        <v>#NAME?</v>
      </c>
      <c r="E154" s="23" t="e">
        <f aca="false" t="array" ref="E154:E154">INDEX([1]data_dbd!$f:$f,$A154)</f>
        <v>#NAME?</v>
      </c>
      <c r="H154" s="24" t="n">
        <v>100</v>
      </c>
      <c r="I154" s="24" t="n">
        <v>19</v>
      </c>
      <c r="J154" s="24" t="n">
        <v>6</v>
      </c>
      <c r="K154" s="24" t="n">
        <v>0</v>
      </c>
      <c r="L154" s="24" t="s">
        <v>115</v>
      </c>
    </row>
    <row r="155" customFormat="false" ht="15" hidden="false" customHeight="false" outlineLevel="0" collapsed="false">
      <c r="A155" s="23" t="n">
        <f aca="false">RANDBETWEEN(2,164)</f>
        <v>139</v>
      </c>
      <c r="B155" s="23" t="e">
        <f aca="false" t="array" ref="B155:B155">INDEX([1]data_dbd!$b:$b,$A155)</f>
        <v>#NAME?</v>
      </c>
      <c r="C155" s="23" t="e">
        <f aca="false" t="array" ref="C155:C155">INDEX([1]data_dbd!$c:$c,$A155)</f>
        <v>#NAME?</v>
      </c>
      <c r="D155" s="23" t="e">
        <f aca="false" t="array" ref="D155:D155">INDEX([1]data_dbd!$e:$e,$A155)</f>
        <v>#NAME?</v>
      </c>
      <c r="E155" s="23" t="e">
        <f aca="false" t="array" ref="E155:E155">INDEX([1]data_dbd!$f:$f,$A155)</f>
        <v>#NAME?</v>
      </c>
      <c r="H155" s="24" t="n">
        <v>144</v>
      </c>
      <c r="I155" s="24" t="n">
        <v>61</v>
      </c>
      <c r="J155" s="24" t="n">
        <v>4</v>
      </c>
      <c r="K155" s="24" t="n">
        <v>1</v>
      </c>
      <c r="L155" s="24" t="s">
        <v>115</v>
      </c>
    </row>
    <row r="156" customFormat="false" ht="15" hidden="false" customHeight="false" outlineLevel="0" collapsed="false">
      <c r="A156" s="23" t="n">
        <f aca="false">RANDBETWEEN(2,164)</f>
        <v>58</v>
      </c>
      <c r="B156" s="23" t="e">
        <f aca="false" t="array" ref="B156:B156">INDEX([1]data_dbd!$b:$b,$A156)</f>
        <v>#NAME?</v>
      </c>
      <c r="C156" s="23" t="e">
        <f aca="false" t="array" ref="C156:C156">INDEX([1]data_dbd!$c:$c,$A156)</f>
        <v>#NAME?</v>
      </c>
      <c r="D156" s="23" t="e">
        <f aca="false" t="array" ref="D156:D156">INDEX([1]data_dbd!$e:$e,$A156)</f>
        <v>#NAME?</v>
      </c>
      <c r="E156" s="23" t="e">
        <f aca="false" t="array" ref="E156:E156">INDEX([1]data_dbd!$f:$f,$A156)</f>
        <v>#NAME?</v>
      </c>
      <c r="H156" s="24" t="n">
        <v>6</v>
      </c>
      <c r="I156" s="24" t="n">
        <v>14</v>
      </c>
      <c r="J156" s="24" t="n">
        <v>4</v>
      </c>
      <c r="K156" s="24" t="n">
        <v>0</v>
      </c>
      <c r="L156" s="24" t="s">
        <v>7</v>
      </c>
    </row>
    <row r="157" customFormat="false" ht="15" hidden="false" customHeight="false" outlineLevel="0" collapsed="false">
      <c r="A157" s="23" t="n">
        <f aca="false">RANDBETWEEN(2,164)</f>
        <v>75</v>
      </c>
      <c r="B157" s="23" t="e">
        <f aca="false" t="array" ref="B157:B157">INDEX([1]data_dbd!$b:$b,$A157)</f>
        <v>#NAME?</v>
      </c>
      <c r="C157" s="23" t="e">
        <f aca="false" t="array" ref="C157:C157">INDEX([1]data_dbd!$c:$c,$A157)</f>
        <v>#NAME?</v>
      </c>
      <c r="D157" s="23" t="e">
        <f aca="false" t="array" ref="D157:D157">INDEX([1]data_dbd!$e:$e,$A157)</f>
        <v>#NAME?</v>
      </c>
      <c r="E157" s="23" t="e">
        <f aca="false" t="array" ref="E157:E157">INDEX([1]data_dbd!$f:$f,$A157)</f>
        <v>#NAME?</v>
      </c>
      <c r="H157" s="24" t="n">
        <v>57</v>
      </c>
      <c r="I157" s="24" t="n">
        <v>2</v>
      </c>
      <c r="J157" s="24" t="n">
        <v>2</v>
      </c>
      <c r="K157" s="24" t="n">
        <v>1</v>
      </c>
      <c r="L157" s="24" t="s">
        <v>7</v>
      </c>
    </row>
    <row r="158" customFormat="false" ht="15" hidden="false" customHeight="false" outlineLevel="0" collapsed="false">
      <c r="A158" s="23" t="n">
        <f aca="false">RANDBETWEEN(2,164)</f>
        <v>54</v>
      </c>
      <c r="B158" s="23" t="e">
        <f aca="false" t="array" ref="B158:B158">INDEX([1]data_dbd!$b:$b,$A158)</f>
        <v>#NAME?</v>
      </c>
      <c r="C158" s="23" t="e">
        <f aca="false" t="array" ref="C158:C158">INDEX([1]data_dbd!$c:$c,$A158)</f>
        <v>#NAME?</v>
      </c>
      <c r="D158" s="23" t="e">
        <f aca="false" t="array" ref="D158:D158">INDEX([1]data_dbd!$e:$e,$A158)</f>
        <v>#NAME?</v>
      </c>
      <c r="E158" s="23" t="e">
        <f aca="false" t="array" ref="E158:E158">INDEX([1]data_dbd!$f:$f,$A158)</f>
        <v>#NAME?</v>
      </c>
      <c r="H158" s="24" t="n">
        <v>7</v>
      </c>
      <c r="I158" s="24" t="n">
        <v>12</v>
      </c>
      <c r="J158" s="24" t="n">
        <v>1</v>
      </c>
      <c r="K158" s="24" t="n">
        <v>1</v>
      </c>
      <c r="L158" s="24" t="s">
        <v>7</v>
      </c>
    </row>
    <row r="159" customFormat="false" ht="15" hidden="false" customHeight="false" outlineLevel="0" collapsed="false">
      <c r="A159" s="23" t="n">
        <f aca="false">RANDBETWEEN(2,164)</f>
        <v>155</v>
      </c>
      <c r="B159" s="23" t="e">
        <f aca="false" t="array" ref="B159:B159">INDEX([1]data_dbd!$b:$b,$A159)</f>
        <v>#NAME?</v>
      </c>
      <c r="C159" s="23" t="e">
        <f aca="false" t="array" ref="C159:C159">INDEX([1]data_dbd!$c:$c,$A159)</f>
        <v>#NAME?</v>
      </c>
      <c r="D159" s="23" t="e">
        <f aca="false" t="array" ref="D159:D159">INDEX([1]data_dbd!$e:$e,$A159)</f>
        <v>#NAME?</v>
      </c>
      <c r="E159" s="23" t="e">
        <f aca="false" t="array" ref="E159:E159">INDEX([1]data_dbd!$f:$f,$A159)</f>
        <v>#NAME?</v>
      </c>
      <c r="H159" s="24" t="n">
        <v>125</v>
      </c>
      <c r="I159" s="24" t="n">
        <v>39</v>
      </c>
      <c r="J159" s="24" t="n">
        <v>4</v>
      </c>
      <c r="K159" s="24" t="n">
        <v>0</v>
      </c>
      <c r="L159" s="24" t="s">
        <v>115</v>
      </c>
    </row>
    <row r="160" customFormat="false" ht="15" hidden="false" customHeight="false" outlineLevel="0" collapsed="false">
      <c r="A160" s="23" t="n">
        <f aca="false">RANDBETWEEN(2,164)</f>
        <v>116</v>
      </c>
      <c r="B160" s="23" t="e">
        <f aca="false" t="array" ref="B160:B160">INDEX([1]data_dbd!$b:$b,$A160)</f>
        <v>#NAME?</v>
      </c>
      <c r="C160" s="23" t="e">
        <f aca="false" t="array" ref="C160:C160">INDEX([1]data_dbd!$c:$c,$A160)</f>
        <v>#NAME?</v>
      </c>
      <c r="D160" s="23" t="e">
        <f aca="false" t="array" ref="D160:D160">INDEX([1]data_dbd!$e:$e,$A160)</f>
        <v>#NAME?</v>
      </c>
      <c r="E160" s="23" t="e">
        <f aca="false" t="array" ref="E160:E160">INDEX([1]data_dbd!$f:$f,$A160)</f>
        <v>#NAME?</v>
      </c>
      <c r="H160" s="24" t="n">
        <v>46</v>
      </c>
      <c r="I160" s="24" t="n">
        <v>62</v>
      </c>
      <c r="J160" s="24" t="n">
        <v>2</v>
      </c>
      <c r="K160" s="24" t="n">
        <v>0</v>
      </c>
      <c r="L160" s="24" t="s">
        <v>7</v>
      </c>
    </row>
    <row r="161" customFormat="false" ht="15" hidden="false" customHeight="false" outlineLevel="0" collapsed="false">
      <c r="A161" s="23" t="n">
        <f aca="false">RANDBETWEEN(2,164)</f>
        <v>18</v>
      </c>
      <c r="B161" s="23" t="e">
        <f aca="false" t="array" ref="B161:B161">INDEX([1]data_dbd!$b:$b,$A161)</f>
        <v>#NAME?</v>
      </c>
      <c r="C161" s="23" t="e">
        <f aca="false" t="array" ref="C161:C161">INDEX([1]data_dbd!$c:$c,$A161)</f>
        <v>#NAME?</v>
      </c>
      <c r="D161" s="23" t="e">
        <f aca="false" t="array" ref="D161:D161">INDEX([1]data_dbd!$e:$e,$A161)</f>
        <v>#NAME?</v>
      </c>
      <c r="E161" s="23" t="e">
        <f aca="false" t="array" ref="E161:E161">INDEX([1]data_dbd!$f:$f,$A161)</f>
        <v>#NAME?</v>
      </c>
      <c r="H161" s="24" t="n">
        <v>153</v>
      </c>
      <c r="I161" s="24" t="n">
        <v>73</v>
      </c>
      <c r="J161" s="24" t="n">
        <v>7</v>
      </c>
      <c r="K161" s="24" t="n">
        <v>1</v>
      </c>
      <c r="L161" s="24" t="s">
        <v>115</v>
      </c>
    </row>
    <row r="162" customFormat="false" ht="15" hidden="false" customHeight="false" outlineLevel="0" collapsed="false">
      <c r="A162" s="23" t="n">
        <f aca="false">RANDBETWEEN(2,164)</f>
        <v>14</v>
      </c>
      <c r="B162" s="23" t="e">
        <f aca="false" t="array" ref="B162:B162">INDEX([1]data_dbd!$b:$b,$A162)</f>
        <v>#NAME?</v>
      </c>
      <c r="C162" s="23" t="e">
        <f aca="false" t="array" ref="C162:C162">INDEX([1]data_dbd!$c:$c,$A162)</f>
        <v>#NAME?</v>
      </c>
      <c r="D162" s="23" t="e">
        <f aca="false" t="array" ref="D162:D162">INDEX([1]data_dbd!$e:$e,$A162)</f>
        <v>#NAME?</v>
      </c>
      <c r="E162" s="23" t="e">
        <f aca="false" t="array" ref="E162:E162">INDEX([1]data_dbd!$f:$f,$A162)</f>
        <v>#NAME?</v>
      </c>
      <c r="H162" s="24" t="n">
        <v>58</v>
      </c>
      <c r="I162" s="24" t="n">
        <v>17</v>
      </c>
      <c r="J162" s="24" t="n">
        <v>3</v>
      </c>
      <c r="K162" s="24" t="n">
        <v>0</v>
      </c>
      <c r="L162" s="24" t="s">
        <v>7</v>
      </c>
    </row>
    <row r="163" customFormat="false" ht="15" hidden="false" customHeight="false" outlineLevel="0" collapsed="false">
      <c r="A163" s="23" t="n">
        <f aca="false">RANDBETWEEN(2,164)</f>
        <v>45</v>
      </c>
      <c r="B163" s="23" t="e">
        <f aca="false" t="array" ref="B163:B163">INDEX([1]data_dbd!$b:$b,$A163)</f>
        <v>#NAME?</v>
      </c>
      <c r="C163" s="23" t="e">
        <f aca="false" t="array" ref="C163:C163">INDEX([1]data_dbd!$c:$c,$A163)</f>
        <v>#NAME?</v>
      </c>
      <c r="D163" s="23" t="e">
        <f aca="false" t="array" ref="D163:D163">INDEX([1]data_dbd!$e:$e,$A163)</f>
        <v>#NAME?</v>
      </c>
      <c r="E163" s="23" t="e">
        <f aca="false" t="array" ref="E163:E163">INDEX([1]data_dbd!$f:$f,$A163)</f>
        <v>#NAME?</v>
      </c>
      <c r="H163" s="24" t="n">
        <v>23</v>
      </c>
      <c r="I163" s="24" t="n">
        <v>28</v>
      </c>
      <c r="J163" s="24" t="n">
        <v>4</v>
      </c>
      <c r="K163" s="24" t="n">
        <v>1</v>
      </c>
      <c r="L163" s="24" t="s">
        <v>7</v>
      </c>
    </row>
    <row r="164" customFormat="false" ht="15" hidden="false" customHeight="false" outlineLevel="0" collapsed="false">
      <c r="A164" s="23" t="n">
        <f aca="false">RANDBETWEEN(2,164)</f>
        <v>80</v>
      </c>
      <c r="B164" s="23" t="e">
        <f aca="false" t="array" ref="B164:B164">INDEX([1]data_dbd!$b:$b,$A164)</f>
        <v>#NAME?</v>
      </c>
      <c r="C164" s="23" t="e">
        <f aca="false" t="array" ref="C164:C164">INDEX([1]data_dbd!$c:$c,$A164)</f>
        <v>#NAME?</v>
      </c>
      <c r="D164" s="23" t="e">
        <f aca="false" t="array" ref="D164:D164">INDEX([1]data_dbd!$e:$e,$A164)</f>
        <v>#NAME?</v>
      </c>
      <c r="E164" s="23" t="e">
        <f aca="false" t="array" ref="E164:E164">INDEX([1]data_dbd!$f:$f,$A164)</f>
        <v>#NAME?</v>
      </c>
      <c r="H164" s="24" t="n">
        <v>139</v>
      </c>
      <c r="I164" s="24" t="n">
        <v>52</v>
      </c>
      <c r="J164" s="24" t="n">
        <v>7</v>
      </c>
      <c r="K164" s="24" t="n">
        <v>0</v>
      </c>
      <c r="L164" s="24" t="s">
        <v>115</v>
      </c>
    </row>
    <row r="165" customFormat="false" ht="15" hidden="false" customHeight="false" outlineLevel="0" collapsed="false">
      <c r="I165" s="19" t="n">
        <f aca="false">AVERAGE(I2:I164)</f>
        <v>32.760736196319</v>
      </c>
      <c r="J165" s="19" t="n">
        <f aca="false">AVERAGE(J2:J164)</f>
        <v>3.79141104294479</v>
      </c>
      <c r="K165" s="19" t="n">
        <f aca="false">AVERAGE(K2:K164)</f>
        <v>0.533742331288344</v>
      </c>
    </row>
    <row r="166" customFormat="false" ht="15" hidden="false" customHeight="false" outlineLevel="0" collapsed="false">
      <c r="B166" s="19" t="n">
        <v>60</v>
      </c>
    </row>
    <row r="168" customFormat="false" ht="15" hidden="false" customHeight="false" outlineLevel="0" collapsed="false">
      <c r="E168" s="26" t="s">
        <v>185</v>
      </c>
      <c r="J168" s="26" t="s">
        <v>186</v>
      </c>
      <c r="T168" s="26" t="s">
        <v>188</v>
      </c>
    </row>
    <row r="169" customFormat="false" ht="15" hidden="false" customHeight="false" outlineLevel="0" collapsed="false">
      <c r="E169" s="23" t="s">
        <v>1</v>
      </c>
      <c r="F169" s="23" t="n">
        <f aca="false">AVERAGEIF($I$2:$I$164,"&lt;="&amp;$I$165)</f>
        <v>16.0851063829787</v>
      </c>
      <c r="G169" s="23" t="n">
        <f aca="false">AVERAGEIF($I$2:$I$164,"&gt;"&amp;$I$165)</f>
        <v>55.4782608695652</v>
      </c>
      <c r="J169" s="23" t="s">
        <v>189</v>
      </c>
      <c r="K169" s="23" t="n">
        <f aca="false">AVERAGEIF($J$2:$J$164,"&lt;="&amp;$J$165)</f>
        <v>2.5</v>
      </c>
      <c r="L169" s="23" t="n">
        <f aca="false">AVERAGEIF($J$2:$J$164,"&gt;"&amp;$J$165)</f>
        <v>4.67010309278351</v>
      </c>
      <c r="T169" s="23" t="s">
        <v>191</v>
      </c>
      <c r="U169" s="23" t="n">
        <f aca="false">AVERAGEIF($K$2:$K$164,"&lt;="&amp;$K$165)</f>
        <v>0</v>
      </c>
      <c r="V169" s="23" t="n">
        <f aca="false">AVERAGEIF($K$2:$K$164,"&gt;"&amp;$K$165)</f>
        <v>1</v>
      </c>
    </row>
    <row r="170" customFormat="false" ht="15" hidden="false" customHeight="false" outlineLevel="0" collapsed="false">
      <c r="E170" s="23" t="str">
        <f aca="false" t="array" ref="E170:E332">IF($I$2:$I$164&lt;$F$169,"kiri",IF($I$2:$I$164&lt;$G$169,"tengah","kanan"))</f>
        <v>tengah</v>
      </c>
      <c r="F170" s="23" t="s">
        <v>242</v>
      </c>
      <c r="G170" s="23"/>
      <c r="J170" s="23" t="str">
        <f aca="false" t="array" ref="J170:J332">IF($J$2:$J$164&lt;$K$169,"kiri",IF($J$2:$J$164&lt;$L$169,"tengah","kanan"))</f>
        <v>kanan</v>
      </c>
      <c r="K170" s="23" t="s">
        <v>243</v>
      </c>
      <c r="L170" s="23"/>
      <c r="T170" s="23" t="str">
        <f aca="false" t="array" ref="T170:T332">IF($K$2:$K$164&lt;$U$169,"kiri",IF($K$2:$K$164&lt;$V$169,"tengah","kanan"))</f>
        <v>kanan</v>
      </c>
      <c r="U170" s="23" t="s">
        <v>195</v>
      </c>
      <c r="V170" s="23"/>
    </row>
    <row r="171" customFormat="false" ht="15" hidden="false" customHeight="false" outlineLevel="0" collapsed="false">
      <c r="E171" s="23" t="str">
        <v>kiri</v>
      </c>
      <c r="F171" s="23" t="n">
        <f aca="false">COUNTIFS($E$170:$E$332,"Kanan",$L$2:$L$164,"Tinggi")</f>
        <v>12</v>
      </c>
      <c r="G171" s="23" t="n">
        <f aca="false">F171/31</f>
        <v>0.387096774193548</v>
      </c>
      <c r="J171" s="23" t="str">
        <v>kiri</v>
      </c>
      <c r="K171" s="23" t="n">
        <f aca="false">COUNTIFS($J$170:$J$332,"Kanan",$L$2:$L$164,"Tinggi")</f>
        <v>20</v>
      </c>
      <c r="L171" s="23" t="n">
        <f aca="false">K171/41</f>
        <v>0.487804878048781</v>
      </c>
      <c r="T171" s="23" t="str">
        <v>kanan</v>
      </c>
      <c r="U171" s="23" t="n">
        <f aca="false">COUNTIFS($T$170:$T$332,"Kanan",$L$2:$L$164,"Tinggi")</f>
        <v>36</v>
      </c>
      <c r="V171" s="23" t="n">
        <f aca="false">U171/87</f>
        <v>0.413793103448276</v>
      </c>
    </row>
    <row r="172" customFormat="false" ht="15" hidden="false" customHeight="false" outlineLevel="0" collapsed="false">
      <c r="E172" s="23" t="str">
        <v>tengah</v>
      </c>
      <c r="F172" s="23" t="n">
        <f aca="false">COUNTIFS($E$170:$E$332,"Kanan",$L$2:$L$164,"Sedang")</f>
        <v>17</v>
      </c>
      <c r="G172" s="23" t="n">
        <f aca="false">F172/31</f>
        <v>0.548387096774194</v>
      </c>
      <c r="J172" s="23" t="str">
        <v>kanan</v>
      </c>
      <c r="K172" s="23" t="n">
        <f aca="false">COUNTIFS($J$170:$J$332,"Kanan",$L$2:$L$164,"Sedang")</f>
        <v>17</v>
      </c>
      <c r="L172" s="23" t="n">
        <f aca="false">K172/41</f>
        <v>0.414634146341463</v>
      </c>
      <c r="T172" s="23" t="str">
        <v>tengah</v>
      </c>
      <c r="U172" s="23" t="n">
        <f aca="false">COUNTIFS($T$170:$T$332,"Kanan",$L$2:$L$164,"Sedang")</f>
        <v>39</v>
      </c>
      <c r="V172" s="23" t="n">
        <f aca="false">U172/87</f>
        <v>0.448275862068966</v>
      </c>
    </row>
    <row r="173" customFormat="false" ht="15" hidden="false" customHeight="false" outlineLevel="0" collapsed="false">
      <c r="E173" s="23" t="str">
        <v>kanan</v>
      </c>
      <c r="F173" s="23" t="n">
        <f aca="false">COUNTIFS($E$170:$E$332,"Kanan",$L$2:$L$164,"Rendah")</f>
        <v>2</v>
      </c>
      <c r="G173" s="23" t="n">
        <f aca="false">F173/31</f>
        <v>0.0645161290322581</v>
      </c>
      <c r="J173" s="23" t="str">
        <v>tengah</v>
      </c>
      <c r="K173" s="23" t="n">
        <f aca="false">COUNTIFS($J$170:$J$332,"Kanan",$L$2:$L$164,"Rendah")</f>
        <v>4</v>
      </c>
      <c r="L173" s="23" t="n">
        <f aca="false">K173/41</f>
        <v>0.0975609756097561</v>
      </c>
      <c r="T173" s="23" t="str">
        <v>tengah</v>
      </c>
      <c r="U173" s="23" t="n">
        <f aca="false">COUNTIFS($T$170:$T$332,"Kanan",$L$2:$L$164,"Rendah")</f>
        <v>12</v>
      </c>
      <c r="V173" s="23" t="n">
        <f aca="false">U173/87</f>
        <v>0.137931034482759</v>
      </c>
    </row>
    <row r="174" customFormat="false" ht="15" hidden="false" customHeight="false" outlineLevel="0" collapsed="false">
      <c r="E174" s="23" t="str">
        <v>kanan</v>
      </c>
      <c r="F174" s="23" t="s">
        <v>196</v>
      </c>
      <c r="G174" s="23" t="n">
        <f aca="false">-(IFERROR(G171*LOG(G171,2),0)+IFERROR(G172*LOG(G172,2),0)+IFERROR(G173*LOG(G173,2),0))</f>
        <v>1.26044088103495</v>
      </c>
      <c r="J174" s="23" t="str">
        <v>kiri</v>
      </c>
      <c r="K174" s="23" t="s">
        <v>196</v>
      </c>
      <c r="L174" s="23" t="n">
        <f aca="false">-(IFERROR(L171*LOG(L171,2),0)+IFERROR(L172*LOG(L172,2),0)+IFERROR(L173*LOG(L173,2),0))</f>
        <v>1.35937078025216</v>
      </c>
      <c r="T174" s="23" t="str">
        <v>tengah</v>
      </c>
      <c r="U174" s="23" t="s">
        <v>196</v>
      </c>
      <c r="V174" s="23" t="n">
        <f aca="false">-(IFERROR(V171*LOG(V171,2),0)+IFERROR(V172*LOG(V172,2),0)+IFERROR(V173*LOG(V173,2),0))</f>
        <v>1.43986836255902</v>
      </c>
    </row>
    <row r="175" customFormat="false" ht="15" hidden="false" customHeight="false" outlineLevel="0" collapsed="false">
      <c r="E175" s="23" t="str">
        <v>kiri</v>
      </c>
      <c r="F175" s="23"/>
      <c r="G175" s="23" t="n">
        <f aca="false">SUM(F171:F173)/163</f>
        <v>0.190184049079755</v>
      </c>
      <c r="J175" s="23" t="str">
        <v>tengah</v>
      </c>
      <c r="K175" s="23"/>
      <c r="L175" s="23" t="n">
        <f aca="false">SUM(K171:K173)/163</f>
        <v>0.251533742331288</v>
      </c>
      <c r="T175" s="23" t="str">
        <v>kanan</v>
      </c>
      <c r="U175" s="23"/>
      <c r="V175" s="23" t="n">
        <f aca="false">SUM(U171:U173)/163</f>
        <v>0.533742331288344</v>
      </c>
    </row>
    <row r="176" customFormat="false" ht="15" hidden="false" customHeight="false" outlineLevel="0" collapsed="false">
      <c r="E176" s="23" t="str">
        <v>tengah</v>
      </c>
      <c r="F176" s="23"/>
      <c r="G176" s="27" t="n">
        <f aca="false">G174*G175</f>
        <v>0.23971575038088</v>
      </c>
      <c r="J176" s="23" t="str">
        <v>kanan</v>
      </c>
      <c r="K176" s="23"/>
      <c r="L176" s="27" t="n">
        <f aca="false">L174*L175</f>
        <v>0.341927619572628</v>
      </c>
      <c r="T176" s="23" t="str">
        <v>kanan</v>
      </c>
      <c r="U176" s="23"/>
      <c r="V176" s="27" t="n">
        <f aca="false">V174*V175</f>
        <v>0.76851869658058</v>
      </c>
    </row>
    <row r="177" customFormat="false" ht="15" hidden="false" customHeight="false" outlineLevel="0" collapsed="false">
      <c r="E177" s="23" t="str">
        <v>kanan</v>
      </c>
      <c r="F177" s="23"/>
      <c r="G177" s="23"/>
      <c r="J177" s="23" t="str">
        <v>tengah</v>
      </c>
      <c r="K177" s="23"/>
      <c r="L177" s="23"/>
      <c r="T177" s="23" t="str">
        <v>tengah</v>
      </c>
      <c r="U177" s="23"/>
      <c r="V177" s="23"/>
    </row>
    <row r="178" customFormat="false" ht="15" hidden="false" customHeight="false" outlineLevel="0" collapsed="false">
      <c r="E178" s="23" t="str">
        <v>kiri</v>
      </c>
      <c r="F178" s="23"/>
      <c r="G178" s="23"/>
      <c r="J178" s="23" t="str">
        <v>kiri</v>
      </c>
      <c r="K178" s="23"/>
      <c r="L178" s="23"/>
      <c r="T178" s="23" t="str">
        <v>tengah</v>
      </c>
      <c r="U178" s="23"/>
      <c r="V178" s="23"/>
    </row>
    <row r="179" customFormat="false" ht="15" hidden="false" customHeight="false" outlineLevel="0" collapsed="false">
      <c r="E179" s="23" t="str">
        <v>tengah</v>
      </c>
      <c r="F179" s="23" t="s">
        <v>244</v>
      </c>
      <c r="G179" s="23"/>
      <c r="J179" s="23" t="str">
        <v>kanan</v>
      </c>
      <c r="K179" s="23" t="s">
        <v>245</v>
      </c>
      <c r="L179" s="23"/>
      <c r="T179" s="23" t="str">
        <v>tengah</v>
      </c>
      <c r="U179" s="23" t="s">
        <v>200</v>
      </c>
      <c r="V179" s="23"/>
    </row>
    <row r="180" customFormat="false" ht="15" hidden="false" customHeight="false" outlineLevel="0" collapsed="false">
      <c r="E180" s="23" t="str">
        <v>tengah</v>
      </c>
      <c r="F180" s="23" t="n">
        <f aca="false">COUNTIFS($E$170:$E$332,"Kiri",$L$2:$L$164,"Tinggi")</f>
        <v>23</v>
      </c>
      <c r="G180" s="23" t="n">
        <f aca="false">F180/50</f>
        <v>0.46</v>
      </c>
      <c r="J180" s="23" t="str">
        <v>kiri</v>
      </c>
      <c r="K180" s="23" t="n">
        <f aca="false">COUNTIFS($J$170:$J$332,"Kiri",$L$2:$L$164,"Tinggi")</f>
        <v>13</v>
      </c>
      <c r="L180" s="23" t="n">
        <f aca="false">K180/28</f>
        <v>0.464285714285714</v>
      </c>
      <c r="T180" s="23" t="str">
        <v>tengah</v>
      </c>
      <c r="U180" s="23" t="n">
        <f aca="false">COUNTIFS($T$170:$T$332,"Kiri",$L$2:$L$164,"Tinggi")</f>
        <v>0</v>
      </c>
      <c r="V180" s="23" t="n">
        <f aca="false">U180/87</f>
        <v>0</v>
      </c>
    </row>
    <row r="181" customFormat="false" ht="15" hidden="false" customHeight="false" outlineLevel="0" collapsed="false">
      <c r="E181" s="23" t="str">
        <v>kiri</v>
      </c>
      <c r="F181" s="23" t="n">
        <f aca="false">COUNTIFS($E$170:$E$332,"Kiri",$L$2:$L$164,"Sedang")</f>
        <v>24</v>
      </c>
      <c r="G181" s="23" t="n">
        <f aca="false">F181/50</f>
        <v>0.48</v>
      </c>
      <c r="J181" s="23" t="str">
        <v>tengah</v>
      </c>
      <c r="K181" s="23" t="n">
        <f aca="false">COUNTIFS($J$170:$J$332,"Kiri",$L$2:$L$164,"Sedang")</f>
        <v>15</v>
      </c>
      <c r="L181" s="23" t="n">
        <f aca="false">K181/28</f>
        <v>0.535714285714286</v>
      </c>
      <c r="T181" s="23" t="str">
        <v>tengah</v>
      </c>
      <c r="U181" s="23" t="n">
        <f aca="false">COUNTIFS($T$170:$T$332,"Kiri",$L$2:$L$164,"Sedang")</f>
        <v>0</v>
      </c>
      <c r="V181" s="23" t="n">
        <f aca="false">U181/87</f>
        <v>0</v>
      </c>
    </row>
    <row r="182" customFormat="false" ht="15" hidden="false" customHeight="false" outlineLevel="0" collapsed="false">
      <c r="E182" s="23" t="str">
        <v>kiri</v>
      </c>
      <c r="F182" s="23" t="n">
        <f aca="false">COUNTIFS($E$170:$E$332,"Kiri",$L$2:$L$164,"Rendah")</f>
        <v>3</v>
      </c>
      <c r="G182" s="23" t="n">
        <f aca="false">F182/50</f>
        <v>0.06</v>
      </c>
      <c r="J182" s="23" t="str">
        <v>kanan</v>
      </c>
      <c r="K182" s="23" t="n">
        <f aca="false">COUNTIFS($J$170:$J$332,"Kiri",$L$2:$L$164,"Rendah")</f>
        <v>0</v>
      </c>
      <c r="L182" s="23" t="n">
        <f aca="false">K182/28</f>
        <v>0</v>
      </c>
      <c r="T182" s="23" t="str">
        <v>kanan</v>
      </c>
      <c r="U182" s="23" t="n">
        <f aca="false">COUNTIFS($T$170:$T$332,"Kiri",$L$2:$L$164,"Rendah")</f>
        <v>0</v>
      </c>
      <c r="V182" s="23" t="n">
        <f aca="false">U182/87</f>
        <v>0</v>
      </c>
    </row>
    <row r="183" customFormat="false" ht="15" hidden="false" customHeight="false" outlineLevel="0" collapsed="false">
      <c r="E183" s="23" t="str">
        <v>kiri</v>
      </c>
      <c r="F183" s="23" t="s">
        <v>196</v>
      </c>
      <c r="G183" s="23" t="n">
        <f aca="false">-(IFERROR(G180*LOG(G180,2),0)+IFERROR(G181*LOG(G181,2),0)+IFERROR(G182*LOG(G182,2),0))</f>
        <v>1.26713793959907</v>
      </c>
      <c r="J183" s="23" t="str">
        <v>tengah</v>
      </c>
      <c r="K183" s="23" t="s">
        <v>196</v>
      </c>
      <c r="L183" s="23" t="n">
        <f aca="false">-(IFERROR(L180*LOG(L180,2),0)+IFERROR(L181*LOG(L181,2),0)+IFERROR(L182*LOG(L182,2),0))</f>
        <v>0.996316519558962</v>
      </c>
      <c r="T183" s="23" t="str">
        <v>tengah</v>
      </c>
      <c r="U183" s="23" t="s">
        <v>196</v>
      </c>
      <c r="V183" s="23" t="n">
        <f aca="false">-(IFERROR(V180*LOG(V180,2),0)+IFERROR(V181*LOG(V181,2),0)+IFERROR(V182*LOG(V182,2),0))</f>
        <v>-0</v>
      </c>
    </row>
    <row r="184" customFormat="false" ht="15" hidden="false" customHeight="false" outlineLevel="0" collapsed="false">
      <c r="E184" s="23" t="str">
        <v>kiri</v>
      </c>
      <c r="F184" s="23"/>
      <c r="G184" s="23" t="n">
        <f aca="false">SUM(F180:F182)/163</f>
        <v>0.306748466257669</v>
      </c>
      <c r="J184" s="23" t="str">
        <v>kiri</v>
      </c>
      <c r="K184" s="23"/>
      <c r="L184" s="23" t="n">
        <f aca="false">SUM(K180:K182)/163</f>
        <v>0.171779141104294</v>
      </c>
      <c r="T184" s="23" t="str">
        <v>tengah</v>
      </c>
      <c r="U184" s="23"/>
      <c r="V184" s="23" t="n">
        <f aca="false">SUM(U180:U182)/163</f>
        <v>0</v>
      </c>
    </row>
    <row r="185" customFormat="false" ht="15" hidden="false" customHeight="false" outlineLevel="0" collapsed="false">
      <c r="E185" s="23" t="str">
        <v>tengah</v>
      </c>
      <c r="F185" s="23"/>
      <c r="G185" s="27" t="n">
        <f aca="false">G183*G184</f>
        <v>0.388692619508919</v>
      </c>
      <c r="J185" s="23" t="str">
        <v>kanan</v>
      </c>
      <c r="K185" s="23"/>
      <c r="L185" s="27" t="n">
        <f aca="false">L183*L184</f>
        <v>0.171146395997859</v>
      </c>
      <c r="T185" s="23" t="str">
        <v>kanan</v>
      </c>
      <c r="U185" s="23"/>
      <c r="V185" s="27" t="n">
        <f aca="false">V183*V184</f>
        <v>-0</v>
      </c>
    </row>
    <row r="186" customFormat="false" ht="15" hidden="false" customHeight="false" outlineLevel="0" collapsed="false">
      <c r="E186" s="23" t="str">
        <v>kanan</v>
      </c>
      <c r="F186" s="23"/>
      <c r="G186" s="23"/>
      <c r="J186" s="23" t="str">
        <v>tengah</v>
      </c>
      <c r="K186" s="23"/>
      <c r="L186" s="23"/>
      <c r="T186" s="23" t="str">
        <v>kanan</v>
      </c>
      <c r="U186" s="23"/>
      <c r="V186" s="23"/>
    </row>
    <row r="187" customFormat="false" ht="15" hidden="false" customHeight="false" outlineLevel="0" collapsed="false">
      <c r="E187" s="23" t="str">
        <v>kanan</v>
      </c>
      <c r="F187" s="23"/>
      <c r="G187" s="23"/>
      <c r="J187" s="23" t="str">
        <v>tengah</v>
      </c>
      <c r="K187" s="23"/>
      <c r="L187" s="23"/>
      <c r="T187" s="23" t="str">
        <v>tengah</v>
      </c>
      <c r="U187" s="23"/>
      <c r="V187" s="23"/>
    </row>
    <row r="188" customFormat="false" ht="15" hidden="false" customHeight="false" outlineLevel="0" collapsed="false">
      <c r="E188" s="23" t="str">
        <v>kiri</v>
      </c>
      <c r="F188" s="23" t="s">
        <v>201</v>
      </c>
      <c r="G188" s="23"/>
      <c r="J188" s="23" t="str">
        <v>tengah</v>
      </c>
      <c r="K188" s="23" t="s">
        <v>201</v>
      </c>
      <c r="L188" s="23"/>
      <c r="T188" s="23" t="str">
        <v>tengah</v>
      </c>
      <c r="U188" s="23" t="s">
        <v>201</v>
      </c>
      <c r="V188" s="23"/>
    </row>
    <row r="189" customFormat="false" ht="15" hidden="false" customHeight="false" outlineLevel="0" collapsed="false">
      <c r="E189" s="23" t="str">
        <v>tengah</v>
      </c>
      <c r="F189" s="23" t="n">
        <f aca="false">COUNTIFS($E$170:$E$332,"Tengah",$L$2:$L$164,"Tinggi")</f>
        <v>39</v>
      </c>
      <c r="G189" s="23" t="n">
        <f aca="false">F189/82</f>
        <v>0.475609756097561</v>
      </c>
      <c r="J189" s="23" t="str">
        <v>tengah</v>
      </c>
      <c r="K189" s="23" t="n">
        <f aca="false">COUNTIFS($J$170:$J$332,"Tengah",$L$2:$L$164,"Tinggi")</f>
        <v>41</v>
      </c>
      <c r="L189" s="23" t="n">
        <f aca="false">K189/109</f>
        <v>0.376146788990826</v>
      </c>
      <c r="T189" s="23" t="str">
        <v>kanan</v>
      </c>
      <c r="U189" s="23" t="n">
        <f aca="false">COUNTIFS($T$170:$T$332,"Tengah",$L$2:$L$164,"Tinggi")</f>
        <v>38</v>
      </c>
      <c r="V189" s="23" t="n">
        <f aca="false">U189/76</f>
        <v>0.5</v>
      </c>
    </row>
    <row r="190" customFormat="false" ht="15" hidden="false" customHeight="false" outlineLevel="0" collapsed="false">
      <c r="E190" s="23" t="str">
        <v>tengah</v>
      </c>
      <c r="F190" s="23" t="n">
        <f aca="false">COUNTIFS($E$170:$E$332,"Tengah",$L$2:$L$164,"Sedang")</f>
        <v>33</v>
      </c>
      <c r="G190" s="23" t="n">
        <f aca="false">F190/82</f>
        <v>0.402439024390244</v>
      </c>
      <c r="J190" s="23" t="str">
        <v>tengah</v>
      </c>
      <c r="K190" s="23" t="n">
        <f aca="false">COUNTIFS($J$170:$J$332,"Tengah",$L$2:$L$164,"Sedang")</f>
        <v>42</v>
      </c>
      <c r="L190" s="23" t="n">
        <f aca="false">K190/109</f>
        <v>0.385321100917431</v>
      </c>
      <c r="T190" s="23" t="str">
        <v>tengah</v>
      </c>
      <c r="U190" s="23" t="n">
        <f aca="false">COUNTIFS($T$170:$T$332,"Tengah",$L$2:$L$164,"Sedang")</f>
        <v>35</v>
      </c>
      <c r="V190" s="23" t="n">
        <f aca="false">U190/76</f>
        <v>0.460526315789474</v>
      </c>
    </row>
    <row r="191" customFormat="false" ht="15" hidden="false" customHeight="false" outlineLevel="0" collapsed="false">
      <c r="E191" s="23" t="str">
        <v>kiri</v>
      </c>
      <c r="F191" s="23" t="n">
        <f aca="false">COUNTIFS($E$170:$E$332,"Tengah",$L$2:$L$164,"Rendah")</f>
        <v>10</v>
      </c>
      <c r="G191" s="23" t="n">
        <f aca="false">F191/82</f>
        <v>0.121951219512195</v>
      </c>
      <c r="J191" s="23" t="str">
        <v>kanan</v>
      </c>
      <c r="K191" s="23" t="n">
        <f aca="false">COUNTIFS($J$170:$J$332,"Tengah",$L$2:$L$164,"Rendah")</f>
        <v>11</v>
      </c>
      <c r="L191" s="23" t="n">
        <f aca="false">K191/109</f>
        <v>0.100917431192661</v>
      </c>
      <c r="T191" s="23" t="str">
        <v>kanan</v>
      </c>
      <c r="U191" s="23" t="n">
        <f aca="false">COUNTIFS($T$170:$T$332,"Tengah",$L$2:$L$164,"Rendah")</f>
        <v>3</v>
      </c>
      <c r="V191" s="23" t="n">
        <f aca="false">U191/76</f>
        <v>0.0394736842105263</v>
      </c>
    </row>
    <row r="192" customFormat="false" ht="15" hidden="false" customHeight="false" outlineLevel="0" collapsed="false">
      <c r="E192" s="23" t="str">
        <v>kiri</v>
      </c>
      <c r="F192" s="23" t="s">
        <v>196</v>
      </c>
      <c r="G192" s="23" t="n">
        <f aca="false">-(IFERROR(G189*LOG(G189,2),0)+IFERROR(G190*LOG(G190,2),0)+IFERROR(G191*LOG(G191,2),0))</f>
        <v>1.40858891408967</v>
      </c>
      <c r="J192" s="23" t="str">
        <v>tengah</v>
      </c>
      <c r="K192" s="23" t="s">
        <v>196</v>
      </c>
      <c r="L192" s="23" t="n">
        <f aca="false">-(IFERROR(L189*LOG(L189,2),0)+IFERROR(L190*LOG(L190,2),0)+IFERROR(L191*LOG(L191,2),0))</f>
        <v>1.39466619062359</v>
      </c>
      <c r="T192" s="23" t="str">
        <v>tengah</v>
      </c>
      <c r="U192" s="23" t="s">
        <v>196</v>
      </c>
      <c r="V192" s="23" t="n">
        <f aca="false">-(IFERROR(V189*LOG(V189,2),0)+IFERROR(V190*LOG(V190,2),0)+IFERROR(V191*LOG(V191,2),0))</f>
        <v>1.19922963704762</v>
      </c>
    </row>
    <row r="193" customFormat="false" ht="15" hidden="false" customHeight="false" outlineLevel="0" collapsed="false">
      <c r="E193" s="23" t="str">
        <v>kanan</v>
      </c>
      <c r="F193" s="23"/>
      <c r="G193" s="23" t="n">
        <f aca="false">SUM(F189:F191)/163</f>
        <v>0.503067484662577</v>
      </c>
      <c r="J193" s="23" t="str">
        <v>kanan</v>
      </c>
      <c r="K193" s="23"/>
      <c r="L193" s="23" t="n">
        <f aca="false">SUM(K189:K191)/163</f>
        <v>0.576687116564417</v>
      </c>
      <c r="T193" s="23" t="str">
        <v>kanan</v>
      </c>
      <c r="U193" s="23"/>
      <c r="V193" s="23" t="n">
        <f aca="false">SUM(U189:U191)/163</f>
        <v>0.466257668711656</v>
      </c>
    </row>
    <row r="194" customFormat="false" ht="15" hidden="false" customHeight="false" outlineLevel="0" collapsed="false">
      <c r="E194" s="23" t="str">
        <v>tengah</v>
      </c>
      <c r="F194" s="23"/>
      <c r="G194" s="27" t="n">
        <f aca="false">G192*G193</f>
        <v>0.708615281934678</v>
      </c>
      <c r="J194" s="23" t="str">
        <v>tengah</v>
      </c>
      <c r="K194" s="23"/>
      <c r="L194" s="27" t="n">
        <f aca="false">L192*L193</f>
        <v>0.804286024040599</v>
      </c>
      <c r="T194" s="23" t="str">
        <v>kanan</v>
      </c>
      <c r="U194" s="23"/>
      <c r="V194" s="27" t="n">
        <f aca="false">V192*V193</f>
        <v>0.559150014819748</v>
      </c>
    </row>
    <row r="195" customFormat="false" ht="15" hidden="false" customHeight="false" outlineLevel="0" collapsed="false">
      <c r="E195" s="23" t="str">
        <v>kanan</v>
      </c>
      <c r="F195" s="23"/>
      <c r="G195" s="23"/>
      <c r="J195" s="23" t="str">
        <v>tengah</v>
      </c>
      <c r="K195" s="23"/>
      <c r="L195" s="23"/>
      <c r="T195" s="23" t="str">
        <v>kanan</v>
      </c>
      <c r="U195" s="23"/>
      <c r="V195" s="23"/>
    </row>
    <row r="196" customFormat="false" ht="15" hidden="false" customHeight="false" outlineLevel="0" collapsed="false">
      <c r="E196" s="23" t="str">
        <v>kanan</v>
      </c>
      <c r="F196" s="23" t="s">
        <v>202</v>
      </c>
      <c r="G196" s="23"/>
      <c r="J196" s="23" t="str">
        <v>kanan</v>
      </c>
      <c r="K196" s="23" t="s">
        <v>202</v>
      </c>
      <c r="L196" s="23"/>
      <c r="T196" s="23" t="str">
        <v>kanan</v>
      </c>
      <c r="U196" s="23" t="s">
        <v>202</v>
      </c>
      <c r="V196" s="23"/>
    </row>
    <row r="197" customFormat="false" ht="15" hidden="false" customHeight="false" outlineLevel="0" collapsed="false">
      <c r="E197" s="23" t="str">
        <v>tengah</v>
      </c>
      <c r="F197" s="28" t="n">
        <f aca="false">P5-(G176+G185+G194)</f>
        <v>0.0141434162273832</v>
      </c>
      <c r="G197" s="23"/>
      <c r="J197" s="23" t="str">
        <v>kanan</v>
      </c>
      <c r="K197" s="28" t="n">
        <f aca="false">P5-(L176+L185+L194)</f>
        <v>0.033807028440775</v>
      </c>
      <c r="L197" s="23"/>
      <c r="T197" s="23" t="str">
        <v>tengah</v>
      </c>
      <c r="U197" s="28" t="n">
        <f aca="false">P5-(V176+V185+V194)</f>
        <v>0.0234983566515323</v>
      </c>
      <c r="V197" s="23"/>
    </row>
    <row r="198" customFormat="false" ht="15" hidden="false" customHeight="false" outlineLevel="0" collapsed="false">
      <c r="E198" s="23" t="str">
        <v>tengah</v>
      </c>
      <c r="F198" s="23"/>
      <c r="G198" s="23"/>
      <c r="J198" s="23" t="str">
        <v>kanan</v>
      </c>
      <c r="K198" s="23"/>
      <c r="L198" s="23"/>
      <c r="T198" s="23" t="str">
        <v>tengah</v>
      </c>
      <c r="U198" s="23"/>
      <c r="V198" s="23"/>
    </row>
    <row r="199" customFormat="false" ht="15" hidden="false" customHeight="false" outlineLevel="0" collapsed="false">
      <c r="E199" s="23" t="str">
        <v>kiri</v>
      </c>
      <c r="F199" s="23"/>
      <c r="G199" s="23"/>
      <c r="J199" s="23" t="str">
        <v>tengah</v>
      </c>
      <c r="K199" s="23"/>
      <c r="L199" s="23"/>
      <c r="T199" s="23" t="str">
        <v>kanan</v>
      </c>
      <c r="U199" s="23"/>
      <c r="V199" s="23"/>
    </row>
    <row r="200" customFormat="false" ht="15" hidden="false" customHeight="false" outlineLevel="0" collapsed="false">
      <c r="E200" s="23" t="str">
        <v>tengah</v>
      </c>
      <c r="F200" s="23"/>
      <c r="G200" s="23"/>
      <c r="J200" s="23" t="str">
        <v>tengah</v>
      </c>
      <c r="K200" s="23"/>
      <c r="L200" s="23"/>
      <c r="T200" s="23" t="str">
        <v>tengah</v>
      </c>
      <c r="U200" s="23"/>
      <c r="V200" s="23"/>
    </row>
    <row r="201" customFormat="false" ht="15" hidden="false" customHeight="false" outlineLevel="0" collapsed="false">
      <c r="E201" s="23" t="str">
        <v>kiri</v>
      </c>
      <c r="F201" s="23"/>
      <c r="G201" s="23"/>
      <c r="J201" s="23" t="str">
        <v>kiri</v>
      </c>
      <c r="K201" s="23"/>
      <c r="L201" s="23"/>
      <c r="T201" s="23" t="str">
        <v>kanan</v>
      </c>
      <c r="U201" s="23"/>
      <c r="V201" s="23"/>
    </row>
    <row r="202" customFormat="false" ht="15" hidden="false" customHeight="false" outlineLevel="0" collapsed="false">
      <c r="E202" s="23" t="str">
        <v>tengah</v>
      </c>
      <c r="F202" s="23"/>
      <c r="G202" s="23"/>
      <c r="J202" s="23" t="str">
        <v>tengah</v>
      </c>
      <c r="K202" s="23"/>
      <c r="L202" s="23"/>
      <c r="T202" s="23" t="str">
        <v>kanan</v>
      </c>
      <c r="U202" s="23"/>
      <c r="V202" s="23"/>
    </row>
    <row r="203" customFormat="false" ht="15" hidden="false" customHeight="false" outlineLevel="0" collapsed="false">
      <c r="E203" s="23" t="str">
        <v>tengah</v>
      </c>
      <c r="F203" s="23"/>
      <c r="G203" s="23"/>
      <c r="J203" s="23" t="str">
        <v>tengah</v>
      </c>
      <c r="K203" s="23"/>
      <c r="L203" s="23"/>
      <c r="T203" s="23" t="str">
        <v>kanan</v>
      </c>
      <c r="U203" s="23"/>
      <c r="V203" s="23"/>
    </row>
    <row r="204" customFormat="false" ht="15" hidden="false" customHeight="false" outlineLevel="0" collapsed="false">
      <c r="E204" s="23" t="str">
        <v>kiri</v>
      </c>
      <c r="F204" s="23"/>
      <c r="G204" s="23"/>
      <c r="J204" s="23" t="str">
        <v>tengah</v>
      </c>
      <c r="K204" s="23"/>
      <c r="L204" s="23"/>
      <c r="T204" s="23" t="str">
        <v>tengah</v>
      </c>
      <c r="U204" s="23"/>
      <c r="V204" s="23"/>
    </row>
    <row r="205" customFormat="false" ht="15" hidden="false" customHeight="false" outlineLevel="0" collapsed="false">
      <c r="E205" s="23" t="str">
        <v>kiri</v>
      </c>
      <c r="F205" s="23"/>
      <c r="G205" s="23"/>
      <c r="J205" s="23" t="str">
        <v>kiri</v>
      </c>
      <c r="K205" s="23"/>
      <c r="L205" s="23"/>
      <c r="T205" s="23" t="str">
        <v>kanan</v>
      </c>
      <c r="U205" s="23"/>
      <c r="V205" s="23"/>
    </row>
    <row r="206" customFormat="false" ht="15" hidden="false" customHeight="false" outlineLevel="0" collapsed="false">
      <c r="E206" s="23" t="str">
        <v>kiri</v>
      </c>
      <c r="F206" s="23"/>
      <c r="G206" s="23"/>
      <c r="J206" s="23" t="str">
        <v>tengah</v>
      </c>
      <c r="K206" s="23"/>
      <c r="L206" s="23"/>
      <c r="T206" s="23" t="str">
        <v>tengah</v>
      </c>
      <c r="U206" s="23"/>
      <c r="V206" s="23"/>
    </row>
    <row r="207" customFormat="false" ht="15" hidden="false" customHeight="false" outlineLevel="0" collapsed="false">
      <c r="E207" s="23" t="str">
        <v>kanan</v>
      </c>
      <c r="F207" s="23"/>
      <c r="G207" s="23"/>
      <c r="J207" s="23" t="str">
        <v>kiri</v>
      </c>
      <c r="K207" s="23"/>
      <c r="L207" s="23"/>
      <c r="T207" s="23" t="str">
        <v>kanan</v>
      </c>
      <c r="U207" s="23"/>
      <c r="V207" s="23"/>
    </row>
    <row r="208" customFormat="false" ht="15" hidden="false" customHeight="false" outlineLevel="0" collapsed="false">
      <c r="E208" s="23" t="str">
        <v>tengah</v>
      </c>
      <c r="F208" s="23"/>
      <c r="G208" s="23"/>
      <c r="J208" s="23" t="str">
        <v>tengah</v>
      </c>
      <c r="K208" s="23"/>
      <c r="L208" s="23"/>
      <c r="T208" s="23" t="str">
        <v>kanan</v>
      </c>
      <c r="U208" s="23"/>
      <c r="V208" s="23"/>
    </row>
    <row r="209" customFormat="false" ht="15" hidden="false" customHeight="false" outlineLevel="0" collapsed="false">
      <c r="E209" s="23" t="str">
        <v>tengah</v>
      </c>
      <c r="F209" s="23"/>
      <c r="G209" s="23"/>
      <c r="J209" s="23" t="str">
        <v>tengah</v>
      </c>
      <c r="K209" s="23"/>
      <c r="L209" s="23"/>
      <c r="T209" s="23" t="str">
        <v>tengah</v>
      </c>
      <c r="U209" s="23"/>
      <c r="V209" s="23"/>
    </row>
    <row r="210" customFormat="false" ht="15" hidden="false" customHeight="false" outlineLevel="0" collapsed="false">
      <c r="E210" s="23" t="str">
        <v>tengah</v>
      </c>
      <c r="F210" s="23"/>
      <c r="G210" s="23"/>
      <c r="J210" s="23" t="str">
        <v>tengah</v>
      </c>
      <c r="K210" s="23"/>
      <c r="L210" s="23"/>
      <c r="T210" s="23" t="str">
        <v>kanan</v>
      </c>
      <c r="U210" s="23"/>
      <c r="V210" s="23"/>
    </row>
    <row r="211" customFormat="false" ht="15" hidden="false" customHeight="false" outlineLevel="0" collapsed="false">
      <c r="E211" s="23" t="str">
        <v>kiri</v>
      </c>
      <c r="F211" s="23"/>
      <c r="G211" s="23"/>
      <c r="J211" s="23" t="str">
        <v>kiri</v>
      </c>
      <c r="K211" s="23"/>
      <c r="L211" s="23"/>
      <c r="T211" s="23" t="str">
        <v>kanan</v>
      </c>
      <c r="U211" s="23"/>
      <c r="V211" s="23"/>
    </row>
    <row r="212" customFormat="false" ht="15" hidden="false" customHeight="false" outlineLevel="0" collapsed="false">
      <c r="E212" s="23" t="str">
        <v>kiri</v>
      </c>
      <c r="F212" s="23"/>
      <c r="G212" s="23"/>
      <c r="J212" s="23" t="str">
        <v>kiri</v>
      </c>
      <c r="K212" s="23"/>
      <c r="L212" s="23"/>
      <c r="T212" s="23" t="str">
        <v>tengah</v>
      </c>
      <c r="U212" s="23"/>
      <c r="V212" s="23"/>
    </row>
    <row r="213" customFormat="false" ht="15" hidden="false" customHeight="false" outlineLevel="0" collapsed="false">
      <c r="E213" s="23" t="str">
        <v>tengah</v>
      </c>
      <c r="F213" s="23"/>
      <c r="G213" s="23"/>
      <c r="J213" s="23" t="str">
        <v>tengah</v>
      </c>
      <c r="K213" s="23"/>
      <c r="L213" s="23"/>
      <c r="T213" s="23" t="str">
        <v>kanan</v>
      </c>
      <c r="U213" s="23"/>
      <c r="V213" s="23"/>
    </row>
    <row r="214" customFormat="false" ht="15" hidden="false" customHeight="false" outlineLevel="0" collapsed="false">
      <c r="E214" s="23" t="str">
        <v>kanan</v>
      </c>
      <c r="F214" s="23"/>
      <c r="G214" s="23"/>
      <c r="J214" s="23" t="str">
        <v>kanan</v>
      </c>
      <c r="K214" s="23"/>
      <c r="L214" s="23"/>
      <c r="T214" s="23" t="str">
        <v>kanan</v>
      </c>
      <c r="U214" s="23"/>
      <c r="V214" s="23"/>
    </row>
    <row r="215" customFormat="false" ht="15" hidden="false" customHeight="false" outlineLevel="0" collapsed="false">
      <c r="E215" s="23" t="str">
        <v>tengah</v>
      </c>
      <c r="F215" s="23"/>
      <c r="G215" s="23"/>
      <c r="J215" s="23" t="str">
        <v>kiri</v>
      </c>
      <c r="K215" s="23"/>
      <c r="L215" s="23"/>
      <c r="T215" s="23" t="str">
        <v>tengah</v>
      </c>
      <c r="U215" s="23"/>
      <c r="V215" s="23"/>
    </row>
    <row r="216" customFormat="false" ht="15" hidden="false" customHeight="false" outlineLevel="0" collapsed="false">
      <c r="E216" s="23" t="str">
        <v>kiri</v>
      </c>
      <c r="F216" s="23"/>
      <c r="G216" s="23"/>
      <c r="J216" s="23" t="str">
        <v>tengah</v>
      </c>
      <c r="K216" s="23"/>
      <c r="L216" s="23"/>
      <c r="T216" s="23" t="str">
        <v>kanan</v>
      </c>
      <c r="U216" s="23"/>
      <c r="V216" s="23"/>
    </row>
    <row r="217" customFormat="false" ht="15" hidden="false" customHeight="false" outlineLevel="0" collapsed="false">
      <c r="E217" s="23" t="str">
        <v>kiri</v>
      </c>
      <c r="F217" s="23"/>
      <c r="G217" s="23"/>
      <c r="J217" s="23" t="str">
        <v>tengah</v>
      </c>
      <c r="K217" s="23"/>
      <c r="L217" s="23"/>
      <c r="T217" s="23" t="str">
        <v>tengah</v>
      </c>
      <c r="U217" s="23"/>
      <c r="V217" s="23"/>
    </row>
    <row r="218" customFormat="false" ht="15" hidden="false" customHeight="false" outlineLevel="0" collapsed="false">
      <c r="E218" s="23" t="str">
        <v>tengah</v>
      </c>
      <c r="F218" s="23"/>
      <c r="G218" s="23"/>
      <c r="J218" s="23" t="str">
        <v>tengah</v>
      </c>
      <c r="K218" s="23"/>
      <c r="L218" s="23"/>
      <c r="T218" s="23" t="str">
        <v>kanan</v>
      </c>
      <c r="U218" s="23"/>
      <c r="V218" s="23"/>
    </row>
    <row r="219" customFormat="false" ht="15" hidden="false" customHeight="false" outlineLevel="0" collapsed="false">
      <c r="E219" s="23" t="str">
        <v>tengah</v>
      </c>
      <c r="F219" s="23"/>
      <c r="G219" s="23"/>
      <c r="J219" s="23" t="str">
        <v>tengah</v>
      </c>
      <c r="K219" s="23"/>
      <c r="L219" s="23"/>
      <c r="T219" s="23" t="str">
        <v>kanan</v>
      </c>
      <c r="U219" s="23"/>
      <c r="V219" s="23"/>
    </row>
    <row r="220" customFormat="false" ht="15" hidden="false" customHeight="false" outlineLevel="0" collapsed="false">
      <c r="E220" s="23" t="str">
        <v>kanan</v>
      </c>
      <c r="F220" s="23"/>
      <c r="G220" s="23"/>
      <c r="J220" s="23" t="str">
        <v>tengah</v>
      </c>
      <c r="K220" s="23"/>
      <c r="L220" s="23"/>
      <c r="T220" s="23" t="str">
        <v>kanan</v>
      </c>
      <c r="U220" s="23"/>
      <c r="V220" s="23"/>
    </row>
    <row r="221" customFormat="false" ht="15" hidden="false" customHeight="false" outlineLevel="0" collapsed="false">
      <c r="E221" s="23" t="str">
        <v>kanan</v>
      </c>
      <c r="F221" s="23"/>
      <c r="G221" s="23"/>
      <c r="J221" s="23" t="str">
        <v>kiri</v>
      </c>
      <c r="K221" s="23"/>
      <c r="L221" s="23"/>
      <c r="T221" s="23" t="str">
        <v>tengah</v>
      </c>
      <c r="U221" s="23"/>
      <c r="V221" s="23"/>
    </row>
    <row r="222" customFormat="false" ht="15" hidden="false" customHeight="false" outlineLevel="0" collapsed="false">
      <c r="E222" s="23" t="str">
        <v>tengah</v>
      </c>
      <c r="F222" s="23"/>
      <c r="G222" s="23"/>
      <c r="J222" s="23" t="str">
        <v>tengah</v>
      </c>
      <c r="K222" s="23"/>
      <c r="L222" s="23"/>
      <c r="T222" s="23" t="str">
        <v>kanan</v>
      </c>
      <c r="U222" s="23"/>
      <c r="V222" s="23"/>
    </row>
    <row r="223" customFormat="false" ht="15" hidden="false" customHeight="false" outlineLevel="0" collapsed="false">
      <c r="E223" s="23" t="str">
        <v>kanan</v>
      </c>
      <c r="F223" s="23"/>
      <c r="G223" s="23"/>
      <c r="J223" s="23" t="str">
        <v>tengah</v>
      </c>
      <c r="K223" s="23"/>
      <c r="L223" s="23"/>
      <c r="T223" s="23" t="str">
        <v>tengah</v>
      </c>
      <c r="U223" s="23"/>
      <c r="V223" s="23"/>
    </row>
    <row r="224" customFormat="false" ht="15" hidden="false" customHeight="false" outlineLevel="0" collapsed="false">
      <c r="E224" s="23" t="str">
        <v>kiri</v>
      </c>
      <c r="F224" s="23"/>
      <c r="G224" s="23"/>
      <c r="J224" s="23" t="str">
        <v>kanan</v>
      </c>
      <c r="K224" s="23"/>
      <c r="L224" s="23"/>
      <c r="T224" s="23" t="str">
        <v>kanan</v>
      </c>
      <c r="U224" s="23"/>
      <c r="V224" s="23"/>
    </row>
    <row r="225" customFormat="false" ht="15" hidden="false" customHeight="false" outlineLevel="0" collapsed="false">
      <c r="E225" s="23" t="str">
        <v>kiri</v>
      </c>
      <c r="F225" s="23"/>
      <c r="G225" s="23"/>
      <c r="J225" s="23" t="str">
        <v>kiri</v>
      </c>
      <c r="K225" s="23"/>
      <c r="L225" s="23"/>
      <c r="T225" s="23" t="str">
        <v>tengah</v>
      </c>
      <c r="U225" s="23"/>
      <c r="V225" s="23"/>
    </row>
    <row r="226" customFormat="false" ht="15" hidden="false" customHeight="false" outlineLevel="0" collapsed="false">
      <c r="E226" s="23" t="str">
        <v>tengah</v>
      </c>
      <c r="F226" s="23"/>
      <c r="G226" s="23"/>
      <c r="J226" s="23" t="str">
        <v>tengah</v>
      </c>
      <c r="K226" s="23"/>
      <c r="L226" s="23"/>
      <c r="T226" s="23" t="str">
        <v>tengah</v>
      </c>
      <c r="U226" s="23"/>
      <c r="V226" s="23"/>
    </row>
    <row r="227" customFormat="false" ht="15" hidden="false" customHeight="false" outlineLevel="0" collapsed="false">
      <c r="E227" s="23" t="str">
        <v>kanan</v>
      </c>
      <c r="F227" s="23"/>
      <c r="G227" s="23"/>
      <c r="J227" s="23" t="str">
        <v>kanan</v>
      </c>
      <c r="K227" s="23"/>
      <c r="L227" s="23"/>
      <c r="T227" s="23" t="str">
        <v>kanan</v>
      </c>
      <c r="U227" s="23"/>
      <c r="V227" s="23"/>
    </row>
    <row r="228" customFormat="false" ht="15" hidden="false" customHeight="false" outlineLevel="0" collapsed="false">
      <c r="E228" s="23" t="str">
        <v>tengah</v>
      </c>
      <c r="F228" s="23"/>
      <c r="G228" s="23"/>
      <c r="J228" s="23" t="str">
        <v>tengah</v>
      </c>
      <c r="K228" s="23"/>
      <c r="L228" s="23"/>
      <c r="T228" s="23" t="str">
        <v>tengah</v>
      </c>
      <c r="U228" s="23"/>
      <c r="V228" s="23"/>
    </row>
    <row r="229" customFormat="false" ht="15" hidden="false" customHeight="false" outlineLevel="0" collapsed="false">
      <c r="E229" s="23" t="str">
        <v>kanan</v>
      </c>
      <c r="F229" s="23"/>
      <c r="G229" s="23"/>
      <c r="J229" s="23" t="str">
        <v>kanan</v>
      </c>
      <c r="K229" s="23"/>
      <c r="L229" s="23"/>
      <c r="T229" s="23" t="str">
        <v>kanan</v>
      </c>
      <c r="U229" s="23"/>
      <c r="V229" s="23"/>
    </row>
    <row r="230" customFormat="false" ht="15" hidden="false" customHeight="false" outlineLevel="0" collapsed="false">
      <c r="E230" s="23" t="str">
        <v>tengah</v>
      </c>
      <c r="F230" s="23"/>
      <c r="G230" s="23"/>
      <c r="J230" s="23" t="str">
        <v>tengah</v>
      </c>
      <c r="K230" s="23"/>
      <c r="L230" s="23"/>
      <c r="T230" s="23" t="str">
        <v>kanan</v>
      </c>
      <c r="U230" s="23"/>
      <c r="V230" s="23"/>
    </row>
    <row r="231" customFormat="false" ht="15" hidden="false" customHeight="false" outlineLevel="0" collapsed="false">
      <c r="E231" s="23" t="str">
        <v>kiri</v>
      </c>
      <c r="F231" s="23"/>
      <c r="G231" s="23"/>
      <c r="J231" s="23" t="str">
        <v>kiri</v>
      </c>
      <c r="K231" s="23"/>
      <c r="L231" s="23"/>
      <c r="T231" s="23" t="str">
        <v>kanan</v>
      </c>
      <c r="U231" s="23"/>
      <c r="V231" s="23"/>
    </row>
    <row r="232" customFormat="false" ht="15" hidden="false" customHeight="false" outlineLevel="0" collapsed="false">
      <c r="E232" s="23" t="str">
        <v>tengah</v>
      </c>
      <c r="F232" s="23"/>
      <c r="G232" s="23"/>
      <c r="J232" s="23" t="str">
        <v>tengah</v>
      </c>
      <c r="K232" s="23"/>
      <c r="L232" s="23"/>
      <c r="T232" s="23" t="str">
        <v>kanan</v>
      </c>
      <c r="U232" s="23"/>
      <c r="V232" s="23"/>
    </row>
    <row r="233" customFormat="false" ht="15" hidden="false" customHeight="false" outlineLevel="0" collapsed="false">
      <c r="E233" s="23" t="str">
        <v>tengah</v>
      </c>
      <c r="F233" s="23"/>
      <c r="G233" s="23"/>
      <c r="J233" s="23" t="str">
        <v>kiri</v>
      </c>
      <c r="K233" s="23"/>
      <c r="L233" s="23"/>
      <c r="T233" s="23" t="str">
        <v>tengah</v>
      </c>
      <c r="U233" s="23"/>
      <c r="V233" s="23"/>
    </row>
    <row r="234" customFormat="false" ht="15" hidden="false" customHeight="false" outlineLevel="0" collapsed="false">
      <c r="E234" s="23" t="str">
        <v>tengah</v>
      </c>
      <c r="F234" s="23"/>
      <c r="G234" s="23"/>
      <c r="J234" s="23" t="str">
        <v>tengah</v>
      </c>
      <c r="K234" s="23"/>
      <c r="L234" s="23"/>
      <c r="T234" s="23" t="str">
        <v>tengah</v>
      </c>
      <c r="U234" s="23"/>
      <c r="V234" s="23"/>
    </row>
    <row r="235" customFormat="false" ht="15" hidden="false" customHeight="false" outlineLevel="0" collapsed="false">
      <c r="E235" s="23" t="str">
        <v>kiri</v>
      </c>
      <c r="F235" s="23"/>
      <c r="G235" s="23"/>
      <c r="J235" s="23" t="str">
        <v>tengah</v>
      </c>
      <c r="K235" s="23"/>
      <c r="L235" s="23"/>
      <c r="T235" s="23" t="str">
        <v>tengah</v>
      </c>
      <c r="U235" s="23"/>
      <c r="V235" s="23"/>
    </row>
    <row r="236" customFormat="false" ht="15" hidden="false" customHeight="false" outlineLevel="0" collapsed="false">
      <c r="E236" s="23" t="str">
        <v>tengah</v>
      </c>
      <c r="F236" s="23"/>
      <c r="G236" s="23"/>
      <c r="J236" s="23" t="str">
        <v>tengah</v>
      </c>
      <c r="K236" s="23"/>
      <c r="L236" s="23"/>
      <c r="T236" s="23" t="str">
        <v>kanan</v>
      </c>
      <c r="U236" s="23"/>
      <c r="V236" s="23"/>
    </row>
    <row r="237" customFormat="false" ht="15" hidden="false" customHeight="false" outlineLevel="0" collapsed="false">
      <c r="E237" s="23" t="str">
        <v>tengah</v>
      </c>
      <c r="F237" s="23"/>
      <c r="G237" s="23"/>
      <c r="J237" s="23" t="str">
        <v>kanan</v>
      </c>
      <c r="K237" s="23"/>
      <c r="L237" s="23"/>
      <c r="T237" s="23" t="str">
        <v>kanan</v>
      </c>
      <c r="U237" s="23"/>
      <c r="V237" s="23"/>
    </row>
    <row r="238" customFormat="false" ht="15" hidden="false" customHeight="false" outlineLevel="0" collapsed="false">
      <c r="E238" s="23" t="str">
        <v>kanan</v>
      </c>
      <c r="F238" s="23"/>
      <c r="G238" s="23"/>
      <c r="J238" s="23" t="str">
        <v>kanan</v>
      </c>
      <c r="K238" s="23"/>
      <c r="L238" s="23"/>
      <c r="T238" s="23" t="str">
        <v>kanan</v>
      </c>
      <c r="U238" s="23"/>
      <c r="V238" s="23"/>
    </row>
    <row r="239" customFormat="false" ht="15" hidden="false" customHeight="false" outlineLevel="0" collapsed="false">
      <c r="E239" s="23" t="str">
        <v>kiri</v>
      </c>
      <c r="F239" s="23"/>
      <c r="G239" s="23"/>
      <c r="J239" s="23" t="str">
        <v>tengah</v>
      </c>
      <c r="K239" s="23"/>
      <c r="L239" s="23"/>
      <c r="T239" s="23" t="str">
        <v>tengah</v>
      </c>
      <c r="U239" s="23"/>
      <c r="V239" s="23"/>
    </row>
    <row r="240" customFormat="false" ht="15" hidden="false" customHeight="false" outlineLevel="0" collapsed="false">
      <c r="E240" s="23" t="str">
        <v>kiri</v>
      </c>
      <c r="F240" s="23"/>
      <c r="G240" s="23"/>
      <c r="J240" s="23" t="str">
        <v>kanan</v>
      </c>
      <c r="K240" s="23"/>
      <c r="L240" s="23"/>
      <c r="T240" s="23" t="str">
        <v>tengah</v>
      </c>
      <c r="U240" s="23"/>
      <c r="V240" s="23"/>
    </row>
    <row r="241" customFormat="false" ht="15" hidden="false" customHeight="false" outlineLevel="0" collapsed="false">
      <c r="E241" s="23" t="str">
        <v>tengah</v>
      </c>
      <c r="F241" s="23"/>
      <c r="G241" s="23"/>
      <c r="J241" s="23" t="str">
        <v>tengah</v>
      </c>
      <c r="K241" s="23"/>
      <c r="L241" s="23"/>
      <c r="T241" s="23" t="str">
        <v>kanan</v>
      </c>
      <c r="U241" s="23"/>
      <c r="V241" s="23"/>
    </row>
    <row r="242" customFormat="false" ht="15" hidden="false" customHeight="false" outlineLevel="0" collapsed="false">
      <c r="E242" s="23" t="str">
        <v>kiri</v>
      </c>
      <c r="F242" s="23"/>
      <c r="G242" s="23"/>
      <c r="J242" s="23" t="str">
        <v>tengah</v>
      </c>
      <c r="K242" s="23"/>
      <c r="L242" s="23"/>
      <c r="T242" s="23" t="str">
        <v>tengah</v>
      </c>
      <c r="U242" s="23"/>
      <c r="V242" s="23"/>
    </row>
    <row r="243" customFormat="false" ht="15" hidden="false" customHeight="false" outlineLevel="0" collapsed="false">
      <c r="E243" s="23" t="str">
        <v>kiri</v>
      </c>
      <c r="F243" s="23"/>
      <c r="G243" s="23"/>
      <c r="J243" s="23" t="str">
        <v>kanan</v>
      </c>
      <c r="K243" s="23"/>
      <c r="L243" s="23"/>
      <c r="T243" s="23" t="str">
        <v>kanan</v>
      </c>
      <c r="U243" s="23"/>
      <c r="V243" s="23"/>
    </row>
    <row r="244" customFormat="false" ht="15" hidden="false" customHeight="false" outlineLevel="0" collapsed="false">
      <c r="E244" s="23" t="str">
        <v>tengah</v>
      </c>
      <c r="F244" s="23"/>
      <c r="G244" s="23"/>
      <c r="J244" s="23" t="str">
        <v>kanan</v>
      </c>
      <c r="K244" s="23"/>
      <c r="L244" s="23"/>
      <c r="T244" s="23" t="str">
        <v>tengah</v>
      </c>
      <c r="U244" s="23"/>
      <c r="V244" s="23"/>
    </row>
    <row r="245" customFormat="false" ht="15" hidden="false" customHeight="false" outlineLevel="0" collapsed="false">
      <c r="E245" s="23" t="str">
        <v>tengah</v>
      </c>
      <c r="F245" s="23"/>
      <c r="G245" s="23"/>
      <c r="J245" s="23" t="str">
        <v>tengah</v>
      </c>
      <c r="K245" s="23"/>
      <c r="L245" s="23"/>
      <c r="T245" s="23" t="str">
        <v>kanan</v>
      </c>
      <c r="U245" s="23"/>
      <c r="V245" s="23"/>
    </row>
    <row r="246" customFormat="false" ht="15" hidden="false" customHeight="false" outlineLevel="0" collapsed="false">
      <c r="E246" s="23" t="str">
        <v>kiri</v>
      </c>
      <c r="F246" s="23"/>
      <c r="G246" s="23"/>
      <c r="J246" s="23" t="str">
        <v>tengah</v>
      </c>
      <c r="K246" s="23"/>
      <c r="L246" s="23"/>
      <c r="T246" s="23" t="str">
        <v>tengah</v>
      </c>
      <c r="U246" s="23"/>
      <c r="V246" s="23"/>
    </row>
    <row r="247" customFormat="false" ht="15" hidden="false" customHeight="false" outlineLevel="0" collapsed="false">
      <c r="E247" s="23" t="str">
        <v>tengah</v>
      </c>
      <c r="F247" s="23"/>
      <c r="G247" s="23"/>
      <c r="J247" s="23" t="str">
        <v>tengah</v>
      </c>
      <c r="K247" s="23"/>
      <c r="L247" s="23"/>
      <c r="T247" s="23" t="str">
        <v>tengah</v>
      </c>
      <c r="U247" s="23"/>
      <c r="V247" s="23"/>
    </row>
    <row r="248" customFormat="false" ht="15" hidden="false" customHeight="false" outlineLevel="0" collapsed="false">
      <c r="E248" s="23" t="str">
        <v>tengah</v>
      </c>
      <c r="F248" s="23"/>
      <c r="G248" s="23"/>
      <c r="J248" s="23" t="str">
        <v>kanan</v>
      </c>
      <c r="K248" s="23"/>
      <c r="L248" s="23"/>
      <c r="T248" s="23" t="str">
        <v>tengah</v>
      </c>
      <c r="U248" s="23"/>
      <c r="V248" s="23"/>
    </row>
    <row r="249" customFormat="false" ht="15" hidden="false" customHeight="false" outlineLevel="0" collapsed="false">
      <c r="E249" s="23" t="str">
        <v>tengah</v>
      </c>
      <c r="F249" s="23"/>
      <c r="G249" s="23"/>
      <c r="J249" s="23" t="str">
        <v>tengah</v>
      </c>
      <c r="K249" s="23"/>
      <c r="L249" s="23"/>
      <c r="T249" s="23" t="str">
        <v>kanan</v>
      </c>
      <c r="U249" s="23"/>
      <c r="V249" s="23"/>
    </row>
    <row r="250" customFormat="false" ht="15" hidden="false" customHeight="false" outlineLevel="0" collapsed="false">
      <c r="E250" s="23" t="str">
        <v>tengah</v>
      </c>
      <c r="F250" s="23"/>
      <c r="G250" s="23"/>
      <c r="J250" s="23" t="str">
        <v>tengah</v>
      </c>
      <c r="K250" s="23"/>
      <c r="L250" s="23"/>
      <c r="T250" s="23" t="str">
        <v>kanan</v>
      </c>
      <c r="U250" s="23"/>
      <c r="V250" s="23"/>
    </row>
    <row r="251" customFormat="false" ht="15" hidden="false" customHeight="false" outlineLevel="0" collapsed="false">
      <c r="E251" s="23" t="str">
        <v>kiri</v>
      </c>
      <c r="F251" s="23"/>
      <c r="G251" s="23"/>
      <c r="J251" s="23" t="str">
        <v>kiri</v>
      </c>
      <c r="K251" s="23"/>
      <c r="L251" s="23"/>
      <c r="T251" s="23" t="str">
        <v>kanan</v>
      </c>
      <c r="U251" s="23"/>
      <c r="V251" s="23"/>
    </row>
    <row r="252" customFormat="false" ht="15" hidden="false" customHeight="false" outlineLevel="0" collapsed="false">
      <c r="E252" s="23" t="str">
        <v>kiri</v>
      </c>
      <c r="F252" s="23"/>
      <c r="G252" s="23"/>
      <c r="J252" s="23" t="str">
        <v>tengah</v>
      </c>
      <c r="K252" s="23"/>
      <c r="L252" s="23"/>
      <c r="T252" s="23" t="str">
        <v>tengah</v>
      </c>
      <c r="U252" s="23"/>
      <c r="V252" s="23"/>
    </row>
    <row r="253" customFormat="false" ht="15" hidden="false" customHeight="false" outlineLevel="0" collapsed="false">
      <c r="E253" s="23" t="str">
        <v>kanan</v>
      </c>
      <c r="F253" s="23"/>
      <c r="G253" s="23"/>
      <c r="J253" s="23" t="str">
        <v>tengah</v>
      </c>
      <c r="K253" s="23"/>
      <c r="L253" s="23"/>
      <c r="T253" s="23" t="str">
        <v>kanan</v>
      </c>
      <c r="U253" s="23"/>
      <c r="V253" s="23"/>
    </row>
    <row r="254" customFormat="false" ht="15" hidden="false" customHeight="false" outlineLevel="0" collapsed="false">
      <c r="E254" s="23" t="str">
        <v>tengah</v>
      </c>
      <c r="F254" s="23"/>
      <c r="G254" s="23"/>
      <c r="J254" s="23" t="str">
        <v>tengah</v>
      </c>
      <c r="K254" s="23"/>
      <c r="L254" s="23"/>
      <c r="T254" s="23" t="str">
        <v>tengah</v>
      </c>
      <c r="U254" s="23"/>
      <c r="V254" s="23"/>
    </row>
    <row r="255" customFormat="false" ht="15" hidden="false" customHeight="false" outlineLevel="0" collapsed="false">
      <c r="E255" s="23" t="str">
        <v>kiri</v>
      </c>
      <c r="F255" s="23"/>
      <c r="G255" s="23"/>
      <c r="J255" s="23" t="str">
        <v>kiri</v>
      </c>
      <c r="K255" s="23"/>
      <c r="L255" s="23"/>
      <c r="T255" s="23" t="str">
        <v>tengah</v>
      </c>
      <c r="U255" s="23"/>
      <c r="V255" s="23"/>
    </row>
    <row r="256" customFormat="false" ht="15" hidden="false" customHeight="false" outlineLevel="0" collapsed="false">
      <c r="E256" s="23" t="str">
        <v>kanan</v>
      </c>
      <c r="F256" s="23"/>
      <c r="G256" s="23"/>
      <c r="J256" s="23" t="str">
        <v>tengah</v>
      </c>
      <c r="K256" s="23"/>
      <c r="L256" s="23"/>
      <c r="T256" s="23" t="str">
        <v>kanan</v>
      </c>
      <c r="U256" s="23"/>
      <c r="V256" s="23"/>
    </row>
    <row r="257" customFormat="false" ht="15" hidden="false" customHeight="false" outlineLevel="0" collapsed="false">
      <c r="E257" s="23" t="str">
        <v>kiri</v>
      </c>
      <c r="F257" s="23"/>
      <c r="G257" s="23"/>
      <c r="J257" s="23" t="str">
        <v>kiri</v>
      </c>
      <c r="K257" s="23"/>
      <c r="L257" s="23"/>
      <c r="T257" s="23" t="str">
        <v>kanan</v>
      </c>
      <c r="U257" s="23"/>
      <c r="V257" s="23"/>
    </row>
    <row r="258" customFormat="false" ht="15" hidden="false" customHeight="false" outlineLevel="0" collapsed="false">
      <c r="E258" s="23" t="str">
        <v>tengah</v>
      </c>
      <c r="F258" s="23"/>
      <c r="G258" s="23"/>
      <c r="J258" s="23" t="str">
        <v>kiri</v>
      </c>
      <c r="K258" s="23"/>
      <c r="L258" s="23"/>
      <c r="T258" s="23" t="str">
        <v>tengah</v>
      </c>
      <c r="U258" s="23"/>
      <c r="V258" s="23"/>
    </row>
    <row r="259" customFormat="false" ht="15" hidden="false" customHeight="false" outlineLevel="0" collapsed="false">
      <c r="E259" s="23" t="str">
        <v>tengah</v>
      </c>
      <c r="F259" s="23"/>
      <c r="G259" s="23"/>
      <c r="J259" s="23" t="str">
        <v>tengah</v>
      </c>
      <c r="K259" s="23"/>
      <c r="L259" s="23"/>
      <c r="T259" s="23" t="str">
        <v>kanan</v>
      </c>
      <c r="U259" s="23"/>
      <c r="V259" s="23"/>
    </row>
    <row r="260" customFormat="false" ht="15" hidden="false" customHeight="false" outlineLevel="0" collapsed="false">
      <c r="E260" s="23" t="str">
        <v>tengah</v>
      </c>
      <c r="F260" s="23"/>
      <c r="G260" s="23"/>
      <c r="J260" s="23" t="str">
        <v>tengah</v>
      </c>
      <c r="K260" s="23"/>
      <c r="L260" s="23"/>
      <c r="T260" s="23" t="str">
        <v>tengah</v>
      </c>
      <c r="U260" s="23"/>
      <c r="V260" s="23"/>
    </row>
    <row r="261" customFormat="false" ht="15" hidden="false" customHeight="false" outlineLevel="0" collapsed="false">
      <c r="E261" s="23" t="str">
        <v>kanan</v>
      </c>
      <c r="F261" s="23"/>
      <c r="G261" s="23"/>
      <c r="J261" s="23" t="str">
        <v>kanan</v>
      </c>
      <c r="K261" s="23"/>
      <c r="L261" s="23"/>
      <c r="T261" s="23" t="str">
        <v>kanan</v>
      </c>
      <c r="U261" s="23"/>
      <c r="V261" s="23"/>
    </row>
    <row r="262" customFormat="false" ht="15" hidden="false" customHeight="false" outlineLevel="0" collapsed="false">
      <c r="E262" s="23" t="str">
        <v>tengah</v>
      </c>
      <c r="F262" s="23"/>
      <c r="G262" s="23"/>
      <c r="J262" s="23" t="str">
        <v>tengah</v>
      </c>
      <c r="K262" s="23"/>
      <c r="L262" s="23"/>
      <c r="T262" s="23" t="str">
        <v>tengah</v>
      </c>
      <c r="U262" s="23"/>
      <c r="V262" s="23"/>
    </row>
    <row r="263" customFormat="false" ht="15" hidden="false" customHeight="false" outlineLevel="0" collapsed="false">
      <c r="E263" s="23" t="str">
        <v>tengah</v>
      </c>
      <c r="F263" s="23"/>
      <c r="G263" s="23"/>
      <c r="J263" s="23" t="str">
        <v>tengah</v>
      </c>
      <c r="K263" s="23"/>
      <c r="L263" s="23"/>
      <c r="T263" s="23" t="str">
        <v>kanan</v>
      </c>
      <c r="U263" s="23"/>
      <c r="V263" s="23"/>
    </row>
    <row r="264" customFormat="false" ht="15" hidden="false" customHeight="false" outlineLevel="0" collapsed="false">
      <c r="E264" s="23" t="str">
        <v>tengah</v>
      </c>
      <c r="F264" s="23"/>
      <c r="G264" s="23"/>
      <c r="J264" s="23" t="str">
        <v>kiri</v>
      </c>
      <c r="K264" s="23"/>
      <c r="L264" s="23"/>
      <c r="T264" s="23" t="str">
        <v>tengah</v>
      </c>
      <c r="U264" s="23"/>
      <c r="V264" s="23"/>
    </row>
    <row r="265" customFormat="false" ht="15" hidden="false" customHeight="false" outlineLevel="0" collapsed="false">
      <c r="E265" s="23" t="str">
        <v>kiri</v>
      </c>
      <c r="F265" s="23"/>
      <c r="G265" s="23"/>
      <c r="J265" s="23" t="str">
        <v>kanan</v>
      </c>
      <c r="K265" s="23"/>
      <c r="L265" s="23"/>
      <c r="T265" s="23" t="str">
        <v>kanan</v>
      </c>
      <c r="U265" s="23"/>
      <c r="V265" s="23"/>
    </row>
    <row r="266" customFormat="false" ht="15" hidden="false" customHeight="false" outlineLevel="0" collapsed="false">
      <c r="E266" s="23" t="str">
        <v>tengah</v>
      </c>
      <c r="F266" s="23"/>
      <c r="G266" s="23"/>
      <c r="J266" s="23" t="str">
        <v>tengah</v>
      </c>
      <c r="K266" s="23"/>
      <c r="L266" s="23"/>
      <c r="T266" s="23" t="str">
        <v>kanan</v>
      </c>
      <c r="U266" s="23"/>
      <c r="V266" s="23"/>
    </row>
    <row r="267" customFormat="false" ht="15" hidden="false" customHeight="false" outlineLevel="0" collapsed="false">
      <c r="E267" s="23" t="str">
        <v>tengah</v>
      </c>
      <c r="F267" s="23"/>
      <c r="G267" s="23"/>
      <c r="J267" s="23" t="str">
        <v>kanan</v>
      </c>
      <c r="K267" s="23"/>
      <c r="L267" s="23"/>
      <c r="T267" s="23" t="str">
        <v>tengah</v>
      </c>
      <c r="U267" s="23"/>
      <c r="V267" s="23"/>
    </row>
    <row r="268" customFormat="false" ht="15" hidden="false" customHeight="false" outlineLevel="0" collapsed="false">
      <c r="E268" s="23" t="str">
        <v>tengah</v>
      </c>
      <c r="F268" s="23"/>
      <c r="G268" s="23"/>
      <c r="J268" s="23" t="str">
        <v>tengah</v>
      </c>
      <c r="K268" s="23"/>
      <c r="L268" s="23"/>
      <c r="T268" s="23" t="str">
        <v>kanan</v>
      </c>
      <c r="U268" s="23"/>
      <c r="V268" s="23"/>
    </row>
    <row r="269" customFormat="false" ht="15" hidden="false" customHeight="false" outlineLevel="0" collapsed="false">
      <c r="E269" s="23" t="str">
        <v>tengah</v>
      </c>
      <c r="F269" s="23"/>
      <c r="G269" s="23"/>
      <c r="J269" s="23" t="str">
        <v>tengah</v>
      </c>
      <c r="K269" s="23"/>
      <c r="L269" s="23"/>
      <c r="T269" s="23" t="str">
        <v>kanan</v>
      </c>
      <c r="U269" s="23"/>
      <c r="V269" s="23"/>
    </row>
    <row r="270" customFormat="false" ht="15" hidden="false" customHeight="false" outlineLevel="0" collapsed="false">
      <c r="E270" s="23" t="str">
        <v>kanan</v>
      </c>
      <c r="F270" s="23"/>
      <c r="G270" s="23"/>
      <c r="J270" s="23" t="str">
        <v>kanan</v>
      </c>
      <c r="K270" s="23"/>
      <c r="L270" s="23"/>
      <c r="T270" s="23" t="str">
        <v>tengah</v>
      </c>
      <c r="U270" s="23"/>
      <c r="V270" s="23"/>
    </row>
    <row r="271" customFormat="false" ht="15" hidden="false" customHeight="false" outlineLevel="0" collapsed="false">
      <c r="E271" s="23" t="str">
        <v>tengah</v>
      </c>
      <c r="F271" s="23"/>
      <c r="G271" s="23"/>
      <c r="J271" s="23" t="str">
        <v>kanan</v>
      </c>
      <c r="K271" s="23"/>
      <c r="L271" s="23"/>
      <c r="T271" s="23" t="str">
        <v>tengah</v>
      </c>
      <c r="U271" s="23"/>
      <c r="V271" s="23"/>
    </row>
    <row r="272" customFormat="false" ht="15" hidden="false" customHeight="false" outlineLevel="0" collapsed="false">
      <c r="E272" s="23" t="str">
        <v>kanan</v>
      </c>
      <c r="F272" s="23"/>
      <c r="G272" s="23"/>
      <c r="J272" s="23" t="str">
        <v>tengah</v>
      </c>
      <c r="K272" s="23"/>
      <c r="L272" s="23"/>
      <c r="T272" s="23" t="str">
        <v>tengah</v>
      </c>
      <c r="U272" s="23"/>
      <c r="V272" s="23"/>
    </row>
    <row r="273" customFormat="false" ht="15" hidden="false" customHeight="false" outlineLevel="0" collapsed="false">
      <c r="E273" s="23" t="str">
        <v>tengah</v>
      </c>
      <c r="F273" s="23"/>
      <c r="G273" s="23"/>
      <c r="J273" s="23" t="str">
        <v>tengah</v>
      </c>
      <c r="K273" s="23"/>
      <c r="L273" s="23"/>
      <c r="T273" s="23" t="str">
        <v>tengah</v>
      </c>
      <c r="U273" s="23"/>
      <c r="V273" s="23"/>
    </row>
    <row r="274" customFormat="false" ht="15" hidden="false" customHeight="false" outlineLevel="0" collapsed="false">
      <c r="E274" s="23" t="str">
        <v>tengah</v>
      </c>
      <c r="F274" s="23"/>
      <c r="G274" s="23"/>
      <c r="J274" s="23" t="str">
        <v>kanan</v>
      </c>
      <c r="K274" s="23"/>
      <c r="L274" s="23"/>
      <c r="T274" s="23" t="str">
        <v>kanan</v>
      </c>
      <c r="U274" s="23"/>
      <c r="V274" s="23"/>
    </row>
    <row r="275" customFormat="false" ht="15" hidden="false" customHeight="false" outlineLevel="0" collapsed="false">
      <c r="E275" s="23" t="str">
        <v>kanan</v>
      </c>
      <c r="F275" s="23"/>
      <c r="G275" s="23"/>
      <c r="J275" s="23" t="str">
        <v>tengah</v>
      </c>
      <c r="K275" s="23"/>
      <c r="L275" s="23"/>
      <c r="T275" s="23" t="str">
        <v>kanan</v>
      </c>
      <c r="U275" s="23"/>
      <c r="V275" s="23"/>
    </row>
    <row r="276" customFormat="false" ht="15" hidden="false" customHeight="false" outlineLevel="0" collapsed="false">
      <c r="E276" s="23" t="str">
        <v>kiri</v>
      </c>
      <c r="F276" s="23"/>
      <c r="G276" s="23"/>
      <c r="J276" s="23" t="str">
        <v>tengah</v>
      </c>
      <c r="K276" s="23"/>
      <c r="L276" s="23"/>
      <c r="T276" s="23" t="str">
        <v>tengah</v>
      </c>
      <c r="U276" s="23"/>
      <c r="V276" s="23"/>
    </row>
    <row r="277" customFormat="false" ht="15" hidden="false" customHeight="false" outlineLevel="0" collapsed="false">
      <c r="E277" s="23" t="str">
        <v>kanan</v>
      </c>
      <c r="F277" s="23"/>
      <c r="G277" s="23"/>
      <c r="J277" s="23" t="str">
        <v>tengah</v>
      </c>
      <c r="K277" s="23"/>
      <c r="L277" s="23"/>
      <c r="T277" s="23" t="str">
        <v>kanan</v>
      </c>
      <c r="U277" s="23"/>
      <c r="V277" s="23"/>
    </row>
    <row r="278" customFormat="false" ht="15" hidden="false" customHeight="false" outlineLevel="0" collapsed="false">
      <c r="E278" s="23" t="str">
        <v>tengah</v>
      </c>
      <c r="F278" s="23"/>
      <c r="G278" s="23"/>
      <c r="J278" s="23" t="str">
        <v>tengah</v>
      </c>
      <c r="K278" s="23"/>
      <c r="L278" s="23"/>
      <c r="T278" s="23" t="str">
        <v>kanan</v>
      </c>
      <c r="U278" s="23"/>
      <c r="V278" s="23"/>
    </row>
    <row r="279" customFormat="false" ht="15" hidden="false" customHeight="false" outlineLevel="0" collapsed="false">
      <c r="E279" s="23" t="str">
        <v>tengah</v>
      </c>
      <c r="F279" s="23"/>
      <c r="G279" s="23"/>
      <c r="J279" s="23" t="str">
        <v>tengah</v>
      </c>
      <c r="K279" s="23"/>
      <c r="L279" s="23"/>
      <c r="T279" s="23" t="str">
        <v>kanan</v>
      </c>
      <c r="U279" s="23"/>
      <c r="V279" s="23"/>
    </row>
    <row r="280" customFormat="false" ht="15" hidden="false" customHeight="false" outlineLevel="0" collapsed="false">
      <c r="E280" s="23" t="str">
        <v>tengah</v>
      </c>
      <c r="F280" s="23"/>
      <c r="G280" s="23"/>
      <c r="J280" s="23" t="str">
        <v>kanan</v>
      </c>
      <c r="K280" s="23"/>
      <c r="L280" s="23"/>
      <c r="T280" s="23" t="str">
        <v>kanan</v>
      </c>
      <c r="U280" s="23"/>
      <c r="V280" s="23"/>
    </row>
    <row r="281" customFormat="false" ht="15" hidden="false" customHeight="false" outlineLevel="0" collapsed="false">
      <c r="E281" s="23" t="str">
        <v>kiri</v>
      </c>
      <c r="F281" s="23"/>
      <c r="G281" s="23"/>
      <c r="J281" s="23" t="str">
        <v>kiri</v>
      </c>
      <c r="K281" s="23"/>
      <c r="L281" s="23"/>
      <c r="T281" s="23" t="str">
        <v>kanan</v>
      </c>
      <c r="U281" s="23"/>
      <c r="V281" s="23"/>
    </row>
    <row r="282" customFormat="false" ht="15" hidden="false" customHeight="false" outlineLevel="0" collapsed="false">
      <c r="E282" s="23" t="str">
        <v>tengah</v>
      </c>
      <c r="F282" s="23"/>
      <c r="G282" s="23"/>
      <c r="J282" s="23" t="str">
        <v>tengah</v>
      </c>
      <c r="K282" s="23"/>
      <c r="L282" s="23"/>
      <c r="T282" s="23" t="str">
        <v>kanan</v>
      </c>
      <c r="U282" s="23"/>
      <c r="V282" s="23"/>
    </row>
    <row r="283" customFormat="false" ht="15" hidden="false" customHeight="false" outlineLevel="0" collapsed="false">
      <c r="E283" s="23" t="str">
        <v>kanan</v>
      </c>
      <c r="F283" s="23"/>
      <c r="G283" s="23"/>
      <c r="J283" s="23" t="str">
        <v>tengah</v>
      </c>
      <c r="K283" s="23"/>
      <c r="L283" s="23"/>
      <c r="T283" s="23" t="str">
        <v>tengah</v>
      </c>
      <c r="U283" s="23"/>
      <c r="V283" s="23"/>
    </row>
    <row r="284" customFormat="false" ht="15" hidden="false" customHeight="false" outlineLevel="0" collapsed="false">
      <c r="E284" s="23" t="str">
        <v>tengah</v>
      </c>
      <c r="F284" s="23"/>
      <c r="G284" s="23"/>
      <c r="J284" s="23" t="str">
        <v>tengah</v>
      </c>
      <c r="K284" s="23"/>
      <c r="L284" s="23"/>
      <c r="T284" s="23" t="str">
        <v>kanan</v>
      </c>
      <c r="U284" s="23"/>
      <c r="V284" s="23"/>
    </row>
    <row r="285" customFormat="false" ht="15" hidden="false" customHeight="false" outlineLevel="0" collapsed="false">
      <c r="E285" s="23" t="str">
        <v>kiri</v>
      </c>
      <c r="F285" s="23"/>
      <c r="G285" s="23"/>
      <c r="J285" s="23" t="str">
        <v>kiri</v>
      </c>
      <c r="K285" s="23"/>
      <c r="L285" s="23"/>
      <c r="T285" s="23" t="str">
        <v>kanan</v>
      </c>
      <c r="U285" s="23"/>
      <c r="V285" s="23"/>
    </row>
    <row r="286" customFormat="false" ht="15" hidden="false" customHeight="false" outlineLevel="0" collapsed="false">
      <c r="E286" s="23" t="str">
        <v>tengah</v>
      </c>
      <c r="F286" s="23"/>
      <c r="G286" s="23"/>
      <c r="J286" s="23" t="str">
        <v>kiri</v>
      </c>
      <c r="K286" s="23"/>
      <c r="L286" s="23"/>
      <c r="T286" s="23" t="str">
        <v>tengah</v>
      </c>
      <c r="U286" s="23"/>
      <c r="V286" s="23"/>
    </row>
    <row r="287" customFormat="false" ht="15" hidden="false" customHeight="false" outlineLevel="0" collapsed="false">
      <c r="E287" s="23" t="str">
        <v>kiri</v>
      </c>
      <c r="F287" s="23"/>
      <c r="G287" s="23"/>
      <c r="J287" s="23" t="str">
        <v>kiri</v>
      </c>
      <c r="K287" s="23"/>
      <c r="L287" s="23"/>
      <c r="T287" s="23" t="str">
        <v>tengah</v>
      </c>
      <c r="U287" s="23"/>
      <c r="V287" s="23"/>
    </row>
    <row r="288" customFormat="false" ht="15" hidden="false" customHeight="false" outlineLevel="0" collapsed="false">
      <c r="E288" s="23" t="str">
        <v>tengah</v>
      </c>
      <c r="F288" s="23"/>
      <c r="G288" s="23"/>
      <c r="J288" s="23" t="str">
        <v>kanan</v>
      </c>
      <c r="K288" s="23"/>
      <c r="L288" s="23"/>
      <c r="T288" s="23" t="str">
        <v>tengah</v>
      </c>
      <c r="U288" s="23"/>
      <c r="V288" s="23"/>
    </row>
    <row r="289" customFormat="false" ht="15" hidden="false" customHeight="false" outlineLevel="0" collapsed="false">
      <c r="E289" s="23" t="str">
        <v>tengah</v>
      </c>
      <c r="F289" s="23"/>
      <c r="G289" s="23"/>
      <c r="J289" s="23" t="str">
        <v>tengah</v>
      </c>
      <c r="K289" s="23"/>
      <c r="L289" s="23"/>
      <c r="T289" s="23" t="str">
        <v>kanan</v>
      </c>
      <c r="U289" s="23"/>
      <c r="V289" s="23"/>
    </row>
    <row r="290" customFormat="false" ht="15" hidden="false" customHeight="false" outlineLevel="0" collapsed="false">
      <c r="E290" s="23" t="str">
        <v>tengah</v>
      </c>
      <c r="F290" s="23"/>
      <c r="G290" s="23"/>
      <c r="J290" s="23" t="str">
        <v>kanan</v>
      </c>
      <c r="K290" s="23"/>
      <c r="L290" s="23"/>
      <c r="T290" s="23" t="str">
        <v>kanan</v>
      </c>
      <c r="U290" s="23"/>
      <c r="V290" s="23"/>
    </row>
    <row r="291" customFormat="false" ht="15" hidden="false" customHeight="false" outlineLevel="0" collapsed="false">
      <c r="E291" s="23" t="str">
        <v>tengah</v>
      </c>
      <c r="F291" s="23"/>
      <c r="G291" s="23"/>
      <c r="J291" s="23" t="str">
        <v>tengah</v>
      </c>
      <c r="K291" s="23"/>
      <c r="L291" s="23"/>
      <c r="T291" s="23" t="str">
        <v>kanan</v>
      </c>
      <c r="U291" s="23"/>
      <c r="V291" s="23"/>
    </row>
    <row r="292" customFormat="false" ht="15" hidden="false" customHeight="false" outlineLevel="0" collapsed="false">
      <c r="E292" s="23" t="str">
        <v>kiri</v>
      </c>
      <c r="F292" s="23"/>
      <c r="G292" s="23"/>
      <c r="J292" s="23" t="str">
        <v>kanan</v>
      </c>
      <c r="K292" s="23"/>
      <c r="L292" s="23"/>
      <c r="T292" s="23" t="str">
        <v>tengah</v>
      </c>
      <c r="U292" s="23"/>
      <c r="V292" s="23"/>
    </row>
    <row r="293" customFormat="false" ht="15" hidden="false" customHeight="false" outlineLevel="0" collapsed="false">
      <c r="E293" s="23" t="str">
        <v>kanan</v>
      </c>
      <c r="F293" s="23"/>
      <c r="G293" s="23"/>
      <c r="J293" s="23" t="str">
        <v>kanan</v>
      </c>
      <c r="K293" s="23"/>
      <c r="L293" s="23"/>
      <c r="T293" s="23" t="str">
        <v>tengah</v>
      </c>
      <c r="U293" s="23"/>
      <c r="V293" s="23"/>
    </row>
    <row r="294" customFormat="false" ht="15" hidden="false" customHeight="false" outlineLevel="0" collapsed="false">
      <c r="E294" s="23" t="str">
        <v>tengah</v>
      </c>
      <c r="F294" s="23"/>
      <c r="G294" s="23"/>
      <c r="J294" s="23" t="str">
        <v>tengah</v>
      </c>
      <c r="K294" s="23"/>
      <c r="L294" s="23"/>
      <c r="T294" s="23" t="str">
        <v>kanan</v>
      </c>
      <c r="U294" s="23"/>
      <c r="V294" s="23"/>
    </row>
    <row r="295" customFormat="false" ht="15" hidden="false" customHeight="false" outlineLevel="0" collapsed="false">
      <c r="E295" s="23" t="str">
        <v>tengah</v>
      </c>
      <c r="F295" s="23"/>
      <c r="G295" s="23"/>
      <c r="J295" s="23" t="str">
        <v>tengah</v>
      </c>
      <c r="K295" s="23"/>
      <c r="L295" s="23"/>
      <c r="T295" s="23" t="str">
        <v>tengah</v>
      </c>
      <c r="U295" s="23"/>
      <c r="V295" s="23"/>
    </row>
    <row r="296" customFormat="false" ht="15" hidden="false" customHeight="false" outlineLevel="0" collapsed="false">
      <c r="E296" s="23" t="str">
        <v>kiri</v>
      </c>
      <c r="F296" s="23"/>
      <c r="G296" s="23"/>
      <c r="J296" s="23" t="str">
        <v>tengah</v>
      </c>
      <c r="K296" s="23"/>
      <c r="L296" s="23"/>
      <c r="T296" s="23" t="str">
        <v>tengah</v>
      </c>
      <c r="U296" s="23"/>
      <c r="V296" s="23"/>
    </row>
    <row r="297" customFormat="false" ht="15" hidden="false" customHeight="false" outlineLevel="0" collapsed="false">
      <c r="E297" s="23" t="str">
        <v>kiri</v>
      </c>
      <c r="F297" s="23"/>
      <c r="G297" s="23"/>
      <c r="J297" s="23" t="str">
        <v>tengah</v>
      </c>
      <c r="K297" s="23"/>
      <c r="L297" s="23"/>
      <c r="T297" s="23" t="str">
        <v>kanan</v>
      </c>
      <c r="U297" s="23"/>
      <c r="V297" s="23"/>
    </row>
    <row r="298" customFormat="false" ht="15" hidden="false" customHeight="false" outlineLevel="0" collapsed="false">
      <c r="E298" s="23" t="str">
        <v>tengah</v>
      </c>
      <c r="F298" s="23"/>
      <c r="G298" s="23"/>
      <c r="J298" s="23" t="str">
        <v>tengah</v>
      </c>
      <c r="K298" s="23"/>
      <c r="L298" s="23"/>
      <c r="T298" s="23" t="str">
        <v>kanan</v>
      </c>
      <c r="U298" s="23"/>
      <c r="V298" s="23"/>
    </row>
    <row r="299" customFormat="false" ht="15" hidden="false" customHeight="false" outlineLevel="0" collapsed="false">
      <c r="E299" s="23" t="str">
        <v>kanan</v>
      </c>
      <c r="F299" s="23"/>
      <c r="G299" s="23"/>
      <c r="J299" s="23" t="str">
        <v>tengah</v>
      </c>
      <c r="K299" s="23"/>
      <c r="L299" s="23"/>
      <c r="T299" s="23" t="str">
        <v>tengah</v>
      </c>
      <c r="U299" s="23"/>
      <c r="V299" s="23"/>
    </row>
    <row r="300" customFormat="false" ht="15" hidden="false" customHeight="false" outlineLevel="0" collapsed="false">
      <c r="E300" s="23" t="str">
        <v>tengah</v>
      </c>
      <c r="F300" s="23"/>
      <c r="G300" s="23"/>
      <c r="J300" s="23" t="str">
        <v>tengah</v>
      </c>
      <c r="K300" s="23"/>
      <c r="L300" s="23"/>
      <c r="T300" s="23" t="str">
        <v>kanan</v>
      </c>
      <c r="U300" s="23"/>
      <c r="V300" s="23"/>
    </row>
    <row r="301" customFormat="false" ht="15" hidden="false" customHeight="false" outlineLevel="0" collapsed="false">
      <c r="E301" s="23" t="str">
        <v>tengah</v>
      </c>
      <c r="F301" s="23"/>
      <c r="G301" s="23"/>
      <c r="J301" s="23" t="str">
        <v>kanan</v>
      </c>
      <c r="K301" s="23"/>
      <c r="L301" s="23"/>
      <c r="T301" s="23" t="str">
        <v>tengah</v>
      </c>
      <c r="U301" s="23"/>
      <c r="V301" s="23"/>
    </row>
    <row r="302" customFormat="false" ht="15" hidden="false" customHeight="false" outlineLevel="0" collapsed="false">
      <c r="E302" s="23" t="str">
        <v>tengah</v>
      </c>
      <c r="F302" s="23"/>
      <c r="G302" s="23"/>
      <c r="J302" s="23" t="str">
        <v>kanan</v>
      </c>
      <c r="K302" s="23"/>
      <c r="L302" s="23"/>
      <c r="T302" s="23" t="str">
        <v>kanan</v>
      </c>
      <c r="U302" s="23"/>
      <c r="V302" s="23"/>
    </row>
    <row r="303" customFormat="false" ht="15" hidden="false" customHeight="false" outlineLevel="0" collapsed="false">
      <c r="E303" s="23" t="str">
        <v>tengah</v>
      </c>
      <c r="F303" s="23"/>
      <c r="G303" s="23"/>
      <c r="J303" s="23" t="str">
        <v>kanan</v>
      </c>
      <c r="K303" s="23"/>
      <c r="L303" s="23"/>
      <c r="T303" s="23" t="str">
        <v>tengah</v>
      </c>
      <c r="U303" s="23"/>
      <c r="V303" s="23"/>
    </row>
    <row r="304" customFormat="false" ht="15" hidden="false" customHeight="false" outlineLevel="0" collapsed="false">
      <c r="E304" s="23" t="str">
        <v>tengah</v>
      </c>
      <c r="F304" s="23"/>
      <c r="G304" s="23"/>
      <c r="J304" s="23" t="str">
        <v>tengah</v>
      </c>
      <c r="K304" s="23"/>
      <c r="L304" s="23"/>
      <c r="T304" s="23" t="str">
        <v>kanan</v>
      </c>
      <c r="U304" s="23"/>
      <c r="V304" s="23"/>
    </row>
    <row r="305" customFormat="false" ht="15" hidden="false" customHeight="false" outlineLevel="0" collapsed="false">
      <c r="E305" s="23" t="str">
        <v>kanan</v>
      </c>
      <c r="F305" s="23"/>
      <c r="G305" s="23"/>
      <c r="J305" s="23" t="str">
        <v>tengah</v>
      </c>
      <c r="K305" s="23"/>
      <c r="L305" s="23"/>
      <c r="T305" s="23" t="str">
        <v>kanan</v>
      </c>
      <c r="U305" s="23"/>
      <c r="V305" s="23"/>
    </row>
    <row r="306" customFormat="false" ht="15" hidden="false" customHeight="false" outlineLevel="0" collapsed="false">
      <c r="E306" s="23" t="str">
        <v>kiri</v>
      </c>
      <c r="F306" s="23"/>
      <c r="G306" s="23"/>
      <c r="J306" s="23" t="str">
        <v>kanan</v>
      </c>
      <c r="K306" s="23"/>
      <c r="L306" s="23"/>
      <c r="T306" s="23" t="str">
        <v>kanan</v>
      </c>
      <c r="U306" s="23"/>
      <c r="V306" s="23"/>
    </row>
    <row r="307" customFormat="false" ht="15" hidden="false" customHeight="false" outlineLevel="0" collapsed="false">
      <c r="E307" s="23" t="str">
        <v>kiri</v>
      </c>
      <c r="F307" s="23"/>
      <c r="G307" s="23"/>
      <c r="J307" s="23" t="str">
        <v>tengah</v>
      </c>
      <c r="K307" s="23"/>
      <c r="L307" s="23"/>
      <c r="T307" s="23" t="str">
        <v>kanan</v>
      </c>
      <c r="U307" s="23"/>
      <c r="V307" s="23"/>
    </row>
    <row r="308" customFormat="false" ht="15" hidden="false" customHeight="false" outlineLevel="0" collapsed="false">
      <c r="E308" s="23" t="str">
        <v>tengah</v>
      </c>
      <c r="F308" s="23"/>
      <c r="G308" s="23"/>
      <c r="J308" s="23" t="str">
        <v>kanan</v>
      </c>
      <c r="K308" s="23"/>
      <c r="L308" s="23"/>
      <c r="T308" s="23" t="str">
        <v>tengah</v>
      </c>
      <c r="U308" s="23"/>
      <c r="V308" s="23"/>
    </row>
    <row r="309" customFormat="false" ht="15" hidden="false" customHeight="false" outlineLevel="0" collapsed="false">
      <c r="E309" s="23" t="str">
        <v>tengah</v>
      </c>
      <c r="F309" s="23"/>
      <c r="G309" s="23"/>
      <c r="J309" s="23" t="str">
        <v>tengah</v>
      </c>
      <c r="K309" s="23"/>
      <c r="L309" s="23"/>
      <c r="T309" s="23" t="str">
        <v>kanan</v>
      </c>
      <c r="U309" s="23"/>
      <c r="V309" s="23"/>
    </row>
    <row r="310" customFormat="false" ht="15" hidden="false" customHeight="false" outlineLevel="0" collapsed="false">
      <c r="E310" s="23" t="str">
        <v>tengah</v>
      </c>
      <c r="F310" s="23"/>
      <c r="G310" s="23"/>
      <c r="J310" s="23" t="str">
        <v>tengah</v>
      </c>
      <c r="K310" s="23"/>
      <c r="L310" s="23"/>
      <c r="T310" s="23" t="str">
        <v>tengah</v>
      </c>
      <c r="U310" s="23"/>
      <c r="V310" s="23"/>
    </row>
    <row r="311" customFormat="false" ht="15" hidden="false" customHeight="false" outlineLevel="0" collapsed="false">
      <c r="E311" s="23" t="str">
        <v>kiri</v>
      </c>
      <c r="F311" s="23"/>
      <c r="G311" s="23"/>
      <c r="J311" s="23" t="str">
        <v>kiri</v>
      </c>
      <c r="K311" s="23"/>
      <c r="L311" s="23"/>
      <c r="T311" s="23" t="str">
        <v>kanan</v>
      </c>
      <c r="U311" s="23"/>
      <c r="V311" s="23"/>
    </row>
    <row r="312" customFormat="false" ht="15" hidden="false" customHeight="false" outlineLevel="0" collapsed="false">
      <c r="E312" s="23" t="str">
        <v>tengah</v>
      </c>
      <c r="F312" s="23"/>
      <c r="G312" s="23"/>
      <c r="J312" s="23" t="str">
        <v>tengah</v>
      </c>
      <c r="K312" s="23"/>
      <c r="L312" s="23"/>
      <c r="T312" s="23" t="str">
        <v>tengah</v>
      </c>
      <c r="U312" s="23"/>
      <c r="V312" s="23"/>
    </row>
    <row r="313" customFormat="false" ht="15" hidden="false" customHeight="false" outlineLevel="0" collapsed="false">
      <c r="E313" s="23" t="str">
        <v>kiri</v>
      </c>
      <c r="F313" s="23"/>
      <c r="G313" s="23"/>
      <c r="J313" s="23" t="str">
        <v>tengah</v>
      </c>
      <c r="K313" s="23"/>
      <c r="L313" s="23"/>
      <c r="T313" s="23" t="str">
        <v>tengah</v>
      </c>
      <c r="U313" s="23"/>
      <c r="V313" s="23"/>
    </row>
    <row r="314" customFormat="false" ht="15" hidden="false" customHeight="false" outlineLevel="0" collapsed="false">
      <c r="E314" s="23" t="str">
        <v>kanan</v>
      </c>
      <c r="F314" s="23"/>
      <c r="G314" s="23"/>
      <c r="J314" s="23" t="str">
        <v>tengah</v>
      </c>
      <c r="K314" s="23"/>
      <c r="L314" s="23"/>
      <c r="T314" s="23" t="str">
        <v>kanan</v>
      </c>
      <c r="U314" s="23"/>
      <c r="V314" s="23"/>
    </row>
    <row r="315" customFormat="false" ht="15" hidden="false" customHeight="false" outlineLevel="0" collapsed="false">
      <c r="E315" s="23" t="str">
        <v>tengah</v>
      </c>
      <c r="F315" s="23"/>
      <c r="G315" s="23"/>
      <c r="J315" s="23" t="str">
        <v>tengah</v>
      </c>
      <c r="K315" s="23"/>
      <c r="L315" s="23"/>
      <c r="T315" s="23" t="str">
        <v>kanan</v>
      </c>
      <c r="U315" s="23"/>
      <c r="V315" s="23"/>
    </row>
    <row r="316" customFormat="false" ht="15" hidden="false" customHeight="false" outlineLevel="0" collapsed="false">
      <c r="E316" s="23" t="str">
        <v>tengah</v>
      </c>
      <c r="F316" s="23"/>
      <c r="G316" s="23"/>
      <c r="J316" s="23" t="str">
        <v>tengah</v>
      </c>
      <c r="K316" s="23"/>
      <c r="L316" s="23"/>
      <c r="T316" s="23" t="str">
        <v>tengah</v>
      </c>
      <c r="U316" s="23"/>
      <c r="V316" s="23"/>
    </row>
    <row r="317" customFormat="false" ht="15" hidden="false" customHeight="false" outlineLevel="0" collapsed="false">
      <c r="E317" s="23" t="str">
        <v>kiri</v>
      </c>
      <c r="F317" s="23"/>
      <c r="G317" s="23"/>
      <c r="J317" s="23" t="str">
        <v>tengah</v>
      </c>
      <c r="K317" s="23"/>
      <c r="L317" s="23"/>
      <c r="T317" s="23" t="str">
        <v>tengah</v>
      </c>
      <c r="U317" s="23"/>
      <c r="V317" s="23"/>
    </row>
    <row r="318" customFormat="false" ht="15" hidden="false" customHeight="false" outlineLevel="0" collapsed="false">
      <c r="E318" s="23" t="str">
        <v>kiri</v>
      </c>
      <c r="F318" s="23"/>
      <c r="G318" s="23"/>
      <c r="J318" s="23" t="str">
        <v>tengah</v>
      </c>
      <c r="K318" s="23"/>
      <c r="L318" s="23"/>
      <c r="T318" s="23" t="str">
        <v>tengah</v>
      </c>
      <c r="U318" s="23"/>
      <c r="V318" s="23"/>
    </row>
    <row r="319" customFormat="false" ht="15" hidden="false" customHeight="false" outlineLevel="0" collapsed="false">
      <c r="E319" s="23" t="str">
        <v>tengah</v>
      </c>
      <c r="F319" s="23"/>
      <c r="G319" s="23"/>
      <c r="J319" s="23" t="str">
        <v>tengah</v>
      </c>
      <c r="K319" s="23"/>
      <c r="L319" s="23"/>
      <c r="T319" s="23" t="str">
        <v>kanan</v>
      </c>
      <c r="U319" s="23"/>
      <c r="V319" s="23"/>
    </row>
    <row r="320" customFormat="false" ht="15" hidden="false" customHeight="false" outlineLevel="0" collapsed="false">
      <c r="E320" s="23" t="str">
        <v>tengah</v>
      </c>
      <c r="F320" s="23"/>
      <c r="G320" s="23"/>
      <c r="J320" s="23" t="str">
        <v>kanan</v>
      </c>
      <c r="K320" s="23"/>
      <c r="L320" s="23"/>
      <c r="T320" s="23" t="str">
        <v>kanan</v>
      </c>
      <c r="U320" s="23"/>
      <c r="V320" s="23"/>
    </row>
    <row r="321" customFormat="false" ht="15" hidden="false" customHeight="false" outlineLevel="0" collapsed="false">
      <c r="E321" s="23" t="str">
        <v>kiri</v>
      </c>
      <c r="F321" s="23"/>
      <c r="G321" s="23"/>
      <c r="J321" s="23" t="str">
        <v>tengah</v>
      </c>
      <c r="K321" s="23"/>
      <c r="L321" s="23"/>
      <c r="T321" s="23" t="str">
        <v>tengah</v>
      </c>
      <c r="U321" s="23"/>
      <c r="V321" s="23"/>
    </row>
    <row r="322" customFormat="false" ht="15" hidden="false" customHeight="false" outlineLevel="0" collapsed="false">
      <c r="E322" s="23" t="str">
        <v>tengah</v>
      </c>
      <c r="F322" s="23"/>
      <c r="G322" s="23"/>
      <c r="J322" s="23" t="str">
        <v>kanan</v>
      </c>
      <c r="K322" s="23"/>
      <c r="L322" s="23"/>
      <c r="T322" s="23" t="str">
        <v>tengah</v>
      </c>
      <c r="U322" s="23"/>
      <c r="V322" s="23"/>
    </row>
    <row r="323" customFormat="false" ht="15" hidden="false" customHeight="false" outlineLevel="0" collapsed="false">
      <c r="E323" s="23" t="str">
        <v>kanan</v>
      </c>
      <c r="F323" s="23"/>
      <c r="G323" s="23"/>
      <c r="J323" s="23" t="str">
        <v>tengah</v>
      </c>
      <c r="K323" s="23"/>
      <c r="L323" s="23"/>
      <c r="T323" s="23" t="str">
        <v>kanan</v>
      </c>
      <c r="U323" s="23"/>
      <c r="V323" s="23"/>
    </row>
    <row r="324" customFormat="false" ht="15" hidden="false" customHeight="false" outlineLevel="0" collapsed="false">
      <c r="E324" s="23" t="str">
        <v>kiri</v>
      </c>
      <c r="F324" s="23"/>
      <c r="G324" s="23"/>
      <c r="J324" s="23" t="str">
        <v>tengah</v>
      </c>
      <c r="K324" s="23"/>
      <c r="L324" s="23"/>
      <c r="T324" s="23" t="str">
        <v>tengah</v>
      </c>
      <c r="U324" s="23"/>
      <c r="V324" s="23"/>
    </row>
    <row r="325" customFormat="false" ht="15" hidden="false" customHeight="false" outlineLevel="0" collapsed="false">
      <c r="E325" s="23" t="str">
        <v>kiri</v>
      </c>
      <c r="F325" s="23"/>
      <c r="G325" s="23"/>
      <c r="J325" s="23" t="str">
        <v>kiri</v>
      </c>
      <c r="K325" s="23"/>
      <c r="L325" s="23"/>
      <c r="T325" s="23" t="str">
        <v>kanan</v>
      </c>
      <c r="U325" s="23"/>
      <c r="V325" s="23"/>
    </row>
    <row r="326" customFormat="false" ht="15" hidden="false" customHeight="false" outlineLevel="0" collapsed="false">
      <c r="E326" s="23" t="str">
        <v>kiri</v>
      </c>
      <c r="F326" s="23"/>
      <c r="G326" s="23"/>
      <c r="J326" s="23" t="str">
        <v>kiri</v>
      </c>
      <c r="K326" s="23"/>
      <c r="L326" s="23"/>
      <c r="T326" s="23" t="str">
        <v>kanan</v>
      </c>
      <c r="U326" s="23"/>
      <c r="V326" s="23"/>
    </row>
    <row r="327" customFormat="false" ht="15" hidden="false" customHeight="false" outlineLevel="0" collapsed="false">
      <c r="E327" s="23" t="str">
        <v>tengah</v>
      </c>
      <c r="F327" s="23"/>
      <c r="G327" s="23"/>
      <c r="J327" s="23" t="str">
        <v>tengah</v>
      </c>
      <c r="K327" s="23"/>
      <c r="L327" s="23"/>
      <c r="T327" s="23" t="str">
        <v>tengah</v>
      </c>
      <c r="U327" s="23"/>
      <c r="V327" s="23"/>
    </row>
    <row r="328" customFormat="false" ht="15" hidden="false" customHeight="false" outlineLevel="0" collapsed="false">
      <c r="E328" s="23" t="str">
        <v>kanan</v>
      </c>
      <c r="F328" s="23"/>
      <c r="G328" s="23"/>
      <c r="J328" s="23" t="str">
        <v>kiri</v>
      </c>
      <c r="K328" s="23"/>
      <c r="L328" s="23"/>
      <c r="T328" s="23" t="str">
        <v>tengah</v>
      </c>
      <c r="U328" s="23"/>
      <c r="V328" s="23"/>
    </row>
    <row r="329" customFormat="false" ht="15" hidden="false" customHeight="false" outlineLevel="0" collapsed="false">
      <c r="E329" s="23" t="str">
        <v>kanan</v>
      </c>
      <c r="F329" s="23"/>
      <c r="G329" s="23"/>
      <c r="J329" s="23" t="str">
        <v>kanan</v>
      </c>
      <c r="K329" s="23"/>
      <c r="L329" s="23"/>
      <c r="T329" s="23" t="str">
        <v>kanan</v>
      </c>
      <c r="U329" s="23"/>
      <c r="V329" s="23"/>
    </row>
    <row r="330" customFormat="false" ht="15" hidden="false" customHeight="false" outlineLevel="0" collapsed="false">
      <c r="E330" s="23" t="str">
        <v>tengah</v>
      </c>
      <c r="F330" s="23"/>
      <c r="G330" s="23"/>
      <c r="J330" s="23" t="str">
        <v>tengah</v>
      </c>
      <c r="K330" s="23"/>
      <c r="L330" s="23"/>
      <c r="T330" s="23" t="str">
        <v>tengah</v>
      </c>
      <c r="U330" s="23"/>
      <c r="V330" s="23"/>
    </row>
    <row r="331" customFormat="false" ht="15" hidden="false" customHeight="false" outlineLevel="0" collapsed="false">
      <c r="E331" s="23" t="str">
        <v>tengah</v>
      </c>
      <c r="F331" s="23"/>
      <c r="G331" s="23"/>
      <c r="J331" s="23" t="str">
        <v>tengah</v>
      </c>
      <c r="K331" s="23"/>
      <c r="L331" s="23"/>
      <c r="T331" s="23" t="str">
        <v>kanan</v>
      </c>
      <c r="U331" s="23"/>
      <c r="V331" s="23"/>
    </row>
    <row r="332" customFormat="false" ht="15" hidden="false" customHeight="false" outlineLevel="0" collapsed="false">
      <c r="E332" s="23" t="str">
        <v>tengah</v>
      </c>
      <c r="F332" s="23"/>
      <c r="G332" s="23"/>
      <c r="J332" s="23" t="str">
        <v>kanan</v>
      </c>
      <c r="K332" s="23"/>
      <c r="L332" s="23"/>
      <c r="T332" s="23" t="str">
        <v>tengah</v>
      </c>
      <c r="U332" s="23"/>
      <c r="V332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2"/>
  <sheetViews>
    <sheetView showFormulas="false" showGridLines="true" showRowColHeaders="true" showZeros="true" rightToLeft="false" tabSelected="false" showOutlineSymbols="true" defaultGridColor="true" view="normal" topLeftCell="K148" colorId="64" zoomScale="100" zoomScaleNormal="100" zoomScalePageLayoutView="100" workbookViewId="0">
      <selection pane="topLeft" activeCell="T165" activeCellId="0" sqref="T165"/>
    </sheetView>
  </sheetViews>
  <sheetFormatPr defaultColWidth="9.14453125" defaultRowHeight="15" customHeight="false" zeroHeight="false" outlineLevelRow="0" outlineLevelCol="0"/>
  <cols>
    <col collapsed="false" customWidth="false" hidden="false" outlineLevel="0" max="2" min="1" style="19" width="9.14"/>
    <col collapsed="false" customWidth="true" hidden="false" outlineLevel="0" max="3" min="3" style="19" width="13.29"/>
    <col collapsed="false" customWidth="true" hidden="false" outlineLevel="0" max="4" min="4" style="19" width="13.86"/>
    <col collapsed="false" customWidth="false" hidden="false" outlineLevel="0" max="5" min="5" style="19" width="9.14"/>
    <col collapsed="false" customWidth="true" hidden="false" outlineLevel="0" max="6" min="6" style="19" width="16.14"/>
    <col collapsed="false" customWidth="false" hidden="false" outlineLevel="0" max="9" min="7" style="19" width="9.14"/>
    <col collapsed="false" customWidth="true" hidden="false" outlineLevel="0" max="10" min="10" style="19" width="13.29"/>
    <col collapsed="false" customWidth="true" hidden="false" outlineLevel="0" max="11" min="11" style="19" width="13.86"/>
    <col collapsed="false" customWidth="false" hidden="false" outlineLevel="0" max="13" min="12" style="19" width="9.14"/>
    <col collapsed="false" customWidth="true" hidden="false" outlineLevel="0" max="14" min="14" style="19" width="15"/>
    <col collapsed="false" customWidth="true" hidden="false" outlineLevel="0" max="15" min="15" style="19" width="16.14"/>
    <col collapsed="false" customWidth="false" hidden="false" outlineLevel="0" max="16384" min="16" style="19" width="9.14"/>
  </cols>
  <sheetData>
    <row r="1" customFormat="false" ht="15" hidden="false" customHeight="false" outlineLevel="0" collapsed="false">
      <c r="A1" s="20" t="s">
        <v>173</v>
      </c>
      <c r="B1" s="20" t="s">
        <v>1</v>
      </c>
      <c r="C1" s="20" t="s">
        <v>4</v>
      </c>
      <c r="D1" s="20" t="s">
        <v>5</v>
      </c>
      <c r="E1" s="29"/>
      <c r="H1" s="20" t="s">
        <v>173</v>
      </c>
      <c r="I1" s="20" t="s">
        <v>1</v>
      </c>
      <c r="J1" s="20" t="s">
        <v>4</v>
      </c>
      <c r="K1" s="20" t="s">
        <v>5</v>
      </c>
      <c r="O1" s="20" t="s">
        <v>174</v>
      </c>
      <c r="P1" s="22"/>
      <c r="Q1" s="22"/>
    </row>
    <row r="2" customFormat="false" ht="15" hidden="false" customHeight="false" outlineLevel="0" collapsed="false">
      <c r="A2" s="23" t="n">
        <f aca="false">RANDBETWEEN(2,164)</f>
        <v>31</v>
      </c>
      <c r="B2" s="23" t="e">
        <f aca="false" t="array" ref="B2:B2">INDEX([1]data_dbd!$b:$b,$A2)</f>
        <v>#NAME?</v>
      </c>
      <c r="C2" s="23" t="e">
        <f aca="false" t="array" ref="C2:C2">INDEX([1]data_dbd!$e:$e,$A2)</f>
        <v>#NAME?</v>
      </c>
      <c r="D2" s="23" t="e">
        <f aca="false" t="array" ref="D2:D2">INDEX([1]data_dbd!$f:$f,$A2)</f>
        <v>#NAME?</v>
      </c>
      <c r="E2" s="30"/>
      <c r="H2" s="23" t="n">
        <v>105</v>
      </c>
      <c r="I2" s="23" t="n">
        <v>61</v>
      </c>
      <c r="J2" s="23" t="n">
        <v>1</v>
      </c>
      <c r="K2" s="23" t="s">
        <v>115</v>
      </c>
      <c r="O2" s="22" t="s">
        <v>115</v>
      </c>
      <c r="P2" s="22" t="n">
        <f aca="false">COUNTIF(K2:K164,"Tinggi")</f>
        <v>69</v>
      </c>
      <c r="Q2" s="22" t="n">
        <f aca="false">P2/163</f>
        <v>0.423312883435583</v>
      </c>
    </row>
    <row r="3" customFormat="false" ht="15" hidden="false" customHeight="false" outlineLevel="0" collapsed="false">
      <c r="A3" s="23" t="n">
        <f aca="false">RANDBETWEEN(2,164)</f>
        <v>58</v>
      </c>
      <c r="B3" s="23" t="e">
        <f aca="false" t="array" ref="B3:B3">INDEX([1]data_dbd!$b:$b,$A3)</f>
        <v>#NAME?</v>
      </c>
      <c r="C3" s="23" t="e">
        <f aca="false" t="array" ref="C3:C3">INDEX([1]data_dbd!$e:$e,$A3)</f>
        <v>#NAME?</v>
      </c>
      <c r="D3" s="23" t="e">
        <f aca="false" t="array" ref="D3:D3">INDEX([1]data_dbd!$f:$f,$A3)</f>
        <v>#NAME?</v>
      </c>
      <c r="E3" s="30"/>
      <c r="H3" s="23" t="n">
        <v>71</v>
      </c>
      <c r="I3" s="23" t="n">
        <v>84</v>
      </c>
      <c r="J3" s="23" t="n">
        <v>0</v>
      </c>
      <c r="K3" s="23" t="s">
        <v>7</v>
      </c>
      <c r="O3" s="22" t="s">
        <v>7</v>
      </c>
      <c r="P3" s="22" t="n">
        <f aca="false">COUNTIF(K2:K164,"Sedang")</f>
        <v>74</v>
      </c>
      <c r="Q3" s="22" t="n">
        <f aca="false">P3/163</f>
        <v>0.45398773006135</v>
      </c>
    </row>
    <row r="4" customFormat="false" ht="15" hidden="false" customHeight="false" outlineLevel="0" collapsed="false">
      <c r="A4" s="23" t="n">
        <f aca="false">RANDBETWEEN(2,164)</f>
        <v>94</v>
      </c>
      <c r="B4" s="23" t="e">
        <f aca="false" t="array" ref="B4:B4">INDEX([1]data_dbd!$b:$b,$A4)</f>
        <v>#NAME?</v>
      </c>
      <c r="C4" s="23" t="e">
        <f aca="false" t="array" ref="C4:C4">INDEX([1]data_dbd!$e:$e,$A4)</f>
        <v>#NAME?</v>
      </c>
      <c r="D4" s="23" t="e">
        <f aca="false" t="array" ref="D4:D4">INDEX([1]data_dbd!$f:$f,$A4)</f>
        <v>#NAME?</v>
      </c>
      <c r="E4" s="30"/>
      <c r="H4" s="23" t="n">
        <v>73</v>
      </c>
      <c r="I4" s="23" t="n">
        <v>15</v>
      </c>
      <c r="J4" s="23" t="n">
        <v>1</v>
      </c>
      <c r="K4" s="23" t="s">
        <v>7</v>
      </c>
      <c r="O4" s="22" t="s">
        <v>20</v>
      </c>
      <c r="P4" s="22" t="n">
        <f aca="false">COUNTIF(K2:K164,"Rendah")</f>
        <v>20</v>
      </c>
      <c r="Q4" s="22" t="n">
        <f aca="false">P4/163</f>
        <v>0.122699386503067</v>
      </c>
    </row>
    <row r="5" customFormat="false" ht="15" hidden="false" customHeight="false" outlineLevel="0" collapsed="false">
      <c r="A5" s="23" t="n">
        <f aca="false">RANDBETWEEN(2,164)</f>
        <v>105</v>
      </c>
      <c r="B5" s="23" t="e">
        <f aca="false" t="array" ref="B5:B5">INDEX([1]data_dbd!$b:$b,$A5)</f>
        <v>#NAME?</v>
      </c>
      <c r="C5" s="23" t="e">
        <f aca="false" t="array" ref="C5:C5">INDEX([1]data_dbd!$e:$e,$A5)</f>
        <v>#NAME?</v>
      </c>
      <c r="D5" s="23" t="e">
        <f aca="false" t="array" ref="D5:D5">INDEX([1]data_dbd!$f:$f,$A5)</f>
        <v>#NAME?</v>
      </c>
      <c r="E5" s="30"/>
      <c r="H5" s="23" t="n">
        <v>36</v>
      </c>
      <c r="I5" s="23" t="n">
        <v>27</v>
      </c>
      <c r="J5" s="23" t="n">
        <v>1</v>
      </c>
      <c r="K5" s="23" t="s">
        <v>20</v>
      </c>
      <c r="O5" s="25" t="s">
        <v>175</v>
      </c>
      <c r="P5" s="19" t="n">
        <f aca="false">-(IFERROR(Q2*LOG(Q2,2),0)+IFERROR(Q3*LOG(Q3,2),0)+IFERROR(Q4*LOG(Q4,2),0))</f>
        <v>1.41359748875879</v>
      </c>
    </row>
    <row r="6" customFormat="false" ht="15" hidden="false" customHeight="false" outlineLevel="0" collapsed="false">
      <c r="A6" s="23" t="n">
        <f aca="false">RANDBETWEEN(2,164)</f>
        <v>89</v>
      </c>
      <c r="B6" s="23" t="e">
        <f aca="false" t="array" ref="B6:B6">INDEX([1]data_dbd!$b:$b,$A6)</f>
        <v>#NAME?</v>
      </c>
      <c r="C6" s="23" t="e">
        <f aca="false" t="array" ref="C6:C6">INDEX([1]data_dbd!$e:$e,$A6)</f>
        <v>#NAME?</v>
      </c>
      <c r="D6" s="23" t="e">
        <f aca="false" t="array" ref="D6:D6">INDEX([1]data_dbd!$f:$f,$A6)</f>
        <v>#NAME?</v>
      </c>
      <c r="E6" s="30"/>
      <c r="H6" s="23" t="n">
        <v>15</v>
      </c>
      <c r="I6" s="23" t="n">
        <v>21</v>
      </c>
      <c r="J6" s="23" t="n">
        <v>0</v>
      </c>
      <c r="K6" s="23" t="s">
        <v>20</v>
      </c>
    </row>
    <row r="7" customFormat="false" ht="15" hidden="false" customHeight="false" outlineLevel="0" collapsed="false">
      <c r="A7" s="23" t="n">
        <f aca="false">RANDBETWEEN(2,164)</f>
        <v>46</v>
      </c>
      <c r="B7" s="23" t="e">
        <f aca="false" t="array" ref="B7:B7">INDEX([1]data_dbd!$b:$b,$A7)</f>
        <v>#NAME?</v>
      </c>
      <c r="C7" s="23" t="e">
        <f aca="false" t="array" ref="C7:C7">INDEX([1]data_dbd!$e:$e,$A7)</f>
        <v>#NAME?</v>
      </c>
      <c r="D7" s="23" t="e">
        <f aca="false" t="array" ref="D7:D7">INDEX([1]data_dbd!$f:$f,$A7)</f>
        <v>#NAME?</v>
      </c>
      <c r="E7" s="30"/>
      <c r="H7" s="23" t="n">
        <v>49</v>
      </c>
      <c r="I7" s="23" t="n">
        <v>64</v>
      </c>
      <c r="J7" s="23" t="n">
        <v>0</v>
      </c>
      <c r="K7" s="23" t="s">
        <v>7</v>
      </c>
    </row>
    <row r="8" customFormat="false" ht="15" hidden="false" customHeight="false" outlineLevel="0" collapsed="false">
      <c r="A8" s="23" t="n">
        <f aca="false">RANDBETWEEN(2,164)</f>
        <v>114</v>
      </c>
      <c r="B8" s="23" t="e">
        <f aca="false" t="array" ref="B8:B8">INDEX([1]data_dbd!$b:$b,$A8)</f>
        <v>#NAME?</v>
      </c>
      <c r="C8" s="23" t="e">
        <f aca="false" t="array" ref="C8:C8">INDEX([1]data_dbd!$e:$e,$A8)</f>
        <v>#NAME?</v>
      </c>
      <c r="D8" s="23" t="e">
        <f aca="false" t="array" ref="D8:D8">INDEX([1]data_dbd!$f:$f,$A8)</f>
        <v>#NAME?</v>
      </c>
      <c r="E8" s="30"/>
      <c r="H8" s="23" t="n">
        <v>106</v>
      </c>
      <c r="I8" s="23" t="n">
        <v>23</v>
      </c>
      <c r="J8" s="23" t="n">
        <v>1</v>
      </c>
      <c r="K8" s="23" t="s">
        <v>115</v>
      </c>
    </row>
    <row r="9" customFormat="false" ht="15" hidden="false" customHeight="false" outlineLevel="0" collapsed="false">
      <c r="A9" s="23" t="n">
        <f aca="false">RANDBETWEEN(2,164)</f>
        <v>148</v>
      </c>
      <c r="B9" s="23" t="e">
        <f aca="false" t="array" ref="B9:B9">INDEX([1]data_dbd!$b:$b,$A9)</f>
        <v>#NAME?</v>
      </c>
      <c r="C9" s="23" t="e">
        <f aca="false" t="array" ref="C9:C9">INDEX([1]data_dbd!$e:$e,$A9)</f>
        <v>#NAME?</v>
      </c>
      <c r="D9" s="23" t="e">
        <f aca="false" t="array" ref="D9:D9">INDEX([1]data_dbd!$f:$f,$A9)</f>
        <v>#NAME?</v>
      </c>
      <c r="E9" s="30"/>
      <c r="H9" s="23" t="n">
        <v>96</v>
      </c>
      <c r="I9" s="23" t="n">
        <v>56</v>
      </c>
      <c r="J9" s="23" t="n">
        <v>0</v>
      </c>
      <c r="K9" s="23" t="s">
        <v>115</v>
      </c>
    </row>
    <row r="10" customFormat="false" ht="15" hidden="false" customHeight="false" outlineLevel="0" collapsed="false">
      <c r="A10" s="23" t="n">
        <f aca="false">RANDBETWEEN(2,164)</f>
        <v>155</v>
      </c>
      <c r="B10" s="23" t="e">
        <f aca="false" t="array" ref="B10:B10">INDEX([1]data_dbd!$b:$b,$A10)</f>
        <v>#NAME?</v>
      </c>
      <c r="C10" s="23" t="e">
        <f aca="false" t="array" ref="C10:C10">INDEX([1]data_dbd!$e:$e,$A10)</f>
        <v>#NAME?</v>
      </c>
      <c r="D10" s="23" t="e">
        <f aca="false" t="array" ref="D10:D10">INDEX([1]data_dbd!$f:$f,$A10)</f>
        <v>#NAME?</v>
      </c>
      <c r="E10" s="30"/>
      <c r="H10" s="23" t="n">
        <v>137</v>
      </c>
      <c r="I10" s="23" t="n">
        <v>3</v>
      </c>
      <c r="J10" s="23" t="n">
        <v>1</v>
      </c>
      <c r="K10" s="23" t="s">
        <v>115</v>
      </c>
    </row>
    <row r="11" customFormat="false" ht="15" hidden="false" customHeight="false" outlineLevel="0" collapsed="false">
      <c r="A11" s="23" t="n">
        <f aca="false">RANDBETWEEN(2,164)</f>
        <v>85</v>
      </c>
      <c r="B11" s="23" t="e">
        <f aca="false" t="array" ref="B11:B11">INDEX([1]data_dbd!$b:$b,$A11)</f>
        <v>#NAME?</v>
      </c>
      <c r="C11" s="23" t="e">
        <f aca="false" t="array" ref="C11:C11">INDEX([1]data_dbd!$e:$e,$A11)</f>
        <v>#NAME?</v>
      </c>
      <c r="D11" s="23" t="e">
        <f aca="false" t="array" ref="D11:D11">INDEX([1]data_dbd!$f:$f,$A11)</f>
        <v>#NAME?</v>
      </c>
      <c r="E11" s="30"/>
      <c r="H11" s="23" t="n">
        <v>33</v>
      </c>
      <c r="I11" s="23" t="n">
        <v>19</v>
      </c>
      <c r="J11" s="23" t="n">
        <v>1</v>
      </c>
      <c r="K11" s="23" t="s">
        <v>7</v>
      </c>
    </row>
    <row r="12" customFormat="false" ht="15" hidden="false" customHeight="false" outlineLevel="0" collapsed="false">
      <c r="A12" s="23" t="n">
        <f aca="false">RANDBETWEEN(2,164)</f>
        <v>126</v>
      </c>
      <c r="B12" s="23" t="e">
        <f aca="false" t="array" ref="B12:B12">INDEX([1]data_dbd!$b:$b,$A12)</f>
        <v>#NAME?</v>
      </c>
      <c r="C12" s="23" t="e">
        <f aca="false" t="array" ref="C12:C12">INDEX([1]data_dbd!$e:$e,$A12)</f>
        <v>#NAME?</v>
      </c>
      <c r="D12" s="23" t="e">
        <f aca="false" t="array" ref="D12:D12">INDEX([1]data_dbd!$f:$f,$A12)</f>
        <v>#NAME?</v>
      </c>
      <c r="E12" s="30"/>
      <c r="H12" s="23" t="n">
        <v>74</v>
      </c>
      <c r="I12" s="23" t="n">
        <v>9</v>
      </c>
      <c r="J12" s="23" t="n">
        <v>0</v>
      </c>
      <c r="K12" s="23" t="s">
        <v>7</v>
      </c>
    </row>
    <row r="13" customFormat="false" ht="15" hidden="false" customHeight="false" outlineLevel="0" collapsed="false">
      <c r="A13" s="23" t="n">
        <f aca="false">RANDBETWEEN(2,164)</f>
        <v>117</v>
      </c>
      <c r="B13" s="23" t="e">
        <f aca="false" t="array" ref="B13:B13">INDEX([1]data_dbd!$b:$b,$A13)</f>
        <v>#NAME?</v>
      </c>
      <c r="C13" s="23" t="e">
        <f aca="false" t="array" ref="C13:C13">INDEX([1]data_dbd!$e:$e,$A13)</f>
        <v>#NAME?</v>
      </c>
      <c r="D13" s="23" t="e">
        <f aca="false" t="array" ref="D13:D13">INDEX([1]data_dbd!$f:$f,$A13)</f>
        <v>#NAME?</v>
      </c>
      <c r="E13" s="30"/>
      <c r="H13" s="23" t="n">
        <v>164</v>
      </c>
      <c r="I13" s="23" t="n">
        <v>10</v>
      </c>
      <c r="J13" s="23" t="n">
        <v>0</v>
      </c>
      <c r="K13" s="23" t="s">
        <v>20</v>
      </c>
    </row>
    <row r="14" customFormat="false" ht="15" hidden="false" customHeight="false" outlineLevel="0" collapsed="false">
      <c r="A14" s="23" t="n">
        <f aca="false">RANDBETWEEN(2,164)</f>
        <v>159</v>
      </c>
      <c r="B14" s="23" t="e">
        <f aca="false" t="array" ref="B14:B14">INDEX([1]data_dbd!$b:$b,$A14)</f>
        <v>#NAME?</v>
      </c>
      <c r="C14" s="23" t="e">
        <f aca="false" t="array" ref="C14:C14">INDEX([1]data_dbd!$e:$e,$A14)</f>
        <v>#NAME?</v>
      </c>
      <c r="D14" s="23" t="e">
        <f aca="false" t="array" ref="D14:D14">INDEX([1]data_dbd!$f:$f,$A14)</f>
        <v>#NAME?</v>
      </c>
      <c r="E14" s="30"/>
      <c r="H14" s="23" t="n">
        <v>89</v>
      </c>
      <c r="I14" s="23" t="n">
        <v>32</v>
      </c>
      <c r="J14" s="23" t="n">
        <v>0</v>
      </c>
      <c r="K14" s="23" t="s">
        <v>7</v>
      </c>
    </row>
    <row r="15" customFormat="false" ht="15" hidden="false" customHeight="false" outlineLevel="0" collapsed="false">
      <c r="A15" s="23" t="n">
        <f aca="false">RANDBETWEEN(2,164)</f>
        <v>10</v>
      </c>
      <c r="B15" s="23" t="e">
        <f aca="false" t="array" ref="B15:B15">INDEX([1]data_dbd!$b:$b,$A15)</f>
        <v>#NAME?</v>
      </c>
      <c r="C15" s="23" t="e">
        <f aca="false" t="array" ref="C15:C15">INDEX([1]data_dbd!$e:$e,$A15)</f>
        <v>#NAME?</v>
      </c>
      <c r="D15" s="23" t="e">
        <f aca="false" t="array" ref="D15:D15">INDEX([1]data_dbd!$f:$f,$A15)</f>
        <v>#NAME?</v>
      </c>
      <c r="E15" s="30"/>
      <c r="H15" s="23" t="n">
        <v>15</v>
      </c>
      <c r="I15" s="23" t="n">
        <v>21</v>
      </c>
      <c r="J15" s="23" t="n">
        <v>0</v>
      </c>
      <c r="K15" s="23" t="s">
        <v>20</v>
      </c>
    </row>
    <row r="16" customFormat="false" ht="15" hidden="false" customHeight="false" outlineLevel="0" collapsed="false">
      <c r="A16" s="23" t="n">
        <f aca="false">RANDBETWEEN(2,164)</f>
        <v>107</v>
      </c>
      <c r="B16" s="23" t="e">
        <f aca="false" t="array" ref="B16:B16">INDEX([1]data_dbd!$b:$b,$A16)</f>
        <v>#NAME?</v>
      </c>
      <c r="C16" s="23" t="e">
        <f aca="false" t="array" ref="C16:C16">INDEX([1]data_dbd!$e:$e,$A16)</f>
        <v>#NAME?</v>
      </c>
      <c r="D16" s="23" t="e">
        <f aca="false" t="array" ref="D16:D16">INDEX([1]data_dbd!$f:$f,$A16)</f>
        <v>#NAME?</v>
      </c>
      <c r="E16" s="30"/>
      <c r="H16" s="23" t="n">
        <v>75</v>
      </c>
      <c r="I16" s="23" t="n">
        <v>2</v>
      </c>
      <c r="J16" s="23" t="n">
        <v>1</v>
      </c>
      <c r="K16" s="23" t="s">
        <v>7</v>
      </c>
    </row>
    <row r="17" customFormat="false" ht="15" hidden="false" customHeight="false" outlineLevel="0" collapsed="false">
      <c r="A17" s="23" t="n">
        <f aca="false">RANDBETWEEN(2,164)</f>
        <v>130</v>
      </c>
      <c r="B17" s="23" t="e">
        <f aca="false" t="array" ref="B17:B17">INDEX([1]data_dbd!$b:$b,$A17)</f>
        <v>#NAME?</v>
      </c>
      <c r="C17" s="23" t="e">
        <f aca="false" t="array" ref="C17:C17">INDEX([1]data_dbd!$e:$e,$A17)</f>
        <v>#NAME?</v>
      </c>
      <c r="D17" s="23" t="e">
        <f aca="false" t="array" ref="D17:D17">INDEX([1]data_dbd!$f:$f,$A17)</f>
        <v>#NAME?</v>
      </c>
      <c r="E17" s="30"/>
      <c r="H17" s="23" t="n">
        <v>24</v>
      </c>
      <c r="I17" s="23" t="n">
        <v>60</v>
      </c>
      <c r="J17" s="23" t="n">
        <v>0</v>
      </c>
      <c r="K17" s="23" t="s">
        <v>7</v>
      </c>
    </row>
    <row r="18" customFormat="false" ht="15" hidden="false" customHeight="false" outlineLevel="0" collapsed="false">
      <c r="A18" s="23" t="n">
        <f aca="false">RANDBETWEEN(2,164)</f>
        <v>39</v>
      </c>
      <c r="B18" s="23" t="e">
        <f aca="false" t="array" ref="B18:B18">INDEX([1]data_dbd!$b:$b,$A18)</f>
        <v>#NAME?</v>
      </c>
      <c r="C18" s="23" t="e">
        <f aca="false" t="array" ref="C18:C18">INDEX([1]data_dbd!$e:$e,$A18)</f>
        <v>#NAME?</v>
      </c>
      <c r="D18" s="23" t="e">
        <f aca="false" t="array" ref="D18:D18">INDEX([1]data_dbd!$f:$f,$A18)</f>
        <v>#NAME?</v>
      </c>
      <c r="E18" s="30"/>
      <c r="H18" s="23" t="n">
        <v>42</v>
      </c>
      <c r="I18" s="23" t="n">
        <v>21</v>
      </c>
      <c r="J18" s="23" t="n">
        <v>1</v>
      </c>
      <c r="K18" s="23" t="s">
        <v>7</v>
      </c>
    </row>
    <row r="19" customFormat="false" ht="15" hidden="false" customHeight="false" outlineLevel="0" collapsed="false">
      <c r="A19" s="23" t="n">
        <f aca="false">RANDBETWEEN(2,164)</f>
        <v>117</v>
      </c>
      <c r="B19" s="23" t="e">
        <f aca="false" t="array" ref="B19:B19">INDEX([1]data_dbd!$b:$b,$A19)</f>
        <v>#NAME?</v>
      </c>
      <c r="C19" s="23" t="e">
        <f aca="false" t="array" ref="C19:C19">INDEX([1]data_dbd!$e:$e,$A19)</f>
        <v>#NAME?</v>
      </c>
      <c r="D19" s="23" t="e">
        <f aca="false" t="array" ref="D19:D19">INDEX([1]data_dbd!$f:$f,$A19)</f>
        <v>#NAME?</v>
      </c>
      <c r="E19" s="30"/>
      <c r="H19" s="23" t="n">
        <v>80</v>
      </c>
      <c r="I19" s="23" t="n">
        <v>27</v>
      </c>
      <c r="J19" s="23" t="n">
        <v>1</v>
      </c>
      <c r="K19" s="23" t="s">
        <v>7</v>
      </c>
    </row>
    <row r="20" customFormat="false" ht="15" hidden="false" customHeight="false" outlineLevel="0" collapsed="false">
      <c r="A20" s="23" t="n">
        <f aca="false">RANDBETWEEN(2,164)</f>
        <v>61</v>
      </c>
      <c r="B20" s="23" t="e">
        <f aca="false" t="array" ref="B20:B20">INDEX([1]data_dbd!$b:$b,$A20)</f>
        <v>#NAME?</v>
      </c>
      <c r="C20" s="23" t="e">
        <f aca="false" t="array" ref="C20:C20">INDEX([1]data_dbd!$e:$e,$A20)</f>
        <v>#NAME?</v>
      </c>
      <c r="D20" s="23" t="e">
        <f aca="false" t="array" ref="D20:D20">INDEX([1]data_dbd!$f:$f,$A20)</f>
        <v>#NAME?</v>
      </c>
      <c r="E20" s="30"/>
      <c r="H20" s="23" t="n">
        <v>103</v>
      </c>
      <c r="I20" s="23" t="n">
        <v>22</v>
      </c>
      <c r="J20" s="23" t="n">
        <v>0</v>
      </c>
      <c r="K20" s="23" t="s">
        <v>115</v>
      </c>
    </row>
    <row r="21" customFormat="false" ht="15" hidden="false" customHeight="false" outlineLevel="0" collapsed="false">
      <c r="A21" s="23" t="n">
        <f aca="false">RANDBETWEEN(2,164)</f>
        <v>14</v>
      </c>
      <c r="B21" s="23" t="e">
        <f aca="false" t="array" ref="B21:B21">INDEX([1]data_dbd!$b:$b,$A21)</f>
        <v>#NAME?</v>
      </c>
      <c r="C21" s="23" t="e">
        <f aca="false" t="array" ref="C21:C21">INDEX([1]data_dbd!$e:$e,$A21)</f>
        <v>#NAME?</v>
      </c>
      <c r="D21" s="23" t="e">
        <f aca="false" t="array" ref="D21:D21">INDEX([1]data_dbd!$f:$f,$A21)</f>
        <v>#NAME?</v>
      </c>
      <c r="E21" s="30"/>
      <c r="H21" s="23" t="n">
        <v>136</v>
      </c>
      <c r="I21" s="23" t="n">
        <v>6</v>
      </c>
      <c r="J21" s="23" t="n">
        <v>0</v>
      </c>
      <c r="K21" s="23" t="s">
        <v>115</v>
      </c>
    </row>
    <row r="22" customFormat="false" ht="15" hidden="false" customHeight="false" outlineLevel="0" collapsed="false">
      <c r="A22" s="23" t="n">
        <f aca="false">RANDBETWEEN(2,164)</f>
        <v>147</v>
      </c>
      <c r="B22" s="23" t="e">
        <f aca="false" t="array" ref="B22:B22">INDEX([1]data_dbd!$b:$b,$A22)</f>
        <v>#NAME?</v>
      </c>
      <c r="C22" s="23" t="e">
        <f aca="false" t="array" ref="C22:C22">INDEX([1]data_dbd!$e:$e,$A22)</f>
        <v>#NAME?</v>
      </c>
      <c r="D22" s="23" t="e">
        <f aca="false" t="array" ref="D22:D22">INDEX([1]data_dbd!$f:$f,$A22)</f>
        <v>#NAME?</v>
      </c>
      <c r="E22" s="30"/>
      <c r="H22" s="23" t="n">
        <v>129</v>
      </c>
      <c r="I22" s="23" t="n">
        <v>4</v>
      </c>
      <c r="J22" s="23" t="n">
        <v>0</v>
      </c>
      <c r="K22" s="23" t="s">
        <v>115</v>
      </c>
    </row>
    <row r="23" customFormat="false" ht="15" hidden="false" customHeight="false" outlineLevel="0" collapsed="false">
      <c r="A23" s="23" t="n">
        <f aca="false">RANDBETWEEN(2,164)</f>
        <v>39</v>
      </c>
      <c r="B23" s="23" t="e">
        <f aca="false" t="array" ref="B23:B23">INDEX([1]data_dbd!$b:$b,$A23)</f>
        <v>#NAME?</v>
      </c>
      <c r="C23" s="23" t="e">
        <f aca="false" t="array" ref="C23:C23">INDEX([1]data_dbd!$e:$e,$A23)</f>
        <v>#NAME?</v>
      </c>
      <c r="D23" s="23" t="e">
        <f aca="false" t="array" ref="D23:D23">INDEX([1]data_dbd!$f:$f,$A23)</f>
        <v>#NAME?</v>
      </c>
      <c r="E23" s="30"/>
      <c r="H23" s="23" t="n">
        <v>5</v>
      </c>
      <c r="I23" s="23" t="n">
        <v>18</v>
      </c>
      <c r="J23" s="23" t="n">
        <v>1</v>
      </c>
      <c r="K23" s="23" t="s">
        <v>7</v>
      </c>
    </row>
    <row r="24" customFormat="false" ht="15" hidden="false" customHeight="false" outlineLevel="0" collapsed="false">
      <c r="A24" s="23" t="n">
        <f aca="false">RANDBETWEEN(2,164)</f>
        <v>123</v>
      </c>
      <c r="B24" s="23" t="e">
        <f aca="false" t="array" ref="B24:B24">INDEX([1]data_dbd!$b:$b,$A24)</f>
        <v>#NAME?</v>
      </c>
      <c r="C24" s="23" t="e">
        <f aca="false" t="array" ref="C24:C24">INDEX([1]data_dbd!$e:$e,$A24)</f>
        <v>#NAME?</v>
      </c>
      <c r="D24" s="23" t="e">
        <f aca="false" t="array" ref="D24:D24">INDEX([1]data_dbd!$f:$f,$A24)</f>
        <v>#NAME?</v>
      </c>
      <c r="E24" s="30"/>
      <c r="H24" s="23" t="n">
        <v>16</v>
      </c>
      <c r="I24" s="23" t="n">
        <v>66</v>
      </c>
      <c r="J24" s="23" t="n">
        <v>1</v>
      </c>
      <c r="K24" s="23" t="s">
        <v>20</v>
      </c>
    </row>
    <row r="25" customFormat="false" ht="15" hidden="false" customHeight="false" outlineLevel="0" collapsed="false">
      <c r="A25" s="23" t="n">
        <f aca="false">RANDBETWEEN(2,164)</f>
        <v>58</v>
      </c>
      <c r="B25" s="23" t="e">
        <f aca="false" t="array" ref="B25:B25">INDEX([1]data_dbd!$b:$b,$A25)</f>
        <v>#NAME?</v>
      </c>
      <c r="C25" s="23" t="e">
        <f aca="false" t="array" ref="C25:C25">INDEX([1]data_dbd!$e:$e,$A25)</f>
        <v>#NAME?</v>
      </c>
      <c r="D25" s="23" t="e">
        <f aca="false" t="array" ref="D25:D25">INDEX([1]data_dbd!$f:$f,$A25)</f>
        <v>#NAME?</v>
      </c>
      <c r="E25" s="30"/>
      <c r="H25" s="23" t="n">
        <v>20</v>
      </c>
      <c r="I25" s="23" t="n">
        <v>15</v>
      </c>
      <c r="J25" s="23" t="n">
        <v>0</v>
      </c>
      <c r="K25" s="23" t="s">
        <v>20</v>
      </c>
    </row>
    <row r="26" customFormat="false" ht="15" hidden="false" customHeight="false" outlineLevel="0" collapsed="false">
      <c r="A26" s="23" t="n">
        <f aca="false">RANDBETWEEN(2,164)</f>
        <v>105</v>
      </c>
      <c r="B26" s="23" t="e">
        <f aca="false" t="array" ref="B26:B26">INDEX([1]data_dbd!$b:$b,$A26)</f>
        <v>#NAME?</v>
      </c>
      <c r="C26" s="23" t="e">
        <f aca="false" t="array" ref="C26:C26">INDEX([1]data_dbd!$e:$e,$A26)</f>
        <v>#NAME?</v>
      </c>
      <c r="D26" s="23" t="e">
        <f aca="false" t="array" ref="D26:D26">INDEX([1]data_dbd!$f:$f,$A26)</f>
        <v>#NAME?</v>
      </c>
      <c r="E26" s="30"/>
      <c r="H26" s="23" t="n">
        <v>133</v>
      </c>
      <c r="I26" s="23" t="n">
        <v>6</v>
      </c>
      <c r="J26" s="23" t="n">
        <v>0</v>
      </c>
      <c r="K26" s="23" t="s">
        <v>115</v>
      </c>
    </row>
    <row r="27" customFormat="false" ht="15" hidden="false" customHeight="false" outlineLevel="0" collapsed="false">
      <c r="A27" s="23" t="n">
        <f aca="false">RANDBETWEEN(2,164)</f>
        <v>2</v>
      </c>
      <c r="B27" s="23" t="e">
        <f aca="false" t="array" ref="B27:B27">INDEX([1]data_dbd!$b:$b,$A27)</f>
        <v>#NAME?</v>
      </c>
      <c r="C27" s="23" t="e">
        <f aca="false" t="array" ref="C27:C27">INDEX([1]data_dbd!$e:$e,$A27)</f>
        <v>#NAME?</v>
      </c>
      <c r="D27" s="23" t="e">
        <f aca="false" t="array" ref="D27:D27">INDEX([1]data_dbd!$f:$f,$A27)</f>
        <v>#NAME?</v>
      </c>
      <c r="E27" s="30"/>
      <c r="H27" s="23" t="n">
        <v>98</v>
      </c>
      <c r="I27" s="23" t="n">
        <v>16</v>
      </c>
      <c r="J27" s="23" t="n">
        <v>1</v>
      </c>
      <c r="K27" s="23" t="s">
        <v>115</v>
      </c>
    </row>
    <row r="28" customFormat="false" ht="15" hidden="false" customHeight="false" outlineLevel="0" collapsed="false">
      <c r="A28" s="23" t="n">
        <f aca="false">RANDBETWEEN(2,164)</f>
        <v>129</v>
      </c>
      <c r="B28" s="23" t="e">
        <f aca="false" t="array" ref="B28:B28">INDEX([1]data_dbd!$b:$b,$A28)</f>
        <v>#NAME?</v>
      </c>
      <c r="C28" s="23" t="e">
        <f aca="false" t="array" ref="C28:C28">INDEX([1]data_dbd!$e:$e,$A28)</f>
        <v>#NAME?</v>
      </c>
      <c r="D28" s="23" t="e">
        <f aca="false" t="array" ref="D28:D28">INDEX([1]data_dbd!$f:$f,$A28)</f>
        <v>#NAME?</v>
      </c>
      <c r="E28" s="30"/>
      <c r="H28" s="23" t="n">
        <v>71</v>
      </c>
      <c r="I28" s="23" t="n">
        <v>84</v>
      </c>
      <c r="J28" s="23" t="n">
        <v>0</v>
      </c>
      <c r="K28" s="23" t="s">
        <v>7</v>
      </c>
    </row>
    <row r="29" customFormat="false" ht="15" hidden="false" customHeight="false" outlineLevel="0" collapsed="false">
      <c r="A29" s="23" t="n">
        <f aca="false">RANDBETWEEN(2,164)</f>
        <v>140</v>
      </c>
      <c r="B29" s="23" t="e">
        <f aca="false" t="array" ref="B29:B29">INDEX([1]data_dbd!$b:$b,$A29)</f>
        <v>#NAME?</v>
      </c>
      <c r="C29" s="23" t="e">
        <f aca="false" t="array" ref="C29:C29">INDEX([1]data_dbd!$e:$e,$A29)</f>
        <v>#NAME?</v>
      </c>
      <c r="D29" s="23" t="e">
        <f aca="false" t="array" ref="D29:D29">INDEX([1]data_dbd!$f:$f,$A29)</f>
        <v>#NAME?</v>
      </c>
      <c r="E29" s="30"/>
      <c r="H29" s="23" t="n">
        <v>72</v>
      </c>
      <c r="I29" s="23" t="n">
        <v>3</v>
      </c>
      <c r="J29" s="23" t="n">
        <v>1</v>
      </c>
      <c r="K29" s="23" t="s">
        <v>7</v>
      </c>
    </row>
    <row r="30" customFormat="false" ht="15" hidden="false" customHeight="false" outlineLevel="0" collapsed="false">
      <c r="A30" s="23" t="n">
        <f aca="false">RANDBETWEEN(2,164)</f>
        <v>108</v>
      </c>
      <c r="B30" s="23" t="e">
        <f aca="false" t="array" ref="B30:B30">INDEX([1]data_dbd!$b:$b,$A30)</f>
        <v>#NAME?</v>
      </c>
      <c r="C30" s="23" t="e">
        <f aca="false" t="array" ref="C30:C30">INDEX([1]data_dbd!$e:$e,$A30)</f>
        <v>#NAME?</v>
      </c>
      <c r="D30" s="23" t="e">
        <f aca="false" t="array" ref="D30:D30">INDEX([1]data_dbd!$f:$f,$A30)</f>
        <v>#NAME?</v>
      </c>
      <c r="E30" s="30"/>
      <c r="H30" s="23" t="n">
        <v>33</v>
      </c>
      <c r="I30" s="23" t="n">
        <v>19</v>
      </c>
      <c r="J30" s="23" t="n">
        <v>1</v>
      </c>
      <c r="K30" s="23" t="s">
        <v>7</v>
      </c>
    </row>
    <row r="31" customFormat="false" ht="15" hidden="false" customHeight="false" outlineLevel="0" collapsed="false">
      <c r="A31" s="23" t="n">
        <f aca="false">RANDBETWEEN(2,164)</f>
        <v>56</v>
      </c>
      <c r="B31" s="23" t="e">
        <f aca="false" t="array" ref="B31:B31">INDEX([1]data_dbd!$b:$b,$A31)</f>
        <v>#NAME?</v>
      </c>
      <c r="C31" s="23" t="e">
        <f aca="false" t="array" ref="C31:C31">INDEX([1]data_dbd!$e:$e,$A31)</f>
        <v>#NAME?</v>
      </c>
      <c r="D31" s="23" t="e">
        <f aca="false" t="array" ref="D31:D31">INDEX([1]data_dbd!$f:$f,$A31)</f>
        <v>#NAME?</v>
      </c>
      <c r="E31" s="30"/>
      <c r="H31" s="23" t="n">
        <v>153</v>
      </c>
      <c r="I31" s="23" t="n">
        <v>73</v>
      </c>
      <c r="J31" s="23" t="n">
        <v>1</v>
      </c>
      <c r="K31" s="23" t="s">
        <v>115</v>
      </c>
    </row>
    <row r="32" customFormat="false" ht="15" hidden="false" customHeight="false" outlineLevel="0" collapsed="false">
      <c r="A32" s="23" t="n">
        <f aca="false">RANDBETWEEN(2,164)</f>
        <v>142</v>
      </c>
      <c r="B32" s="23" t="e">
        <f aca="false" t="array" ref="B32:B32">INDEX([1]data_dbd!$b:$b,$A32)</f>
        <v>#NAME?</v>
      </c>
      <c r="C32" s="23" t="e">
        <f aca="false" t="array" ref="C32:C32">INDEX([1]data_dbd!$e:$e,$A32)</f>
        <v>#NAME?</v>
      </c>
      <c r="D32" s="23" t="e">
        <f aca="false" t="array" ref="D32:D32">INDEX([1]data_dbd!$f:$f,$A32)</f>
        <v>#NAME?</v>
      </c>
      <c r="E32" s="30"/>
      <c r="H32" s="23" t="n">
        <v>122</v>
      </c>
      <c r="I32" s="23" t="n">
        <v>28</v>
      </c>
      <c r="J32" s="23" t="n">
        <v>1</v>
      </c>
      <c r="K32" s="23" t="s">
        <v>115</v>
      </c>
    </row>
    <row r="33" customFormat="false" ht="15" hidden="false" customHeight="false" outlineLevel="0" collapsed="false">
      <c r="A33" s="23" t="n">
        <f aca="false">RANDBETWEEN(2,164)</f>
        <v>53</v>
      </c>
      <c r="B33" s="23" t="e">
        <f aca="false" t="array" ref="B33:B33">INDEX([1]data_dbd!$b:$b,$A33)</f>
        <v>#NAME?</v>
      </c>
      <c r="C33" s="23" t="e">
        <f aca="false" t="array" ref="C33:C33">INDEX([1]data_dbd!$e:$e,$A33)</f>
        <v>#NAME?</v>
      </c>
      <c r="D33" s="23" t="e">
        <f aca="false" t="array" ref="D33:D33">INDEX([1]data_dbd!$f:$f,$A33)</f>
        <v>#NAME?</v>
      </c>
      <c r="E33" s="30"/>
      <c r="H33" s="23" t="n">
        <v>85</v>
      </c>
      <c r="I33" s="23" t="n">
        <v>27</v>
      </c>
      <c r="J33" s="23" t="n">
        <v>0</v>
      </c>
      <c r="K33" s="23" t="s">
        <v>7</v>
      </c>
    </row>
    <row r="34" customFormat="false" ht="15" hidden="false" customHeight="false" outlineLevel="0" collapsed="false">
      <c r="A34" s="23" t="n">
        <f aca="false">RANDBETWEEN(2,164)</f>
        <v>88</v>
      </c>
      <c r="B34" s="23" t="e">
        <f aca="false" t="array" ref="B34:B34">INDEX([1]data_dbd!$b:$b,$A34)</f>
        <v>#NAME?</v>
      </c>
      <c r="C34" s="23" t="e">
        <f aca="false" t="array" ref="C34:C34">INDEX([1]data_dbd!$e:$e,$A34)</f>
        <v>#NAME?</v>
      </c>
      <c r="D34" s="23" t="e">
        <f aca="false" t="array" ref="D34:D34">INDEX([1]data_dbd!$f:$f,$A34)</f>
        <v>#NAME?</v>
      </c>
      <c r="E34" s="30"/>
      <c r="H34" s="23" t="n">
        <v>94</v>
      </c>
      <c r="I34" s="23" t="n">
        <v>12</v>
      </c>
      <c r="J34" s="23" t="n">
        <v>0</v>
      </c>
      <c r="K34" s="23" t="s">
        <v>115</v>
      </c>
    </row>
    <row r="35" customFormat="false" ht="15" hidden="false" customHeight="false" outlineLevel="0" collapsed="false">
      <c r="A35" s="23" t="n">
        <f aca="false">RANDBETWEEN(2,164)</f>
        <v>57</v>
      </c>
      <c r="B35" s="23" t="e">
        <f aca="false" t="array" ref="B35:B35">INDEX([1]data_dbd!$b:$b,$A35)</f>
        <v>#NAME?</v>
      </c>
      <c r="C35" s="23" t="e">
        <f aca="false" t="array" ref="C35:C35">INDEX([1]data_dbd!$e:$e,$A35)</f>
        <v>#NAME?</v>
      </c>
      <c r="D35" s="23" t="e">
        <f aca="false" t="array" ref="D35:D35">INDEX([1]data_dbd!$f:$f,$A35)</f>
        <v>#NAME?</v>
      </c>
      <c r="E35" s="30"/>
      <c r="H35" s="23" t="n">
        <v>16</v>
      </c>
      <c r="I35" s="23" t="n">
        <v>66</v>
      </c>
      <c r="J35" s="23" t="n">
        <v>1</v>
      </c>
      <c r="K35" s="23" t="s">
        <v>20</v>
      </c>
    </row>
    <row r="36" customFormat="false" ht="15" hidden="false" customHeight="false" outlineLevel="0" collapsed="false">
      <c r="A36" s="23" t="n">
        <f aca="false">RANDBETWEEN(2,164)</f>
        <v>13</v>
      </c>
      <c r="B36" s="23" t="e">
        <f aca="false" t="array" ref="B36:B36">INDEX([1]data_dbd!$b:$b,$A36)</f>
        <v>#NAME?</v>
      </c>
      <c r="C36" s="23" t="e">
        <f aca="false" t="array" ref="C36:C36">INDEX([1]data_dbd!$e:$e,$A36)</f>
        <v>#NAME?</v>
      </c>
      <c r="D36" s="23" t="e">
        <f aca="false" t="array" ref="D36:D36">INDEX([1]data_dbd!$f:$f,$A36)</f>
        <v>#NAME?</v>
      </c>
      <c r="E36" s="30"/>
      <c r="H36" s="23" t="n">
        <v>144</v>
      </c>
      <c r="I36" s="23" t="n">
        <v>61</v>
      </c>
      <c r="J36" s="23" t="n">
        <v>1</v>
      </c>
      <c r="K36" s="23" t="s">
        <v>115</v>
      </c>
    </row>
    <row r="37" customFormat="false" ht="15" hidden="false" customHeight="false" outlineLevel="0" collapsed="false">
      <c r="A37" s="23" t="n">
        <f aca="false">RANDBETWEEN(2,164)</f>
        <v>99</v>
      </c>
      <c r="B37" s="23" t="e">
        <f aca="false" t="array" ref="B37:B37">INDEX([1]data_dbd!$b:$b,$A37)</f>
        <v>#NAME?</v>
      </c>
      <c r="C37" s="23" t="e">
        <f aca="false" t="array" ref="C37:C37">INDEX([1]data_dbd!$e:$e,$A37)</f>
        <v>#NAME?</v>
      </c>
      <c r="D37" s="23" t="e">
        <f aca="false" t="array" ref="D37:D37">INDEX([1]data_dbd!$f:$f,$A37)</f>
        <v>#NAME?</v>
      </c>
      <c r="E37" s="30"/>
      <c r="H37" s="23" t="n">
        <v>30</v>
      </c>
      <c r="I37" s="23" t="n">
        <v>3</v>
      </c>
      <c r="J37" s="23" t="n">
        <v>1</v>
      </c>
      <c r="K37" s="23" t="s">
        <v>7</v>
      </c>
    </row>
    <row r="38" customFormat="false" ht="15" hidden="false" customHeight="false" outlineLevel="0" collapsed="false">
      <c r="A38" s="23" t="n">
        <f aca="false">RANDBETWEEN(2,164)</f>
        <v>123</v>
      </c>
      <c r="B38" s="23" t="e">
        <f aca="false" t="array" ref="B38:B38">INDEX([1]data_dbd!$b:$b,$A38)</f>
        <v>#NAME?</v>
      </c>
      <c r="C38" s="23" t="e">
        <f aca="false" t="array" ref="C38:C38">INDEX([1]data_dbd!$e:$e,$A38)</f>
        <v>#NAME?</v>
      </c>
      <c r="D38" s="23" t="e">
        <f aca="false" t="array" ref="D38:D38">INDEX([1]data_dbd!$f:$f,$A38)</f>
        <v>#NAME?</v>
      </c>
      <c r="E38" s="30"/>
      <c r="H38" s="23" t="n">
        <v>69</v>
      </c>
      <c r="I38" s="23" t="n">
        <v>24</v>
      </c>
      <c r="J38" s="23" t="n">
        <v>1</v>
      </c>
      <c r="K38" s="23" t="s">
        <v>7</v>
      </c>
    </row>
    <row r="39" customFormat="false" ht="15" hidden="false" customHeight="false" outlineLevel="0" collapsed="false">
      <c r="A39" s="23" t="n">
        <f aca="false">RANDBETWEEN(2,164)</f>
        <v>32</v>
      </c>
      <c r="B39" s="23" t="e">
        <f aca="false" t="array" ref="B39:B39">INDEX([1]data_dbd!$b:$b,$A39)</f>
        <v>#NAME?</v>
      </c>
      <c r="C39" s="23" t="e">
        <f aca="false" t="array" ref="C39:C39">INDEX([1]data_dbd!$e:$e,$A39)</f>
        <v>#NAME?</v>
      </c>
      <c r="D39" s="23" t="e">
        <f aca="false" t="array" ref="D39:D39">INDEX([1]data_dbd!$f:$f,$A39)</f>
        <v>#NAME?</v>
      </c>
      <c r="E39" s="30"/>
      <c r="H39" s="23" t="n">
        <v>60</v>
      </c>
      <c r="I39" s="23" t="n">
        <v>68</v>
      </c>
      <c r="J39" s="23" t="n">
        <v>0</v>
      </c>
      <c r="K39" s="23" t="s">
        <v>7</v>
      </c>
    </row>
    <row r="40" customFormat="false" ht="15" hidden="false" customHeight="false" outlineLevel="0" collapsed="false">
      <c r="A40" s="23" t="n">
        <f aca="false">RANDBETWEEN(2,164)</f>
        <v>61</v>
      </c>
      <c r="B40" s="23" t="e">
        <f aca="false" t="array" ref="B40:B40">INDEX([1]data_dbd!$b:$b,$A40)</f>
        <v>#NAME?</v>
      </c>
      <c r="C40" s="23" t="e">
        <f aca="false" t="array" ref="C40:C40">INDEX([1]data_dbd!$e:$e,$A40)</f>
        <v>#NAME?</v>
      </c>
      <c r="D40" s="23" t="e">
        <f aca="false" t="array" ref="D40:D40">INDEX([1]data_dbd!$f:$f,$A40)</f>
        <v>#NAME?</v>
      </c>
      <c r="E40" s="30"/>
      <c r="H40" s="23" t="n">
        <v>17</v>
      </c>
      <c r="I40" s="23" t="n">
        <v>2</v>
      </c>
      <c r="J40" s="23" t="n">
        <v>0</v>
      </c>
      <c r="K40" s="23" t="s">
        <v>20</v>
      </c>
    </row>
    <row r="41" customFormat="false" ht="15" hidden="false" customHeight="false" outlineLevel="0" collapsed="false">
      <c r="A41" s="23" t="n">
        <f aca="false">RANDBETWEEN(2,164)</f>
        <v>101</v>
      </c>
      <c r="B41" s="23" t="e">
        <f aca="false" t="array" ref="B41:B41">INDEX([1]data_dbd!$b:$b,$A41)</f>
        <v>#NAME?</v>
      </c>
      <c r="C41" s="23" t="e">
        <f aca="false" t="array" ref="C41:C41">INDEX([1]data_dbd!$e:$e,$A41)</f>
        <v>#NAME?</v>
      </c>
      <c r="D41" s="23" t="e">
        <f aca="false" t="array" ref="D41:D41">INDEX([1]data_dbd!$f:$f,$A41)</f>
        <v>#NAME?</v>
      </c>
      <c r="E41" s="30"/>
      <c r="H41" s="23" t="n">
        <v>47</v>
      </c>
      <c r="I41" s="23" t="n">
        <v>19</v>
      </c>
      <c r="J41" s="23" t="n">
        <v>0</v>
      </c>
      <c r="K41" s="23" t="s">
        <v>7</v>
      </c>
    </row>
    <row r="42" customFormat="false" ht="15" hidden="false" customHeight="false" outlineLevel="0" collapsed="false">
      <c r="A42" s="23" t="n">
        <f aca="false">RANDBETWEEN(2,164)</f>
        <v>9</v>
      </c>
      <c r="B42" s="23" t="e">
        <f aca="false" t="array" ref="B42:B42">INDEX([1]data_dbd!$b:$b,$A42)</f>
        <v>#NAME?</v>
      </c>
      <c r="C42" s="23" t="e">
        <f aca="false" t="array" ref="C42:C42">INDEX([1]data_dbd!$e:$e,$A42)</f>
        <v>#NAME?</v>
      </c>
      <c r="D42" s="23" t="e">
        <f aca="false" t="array" ref="D42:D42">INDEX([1]data_dbd!$f:$f,$A42)</f>
        <v>#NAME?</v>
      </c>
      <c r="E42" s="30"/>
      <c r="H42" s="23" t="n">
        <v>130</v>
      </c>
      <c r="I42" s="23" t="n">
        <v>12</v>
      </c>
      <c r="J42" s="23" t="n">
        <v>0</v>
      </c>
      <c r="K42" s="23" t="s">
        <v>115</v>
      </c>
    </row>
    <row r="43" customFormat="false" ht="15" hidden="false" customHeight="false" outlineLevel="0" collapsed="false">
      <c r="A43" s="23" t="n">
        <f aca="false">RANDBETWEEN(2,164)</f>
        <v>144</v>
      </c>
      <c r="B43" s="23" t="e">
        <f aca="false" t="array" ref="B43:B43">INDEX([1]data_dbd!$b:$b,$A43)</f>
        <v>#NAME?</v>
      </c>
      <c r="C43" s="23" t="e">
        <f aca="false" t="array" ref="C43:C43">INDEX([1]data_dbd!$e:$e,$A43)</f>
        <v>#NAME?</v>
      </c>
      <c r="D43" s="23" t="e">
        <f aca="false" t="array" ref="D43:D43">INDEX([1]data_dbd!$f:$f,$A43)</f>
        <v>#NAME?</v>
      </c>
      <c r="E43" s="30"/>
      <c r="H43" s="23" t="n">
        <v>146</v>
      </c>
      <c r="I43" s="23" t="n">
        <v>34</v>
      </c>
      <c r="J43" s="23" t="n">
        <v>1</v>
      </c>
      <c r="K43" s="23" t="s">
        <v>115</v>
      </c>
    </row>
    <row r="44" customFormat="false" ht="15" hidden="false" customHeight="false" outlineLevel="0" collapsed="false">
      <c r="A44" s="23" t="n">
        <f aca="false">RANDBETWEEN(2,164)</f>
        <v>81</v>
      </c>
      <c r="B44" s="23" t="e">
        <f aca="false" t="array" ref="B44:B44">INDEX([1]data_dbd!$b:$b,$A44)</f>
        <v>#NAME?</v>
      </c>
      <c r="C44" s="23" t="e">
        <f aca="false" t="array" ref="C44:C44">INDEX([1]data_dbd!$e:$e,$A44)</f>
        <v>#NAME?</v>
      </c>
      <c r="D44" s="23" t="e">
        <f aca="false" t="array" ref="D44:D44">INDEX([1]data_dbd!$f:$f,$A44)</f>
        <v>#NAME?</v>
      </c>
      <c r="E44" s="30"/>
      <c r="H44" s="23" t="n">
        <v>149</v>
      </c>
      <c r="I44" s="23" t="n">
        <v>19</v>
      </c>
      <c r="J44" s="23" t="n">
        <v>0</v>
      </c>
      <c r="K44" s="23" t="s">
        <v>115</v>
      </c>
    </row>
    <row r="45" customFormat="false" ht="15" hidden="false" customHeight="false" outlineLevel="0" collapsed="false">
      <c r="A45" s="23" t="n">
        <f aca="false">RANDBETWEEN(2,164)</f>
        <v>30</v>
      </c>
      <c r="B45" s="23" t="e">
        <f aca="false" t="array" ref="B45:B45">INDEX([1]data_dbd!$b:$b,$A45)</f>
        <v>#NAME?</v>
      </c>
      <c r="C45" s="23" t="e">
        <f aca="false" t="array" ref="C45:C45">INDEX([1]data_dbd!$e:$e,$A45)</f>
        <v>#NAME?</v>
      </c>
      <c r="D45" s="23" t="e">
        <f aca="false" t="array" ref="D45:D45">INDEX([1]data_dbd!$f:$f,$A45)</f>
        <v>#NAME?</v>
      </c>
      <c r="E45" s="30"/>
      <c r="H45" s="23" t="n">
        <v>50</v>
      </c>
      <c r="I45" s="23" t="n">
        <v>19</v>
      </c>
      <c r="J45" s="23" t="n">
        <v>0</v>
      </c>
      <c r="K45" s="23" t="s">
        <v>7</v>
      </c>
    </row>
    <row r="46" customFormat="false" ht="15" hidden="false" customHeight="false" outlineLevel="0" collapsed="false">
      <c r="A46" s="23" t="n">
        <f aca="false">RANDBETWEEN(2,164)</f>
        <v>139</v>
      </c>
      <c r="B46" s="23" t="e">
        <f aca="false" t="array" ref="B46:B46">INDEX([1]data_dbd!$b:$b,$A46)</f>
        <v>#NAME?</v>
      </c>
      <c r="C46" s="23" t="e">
        <f aca="false" t="array" ref="C46:C46">INDEX([1]data_dbd!$e:$e,$A46)</f>
        <v>#NAME?</v>
      </c>
      <c r="D46" s="23" t="e">
        <f aca="false" t="array" ref="D46:D46">INDEX([1]data_dbd!$f:$f,$A46)</f>
        <v>#NAME?</v>
      </c>
      <c r="E46" s="30"/>
      <c r="H46" s="23" t="n">
        <v>53</v>
      </c>
      <c r="I46" s="23" t="n">
        <v>35</v>
      </c>
      <c r="J46" s="23" t="n">
        <v>1</v>
      </c>
      <c r="K46" s="23" t="s">
        <v>7</v>
      </c>
    </row>
    <row r="47" customFormat="false" ht="15" hidden="false" customHeight="false" outlineLevel="0" collapsed="false">
      <c r="A47" s="23" t="n">
        <f aca="false">RANDBETWEEN(2,164)</f>
        <v>142</v>
      </c>
      <c r="B47" s="23" t="e">
        <f aca="false" t="array" ref="B47:B47">INDEX([1]data_dbd!$b:$b,$A47)</f>
        <v>#NAME?</v>
      </c>
      <c r="C47" s="23" t="e">
        <f aca="false" t="array" ref="C47:C47">INDEX([1]data_dbd!$e:$e,$A47)</f>
        <v>#NAME?</v>
      </c>
      <c r="D47" s="23" t="e">
        <f aca="false" t="array" ref="D47:D47">INDEX([1]data_dbd!$f:$f,$A47)</f>
        <v>#NAME?</v>
      </c>
      <c r="E47" s="30"/>
      <c r="H47" s="23" t="n">
        <v>153</v>
      </c>
      <c r="I47" s="23" t="n">
        <v>73</v>
      </c>
      <c r="J47" s="23" t="n">
        <v>1</v>
      </c>
      <c r="K47" s="23" t="s">
        <v>115</v>
      </c>
    </row>
    <row r="48" customFormat="false" ht="15" hidden="false" customHeight="false" outlineLevel="0" collapsed="false">
      <c r="A48" s="23" t="n">
        <f aca="false">RANDBETWEEN(2,164)</f>
        <v>111</v>
      </c>
      <c r="B48" s="23" t="e">
        <f aca="false" t="array" ref="B48:B48">INDEX([1]data_dbd!$b:$b,$A48)</f>
        <v>#NAME?</v>
      </c>
      <c r="C48" s="23" t="e">
        <f aca="false" t="array" ref="C48:C48">INDEX([1]data_dbd!$e:$e,$A48)</f>
        <v>#NAME?</v>
      </c>
      <c r="D48" s="23" t="e">
        <f aca="false" t="array" ref="D48:D48">INDEX([1]data_dbd!$f:$f,$A48)</f>
        <v>#NAME?</v>
      </c>
      <c r="E48" s="30"/>
      <c r="H48" s="23" t="n">
        <v>93</v>
      </c>
      <c r="I48" s="23" t="n">
        <v>65</v>
      </c>
      <c r="J48" s="23" t="n">
        <v>0</v>
      </c>
      <c r="K48" s="23" t="s">
        <v>115</v>
      </c>
    </row>
    <row r="49" customFormat="false" ht="15" hidden="false" customHeight="false" outlineLevel="0" collapsed="false">
      <c r="A49" s="23" t="n">
        <f aca="false">RANDBETWEEN(2,164)</f>
        <v>64</v>
      </c>
      <c r="B49" s="23" t="e">
        <f aca="false" t="array" ref="B49:B49">INDEX([1]data_dbd!$b:$b,$A49)</f>
        <v>#NAME?</v>
      </c>
      <c r="C49" s="23" t="e">
        <f aca="false" t="array" ref="C49:C49">INDEX([1]data_dbd!$e:$e,$A49)</f>
        <v>#NAME?</v>
      </c>
      <c r="D49" s="23" t="e">
        <f aca="false" t="array" ref="D49:D49">INDEX([1]data_dbd!$f:$f,$A49)</f>
        <v>#NAME?</v>
      </c>
      <c r="E49" s="30"/>
      <c r="H49" s="23" t="n">
        <v>119</v>
      </c>
      <c r="I49" s="23" t="n">
        <v>30</v>
      </c>
      <c r="J49" s="23" t="n">
        <v>0</v>
      </c>
      <c r="K49" s="23" t="s">
        <v>115</v>
      </c>
    </row>
    <row r="50" customFormat="false" ht="15" hidden="false" customHeight="false" outlineLevel="0" collapsed="false">
      <c r="A50" s="23" t="n">
        <f aca="false">RANDBETWEEN(2,164)</f>
        <v>132</v>
      </c>
      <c r="B50" s="23" t="e">
        <f aca="false" t="array" ref="B50:B50">INDEX([1]data_dbd!$b:$b,$A50)</f>
        <v>#NAME?</v>
      </c>
      <c r="C50" s="23" t="e">
        <f aca="false" t="array" ref="C50:C50">INDEX([1]data_dbd!$e:$e,$A50)</f>
        <v>#NAME?</v>
      </c>
      <c r="D50" s="23" t="e">
        <f aca="false" t="array" ref="D50:D50">INDEX([1]data_dbd!$f:$f,$A50)</f>
        <v>#NAME?</v>
      </c>
      <c r="E50" s="30"/>
      <c r="H50" s="23" t="n">
        <v>130</v>
      </c>
      <c r="I50" s="23" t="n">
        <v>12</v>
      </c>
      <c r="J50" s="23" t="n">
        <v>0</v>
      </c>
      <c r="K50" s="23" t="s">
        <v>115</v>
      </c>
    </row>
    <row r="51" customFormat="false" ht="15" hidden="false" customHeight="false" outlineLevel="0" collapsed="false">
      <c r="A51" s="23" t="n">
        <f aca="false">RANDBETWEEN(2,164)</f>
        <v>143</v>
      </c>
      <c r="B51" s="23" t="e">
        <f aca="false" t="array" ref="B51:B51">INDEX([1]data_dbd!$b:$b,$A51)</f>
        <v>#NAME?</v>
      </c>
      <c r="C51" s="23" t="e">
        <f aca="false" t="array" ref="C51:C51">INDEX([1]data_dbd!$e:$e,$A51)</f>
        <v>#NAME?</v>
      </c>
      <c r="D51" s="23" t="e">
        <f aca="false" t="array" ref="D51:D51">INDEX([1]data_dbd!$f:$f,$A51)</f>
        <v>#NAME?</v>
      </c>
      <c r="E51" s="30"/>
      <c r="H51" s="23" t="n">
        <v>18</v>
      </c>
      <c r="I51" s="23" t="n">
        <v>49</v>
      </c>
      <c r="J51" s="23" t="n">
        <v>1</v>
      </c>
      <c r="K51" s="23" t="s">
        <v>20</v>
      </c>
    </row>
    <row r="52" customFormat="false" ht="15" hidden="false" customHeight="false" outlineLevel="0" collapsed="false">
      <c r="A52" s="23" t="n">
        <f aca="false">RANDBETWEEN(2,164)</f>
        <v>144</v>
      </c>
      <c r="B52" s="23" t="e">
        <f aca="false" t="array" ref="B52:B52">INDEX([1]data_dbd!$b:$b,$A52)</f>
        <v>#NAME?</v>
      </c>
      <c r="C52" s="23" t="e">
        <f aca="false" t="array" ref="C52:C52">INDEX([1]data_dbd!$e:$e,$A52)</f>
        <v>#NAME?</v>
      </c>
      <c r="D52" s="23" t="e">
        <f aca="false" t="array" ref="D52:D52">INDEX([1]data_dbd!$f:$f,$A52)</f>
        <v>#NAME?</v>
      </c>
      <c r="E52" s="30"/>
      <c r="H52" s="23" t="n">
        <v>37</v>
      </c>
      <c r="I52" s="23" t="n">
        <v>28</v>
      </c>
      <c r="J52" s="23" t="n">
        <v>1</v>
      </c>
      <c r="K52" s="23" t="s">
        <v>20</v>
      </c>
    </row>
    <row r="53" customFormat="false" ht="15" hidden="false" customHeight="false" outlineLevel="0" collapsed="false">
      <c r="A53" s="23" t="n">
        <f aca="false">RANDBETWEEN(2,164)</f>
        <v>100</v>
      </c>
      <c r="B53" s="23" t="e">
        <f aca="false" t="array" ref="B53:B53">INDEX([1]data_dbd!$b:$b,$A53)</f>
        <v>#NAME?</v>
      </c>
      <c r="C53" s="23" t="e">
        <f aca="false" t="array" ref="C53:C53">INDEX([1]data_dbd!$e:$e,$A53)</f>
        <v>#NAME?</v>
      </c>
      <c r="D53" s="23" t="e">
        <f aca="false" t="array" ref="D53:D53">INDEX([1]data_dbd!$f:$f,$A53)</f>
        <v>#NAME?</v>
      </c>
      <c r="E53" s="30"/>
      <c r="H53" s="23" t="n">
        <v>126</v>
      </c>
      <c r="I53" s="23" t="n">
        <v>51</v>
      </c>
      <c r="J53" s="23" t="n">
        <v>1</v>
      </c>
      <c r="K53" s="23" t="s">
        <v>115</v>
      </c>
    </row>
    <row r="54" customFormat="false" ht="15" hidden="false" customHeight="false" outlineLevel="0" collapsed="false">
      <c r="A54" s="23" t="n">
        <f aca="false">RANDBETWEEN(2,164)</f>
        <v>13</v>
      </c>
      <c r="B54" s="23" t="e">
        <f aca="false" t="array" ref="B54:B54">INDEX([1]data_dbd!$b:$b,$A54)</f>
        <v>#NAME?</v>
      </c>
      <c r="C54" s="23" t="e">
        <f aca="false" t="array" ref="C54:C54">INDEX([1]data_dbd!$e:$e,$A54)</f>
        <v>#NAME?</v>
      </c>
      <c r="D54" s="23" t="e">
        <f aca="false" t="array" ref="D54:D54">INDEX([1]data_dbd!$f:$f,$A54)</f>
        <v>#NAME?</v>
      </c>
      <c r="E54" s="30"/>
      <c r="H54" s="23" t="n">
        <v>104</v>
      </c>
      <c r="I54" s="23" t="n">
        <v>37</v>
      </c>
      <c r="J54" s="23" t="n">
        <v>1</v>
      </c>
      <c r="K54" s="23" t="s">
        <v>115</v>
      </c>
    </row>
    <row r="55" customFormat="false" ht="15" hidden="false" customHeight="false" outlineLevel="0" collapsed="false">
      <c r="A55" s="23" t="n">
        <f aca="false">RANDBETWEEN(2,164)</f>
        <v>159</v>
      </c>
      <c r="B55" s="23" t="e">
        <f aca="false" t="array" ref="B55:B55">INDEX([1]data_dbd!$b:$b,$A55)</f>
        <v>#NAME?</v>
      </c>
      <c r="C55" s="23" t="e">
        <f aca="false" t="array" ref="C55:C55">INDEX([1]data_dbd!$e:$e,$A55)</f>
        <v>#NAME?</v>
      </c>
      <c r="D55" s="23" t="e">
        <f aca="false" t="array" ref="D55:D55">INDEX([1]data_dbd!$f:$f,$A55)</f>
        <v>#NAME?</v>
      </c>
      <c r="E55" s="30"/>
      <c r="H55" s="23" t="n">
        <v>12</v>
      </c>
      <c r="I55" s="23" t="n">
        <v>23</v>
      </c>
      <c r="J55" s="23" t="n">
        <v>0</v>
      </c>
      <c r="K55" s="23" t="s">
        <v>7</v>
      </c>
    </row>
    <row r="56" customFormat="false" ht="15" hidden="false" customHeight="false" outlineLevel="0" collapsed="false">
      <c r="A56" s="23" t="n">
        <f aca="false">RANDBETWEEN(2,164)</f>
        <v>91</v>
      </c>
      <c r="B56" s="23" t="e">
        <f aca="false" t="array" ref="B56:B56">INDEX([1]data_dbd!$b:$b,$A56)</f>
        <v>#NAME?</v>
      </c>
      <c r="C56" s="23" t="e">
        <f aca="false" t="array" ref="C56:C56">INDEX([1]data_dbd!$e:$e,$A56)</f>
        <v>#NAME?</v>
      </c>
      <c r="D56" s="23" t="e">
        <f aca="false" t="array" ref="D56:D56">INDEX([1]data_dbd!$f:$f,$A56)</f>
        <v>#NAME?</v>
      </c>
      <c r="E56" s="30"/>
      <c r="H56" s="23" t="n">
        <v>89</v>
      </c>
      <c r="I56" s="23" t="n">
        <v>32</v>
      </c>
      <c r="J56" s="23" t="n">
        <v>0</v>
      </c>
      <c r="K56" s="23" t="s">
        <v>7</v>
      </c>
    </row>
    <row r="57" customFormat="false" ht="15" hidden="false" customHeight="false" outlineLevel="0" collapsed="false">
      <c r="A57" s="23" t="n">
        <f aca="false">RANDBETWEEN(2,164)</f>
        <v>145</v>
      </c>
      <c r="B57" s="23" t="e">
        <f aca="false" t="array" ref="B57:B57">INDEX([1]data_dbd!$b:$b,$A57)</f>
        <v>#NAME?</v>
      </c>
      <c r="C57" s="23" t="e">
        <f aca="false" t="array" ref="C57:C57">INDEX([1]data_dbd!$e:$e,$A57)</f>
        <v>#NAME?</v>
      </c>
      <c r="D57" s="23" t="e">
        <f aca="false" t="array" ref="D57:D57">INDEX([1]data_dbd!$f:$f,$A57)</f>
        <v>#NAME?</v>
      </c>
      <c r="E57" s="30"/>
      <c r="H57" s="23" t="n">
        <v>94</v>
      </c>
      <c r="I57" s="23" t="n">
        <v>12</v>
      </c>
      <c r="J57" s="23" t="n">
        <v>0</v>
      </c>
      <c r="K57" s="23" t="s">
        <v>115</v>
      </c>
    </row>
    <row r="58" customFormat="false" ht="15" hidden="false" customHeight="false" outlineLevel="0" collapsed="false">
      <c r="A58" s="23" t="n">
        <f aca="false">RANDBETWEEN(2,164)</f>
        <v>83</v>
      </c>
      <c r="B58" s="23" t="e">
        <f aca="false" t="array" ref="B58:B58">INDEX([1]data_dbd!$b:$b,$A58)</f>
        <v>#NAME?</v>
      </c>
      <c r="C58" s="23" t="e">
        <f aca="false" t="array" ref="C58:C58">INDEX([1]data_dbd!$e:$e,$A58)</f>
        <v>#NAME?</v>
      </c>
      <c r="D58" s="23" t="e">
        <f aca="false" t="array" ref="D58:D58">INDEX([1]data_dbd!$f:$f,$A58)</f>
        <v>#NAME?</v>
      </c>
      <c r="E58" s="30"/>
      <c r="H58" s="23" t="n">
        <v>40</v>
      </c>
      <c r="I58" s="23" t="n">
        <v>65</v>
      </c>
      <c r="J58" s="23" t="n">
        <v>1</v>
      </c>
      <c r="K58" s="23" t="s">
        <v>7</v>
      </c>
    </row>
    <row r="59" customFormat="false" ht="15" hidden="false" customHeight="false" outlineLevel="0" collapsed="false">
      <c r="A59" s="23" t="n">
        <f aca="false">RANDBETWEEN(2,164)</f>
        <v>17</v>
      </c>
      <c r="B59" s="23" t="e">
        <f aca="false" t="array" ref="B59:B59">INDEX([1]data_dbd!$b:$b,$A59)</f>
        <v>#NAME?</v>
      </c>
      <c r="C59" s="23" t="e">
        <f aca="false" t="array" ref="C59:C59">INDEX([1]data_dbd!$e:$e,$A59)</f>
        <v>#NAME?</v>
      </c>
      <c r="D59" s="23" t="e">
        <f aca="false" t="array" ref="D59:D59">INDEX([1]data_dbd!$f:$f,$A59)</f>
        <v>#NAME?</v>
      </c>
      <c r="E59" s="30"/>
      <c r="H59" s="23" t="n">
        <v>89</v>
      </c>
      <c r="I59" s="23" t="n">
        <v>32</v>
      </c>
      <c r="J59" s="23" t="n">
        <v>0</v>
      </c>
      <c r="K59" s="23" t="s">
        <v>7</v>
      </c>
    </row>
    <row r="60" customFormat="false" ht="15" hidden="false" customHeight="false" outlineLevel="0" collapsed="false">
      <c r="A60" s="23" t="n">
        <f aca="false">RANDBETWEEN(2,164)</f>
        <v>39</v>
      </c>
      <c r="B60" s="23" t="e">
        <f aca="false" t="array" ref="B60:B60">INDEX([1]data_dbd!$b:$b,$A60)</f>
        <v>#NAME?</v>
      </c>
      <c r="C60" s="23" t="e">
        <f aca="false" t="array" ref="C60:C60">INDEX([1]data_dbd!$e:$e,$A60)</f>
        <v>#NAME?</v>
      </c>
      <c r="D60" s="23" t="e">
        <f aca="false" t="array" ref="D60:D60">INDEX([1]data_dbd!$f:$f,$A60)</f>
        <v>#NAME?</v>
      </c>
      <c r="E60" s="30"/>
      <c r="H60" s="23" t="n">
        <v>88</v>
      </c>
      <c r="I60" s="23" t="n">
        <v>20</v>
      </c>
      <c r="J60" s="23" t="n">
        <v>1</v>
      </c>
      <c r="K60" s="23" t="s">
        <v>7</v>
      </c>
    </row>
    <row r="61" customFormat="false" ht="15" hidden="false" customHeight="false" outlineLevel="0" collapsed="false">
      <c r="A61" s="23" t="n">
        <f aca="false">RANDBETWEEN(2,164)</f>
        <v>94</v>
      </c>
      <c r="B61" s="23" t="e">
        <f aca="false" t="array" ref="B61:B61">INDEX([1]data_dbd!$b:$b,$A61)</f>
        <v>#NAME?</v>
      </c>
      <c r="C61" s="23" t="e">
        <f aca="false" t="array" ref="C61:C61">INDEX([1]data_dbd!$e:$e,$A61)</f>
        <v>#NAME?</v>
      </c>
      <c r="D61" s="23" t="e">
        <f aca="false" t="array" ref="D61:D61">INDEX([1]data_dbd!$f:$f,$A61)</f>
        <v>#NAME?</v>
      </c>
      <c r="E61" s="30"/>
      <c r="H61" s="23" t="n">
        <v>155</v>
      </c>
      <c r="I61" s="23" t="n">
        <v>19</v>
      </c>
      <c r="J61" s="23" t="n">
        <v>1</v>
      </c>
      <c r="K61" s="23" t="s">
        <v>115</v>
      </c>
    </row>
    <row r="62" customFormat="false" ht="15" hidden="false" customHeight="false" outlineLevel="0" collapsed="false">
      <c r="A62" s="23" t="n">
        <f aca="false">RANDBETWEEN(2,164)</f>
        <v>7</v>
      </c>
      <c r="B62" s="23" t="e">
        <f aca="false" t="array" ref="B62:B62">INDEX([1]data_dbd!$b:$b,$A62)</f>
        <v>#NAME?</v>
      </c>
      <c r="C62" s="23" t="e">
        <f aca="false" t="array" ref="C62:C62">INDEX([1]data_dbd!$e:$e,$A62)</f>
        <v>#NAME?</v>
      </c>
      <c r="D62" s="23" t="e">
        <f aca="false" t="array" ref="D62:D62">INDEX([1]data_dbd!$f:$f,$A62)</f>
        <v>#NAME?</v>
      </c>
      <c r="E62" s="30"/>
      <c r="H62" s="23" t="n">
        <v>27</v>
      </c>
      <c r="I62" s="23" t="n">
        <v>37</v>
      </c>
      <c r="J62" s="23" t="n">
        <v>1</v>
      </c>
      <c r="K62" s="23" t="s">
        <v>7</v>
      </c>
    </row>
    <row r="63" customFormat="false" ht="15" hidden="false" customHeight="false" outlineLevel="0" collapsed="false">
      <c r="A63" s="23" t="n">
        <f aca="false">RANDBETWEEN(2,164)</f>
        <v>123</v>
      </c>
      <c r="B63" s="23" t="e">
        <f aca="false" t="array" ref="B63:B63">INDEX([1]data_dbd!$b:$b,$A63)</f>
        <v>#NAME?</v>
      </c>
      <c r="C63" s="23" t="e">
        <f aca="false" t="array" ref="C63:C63">INDEX([1]data_dbd!$e:$e,$A63)</f>
        <v>#NAME?</v>
      </c>
      <c r="D63" s="23" t="e">
        <f aca="false" t="array" ref="D63:D63">INDEX([1]data_dbd!$f:$f,$A63)</f>
        <v>#NAME?</v>
      </c>
      <c r="E63" s="30"/>
      <c r="H63" s="23" t="n">
        <v>57</v>
      </c>
      <c r="I63" s="23" t="n">
        <v>2</v>
      </c>
      <c r="J63" s="23" t="n">
        <v>1</v>
      </c>
      <c r="K63" s="23" t="s">
        <v>7</v>
      </c>
    </row>
    <row r="64" customFormat="false" ht="15" hidden="false" customHeight="false" outlineLevel="0" collapsed="false">
      <c r="A64" s="23" t="n">
        <f aca="false">RANDBETWEEN(2,164)</f>
        <v>115</v>
      </c>
      <c r="B64" s="23" t="e">
        <f aca="false" t="array" ref="B64:B64">INDEX([1]data_dbd!$b:$b,$A64)</f>
        <v>#NAME?</v>
      </c>
      <c r="C64" s="23" t="e">
        <f aca="false" t="array" ref="C64:C64">INDEX([1]data_dbd!$e:$e,$A64)</f>
        <v>#NAME?</v>
      </c>
      <c r="D64" s="23" t="e">
        <f aca="false" t="array" ref="D64:D64">INDEX([1]data_dbd!$f:$f,$A64)</f>
        <v>#NAME?</v>
      </c>
      <c r="E64" s="30"/>
      <c r="H64" s="23" t="n">
        <v>53</v>
      </c>
      <c r="I64" s="23" t="n">
        <v>35</v>
      </c>
      <c r="J64" s="23" t="n">
        <v>1</v>
      </c>
      <c r="K64" s="23" t="s">
        <v>7</v>
      </c>
    </row>
    <row r="65" customFormat="false" ht="15" hidden="false" customHeight="false" outlineLevel="0" collapsed="false">
      <c r="A65" s="23" t="n">
        <f aca="false">RANDBETWEEN(2,164)</f>
        <v>115</v>
      </c>
      <c r="B65" s="23" t="e">
        <f aca="false" t="array" ref="B65:B65">INDEX([1]data_dbd!$b:$b,$A65)</f>
        <v>#NAME?</v>
      </c>
      <c r="C65" s="23" t="e">
        <f aca="false" t="array" ref="C65:C65">INDEX([1]data_dbd!$e:$e,$A65)</f>
        <v>#NAME?</v>
      </c>
      <c r="D65" s="23" t="e">
        <f aca="false" t="array" ref="D65:D65">INDEX([1]data_dbd!$f:$f,$A65)</f>
        <v>#NAME?</v>
      </c>
      <c r="E65" s="30"/>
      <c r="H65" s="23" t="n">
        <v>154</v>
      </c>
      <c r="I65" s="23" t="n">
        <v>18</v>
      </c>
      <c r="J65" s="23" t="n">
        <v>1</v>
      </c>
      <c r="K65" s="23" t="s">
        <v>115</v>
      </c>
    </row>
    <row r="66" customFormat="false" ht="15" hidden="false" customHeight="false" outlineLevel="0" collapsed="false">
      <c r="A66" s="23" t="n">
        <f aca="false">RANDBETWEEN(2,164)</f>
        <v>60</v>
      </c>
      <c r="B66" s="23" t="e">
        <f aca="false" t="array" ref="B66:B66">INDEX([1]data_dbd!$b:$b,$A66)</f>
        <v>#NAME?</v>
      </c>
      <c r="C66" s="23" t="e">
        <f aca="false" t="array" ref="C66:C66">INDEX([1]data_dbd!$e:$e,$A66)</f>
        <v>#NAME?</v>
      </c>
      <c r="D66" s="23" t="e">
        <f aca="false" t="array" ref="D66:D66">INDEX([1]data_dbd!$f:$f,$A66)</f>
        <v>#NAME?</v>
      </c>
      <c r="E66" s="30"/>
      <c r="H66" s="23" t="n">
        <v>57</v>
      </c>
      <c r="I66" s="23" t="n">
        <v>2</v>
      </c>
      <c r="J66" s="23" t="n">
        <v>1</v>
      </c>
      <c r="K66" s="23" t="s">
        <v>7</v>
      </c>
    </row>
    <row r="67" customFormat="false" ht="15" hidden="false" customHeight="false" outlineLevel="0" collapsed="false">
      <c r="A67" s="23" t="n">
        <f aca="false">RANDBETWEEN(2,164)</f>
        <v>151</v>
      </c>
      <c r="B67" s="23" t="e">
        <f aca="false" t="array" ref="B67:B67">INDEX([1]data_dbd!$b:$b,$A67)</f>
        <v>#NAME?</v>
      </c>
      <c r="C67" s="23" t="e">
        <f aca="false" t="array" ref="C67:C67">INDEX([1]data_dbd!$e:$e,$A67)</f>
        <v>#NAME?</v>
      </c>
      <c r="D67" s="23" t="e">
        <f aca="false" t="array" ref="D67:D67">INDEX([1]data_dbd!$f:$f,$A67)</f>
        <v>#NAME?</v>
      </c>
      <c r="E67" s="30"/>
      <c r="H67" s="23" t="n">
        <v>142</v>
      </c>
      <c r="I67" s="23" t="n">
        <v>39</v>
      </c>
      <c r="J67" s="23" t="n">
        <v>1</v>
      </c>
      <c r="K67" s="23" t="s">
        <v>115</v>
      </c>
    </row>
    <row r="68" customFormat="false" ht="15" hidden="false" customHeight="false" outlineLevel="0" collapsed="false">
      <c r="A68" s="23" t="n">
        <f aca="false">RANDBETWEEN(2,164)</f>
        <v>130</v>
      </c>
      <c r="B68" s="23" t="e">
        <f aca="false" t="array" ref="B68:B68">INDEX([1]data_dbd!$b:$b,$A68)</f>
        <v>#NAME?</v>
      </c>
      <c r="C68" s="23" t="e">
        <f aca="false" t="array" ref="C68:C68">INDEX([1]data_dbd!$e:$e,$A68)</f>
        <v>#NAME?</v>
      </c>
      <c r="D68" s="23" t="e">
        <f aca="false" t="array" ref="D68:D68">INDEX([1]data_dbd!$f:$f,$A68)</f>
        <v>#NAME?</v>
      </c>
      <c r="E68" s="30"/>
      <c r="H68" s="23" t="n">
        <v>17</v>
      </c>
      <c r="I68" s="23" t="n">
        <v>2</v>
      </c>
      <c r="J68" s="23" t="n">
        <v>0</v>
      </c>
      <c r="K68" s="23" t="s">
        <v>20</v>
      </c>
    </row>
    <row r="69" customFormat="false" ht="15" hidden="false" customHeight="false" outlineLevel="0" collapsed="false">
      <c r="A69" s="23" t="n">
        <f aca="false">RANDBETWEEN(2,164)</f>
        <v>81</v>
      </c>
      <c r="B69" s="23" t="e">
        <f aca="false" t="array" ref="B69:B69">INDEX([1]data_dbd!$b:$b,$A69)</f>
        <v>#NAME?</v>
      </c>
      <c r="C69" s="23" t="e">
        <f aca="false" t="array" ref="C69:C69">INDEX([1]data_dbd!$e:$e,$A69)</f>
        <v>#NAME?</v>
      </c>
      <c r="D69" s="23" t="e">
        <f aca="false" t="array" ref="D69:D69">INDEX([1]data_dbd!$f:$f,$A69)</f>
        <v>#NAME?</v>
      </c>
      <c r="E69" s="30"/>
      <c r="H69" s="23" t="n">
        <v>116</v>
      </c>
      <c r="I69" s="23" t="n">
        <v>32</v>
      </c>
      <c r="J69" s="23" t="n">
        <v>1</v>
      </c>
      <c r="K69" s="23" t="s">
        <v>115</v>
      </c>
    </row>
    <row r="70" customFormat="false" ht="15" hidden="false" customHeight="false" outlineLevel="0" collapsed="false">
      <c r="A70" s="23" t="n">
        <f aca="false">RANDBETWEEN(2,164)</f>
        <v>144</v>
      </c>
      <c r="B70" s="23" t="e">
        <f aca="false" t="array" ref="B70:B70">INDEX([1]data_dbd!$b:$b,$A70)</f>
        <v>#NAME?</v>
      </c>
      <c r="C70" s="23" t="e">
        <f aca="false" t="array" ref="C70:C70">INDEX([1]data_dbd!$e:$e,$A70)</f>
        <v>#NAME?</v>
      </c>
      <c r="D70" s="23" t="e">
        <f aca="false" t="array" ref="D70:D70">INDEX([1]data_dbd!$f:$f,$A70)</f>
        <v>#NAME?</v>
      </c>
      <c r="E70" s="30"/>
      <c r="H70" s="23" t="n">
        <v>52</v>
      </c>
      <c r="I70" s="23" t="n">
        <v>59</v>
      </c>
      <c r="J70" s="23" t="n">
        <v>1</v>
      </c>
      <c r="K70" s="23" t="s">
        <v>7</v>
      </c>
    </row>
    <row r="71" customFormat="false" ht="15" hidden="false" customHeight="false" outlineLevel="0" collapsed="false">
      <c r="A71" s="23" t="n">
        <f aca="false">RANDBETWEEN(2,164)</f>
        <v>157</v>
      </c>
      <c r="B71" s="23" t="e">
        <f aca="false" t="array" ref="B71:B71">INDEX([1]data_dbd!$b:$b,$A71)</f>
        <v>#NAME?</v>
      </c>
      <c r="C71" s="23" t="e">
        <f aca="false" t="array" ref="C71:C71">INDEX([1]data_dbd!$e:$e,$A71)</f>
        <v>#NAME?</v>
      </c>
      <c r="D71" s="23" t="e">
        <f aca="false" t="array" ref="D71:D71">INDEX([1]data_dbd!$f:$f,$A71)</f>
        <v>#NAME?</v>
      </c>
      <c r="E71" s="30"/>
      <c r="H71" s="23" t="n">
        <v>20</v>
      </c>
      <c r="I71" s="23" t="n">
        <v>15</v>
      </c>
      <c r="J71" s="23" t="n">
        <v>0</v>
      </c>
      <c r="K71" s="23" t="s">
        <v>20</v>
      </c>
    </row>
    <row r="72" customFormat="false" ht="15" hidden="false" customHeight="false" outlineLevel="0" collapsed="false">
      <c r="A72" s="23" t="n">
        <f aca="false">RANDBETWEEN(2,164)</f>
        <v>89</v>
      </c>
      <c r="B72" s="23" t="e">
        <f aca="false" t="array" ref="B72:B72">INDEX([1]data_dbd!$b:$b,$A72)</f>
        <v>#NAME?</v>
      </c>
      <c r="C72" s="23" t="e">
        <f aca="false" t="array" ref="C72:C72">INDEX([1]data_dbd!$e:$e,$A72)</f>
        <v>#NAME?</v>
      </c>
      <c r="D72" s="23" t="e">
        <f aca="false" t="array" ref="D72:D72">INDEX([1]data_dbd!$f:$f,$A72)</f>
        <v>#NAME?</v>
      </c>
      <c r="E72" s="30"/>
      <c r="H72" s="23" t="n">
        <v>160</v>
      </c>
      <c r="I72" s="23" t="n">
        <v>16</v>
      </c>
      <c r="J72" s="23" t="n">
        <v>0</v>
      </c>
      <c r="K72" s="23" t="s">
        <v>115</v>
      </c>
    </row>
    <row r="73" customFormat="false" ht="15" hidden="false" customHeight="false" outlineLevel="0" collapsed="false">
      <c r="A73" s="23" t="n">
        <f aca="false">RANDBETWEEN(2,164)</f>
        <v>118</v>
      </c>
      <c r="B73" s="23" t="e">
        <f aca="false" t="array" ref="B73:B73">INDEX([1]data_dbd!$b:$b,$A73)</f>
        <v>#NAME?</v>
      </c>
      <c r="C73" s="23" t="e">
        <f aca="false" t="array" ref="C73:C73">INDEX([1]data_dbd!$e:$e,$A73)</f>
        <v>#NAME?</v>
      </c>
      <c r="D73" s="23" t="e">
        <f aca="false" t="array" ref="D73:D73">INDEX([1]data_dbd!$f:$f,$A73)</f>
        <v>#NAME?</v>
      </c>
      <c r="E73" s="30"/>
      <c r="H73" s="23" t="n">
        <v>30</v>
      </c>
      <c r="I73" s="23" t="n">
        <v>3</v>
      </c>
      <c r="J73" s="23" t="n">
        <v>1</v>
      </c>
      <c r="K73" s="23" t="s">
        <v>7</v>
      </c>
    </row>
    <row r="74" customFormat="false" ht="15" hidden="false" customHeight="false" outlineLevel="0" collapsed="false">
      <c r="A74" s="23" t="n">
        <f aca="false">RANDBETWEEN(2,164)</f>
        <v>101</v>
      </c>
      <c r="B74" s="23" t="e">
        <f aca="false" t="array" ref="B74:B74">INDEX([1]data_dbd!$b:$b,$A74)</f>
        <v>#NAME?</v>
      </c>
      <c r="C74" s="23" t="e">
        <f aca="false" t="array" ref="C74:C74">INDEX([1]data_dbd!$e:$e,$A74)</f>
        <v>#NAME?</v>
      </c>
      <c r="D74" s="23" t="e">
        <f aca="false" t="array" ref="D74:D74">INDEX([1]data_dbd!$f:$f,$A74)</f>
        <v>#NAME?</v>
      </c>
      <c r="E74" s="30"/>
      <c r="H74" s="23" t="n">
        <v>121</v>
      </c>
      <c r="I74" s="23" t="n">
        <v>82</v>
      </c>
      <c r="J74" s="23" t="n">
        <v>1</v>
      </c>
      <c r="K74" s="23" t="s">
        <v>115</v>
      </c>
    </row>
    <row r="75" customFormat="false" ht="15" hidden="false" customHeight="false" outlineLevel="0" collapsed="false">
      <c r="A75" s="23" t="n">
        <f aca="false">RANDBETWEEN(2,164)</f>
        <v>157</v>
      </c>
      <c r="B75" s="23" t="e">
        <f aca="false" t="array" ref="B75:B75">INDEX([1]data_dbd!$b:$b,$A75)</f>
        <v>#NAME?</v>
      </c>
      <c r="C75" s="23" t="e">
        <f aca="false" t="array" ref="C75:C75">INDEX([1]data_dbd!$e:$e,$A75)</f>
        <v>#NAME?</v>
      </c>
      <c r="D75" s="23" t="e">
        <f aca="false" t="array" ref="D75:D75">INDEX([1]data_dbd!$f:$f,$A75)</f>
        <v>#NAME?</v>
      </c>
      <c r="E75" s="30"/>
      <c r="H75" s="23" t="n">
        <v>113</v>
      </c>
      <c r="I75" s="23" t="n">
        <v>69</v>
      </c>
      <c r="J75" s="23" t="n">
        <v>1</v>
      </c>
      <c r="K75" s="23" t="s">
        <v>115</v>
      </c>
    </row>
    <row r="76" customFormat="false" ht="15" hidden="false" customHeight="false" outlineLevel="0" collapsed="false">
      <c r="A76" s="23" t="n">
        <f aca="false">RANDBETWEEN(2,164)</f>
        <v>93</v>
      </c>
      <c r="B76" s="23" t="e">
        <f aca="false" t="array" ref="B76:B76">INDEX([1]data_dbd!$b:$b,$A76)</f>
        <v>#NAME?</v>
      </c>
      <c r="C76" s="23" t="e">
        <f aca="false" t="array" ref="C76:C76">INDEX([1]data_dbd!$e:$e,$A76)</f>
        <v>#NAME?</v>
      </c>
      <c r="D76" s="23" t="e">
        <f aca="false" t="array" ref="D76:D76">INDEX([1]data_dbd!$f:$f,$A76)</f>
        <v>#NAME?</v>
      </c>
      <c r="E76" s="30"/>
      <c r="H76" s="23" t="n">
        <v>157</v>
      </c>
      <c r="I76" s="23" t="n">
        <v>15</v>
      </c>
      <c r="J76" s="23" t="n">
        <v>1</v>
      </c>
      <c r="K76" s="23" t="s">
        <v>115</v>
      </c>
    </row>
    <row r="77" customFormat="false" ht="15" hidden="false" customHeight="false" outlineLevel="0" collapsed="false">
      <c r="A77" s="23" t="n">
        <f aca="false">RANDBETWEEN(2,164)</f>
        <v>156</v>
      </c>
      <c r="B77" s="23" t="e">
        <f aca="false" t="array" ref="B77:B77">INDEX([1]data_dbd!$b:$b,$A77)</f>
        <v>#NAME?</v>
      </c>
      <c r="C77" s="23" t="e">
        <f aca="false" t="array" ref="C77:C77">INDEX([1]data_dbd!$e:$e,$A77)</f>
        <v>#NAME?</v>
      </c>
      <c r="D77" s="23" t="e">
        <f aca="false" t="array" ref="D77:D77">INDEX([1]data_dbd!$f:$f,$A77)</f>
        <v>#NAME?</v>
      </c>
      <c r="E77" s="30"/>
      <c r="H77" s="23" t="n">
        <v>97</v>
      </c>
      <c r="I77" s="23" t="n">
        <v>16</v>
      </c>
      <c r="J77" s="23" t="n">
        <v>1</v>
      </c>
      <c r="K77" s="23" t="s">
        <v>115</v>
      </c>
    </row>
    <row r="78" customFormat="false" ht="15" hidden="false" customHeight="false" outlineLevel="0" collapsed="false">
      <c r="A78" s="23" t="n">
        <f aca="false">RANDBETWEEN(2,164)</f>
        <v>39</v>
      </c>
      <c r="B78" s="23" t="e">
        <f aca="false" t="array" ref="B78:B78">INDEX([1]data_dbd!$b:$b,$A78)</f>
        <v>#NAME?</v>
      </c>
      <c r="C78" s="23" t="e">
        <f aca="false" t="array" ref="C78:C78">INDEX([1]data_dbd!$e:$e,$A78)</f>
        <v>#NAME?</v>
      </c>
      <c r="D78" s="23" t="e">
        <f aca="false" t="array" ref="D78:D78">INDEX([1]data_dbd!$f:$f,$A78)</f>
        <v>#NAME?</v>
      </c>
      <c r="E78" s="30"/>
      <c r="H78" s="23" t="n">
        <v>164</v>
      </c>
      <c r="I78" s="23" t="n">
        <v>10</v>
      </c>
      <c r="J78" s="23" t="n">
        <v>0</v>
      </c>
      <c r="K78" s="23" t="s">
        <v>20</v>
      </c>
    </row>
    <row r="79" customFormat="false" ht="15" hidden="false" customHeight="false" outlineLevel="0" collapsed="false">
      <c r="A79" s="23" t="n">
        <f aca="false">RANDBETWEEN(2,164)</f>
        <v>133</v>
      </c>
      <c r="B79" s="23" t="e">
        <f aca="false" t="array" ref="B79:B79">INDEX([1]data_dbd!$b:$b,$A79)</f>
        <v>#NAME?</v>
      </c>
      <c r="C79" s="23" t="e">
        <f aca="false" t="array" ref="C79:C79">INDEX([1]data_dbd!$e:$e,$A79)</f>
        <v>#NAME?</v>
      </c>
      <c r="D79" s="23" t="e">
        <f aca="false" t="array" ref="D79:D79">INDEX([1]data_dbd!$f:$f,$A79)</f>
        <v>#NAME?</v>
      </c>
      <c r="E79" s="30"/>
      <c r="H79" s="23" t="n">
        <v>36</v>
      </c>
      <c r="I79" s="23" t="n">
        <v>27</v>
      </c>
      <c r="J79" s="23" t="n">
        <v>1</v>
      </c>
      <c r="K79" s="23" t="s">
        <v>20</v>
      </c>
    </row>
    <row r="80" customFormat="false" ht="15" hidden="false" customHeight="false" outlineLevel="0" collapsed="false">
      <c r="A80" s="23" t="n">
        <f aca="false">RANDBETWEEN(2,164)</f>
        <v>138</v>
      </c>
      <c r="B80" s="23" t="e">
        <f aca="false" t="array" ref="B80:B80">INDEX([1]data_dbd!$b:$b,$A80)</f>
        <v>#NAME?</v>
      </c>
      <c r="C80" s="23" t="e">
        <f aca="false" t="array" ref="C80:C80">INDEX([1]data_dbd!$e:$e,$A80)</f>
        <v>#NAME?</v>
      </c>
      <c r="D80" s="23" t="e">
        <f aca="false" t="array" ref="D80:D80">INDEX([1]data_dbd!$f:$f,$A80)</f>
        <v>#NAME?</v>
      </c>
      <c r="E80" s="30"/>
      <c r="H80" s="23" t="n">
        <v>7</v>
      </c>
      <c r="I80" s="23" t="n">
        <v>12</v>
      </c>
      <c r="J80" s="23" t="n">
        <v>1</v>
      </c>
      <c r="K80" s="23" t="s">
        <v>7</v>
      </c>
    </row>
    <row r="81" customFormat="false" ht="15" hidden="false" customHeight="false" outlineLevel="0" collapsed="false">
      <c r="A81" s="23" t="n">
        <f aca="false">RANDBETWEEN(2,164)</f>
        <v>130</v>
      </c>
      <c r="B81" s="23" t="e">
        <f aca="false" t="array" ref="B81:B81">INDEX([1]data_dbd!$b:$b,$A81)</f>
        <v>#NAME?</v>
      </c>
      <c r="C81" s="23" t="e">
        <f aca="false" t="array" ref="C81:C81">INDEX([1]data_dbd!$e:$e,$A81)</f>
        <v>#NAME?</v>
      </c>
      <c r="D81" s="23" t="e">
        <f aca="false" t="array" ref="D81:D81">INDEX([1]data_dbd!$f:$f,$A81)</f>
        <v>#NAME?</v>
      </c>
      <c r="E81" s="30"/>
      <c r="H81" s="23" t="n">
        <v>77</v>
      </c>
      <c r="I81" s="23" t="n">
        <v>16</v>
      </c>
      <c r="J81" s="23" t="n">
        <v>1</v>
      </c>
      <c r="K81" s="23" t="s">
        <v>7</v>
      </c>
    </row>
    <row r="82" customFormat="false" ht="15" hidden="false" customHeight="false" outlineLevel="0" collapsed="false">
      <c r="A82" s="23" t="n">
        <f aca="false">RANDBETWEEN(2,164)</f>
        <v>104</v>
      </c>
      <c r="B82" s="23" t="e">
        <f aca="false" t="array" ref="B82:B82">INDEX([1]data_dbd!$b:$b,$A82)</f>
        <v>#NAME?</v>
      </c>
      <c r="C82" s="23" t="e">
        <f aca="false" t="array" ref="C82:C82">INDEX([1]data_dbd!$e:$e,$A82)</f>
        <v>#NAME?</v>
      </c>
      <c r="D82" s="23" t="e">
        <f aca="false" t="array" ref="D82:D82">INDEX([1]data_dbd!$f:$f,$A82)</f>
        <v>#NAME?</v>
      </c>
      <c r="E82" s="30"/>
      <c r="H82" s="23" t="n">
        <v>59</v>
      </c>
      <c r="I82" s="23" t="n">
        <v>28</v>
      </c>
      <c r="J82" s="23" t="n">
        <v>0</v>
      </c>
      <c r="K82" s="23" t="s">
        <v>7</v>
      </c>
    </row>
    <row r="83" customFormat="false" ht="15" hidden="false" customHeight="false" outlineLevel="0" collapsed="false">
      <c r="A83" s="23" t="n">
        <f aca="false">RANDBETWEEN(2,164)</f>
        <v>14</v>
      </c>
      <c r="B83" s="23" t="e">
        <f aca="false" t="array" ref="B83:B83">INDEX([1]data_dbd!$b:$b,$A83)</f>
        <v>#NAME?</v>
      </c>
      <c r="C83" s="23" t="e">
        <f aca="false" t="array" ref="C83:C83">INDEX([1]data_dbd!$e:$e,$A83)</f>
        <v>#NAME?</v>
      </c>
      <c r="D83" s="23" t="e">
        <f aca="false" t="array" ref="D83:D83">INDEX([1]data_dbd!$f:$f,$A83)</f>
        <v>#NAME?</v>
      </c>
      <c r="E83" s="30"/>
      <c r="H83" s="23" t="n">
        <v>48</v>
      </c>
      <c r="I83" s="23" t="n">
        <v>50</v>
      </c>
      <c r="J83" s="23" t="n">
        <v>1</v>
      </c>
      <c r="K83" s="23" t="s">
        <v>7</v>
      </c>
    </row>
    <row r="84" customFormat="false" ht="15" hidden="false" customHeight="false" outlineLevel="0" collapsed="false">
      <c r="A84" s="23" t="n">
        <f aca="false">RANDBETWEEN(2,164)</f>
        <v>161</v>
      </c>
      <c r="B84" s="23" t="e">
        <f aca="false" t="array" ref="B84:B84">INDEX([1]data_dbd!$b:$b,$A84)</f>
        <v>#NAME?</v>
      </c>
      <c r="C84" s="23" t="e">
        <f aca="false" t="array" ref="C84:C84">INDEX([1]data_dbd!$e:$e,$A84)</f>
        <v>#NAME?</v>
      </c>
      <c r="D84" s="23" t="e">
        <f aca="false" t="array" ref="D84:D84">INDEX([1]data_dbd!$f:$f,$A84)</f>
        <v>#NAME?</v>
      </c>
      <c r="E84" s="30"/>
      <c r="H84" s="23" t="n">
        <v>42</v>
      </c>
      <c r="I84" s="23" t="n">
        <v>21</v>
      </c>
      <c r="J84" s="23" t="n">
        <v>1</v>
      </c>
      <c r="K84" s="23" t="s">
        <v>7</v>
      </c>
    </row>
    <row r="85" customFormat="false" ht="15" hidden="false" customHeight="false" outlineLevel="0" collapsed="false">
      <c r="A85" s="23" t="n">
        <f aca="false">RANDBETWEEN(2,164)</f>
        <v>86</v>
      </c>
      <c r="B85" s="23" t="e">
        <f aca="false" t="array" ref="B85:B85">INDEX([1]data_dbd!$b:$b,$A85)</f>
        <v>#NAME?</v>
      </c>
      <c r="C85" s="23" t="e">
        <f aca="false" t="array" ref="C85:C85">INDEX([1]data_dbd!$e:$e,$A85)</f>
        <v>#NAME?</v>
      </c>
      <c r="D85" s="23" t="e">
        <f aca="false" t="array" ref="D85:D85">INDEX([1]data_dbd!$f:$f,$A85)</f>
        <v>#NAME?</v>
      </c>
      <c r="E85" s="30"/>
      <c r="H85" s="23" t="n">
        <v>32</v>
      </c>
      <c r="I85" s="23" t="n">
        <v>54</v>
      </c>
      <c r="J85" s="23" t="n">
        <v>0</v>
      </c>
      <c r="K85" s="23" t="s">
        <v>7</v>
      </c>
    </row>
    <row r="86" customFormat="false" ht="15" hidden="false" customHeight="false" outlineLevel="0" collapsed="false">
      <c r="A86" s="23" t="n">
        <f aca="false">RANDBETWEEN(2,164)</f>
        <v>43</v>
      </c>
      <c r="B86" s="23" t="e">
        <f aca="false" t="array" ref="B86:B86">INDEX([1]data_dbd!$b:$b,$A86)</f>
        <v>#NAME?</v>
      </c>
      <c r="C86" s="23" t="e">
        <f aca="false" t="array" ref="C86:C86">INDEX([1]data_dbd!$e:$e,$A86)</f>
        <v>#NAME?</v>
      </c>
      <c r="D86" s="23" t="e">
        <f aca="false" t="array" ref="D86:D86">INDEX([1]data_dbd!$f:$f,$A86)</f>
        <v>#NAME?</v>
      </c>
      <c r="E86" s="30"/>
      <c r="H86" s="23" t="n">
        <v>16</v>
      </c>
      <c r="I86" s="23" t="n">
        <v>66</v>
      </c>
      <c r="J86" s="23" t="n">
        <v>1</v>
      </c>
      <c r="K86" s="23" t="s">
        <v>20</v>
      </c>
    </row>
    <row r="87" customFormat="false" ht="15" hidden="false" customHeight="false" outlineLevel="0" collapsed="false">
      <c r="A87" s="23" t="n">
        <f aca="false">RANDBETWEEN(2,164)</f>
        <v>42</v>
      </c>
      <c r="B87" s="23" t="e">
        <f aca="false" t="array" ref="B87:B87">INDEX([1]data_dbd!$b:$b,$A87)</f>
        <v>#NAME?</v>
      </c>
      <c r="C87" s="23" t="e">
        <f aca="false" t="array" ref="C87:C87">INDEX([1]data_dbd!$e:$e,$A87)</f>
        <v>#NAME?</v>
      </c>
      <c r="D87" s="23" t="e">
        <f aca="false" t="array" ref="D87:D87">INDEX([1]data_dbd!$f:$f,$A87)</f>
        <v>#NAME?</v>
      </c>
      <c r="E87" s="30"/>
      <c r="H87" s="23" t="n">
        <v>120</v>
      </c>
      <c r="I87" s="23" t="n">
        <v>26</v>
      </c>
      <c r="J87" s="23" t="n">
        <v>1</v>
      </c>
      <c r="K87" s="23" t="s">
        <v>115</v>
      </c>
    </row>
    <row r="88" customFormat="false" ht="15" hidden="false" customHeight="false" outlineLevel="0" collapsed="false">
      <c r="A88" s="23" t="n">
        <f aca="false">RANDBETWEEN(2,164)</f>
        <v>68</v>
      </c>
      <c r="B88" s="23" t="e">
        <f aca="false" t="array" ref="B88:B88">INDEX([1]data_dbd!$b:$b,$A88)</f>
        <v>#NAME?</v>
      </c>
      <c r="C88" s="23" t="e">
        <f aca="false" t="array" ref="C88:C88">INDEX([1]data_dbd!$e:$e,$A88)</f>
        <v>#NAME?</v>
      </c>
      <c r="D88" s="23" t="e">
        <f aca="false" t="array" ref="D88:D88">INDEX([1]data_dbd!$f:$f,$A88)</f>
        <v>#NAME?</v>
      </c>
      <c r="E88" s="30"/>
      <c r="H88" s="23" t="n">
        <v>64</v>
      </c>
      <c r="I88" s="23" t="n">
        <v>35</v>
      </c>
      <c r="J88" s="23" t="n">
        <v>0</v>
      </c>
      <c r="K88" s="23" t="s">
        <v>7</v>
      </c>
    </row>
    <row r="89" customFormat="false" ht="15" hidden="false" customHeight="false" outlineLevel="0" collapsed="false">
      <c r="A89" s="23" t="n">
        <f aca="false">RANDBETWEEN(2,164)</f>
        <v>79</v>
      </c>
      <c r="B89" s="23" t="e">
        <f aca="false" t="array" ref="B89:B89">INDEX([1]data_dbd!$b:$b,$A89)</f>
        <v>#NAME?</v>
      </c>
      <c r="C89" s="23" t="e">
        <f aca="false" t="array" ref="C89:C89">INDEX([1]data_dbd!$e:$e,$A89)</f>
        <v>#NAME?</v>
      </c>
      <c r="D89" s="23" t="e">
        <f aca="false" t="array" ref="D89:D89">INDEX([1]data_dbd!$f:$f,$A89)</f>
        <v>#NAME?</v>
      </c>
      <c r="E89" s="30"/>
      <c r="H89" s="23" t="n">
        <v>71</v>
      </c>
      <c r="I89" s="23" t="n">
        <v>84</v>
      </c>
      <c r="J89" s="23" t="n">
        <v>0</v>
      </c>
      <c r="K89" s="23" t="s">
        <v>7</v>
      </c>
    </row>
    <row r="90" customFormat="false" ht="15" hidden="false" customHeight="false" outlineLevel="0" collapsed="false">
      <c r="A90" s="23" t="n">
        <f aca="false">RANDBETWEEN(2,164)</f>
        <v>91</v>
      </c>
      <c r="B90" s="23" t="e">
        <f aca="false" t="array" ref="B90:B90">INDEX([1]data_dbd!$b:$b,$A90)</f>
        <v>#NAME?</v>
      </c>
      <c r="C90" s="23" t="e">
        <f aca="false" t="array" ref="C90:C90">INDEX([1]data_dbd!$e:$e,$A90)</f>
        <v>#NAME?</v>
      </c>
      <c r="D90" s="23" t="e">
        <f aca="false" t="array" ref="D90:D90">INDEX([1]data_dbd!$f:$f,$A90)</f>
        <v>#NAME?</v>
      </c>
      <c r="E90" s="30"/>
      <c r="H90" s="23" t="n">
        <v>137</v>
      </c>
      <c r="I90" s="23" t="n">
        <v>3</v>
      </c>
      <c r="J90" s="23" t="n">
        <v>1</v>
      </c>
      <c r="K90" s="23" t="s">
        <v>115</v>
      </c>
    </row>
    <row r="91" customFormat="false" ht="15" hidden="false" customHeight="false" outlineLevel="0" collapsed="false">
      <c r="A91" s="23" t="n">
        <f aca="false">RANDBETWEEN(2,164)</f>
        <v>153</v>
      </c>
      <c r="B91" s="23" t="e">
        <f aca="false" t="array" ref="B91:B91">INDEX([1]data_dbd!$b:$b,$A91)</f>
        <v>#NAME?</v>
      </c>
      <c r="C91" s="23" t="e">
        <f aca="false" t="array" ref="C91:C91">INDEX([1]data_dbd!$e:$e,$A91)</f>
        <v>#NAME?</v>
      </c>
      <c r="D91" s="23" t="e">
        <f aca="false" t="array" ref="D91:D91">INDEX([1]data_dbd!$f:$f,$A91)</f>
        <v>#NAME?</v>
      </c>
      <c r="E91" s="30"/>
      <c r="H91" s="23" t="n">
        <v>57</v>
      </c>
      <c r="I91" s="23" t="n">
        <v>2</v>
      </c>
      <c r="J91" s="23" t="n">
        <v>1</v>
      </c>
      <c r="K91" s="23" t="s">
        <v>7</v>
      </c>
    </row>
    <row r="92" customFormat="false" ht="15" hidden="false" customHeight="false" outlineLevel="0" collapsed="false">
      <c r="A92" s="23" t="n">
        <f aca="false">RANDBETWEEN(2,164)</f>
        <v>136</v>
      </c>
      <c r="B92" s="23" t="e">
        <f aca="false" t="array" ref="B92:B92">INDEX([1]data_dbd!$b:$b,$A92)</f>
        <v>#NAME?</v>
      </c>
      <c r="C92" s="23" t="e">
        <f aca="false" t="array" ref="C92:C92">INDEX([1]data_dbd!$e:$e,$A92)</f>
        <v>#NAME?</v>
      </c>
      <c r="D92" s="23" t="e">
        <f aca="false" t="array" ref="D92:D92">INDEX([1]data_dbd!$f:$f,$A92)</f>
        <v>#NAME?</v>
      </c>
      <c r="E92" s="30"/>
      <c r="H92" s="23" t="n">
        <v>132</v>
      </c>
      <c r="I92" s="23" t="n">
        <v>10</v>
      </c>
      <c r="J92" s="23" t="n">
        <v>1</v>
      </c>
      <c r="K92" s="23" t="s">
        <v>115</v>
      </c>
    </row>
    <row r="93" customFormat="false" ht="15" hidden="false" customHeight="false" outlineLevel="0" collapsed="false">
      <c r="A93" s="23" t="n">
        <f aca="false">RANDBETWEEN(2,164)</f>
        <v>87</v>
      </c>
      <c r="B93" s="23" t="e">
        <f aca="false" t="array" ref="B93:B93">INDEX([1]data_dbd!$b:$b,$A93)</f>
        <v>#NAME?</v>
      </c>
      <c r="C93" s="23" t="e">
        <f aca="false" t="array" ref="C93:C93">INDEX([1]data_dbd!$e:$e,$A93)</f>
        <v>#NAME?</v>
      </c>
      <c r="D93" s="23" t="e">
        <f aca="false" t="array" ref="D93:D93">INDEX([1]data_dbd!$f:$f,$A93)</f>
        <v>#NAME?</v>
      </c>
      <c r="E93" s="30"/>
      <c r="H93" s="23" t="n">
        <v>106</v>
      </c>
      <c r="I93" s="23" t="n">
        <v>23</v>
      </c>
      <c r="J93" s="23" t="n">
        <v>1</v>
      </c>
      <c r="K93" s="23" t="s">
        <v>115</v>
      </c>
    </row>
    <row r="94" customFormat="false" ht="15" hidden="false" customHeight="false" outlineLevel="0" collapsed="false">
      <c r="A94" s="23" t="n">
        <f aca="false">RANDBETWEEN(2,164)</f>
        <v>47</v>
      </c>
      <c r="B94" s="23" t="e">
        <f aca="false" t="array" ref="B94:B94">INDEX([1]data_dbd!$b:$b,$A94)</f>
        <v>#NAME?</v>
      </c>
      <c r="C94" s="23" t="e">
        <f aca="false" t="array" ref="C94:C94">INDEX([1]data_dbd!$e:$e,$A94)</f>
        <v>#NAME?</v>
      </c>
      <c r="D94" s="23" t="e">
        <f aca="false" t="array" ref="D94:D94">INDEX([1]data_dbd!$f:$f,$A94)</f>
        <v>#NAME?</v>
      </c>
      <c r="E94" s="30"/>
      <c r="H94" s="23" t="n">
        <v>106</v>
      </c>
      <c r="I94" s="23" t="n">
        <v>23</v>
      </c>
      <c r="J94" s="23" t="n">
        <v>1</v>
      </c>
      <c r="K94" s="23" t="s">
        <v>115</v>
      </c>
    </row>
    <row r="95" customFormat="false" ht="15" hidden="false" customHeight="false" outlineLevel="0" collapsed="false">
      <c r="A95" s="23" t="n">
        <f aca="false">RANDBETWEEN(2,164)</f>
        <v>44</v>
      </c>
      <c r="B95" s="23" t="e">
        <f aca="false" t="array" ref="B95:B95">INDEX([1]data_dbd!$b:$b,$A95)</f>
        <v>#NAME?</v>
      </c>
      <c r="C95" s="23" t="e">
        <f aca="false" t="array" ref="C95:C95">INDEX([1]data_dbd!$e:$e,$A95)</f>
        <v>#NAME?</v>
      </c>
      <c r="D95" s="23" t="e">
        <f aca="false" t="array" ref="D95:D95">INDEX([1]data_dbd!$f:$f,$A95)</f>
        <v>#NAME?</v>
      </c>
      <c r="E95" s="30"/>
      <c r="H95" s="23" t="n">
        <v>111</v>
      </c>
      <c r="I95" s="23" t="n">
        <v>25</v>
      </c>
      <c r="J95" s="23" t="n">
        <v>0</v>
      </c>
      <c r="K95" s="23" t="s">
        <v>115</v>
      </c>
    </row>
    <row r="96" customFormat="false" ht="15" hidden="false" customHeight="false" outlineLevel="0" collapsed="false">
      <c r="A96" s="23" t="n">
        <f aca="false">RANDBETWEEN(2,164)</f>
        <v>44</v>
      </c>
      <c r="B96" s="23" t="e">
        <f aca="false" t="array" ref="B96:B96">INDEX([1]data_dbd!$b:$b,$A96)</f>
        <v>#NAME?</v>
      </c>
      <c r="C96" s="23" t="e">
        <f aca="false" t="array" ref="C96:C96">INDEX([1]data_dbd!$e:$e,$A96)</f>
        <v>#NAME?</v>
      </c>
      <c r="D96" s="23" t="e">
        <f aca="false" t="array" ref="D96:D96">INDEX([1]data_dbd!$f:$f,$A96)</f>
        <v>#NAME?</v>
      </c>
      <c r="E96" s="30"/>
      <c r="H96" s="23" t="n">
        <v>22</v>
      </c>
      <c r="I96" s="23" t="n">
        <v>6</v>
      </c>
      <c r="J96" s="23" t="n">
        <v>0</v>
      </c>
      <c r="K96" s="23" t="s">
        <v>7</v>
      </c>
    </row>
    <row r="97" customFormat="false" ht="15" hidden="false" customHeight="false" outlineLevel="0" collapsed="false">
      <c r="A97" s="23" t="n">
        <f aca="false">RANDBETWEEN(2,164)</f>
        <v>63</v>
      </c>
      <c r="B97" s="23" t="e">
        <f aca="false" t="array" ref="B97:B97">INDEX([1]data_dbd!$b:$b,$A97)</f>
        <v>#NAME?</v>
      </c>
      <c r="C97" s="23" t="e">
        <f aca="false" t="array" ref="C97:C97">INDEX([1]data_dbd!$e:$e,$A97)</f>
        <v>#NAME?</v>
      </c>
      <c r="D97" s="23" t="e">
        <f aca="false" t="array" ref="D97:D97">INDEX([1]data_dbd!$f:$f,$A97)</f>
        <v>#NAME?</v>
      </c>
      <c r="E97" s="30"/>
      <c r="H97" s="23" t="n">
        <v>63</v>
      </c>
      <c r="I97" s="23" t="n">
        <v>25</v>
      </c>
      <c r="J97" s="23" t="n">
        <v>0</v>
      </c>
      <c r="K97" s="23" t="s">
        <v>7</v>
      </c>
    </row>
    <row r="98" customFormat="false" ht="15" hidden="false" customHeight="false" outlineLevel="0" collapsed="false">
      <c r="A98" s="23" t="n">
        <f aca="false">RANDBETWEEN(2,164)</f>
        <v>124</v>
      </c>
      <c r="B98" s="23" t="e">
        <f aca="false" t="array" ref="B98:B98">INDEX([1]data_dbd!$b:$b,$A98)</f>
        <v>#NAME?</v>
      </c>
      <c r="C98" s="23" t="e">
        <f aca="false" t="array" ref="C98:C98">INDEX([1]data_dbd!$e:$e,$A98)</f>
        <v>#NAME?</v>
      </c>
      <c r="D98" s="23" t="e">
        <f aca="false" t="array" ref="D98:D98">INDEX([1]data_dbd!$f:$f,$A98)</f>
        <v>#NAME?</v>
      </c>
      <c r="E98" s="30"/>
      <c r="H98" s="23" t="n">
        <v>164</v>
      </c>
      <c r="I98" s="23" t="n">
        <v>10</v>
      </c>
      <c r="J98" s="23" t="n">
        <v>0</v>
      </c>
      <c r="K98" s="23" t="s">
        <v>20</v>
      </c>
    </row>
    <row r="99" customFormat="false" ht="15" hidden="false" customHeight="false" outlineLevel="0" collapsed="false">
      <c r="A99" s="23" t="n">
        <f aca="false">RANDBETWEEN(2,164)</f>
        <v>113</v>
      </c>
      <c r="B99" s="23" t="e">
        <f aca="false" t="array" ref="B99:B99">INDEX([1]data_dbd!$b:$b,$A99)</f>
        <v>#NAME?</v>
      </c>
      <c r="C99" s="23" t="e">
        <f aca="false" t="array" ref="C99:C99">INDEX([1]data_dbd!$e:$e,$A99)</f>
        <v>#NAME?</v>
      </c>
      <c r="D99" s="23" t="e">
        <f aca="false" t="array" ref="D99:D99">INDEX([1]data_dbd!$f:$f,$A99)</f>
        <v>#NAME?</v>
      </c>
      <c r="E99" s="30"/>
      <c r="H99" s="23" t="n">
        <v>2</v>
      </c>
      <c r="I99" s="23" t="n">
        <v>34</v>
      </c>
      <c r="J99" s="23" t="n">
        <v>0</v>
      </c>
      <c r="K99" s="23" t="s">
        <v>7</v>
      </c>
    </row>
    <row r="100" customFormat="false" ht="15" hidden="false" customHeight="false" outlineLevel="0" collapsed="false">
      <c r="A100" s="23" t="n">
        <f aca="false">RANDBETWEEN(2,164)</f>
        <v>103</v>
      </c>
      <c r="B100" s="23" t="e">
        <f aca="false" t="array" ref="B100:B100">INDEX([1]data_dbd!$b:$b,$A100)</f>
        <v>#NAME?</v>
      </c>
      <c r="C100" s="23" t="e">
        <f aca="false" t="array" ref="C100:C100">INDEX([1]data_dbd!$e:$e,$A100)</f>
        <v>#NAME?</v>
      </c>
      <c r="D100" s="23" t="e">
        <f aca="false" t="array" ref="D100:D100">INDEX([1]data_dbd!$f:$f,$A100)</f>
        <v>#NAME?</v>
      </c>
      <c r="E100" s="30"/>
      <c r="H100" s="23" t="n">
        <v>18</v>
      </c>
      <c r="I100" s="23" t="n">
        <v>49</v>
      </c>
      <c r="J100" s="23" t="n">
        <v>1</v>
      </c>
      <c r="K100" s="23" t="s">
        <v>20</v>
      </c>
    </row>
    <row r="101" customFormat="false" ht="15" hidden="false" customHeight="false" outlineLevel="0" collapsed="false">
      <c r="A101" s="23" t="n">
        <f aca="false">RANDBETWEEN(2,164)</f>
        <v>66</v>
      </c>
      <c r="B101" s="23" t="e">
        <f aca="false" t="array" ref="B101:B101">INDEX([1]data_dbd!$b:$b,$A101)</f>
        <v>#NAME?</v>
      </c>
      <c r="C101" s="23" t="e">
        <f aca="false" t="array" ref="C101:C101">INDEX([1]data_dbd!$e:$e,$A101)</f>
        <v>#NAME?</v>
      </c>
      <c r="D101" s="23" t="e">
        <f aca="false" t="array" ref="D101:D101">INDEX([1]data_dbd!$f:$f,$A101)</f>
        <v>#NAME?</v>
      </c>
      <c r="E101" s="30"/>
      <c r="H101" s="23" t="n">
        <v>43</v>
      </c>
      <c r="I101" s="23" t="n">
        <v>15</v>
      </c>
      <c r="J101" s="23" t="n">
        <v>0</v>
      </c>
      <c r="K101" s="23" t="s">
        <v>7</v>
      </c>
    </row>
    <row r="102" customFormat="false" ht="15" hidden="false" customHeight="false" outlineLevel="0" collapsed="false">
      <c r="A102" s="23" t="n">
        <f aca="false">RANDBETWEEN(2,164)</f>
        <v>23</v>
      </c>
      <c r="B102" s="23" t="e">
        <f aca="false" t="array" ref="B102:B102">INDEX([1]data_dbd!$b:$b,$A102)</f>
        <v>#NAME?</v>
      </c>
      <c r="C102" s="23" t="e">
        <f aca="false" t="array" ref="C102:C102">INDEX([1]data_dbd!$e:$e,$A102)</f>
        <v>#NAME?</v>
      </c>
      <c r="D102" s="23" t="e">
        <f aca="false" t="array" ref="D102:D102">INDEX([1]data_dbd!$f:$f,$A102)</f>
        <v>#NAME?</v>
      </c>
      <c r="E102" s="30"/>
      <c r="H102" s="23" t="n">
        <v>147</v>
      </c>
      <c r="I102" s="23" t="n">
        <v>66</v>
      </c>
      <c r="J102" s="23" t="n">
        <v>1</v>
      </c>
      <c r="K102" s="23" t="s">
        <v>115</v>
      </c>
    </row>
    <row r="103" customFormat="false" ht="15" hidden="false" customHeight="false" outlineLevel="0" collapsed="false">
      <c r="A103" s="23" t="n">
        <f aca="false">RANDBETWEEN(2,164)</f>
        <v>20</v>
      </c>
      <c r="B103" s="23" t="e">
        <f aca="false" t="array" ref="B103:B103">INDEX([1]data_dbd!$b:$b,$A103)</f>
        <v>#NAME?</v>
      </c>
      <c r="C103" s="23" t="e">
        <f aca="false" t="array" ref="C103:C103">INDEX([1]data_dbd!$e:$e,$A103)</f>
        <v>#NAME?</v>
      </c>
      <c r="D103" s="23" t="e">
        <f aca="false" t="array" ref="D103:D103">INDEX([1]data_dbd!$f:$f,$A103)</f>
        <v>#NAME?</v>
      </c>
      <c r="E103" s="30"/>
      <c r="H103" s="23" t="n">
        <v>143</v>
      </c>
      <c r="I103" s="23" t="n">
        <v>20</v>
      </c>
      <c r="J103" s="23" t="n">
        <v>1</v>
      </c>
      <c r="K103" s="23" t="s">
        <v>115</v>
      </c>
    </row>
    <row r="104" customFormat="false" ht="15" hidden="false" customHeight="false" outlineLevel="0" collapsed="false">
      <c r="A104" s="23" t="n">
        <f aca="false">RANDBETWEEN(2,164)</f>
        <v>43</v>
      </c>
      <c r="B104" s="23" t="e">
        <f aca="false" t="array" ref="B104:B104">INDEX([1]data_dbd!$b:$b,$A104)</f>
        <v>#NAME?</v>
      </c>
      <c r="C104" s="23" t="e">
        <f aca="false" t="array" ref="C104:C104">INDEX([1]data_dbd!$e:$e,$A104)</f>
        <v>#NAME?</v>
      </c>
      <c r="D104" s="23" t="e">
        <f aca="false" t="array" ref="D104:D104">INDEX([1]data_dbd!$f:$f,$A104)</f>
        <v>#NAME?</v>
      </c>
      <c r="E104" s="30"/>
      <c r="H104" s="23" t="n">
        <v>142</v>
      </c>
      <c r="I104" s="23" t="n">
        <v>39</v>
      </c>
      <c r="J104" s="23" t="n">
        <v>1</v>
      </c>
      <c r="K104" s="23" t="s">
        <v>115</v>
      </c>
    </row>
    <row r="105" customFormat="false" ht="15" hidden="false" customHeight="false" outlineLevel="0" collapsed="false">
      <c r="A105" s="23" t="n">
        <f aca="false">RANDBETWEEN(2,164)</f>
        <v>80</v>
      </c>
      <c r="B105" s="23" t="e">
        <f aca="false" t="array" ref="B105:B105">INDEX([1]data_dbd!$b:$b,$A105)</f>
        <v>#NAME?</v>
      </c>
      <c r="C105" s="23" t="e">
        <f aca="false" t="array" ref="C105:C105">INDEX([1]data_dbd!$e:$e,$A105)</f>
        <v>#NAME?</v>
      </c>
      <c r="D105" s="23" t="e">
        <f aca="false" t="array" ref="D105:D105">INDEX([1]data_dbd!$f:$f,$A105)</f>
        <v>#NAME?</v>
      </c>
      <c r="E105" s="30"/>
      <c r="H105" s="23" t="n">
        <v>63</v>
      </c>
      <c r="I105" s="23" t="n">
        <v>25</v>
      </c>
      <c r="J105" s="23" t="n">
        <v>0</v>
      </c>
      <c r="K105" s="23" t="s">
        <v>7</v>
      </c>
    </row>
    <row r="106" customFormat="false" ht="15" hidden="false" customHeight="false" outlineLevel="0" collapsed="false">
      <c r="A106" s="23" t="n">
        <f aca="false">RANDBETWEEN(2,164)</f>
        <v>110</v>
      </c>
      <c r="B106" s="23" t="e">
        <f aca="false" t="array" ref="B106:B106">INDEX([1]data_dbd!$b:$b,$A106)</f>
        <v>#NAME?</v>
      </c>
      <c r="C106" s="23" t="e">
        <f aca="false" t="array" ref="C106:C106">INDEX([1]data_dbd!$e:$e,$A106)</f>
        <v>#NAME?</v>
      </c>
      <c r="D106" s="23" t="e">
        <f aca="false" t="array" ref="D106:D106">INDEX([1]data_dbd!$f:$f,$A106)</f>
        <v>#NAME?</v>
      </c>
      <c r="E106" s="30"/>
      <c r="H106" s="23" t="n">
        <v>138</v>
      </c>
      <c r="I106" s="23" t="n">
        <v>13</v>
      </c>
      <c r="J106" s="23" t="n">
        <v>1</v>
      </c>
      <c r="K106" s="23" t="s">
        <v>115</v>
      </c>
    </row>
    <row r="107" customFormat="false" ht="15" hidden="false" customHeight="false" outlineLevel="0" collapsed="false">
      <c r="A107" s="23" t="n">
        <f aca="false">RANDBETWEEN(2,164)</f>
        <v>88</v>
      </c>
      <c r="B107" s="23" t="e">
        <f aca="false" t="array" ref="B107:B107">INDEX([1]data_dbd!$b:$b,$A107)</f>
        <v>#NAME?</v>
      </c>
      <c r="C107" s="23" t="e">
        <f aca="false" t="array" ref="C107:C107">INDEX([1]data_dbd!$e:$e,$A107)</f>
        <v>#NAME?</v>
      </c>
      <c r="D107" s="23" t="e">
        <f aca="false" t="array" ref="D107:D107">INDEX([1]data_dbd!$f:$f,$A107)</f>
        <v>#NAME?</v>
      </c>
      <c r="E107" s="30"/>
      <c r="H107" s="23" t="n">
        <v>60</v>
      </c>
      <c r="I107" s="23" t="n">
        <v>68</v>
      </c>
      <c r="J107" s="23" t="n">
        <v>0</v>
      </c>
      <c r="K107" s="23" t="s">
        <v>7</v>
      </c>
    </row>
    <row r="108" customFormat="false" ht="15" hidden="false" customHeight="false" outlineLevel="0" collapsed="false">
      <c r="A108" s="23" t="n">
        <f aca="false">RANDBETWEEN(2,164)</f>
        <v>25</v>
      </c>
      <c r="B108" s="23" t="e">
        <f aca="false" t="array" ref="B108:B108">INDEX([1]data_dbd!$b:$b,$A108)</f>
        <v>#NAME?</v>
      </c>
      <c r="C108" s="23" t="e">
        <f aca="false" t="array" ref="C108:C108">INDEX([1]data_dbd!$e:$e,$A108)</f>
        <v>#NAME?</v>
      </c>
      <c r="D108" s="23" t="e">
        <f aca="false" t="array" ref="D108:D108">INDEX([1]data_dbd!$f:$f,$A108)</f>
        <v>#NAME?</v>
      </c>
      <c r="E108" s="30"/>
      <c r="H108" s="23" t="n">
        <v>10</v>
      </c>
      <c r="I108" s="23" t="n">
        <v>18</v>
      </c>
      <c r="J108" s="23" t="n">
        <v>0</v>
      </c>
      <c r="K108" s="23" t="s">
        <v>7</v>
      </c>
    </row>
    <row r="109" customFormat="false" ht="15" hidden="false" customHeight="false" outlineLevel="0" collapsed="false">
      <c r="A109" s="23" t="n">
        <f aca="false">RANDBETWEEN(2,164)</f>
        <v>54</v>
      </c>
      <c r="B109" s="23" t="e">
        <f aca="false" t="array" ref="B109:B109">INDEX([1]data_dbd!$b:$b,$A109)</f>
        <v>#NAME?</v>
      </c>
      <c r="C109" s="23" t="e">
        <f aca="false" t="array" ref="C109:C109">INDEX([1]data_dbd!$e:$e,$A109)</f>
        <v>#NAME?</v>
      </c>
      <c r="D109" s="23" t="e">
        <f aca="false" t="array" ref="D109:D109">INDEX([1]data_dbd!$f:$f,$A109)</f>
        <v>#NAME?</v>
      </c>
      <c r="E109" s="30"/>
      <c r="H109" s="23" t="n">
        <v>142</v>
      </c>
      <c r="I109" s="23" t="n">
        <v>39</v>
      </c>
      <c r="J109" s="23" t="n">
        <v>1</v>
      </c>
      <c r="K109" s="23" t="s">
        <v>115</v>
      </c>
    </row>
    <row r="110" customFormat="false" ht="15" hidden="false" customHeight="false" outlineLevel="0" collapsed="false">
      <c r="A110" s="23" t="n">
        <f aca="false">RANDBETWEEN(2,164)</f>
        <v>73</v>
      </c>
      <c r="B110" s="23" t="e">
        <f aca="false" t="array" ref="B110:B110">INDEX([1]data_dbd!$b:$b,$A110)</f>
        <v>#NAME?</v>
      </c>
      <c r="C110" s="23" t="e">
        <f aca="false" t="array" ref="C110:C110">INDEX([1]data_dbd!$e:$e,$A110)</f>
        <v>#NAME?</v>
      </c>
      <c r="D110" s="23" t="e">
        <f aca="false" t="array" ref="D110:D110">INDEX([1]data_dbd!$f:$f,$A110)</f>
        <v>#NAME?</v>
      </c>
      <c r="E110" s="30"/>
      <c r="H110" s="23" t="n">
        <v>7</v>
      </c>
      <c r="I110" s="23" t="n">
        <v>12</v>
      </c>
      <c r="J110" s="23" t="n">
        <v>1</v>
      </c>
      <c r="K110" s="23" t="s">
        <v>7</v>
      </c>
    </row>
    <row r="111" customFormat="false" ht="15" hidden="false" customHeight="false" outlineLevel="0" collapsed="false">
      <c r="A111" s="23" t="n">
        <f aca="false">RANDBETWEEN(2,164)</f>
        <v>37</v>
      </c>
      <c r="B111" s="23" t="e">
        <f aca="false" t="array" ref="B111:B111">INDEX([1]data_dbd!$b:$b,$A111)</f>
        <v>#NAME?</v>
      </c>
      <c r="C111" s="23" t="e">
        <f aca="false" t="array" ref="C111:C111">INDEX([1]data_dbd!$e:$e,$A111)</f>
        <v>#NAME?</v>
      </c>
      <c r="D111" s="23" t="e">
        <f aca="false" t="array" ref="D111:D111">INDEX([1]data_dbd!$f:$f,$A111)</f>
        <v>#NAME?</v>
      </c>
      <c r="E111" s="30"/>
      <c r="H111" s="23" t="n">
        <v>137</v>
      </c>
      <c r="I111" s="23" t="n">
        <v>3</v>
      </c>
      <c r="J111" s="23" t="n">
        <v>1</v>
      </c>
      <c r="K111" s="23" t="s">
        <v>115</v>
      </c>
    </row>
    <row r="112" customFormat="false" ht="15" hidden="false" customHeight="false" outlineLevel="0" collapsed="false">
      <c r="A112" s="23" t="n">
        <f aca="false">RANDBETWEEN(2,164)</f>
        <v>138</v>
      </c>
      <c r="B112" s="23" t="e">
        <f aca="false" t="array" ref="B112:B112">INDEX([1]data_dbd!$b:$b,$A112)</f>
        <v>#NAME?</v>
      </c>
      <c r="C112" s="23" t="e">
        <f aca="false" t="array" ref="C112:C112">INDEX([1]data_dbd!$e:$e,$A112)</f>
        <v>#NAME?</v>
      </c>
      <c r="D112" s="23" t="e">
        <f aca="false" t="array" ref="D112:D112">INDEX([1]data_dbd!$f:$f,$A112)</f>
        <v>#NAME?</v>
      </c>
      <c r="E112" s="30"/>
      <c r="H112" s="23" t="n">
        <v>128</v>
      </c>
      <c r="I112" s="23" t="n">
        <v>38</v>
      </c>
      <c r="J112" s="23" t="n">
        <v>0</v>
      </c>
      <c r="K112" s="23" t="s">
        <v>115</v>
      </c>
    </row>
    <row r="113" customFormat="false" ht="15" hidden="false" customHeight="false" outlineLevel="0" collapsed="false">
      <c r="A113" s="23" t="n">
        <f aca="false">RANDBETWEEN(2,164)</f>
        <v>106</v>
      </c>
      <c r="B113" s="23" t="e">
        <f aca="false" t="array" ref="B113:B113">INDEX([1]data_dbd!$b:$b,$A113)</f>
        <v>#NAME?</v>
      </c>
      <c r="C113" s="23" t="e">
        <f aca="false" t="array" ref="C113:C113">INDEX([1]data_dbd!$e:$e,$A113)</f>
        <v>#NAME?</v>
      </c>
      <c r="D113" s="23" t="e">
        <f aca="false" t="array" ref="D113:D113">INDEX([1]data_dbd!$f:$f,$A113)</f>
        <v>#NAME?</v>
      </c>
      <c r="E113" s="30"/>
      <c r="H113" s="23" t="n">
        <v>130</v>
      </c>
      <c r="I113" s="23" t="n">
        <v>12</v>
      </c>
      <c r="J113" s="23" t="n">
        <v>0</v>
      </c>
      <c r="K113" s="23" t="s">
        <v>115</v>
      </c>
    </row>
    <row r="114" customFormat="false" ht="15" hidden="false" customHeight="false" outlineLevel="0" collapsed="false">
      <c r="A114" s="23" t="n">
        <f aca="false">RANDBETWEEN(2,164)</f>
        <v>164</v>
      </c>
      <c r="B114" s="23" t="e">
        <f aca="false" t="array" ref="B114:B114">INDEX([1]data_dbd!$b:$b,$A114)</f>
        <v>#NAME?</v>
      </c>
      <c r="C114" s="23" t="e">
        <f aca="false" t="array" ref="C114:C114">INDEX([1]data_dbd!$e:$e,$A114)</f>
        <v>#NAME?</v>
      </c>
      <c r="D114" s="23" t="e">
        <f aca="false" t="array" ref="D114:D114">INDEX([1]data_dbd!$f:$f,$A114)</f>
        <v>#NAME?</v>
      </c>
      <c r="E114" s="30"/>
      <c r="H114" s="23" t="n">
        <v>146</v>
      </c>
      <c r="I114" s="23" t="n">
        <v>34</v>
      </c>
      <c r="J114" s="23" t="n">
        <v>1</v>
      </c>
      <c r="K114" s="23" t="s">
        <v>115</v>
      </c>
    </row>
    <row r="115" customFormat="false" ht="15" hidden="false" customHeight="false" outlineLevel="0" collapsed="false">
      <c r="A115" s="23" t="n">
        <f aca="false">RANDBETWEEN(2,164)</f>
        <v>159</v>
      </c>
      <c r="B115" s="23" t="e">
        <f aca="false" t="array" ref="B115:B115">INDEX([1]data_dbd!$b:$b,$A115)</f>
        <v>#NAME?</v>
      </c>
      <c r="C115" s="23" t="e">
        <f aca="false" t="array" ref="C115:C115">INDEX([1]data_dbd!$e:$e,$A115)</f>
        <v>#NAME?</v>
      </c>
      <c r="D115" s="23" t="e">
        <f aca="false" t="array" ref="D115:D115">INDEX([1]data_dbd!$f:$f,$A115)</f>
        <v>#NAME?</v>
      </c>
      <c r="E115" s="30"/>
      <c r="H115" s="23" t="n">
        <v>29</v>
      </c>
      <c r="I115" s="23" t="n">
        <v>19</v>
      </c>
      <c r="J115" s="23" t="n">
        <v>1</v>
      </c>
      <c r="K115" s="23" t="s">
        <v>7</v>
      </c>
    </row>
    <row r="116" customFormat="false" ht="15" hidden="false" customHeight="false" outlineLevel="0" collapsed="false">
      <c r="A116" s="23" t="n">
        <f aca="false">RANDBETWEEN(2,164)</f>
        <v>89</v>
      </c>
      <c r="B116" s="23" t="e">
        <f aca="false" t="array" ref="B116:B116">INDEX([1]data_dbd!$b:$b,$A116)</f>
        <v>#NAME?</v>
      </c>
      <c r="C116" s="23" t="e">
        <f aca="false" t="array" ref="C116:C116">INDEX([1]data_dbd!$e:$e,$A116)</f>
        <v>#NAME?</v>
      </c>
      <c r="D116" s="23" t="e">
        <f aca="false" t="array" ref="D116:D116">INDEX([1]data_dbd!$f:$f,$A116)</f>
        <v>#NAME?</v>
      </c>
      <c r="E116" s="30"/>
      <c r="H116" s="23" t="n">
        <v>38</v>
      </c>
      <c r="I116" s="23" t="n">
        <v>52</v>
      </c>
      <c r="J116" s="23" t="n">
        <v>1</v>
      </c>
      <c r="K116" s="23" t="s">
        <v>20</v>
      </c>
    </row>
    <row r="117" customFormat="false" ht="15" hidden="false" customHeight="false" outlineLevel="0" collapsed="false">
      <c r="A117" s="23" t="n">
        <f aca="false">RANDBETWEEN(2,164)</f>
        <v>91</v>
      </c>
      <c r="B117" s="23" t="e">
        <f aca="false" t="array" ref="B117:B117">INDEX([1]data_dbd!$b:$b,$A117)</f>
        <v>#NAME?</v>
      </c>
      <c r="C117" s="23" t="e">
        <f aca="false" t="array" ref="C117:C117">INDEX([1]data_dbd!$e:$e,$A117)</f>
        <v>#NAME?</v>
      </c>
      <c r="D117" s="23" t="e">
        <f aca="false" t="array" ref="D117:D117">INDEX([1]data_dbd!$f:$f,$A117)</f>
        <v>#NAME?</v>
      </c>
      <c r="E117" s="30"/>
      <c r="H117" s="23" t="n">
        <v>125</v>
      </c>
      <c r="I117" s="23" t="n">
        <v>39</v>
      </c>
      <c r="J117" s="23" t="n">
        <v>0</v>
      </c>
      <c r="K117" s="23" t="s">
        <v>115</v>
      </c>
    </row>
    <row r="118" customFormat="false" ht="15" hidden="false" customHeight="false" outlineLevel="0" collapsed="false">
      <c r="A118" s="23" t="n">
        <f aca="false">RANDBETWEEN(2,164)</f>
        <v>114</v>
      </c>
      <c r="B118" s="23" t="e">
        <f aca="false" t="array" ref="B118:B118">INDEX([1]data_dbd!$b:$b,$A118)</f>
        <v>#NAME?</v>
      </c>
      <c r="C118" s="23" t="e">
        <f aca="false" t="array" ref="C118:C118">INDEX([1]data_dbd!$e:$e,$A118)</f>
        <v>#NAME?</v>
      </c>
      <c r="D118" s="23" t="e">
        <f aca="false" t="array" ref="D118:D118">INDEX([1]data_dbd!$f:$f,$A118)</f>
        <v>#NAME?</v>
      </c>
      <c r="E118" s="30"/>
      <c r="H118" s="23" t="n">
        <v>7</v>
      </c>
      <c r="I118" s="23" t="n">
        <v>12</v>
      </c>
      <c r="J118" s="23" t="n">
        <v>1</v>
      </c>
      <c r="K118" s="23" t="s">
        <v>7</v>
      </c>
    </row>
    <row r="119" customFormat="false" ht="15" hidden="false" customHeight="false" outlineLevel="0" collapsed="false">
      <c r="A119" s="23" t="n">
        <f aca="false">RANDBETWEEN(2,164)</f>
        <v>155</v>
      </c>
      <c r="B119" s="23" t="e">
        <f aca="false" t="array" ref="B119:B119">INDEX([1]data_dbd!$b:$b,$A119)</f>
        <v>#NAME?</v>
      </c>
      <c r="C119" s="23" t="e">
        <f aca="false" t="array" ref="C119:C119">INDEX([1]data_dbd!$e:$e,$A119)</f>
        <v>#NAME?</v>
      </c>
      <c r="D119" s="23" t="e">
        <f aca="false" t="array" ref="D119:D119">INDEX([1]data_dbd!$f:$f,$A119)</f>
        <v>#NAME?</v>
      </c>
      <c r="E119" s="30"/>
      <c r="H119" s="23" t="n">
        <v>141</v>
      </c>
      <c r="I119" s="23" t="n">
        <v>36</v>
      </c>
      <c r="J119" s="23" t="n">
        <v>0</v>
      </c>
      <c r="K119" s="23" t="s">
        <v>115</v>
      </c>
    </row>
    <row r="120" customFormat="false" ht="15" hidden="false" customHeight="false" outlineLevel="0" collapsed="false">
      <c r="A120" s="23" t="n">
        <f aca="false">RANDBETWEEN(2,164)</f>
        <v>27</v>
      </c>
      <c r="B120" s="23" t="e">
        <f aca="false" t="array" ref="B120:B120">INDEX([1]data_dbd!$b:$b,$A120)</f>
        <v>#NAME?</v>
      </c>
      <c r="C120" s="23" t="e">
        <f aca="false" t="array" ref="C120:C120">INDEX([1]data_dbd!$e:$e,$A120)</f>
        <v>#NAME?</v>
      </c>
      <c r="D120" s="23" t="e">
        <f aca="false" t="array" ref="D120:D120">INDEX([1]data_dbd!$f:$f,$A120)</f>
        <v>#NAME?</v>
      </c>
      <c r="E120" s="30"/>
      <c r="H120" s="23" t="n">
        <v>29</v>
      </c>
      <c r="I120" s="23" t="n">
        <v>19</v>
      </c>
      <c r="J120" s="23" t="n">
        <v>1</v>
      </c>
      <c r="K120" s="23" t="s">
        <v>7</v>
      </c>
    </row>
    <row r="121" customFormat="false" ht="15" hidden="false" customHeight="false" outlineLevel="0" collapsed="false">
      <c r="A121" s="23" t="n">
        <f aca="false">RANDBETWEEN(2,164)</f>
        <v>34</v>
      </c>
      <c r="B121" s="23" t="e">
        <f aca="false" t="array" ref="B121:B121">INDEX([1]data_dbd!$b:$b,$A121)</f>
        <v>#NAME?</v>
      </c>
      <c r="C121" s="23" t="e">
        <f aca="false" t="array" ref="C121:C121">INDEX([1]data_dbd!$e:$e,$A121)</f>
        <v>#NAME?</v>
      </c>
      <c r="D121" s="23" t="e">
        <f aca="false" t="array" ref="D121:D121">INDEX([1]data_dbd!$f:$f,$A121)</f>
        <v>#NAME?</v>
      </c>
      <c r="E121" s="30"/>
      <c r="H121" s="23" t="n">
        <v>77</v>
      </c>
      <c r="I121" s="23" t="n">
        <v>16</v>
      </c>
      <c r="J121" s="23" t="n">
        <v>1</v>
      </c>
      <c r="K121" s="23" t="s">
        <v>7</v>
      </c>
    </row>
    <row r="122" customFormat="false" ht="15" hidden="false" customHeight="false" outlineLevel="0" collapsed="false">
      <c r="A122" s="23" t="n">
        <f aca="false">RANDBETWEEN(2,164)</f>
        <v>98</v>
      </c>
      <c r="B122" s="23" t="e">
        <f aca="false" t="array" ref="B122:B122">INDEX([1]data_dbd!$b:$b,$A122)</f>
        <v>#NAME?</v>
      </c>
      <c r="C122" s="23" t="e">
        <f aca="false" t="array" ref="C122:C122">INDEX([1]data_dbd!$e:$e,$A122)</f>
        <v>#NAME?</v>
      </c>
      <c r="D122" s="23" t="e">
        <f aca="false" t="array" ref="D122:D122">INDEX([1]data_dbd!$f:$f,$A122)</f>
        <v>#NAME?</v>
      </c>
      <c r="E122" s="30"/>
      <c r="H122" s="23" t="n">
        <v>145</v>
      </c>
      <c r="I122" s="23" t="n">
        <v>28</v>
      </c>
      <c r="J122" s="23" t="n">
        <v>1</v>
      </c>
      <c r="K122" s="23" t="s">
        <v>115</v>
      </c>
    </row>
    <row r="123" customFormat="false" ht="15" hidden="false" customHeight="false" outlineLevel="0" collapsed="false">
      <c r="A123" s="23" t="n">
        <f aca="false">RANDBETWEEN(2,164)</f>
        <v>156</v>
      </c>
      <c r="B123" s="23" t="e">
        <f aca="false" t="array" ref="B123:B123">INDEX([1]data_dbd!$b:$b,$A123)</f>
        <v>#NAME?</v>
      </c>
      <c r="C123" s="23" t="e">
        <f aca="false" t="array" ref="C123:C123">INDEX([1]data_dbd!$e:$e,$A123)</f>
        <v>#NAME?</v>
      </c>
      <c r="D123" s="23" t="e">
        <f aca="false" t="array" ref="D123:D123">INDEX([1]data_dbd!$f:$f,$A123)</f>
        <v>#NAME?</v>
      </c>
      <c r="E123" s="30"/>
      <c r="H123" s="23" t="n">
        <v>108</v>
      </c>
      <c r="I123" s="23" t="n">
        <v>69</v>
      </c>
      <c r="J123" s="23" t="n">
        <v>1</v>
      </c>
      <c r="K123" s="23" t="s">
        <v>115</v>
      </c>
    </row>
    <row r="124" customFormat="false" ht="15" hidden="false" customHeight="false" outlineLevel="0" collapsed="false">
      <c r="A124" s="23" t="n">
        <f aca="false">RANDBETWEEN(2,164)</f>
        <v>42</v>
      </c>
      <c r="B124" s="23" t="e">
        <f aca="false" t="array" ref="B124:B124">INDEX([1]data_dbd!$b:$b,$A124)</f>
        <v>#NAME?</v>
      </c>
      <c r="C124" s="23" t="e">
        <f aca="false" t="array" ref="C124:C124">INDEX([1]data_dbd!$e:$e,$A124)</f>
        <v>#NAME?</v>
      </c>
      <c r="D124" s="23" t="e">
        <f aca="false" t="array" ref="D124:D124">INDEX([1]data_dbd!$f:$f,$A124)</f>
        <v>#NAME?</v>
      </c>
      <c r="E124" s="30"/>
      <c r="H124" s="23" t="n">
        <v>161</v>
      </c>
      <c r="I124" s="23" t="n">
        <v>12</v>
      </c>
      <c r="J124" s="23" t="n">
        <v>1</v>
      </c>
      <c r="K124" s="23" t="s">
        <v>115</v>
      </c>
    </row>
    <row r="125" customFormat="false" ht="15" hidden="false" customHeight="false" outlineLevel="0" collapsed="false">
      <c r="A125" s="23" t="n">
        <f aca="false">RANDBETWEEN(2,164)</f>
        <v>54</v>
      </c>
      <c r="B125" s="23" t="e">
        <f aca="false" t="array" ref="B125:B125">INDEX([1]data_dbd!$b:$b,$A125)</f>
        <v>#NAME?</v>
      </c>
      <c r="C125" s="23" t="e">
        <f aca="false" t="array" ref="C125:C125">INDEX([1]data_dbd!$e:$e,$A125)</f>
        <v>#NAME?</v>
      </c>
      <c r="D125" s="23" t="e">
        <f aca="false" t="array" ref="D125:D125">INDEX([1]data_dbd!$f:$f,$A125)</f>
        <v>#NAME?</v>
      </c>
      <c r="E125" s="30"/>
      <c r="H125" s="23" t="n">
        <v>65</v>
      </c>
      <c r="I125" s="23" t="n">
        <v>49</v>
      </c>
      <c r="J125" s="23" t="n">
        <v>0</v>
      </c>
      <c r="K125" s="23" t="s">
        <v>7</v>
      </c>
    </row>
    <row r="126" customFormat="false" ht="15" hidden="false" customHeight="false" outlineLevel="0" collapsed="false">
      <c r="A126" s="23" t="n">
        <f aca="false">RANDBETWEEN(2,164)</f>
        <v>104</v>
      </c>
      <c r="B126" s="23" t="e">
        <f aca="false" t="array" ref="B126:B126">INDEX([1]data_dbd!$b:$b,$A126)</f>
        <v>#NAME?</v>
      </c>
      <c r="C126" s="23" t="e">
        <f aca="false" t="array" ref="C126:C126">INDEX([1]data_dbd!$e:$e,$A126)</f>
        <v>#NAME?</v>
      </c>
      <c r="D126" s="23" t="e">
        <f aca="false" t="array" ref="D126:D126">INDEX([1]data_dbd!$f:$f,$A126)</f>
        <v>#NAME?</v>
      </c>
      <c r="E126" s="30"/>
      <c r="H126" s="23" t="n">
        <v>157</v>
      </c>
      <c r="I126" s="23" t="n">
        <v>15</v>
      </c>
      <c r="J126" s="23" t="n">
        <v>1</v>
      </c>
      <c r="K126" s="23" t="s">
        <v>115</v>
      </c>
    </row>
    <row r="127" customFormat="false" ht="15" hidden="false" customHeight="false" outlineLevel="0" collapsed="false">
      <c r="A127" s="23" t="n">
        <f aca="false">RANDBETWEEN(2,164)</f>
        <v>67</v>
      </c>
      <c r="B127" s="23" t="e">
        <f aca="false" t="array" ref="B127:B127">INDEX([1]data_dbd!$b:$b,$A127)</f>
        <v>#NAME?</v>
      </c>
      <c r="C127" s="23" t="e">
        <f aca="false" t="array" ref="C127:C127">INDEX([1]data_dbd!$e:$e,$A127)</f>
        <v>#NAME?</v>
      </c>
      <c r="D127" s="23" t="e">
        <f aca="false" t="array" ref="D127:D127">INDEX([1]data_dbd!$f:$f,$A127)</f>
        <v>#NAME?</v>
      </c>
      <c r="E127" s="30"/>
      <c r="H127" s="23" t="n">
        <v>23</v>
      </c>
      <c r="I127" s="23" t="n">
        <v>28</v>
      </c>
      <c r="J127" s="23" t="n">
        <v>1</v>
      </c>
      <c r="K127" s="23" t="s">
        <v>7</v>
      </c>
    </row>
    <row r="128" customFormat="false" ht="15" hidden="false" customHeight="false" outlineLevel="0" collapsed="false">
      <c r="A128" s="23" t="n">
        <f aca="false">RANDBETWEEN(2,164)</f>
        <v>94</v>
      </c>
      <c r="B128" s="23" t="e">
        <f aca="false" t="array" ref="B128:B128">INDEX([1]data_dbd!$b:$b,$A128)</f>
        <v>#NAME?</v>
      </c>
      <c r="C128" s="23" t="e">
        <f aca="false" t="array" ref="C128:C128">INDEX([1]data_dbd!$e:$e,$A128)</f>
        <v>#NAME?</v>
      </c>
      <c r="D128" s="23" t="e">
        <f aca="false" t="array" ref="D128:D128">INDEX([1]data_dbd!$f:$f,$A128)</f>
        <v>#NAME?</v>
      </c>
      <c r="E128" s="30"/>
      <c r="H128" s="23" t="n">
        <v>46</v>
      </c>
      <c r="I128" s="23" t="n">
        <v>62</v>
      </c>
      <c r="J128" s="23" t="n">
        <v>0</v>
      </c>
      <c r="K128" s="23" t="s">
        <v>7</v>
      </c>
    </row>
    <row r="129" customFormat="false" ht="15" hidden="false" customHeight="false" outlineLevel="0" collapsed="false">
      <c r="A129" s="23" t="n">
        <f aca="false">RANDBETWEEN(2,164)</f>
        <v>16</v>
      </c>
      <c r="B129" s="23" t="e">
        <f aca="false" t="array" ref="B129:B129">INDEX([1]data_dbd!$b:$b,$A129)</f>
        <v>#NAME?</v>
      </c>
      <c r="C129" s="23" t="e">
        <f aca="false" t="array" ref="C129:C129">INDEX([1]data_dbd!$e:$e,$A129)</f>
        <v>#NAME?</v>
      </c>
      <c r="D129" s="23" t="e">
        <f aca="false" t="array" ref="D129:D129">INDEX([1]data_dbd!$f:$f,$A129)</f>
        <v>#NAME?</v>
      </c>
      <c r="E129" s="30"/>
      <c r="H129" s="23" t="n">
        <v>4</v>
      </c>
      <c r="I129" s="23" t="n">
        <v>23</v>
      </c>
      <c r="J129" s="23" t="n">
        <v>0</v>
      </c>
      <c r="K129" s="23" t="s">
        <v>7</v>
      </c>
    </row>
    <row r="130" customFormat="false" ht="15" hidden="false" customHeight="false" outlineLevel="0" collapsed="false">
      <c r="A130" s="23" t="n">
        <f aca="false">RANDBETWEEN(2,164)</f>
        <v>120</v>
      </c>
      <c r="B130" s="23" t="e">
        <f aca="false" t="array" ref="B130:B130">INDEX([1]data_dbd!$b:$b,$A130)</f>
        <v>#NAME?</v>
      </c>
      <c r="C130" s="23" t="e">
        <f aca="false" t="array" ref="C130:C130">INDEX([1]data_dbd!$e:$e,$A130)</f>
        <v>#NAME?</v>
      </c>
      <c r="D130" s="23" t="e">
        <f aca="false" t="array" ref="D130:D130">INDEX([1]data_dbd!$f:$f,$A130)</f>
        <v>#NAME?</v>
      </c>
      <c r="E130" s="30"/>
      <c r="H130" s="23" t="n">
        <v>43</v>
      </c>
      <c r="I130" s="23" t="n">
        <v>15</v>
      </c>
      <c r="J130" s="23" t="n">
        <v>0</v>
      </c>
      <c r="K130" s="23" t="s">
        <v>7</v>
      </c>
    </row>
    <row r="131" customFormat="false" ht="15" hidden="false" customHeight="false" outlineLevel="0" collapsed="false">
      <c r="A131" s="23" t="n">
        <f aca="false">RANDBETWEEN(2,164)</f>
        <v>151</v>
      </c>
      <c r="B131" s="23" t="e">
        <f aca="false" t="array" ref="B131:B131">INDEX([1]data_dbd!$b:$b,$A131)</f>
        <v>#NAME?</v>
      </c>
      <c r="C131" s="23" t="e">
        <f aca="false" t="array" ref="C131:C131">INDEX([1]data_dbd!$e:$e,$A131)</f>
        <v>#NAME?</v>
      </c>
      <c r="D131" s="23" t="e">
        <f aca="false" t="array" ref="D131:D131">INDEX([1]data_dbd!$f:$f,$A131)</f>
        <v>#NAME?</v>
      </c>
      <c r="E131" s="30"/>
      <c r="H131" s="23" t="n">
        <v>97</v>
      </c>
      <c r="I131" s="23" t="n">
        <v>16</v>
      </c>
      <c r="J131" s="23" t="n">
        <v>1</v>
      </c>
      <c r="K131" s="23" t="s">
        <v>115</v>
      </c>
    </row>
    <row r="132" customFormat="false" ht="15" hidden="false" customHeight="false" outlineLevel="0" collapsed="false">
      <c r="A132" s="23" t="n">
        <f aca="false">RANDBETWEEN(2,164)</f>
        <v>136</v>
      </c>
      <c r="B132" s="23" t="e">
        <f aca="false" t="array" ref="B132:B132">INDEX([1]data_dbd!$b:$b,$A132)</f>
        <v>#NAME?</v>
      </c>
      <c r="C132" s="23" t="e">
        <f aca="false" t="array" ref="C132:C132">INDEX([1]data_dbd!$e:$e,$A132)</f>
        <v>#NAME?</v>
      </c>
      <c r="D132" s="23" t="e">
        <f aca="false" t="array" ref="D132:D132">INDEX([1]data_dbd!$f:$f,$A132)</f>
        <v>#NAME?</v>
      </c>
      <c r="E132" s="30"/>
      <c r="H132" s="23" t="n">
        <v>104</v>
      </c>
      <c r="I132" s="23" t="n">
        <v>37</v>
      </c>
      <c r="J132" s="23" t="n">
        <v>1</v>
      </c>
      <c r="K132" s="23" t="s">
        <v>115</v>
      </c>
    </row>
    <row r="133" customFormat="false" ht="15" hidden="false" customHeight="false" outlineLevel="0" collapsed="false">
      <c r="A133" s="23" t="n">
        <f aca="false">RANDBETWEEN(2,164)</f>
        <v>30</v>
      </c>
      <c r="B133" s="23" t="e">
        <f aca="false" t="array" ref="B133:B133">INDEX([1]data_dbd!$b:$b,$A133)</f>
        <v>#NAME?</v>
      </c>
      <c r="C133" s="23" t="e">
        <f aca="false" t="array" ref="C133:C133">INDEX([1]data_dbd!$e:$e,$A133)</f>
        <v>#NAME?</v>
      </c>
      <c r="D133" s="23" t="e">
        <f aca="false" t="array" ref="D133:D133">INDEX([1]data_dbd!$f:$f,$A133)</f>
        <v>#NAME?</v>
      </c>
      <c r="E133" s="30"/>
      <c r="H133" s="23" t="n">
        <v>3</v>
      </c>
      <c r="I133" s="23" t="n">
        <v>43</v>
      </c>
      <c r="J133" s="23" t="n">
        <v>1</v>
      </c>
      <c r="K133" s="23" t="s">
        <v>7</v>
      </c>
    </row>
    <row r="134" customFormat="false" ht="15" hidden="false" customHeight="false" outlineLevel="0" collapsed="false">
      <c r="A134" s="23" t="n">
        <f aca="false">RANDBETWEEN(2,164)</f>
        <v>12</v>
      </c>
      <c r="B134" s="23" t="e">
        <f aca="false" t="array" ref="B134:B134">INDEX([1]data_dbd!$b:$b,$A134)</f>
        <v>#NAME?</v>
      </c>
      <c r="C134" s="23" t="e">
        <f aca="false" t="array" ref="C134:C134">INDEX([1]data_dbd!$e:$e,$A134)</f>
        <v>#NAME?</v>
      </c>
      <c r="D134" s="23" t="e">
        <f aca="false" t="array" ref="D134:D134">INDEX([1]data_dbd!$f:$f,$A134)</f>
        <v>#NAME?</v>
      </c>
      <c r="E134" s="30"/>
      <c r="H134" s="23" t="n">
        <v>130</v>
      </c>
      <c r="I134" s="23" t="n">
        <v>12</v>
      </c>
      <c r="J134" s="23" t="n">
        <v>0</v>
      </c>
      <c r="K134" s="23" t="s">
        <v>115</v>
      </c>
    </row>
    <row r="135" customFormat="false" ht="15" hidden="false" customHeight="false" outlineLevel="0" collapsed="false">
      <c r="A135" s="23" t="n">
        <f aca="false">RANDBETWEEN(2,164)</f>
        <v>78</v>
      </c>
      <c r="B135" s="23" t="e">
        <f aca="false" t="array" ref="B135:B135">INDEX([1]data_dbd!$b:$b,$A135)</f>
        <v>#NAME?</v>
      </c>
      <c r="C135" s="23" t="e">
        <f aca="false" t="array" ref="C135:C135">INDEX([1]data_dbd!$e:$e,$A135)</f>
        <v>#NAME?</v>
      </c>
      <c r="D135" s="23" t="e">
        <f aca="false" t="array" ref="D135:D135">INDEX([1]data_dbd!$f:$f,$A135)</f>
        <v>#NAME?</v>
      </c>
      <c r="E135" s="30"/>
      <c r="H135" s="23" t="n">
        <v>31</v>
      </c>
      <c r="I135" s="23" t="n">
        <v>64</v>
      </c>
      <c r="J135" s="23" t="n">
        <v>1</v>
      </c>
      <c r="K135" s="23" t="s">
        <v>7</v>
      </c>
    </row>
    <row r="136" customFormat="false" ht="15" hidden="false" customHeight="false" outlineLevel="0" collapsed="false">
      <c r="A136" s="23" t="n">
        <f aca="false">RANDBETWEEN(2,164)</f>
        <v>158</v>
      </c>
      <c r="B136" s="23" t="e">
        <f aca="false" t="array" ref="B136:B136">INDEX([1]data_dbd!$b:$b,$A136)</f>
        <v>#NAME?</v>
      </c>
      <c r="C136" s="23" t="e">
        <f aca="false" t="array" ref="C136:C136">INDEX([1]data_dbd!$e:$e,$A136)</f>
        <v>#NAME?</v>
      </c>
      <c r="D136" s="23" t="e">
        <f aca="false" t="array" ref="D136:D136">INDEX([1]data_dbd!$f:$f,$A136)</f>
        <v>#NAME?</v>
      </c>
      <c r="E136" s="30"/>
      <c r="H136" s="23" t="n">
        <v>99</v>
      </c>
      <c r="I136" s="23" t="n">
        <v>4</v>
      </c>
      <c r="J136" s="23" t="n">
        <v>1</v>
      </c>
      <c r="K136" s="23" t="s">
        <v>115</v>
      </c>
    </row>
    <row r="137" customFormat="false" ht="15" hidden="false" customHeight="false" outlineLevel="0" collapsed="false">
      <c r="A137" s="23" t="n">
        <f aca="false">RANDBETWEEN(2,164)</f>
        <v>110</v>
      </c>
      <c r="B137" s="23" t="e">
        <f aca="false" t="array" ref="B137:B137">INDEX([1]data_dbd!$b:$b,$A137)</f>
        <v>#NAME?</v>
      </c>
      <c r="C137" s="23" t="e">
        <f aca="false" t="array" ref="C137:C137">INDEX([1]data_dbd!$e:$e,$A137)</f>
        <v>#NAME?</v>
      </c>
      <c r="D137" s="23" t="e">
        <f aca="false" t="array" ref="D137:D137">INDEX([1]data_dbd!$f:$f,$A137)</f>
        <v>#NAME?</v>
      </c>
      <c r="E137" s="30"/>
      <c r="H137" s="23" t="n">
        <v>55</v>
      </c>
      <c r="I137" s="23" t="n">
        <v>7</v>
      </c>
      <c r="J137" s="23" t="n">
        <v>1</v>
      </c>
      <c r="K137" s="23" t="s">
        <v>7</v>
      </c>
    </row>
    <row r="138" customFormat="false" ht="15" hidden="false" customHeight="false" outlineLevel="0" collapsed="false">
      <c r="A138" s="23" t="n">
        <f aca="false">RANDBETWEEN(2,164)</f>
        <v>63</v>
      </c>
      <c r="B138" s="23" t="e">
        <f aca="false" t="array" ref="B138:B138">INDEX([1]data_dbd!$b:$b,$A138)</f>
        <v>#NAME?</v>
      </c>
      <c r="C138" s="23" t="e">
        <f aca="false" t="array" ref="C138:C138">INDEX([1]data_dbd!$e:$e,$A138)</f>
        <v>#NAME?</v>
      </c>
      <c r="D138" s="23" t="e">
        <f aca="false" t="array" ref="D138:D138">INDEX([1]data_dbd!$f:$f,$A138)</f>
        <v>#NAME?</v>
      </c>
      <c r="E138" s="30"/>
      <c r="H138" s="23" t="n">
        <v>35</v>
      </c>
      <c r="I138" s="23" t="n">
        <v>40</v>
      </c>
      <c r="J138" s="23" t="n">
        <v>1</v>
      </c>
      <c r="K138" s="23" t="s">
        <v>20</v>
      </c>
    </row>
    <row r="139" customFormat="false" ht="15" hidden="false" customHeight="false" outlineLevel="0" collapsed="false">
      <c r="A139" s="23" t="n">
        <f aca="false">RANDBETWEEN(2,164)</f>
        <v>122</v>
      </c>
      <c r="B139" s="23" t="e">
        <f aca="false" t="array" ref="B139:B139">INDEX([1]data_dbd!$b:$b,$A139)</f>
        <v>#NAME?</v>
      </c>
      <c r="C139" s="23" t="e">
        <f aca="false" t="array" ref="C139:C139">INDEX([1]data_dbd!$e:$e,$A139)</f>
        <v>#NAME?</v>
      </c>
      <c r="D139" s="23" t="e">
        <f aca="false" t="array" ref="D139:D139">INDEX([1]data_dbd!$f:$f,$A139)</f>
        <v>#NAME?</v>
      </c>
      <c r="E139" s="30"/>
      <c r="H139" s="23" t="n">
        <v>128</v>
      </c>
      <c r="I139" s="23" t="n">
        <v>38</v>
      </c>
      <c r="J139" s="23" t="n">
        <v>0</v>
      </c>
      <c r="K139" s="23" t="s">
        <v>115</v>
      </c>
    </row>
    <row r="140" customFormat="false" ht="15" hidden="false" customHeight="false" outlineLevel="0" collapsed="false">
      <c r="A140" s="23" t="n">
        <f aca="false">RANDBETWEEN(2,164)</f>
        <v>14</v>
      </c>
      <c r="B140" s="23" t="e">
        <f aca="false" t="array" ref="B140:B140">INDEX([1]data_dbd!$b:$b,$A140)</f>
        <v>#NAME?</v>
      </c>
      <c r="C140" s="23" t="e">
        <f aca="false" t="array" ref="C140:C140">INDEX([1]data_dbd!$e:$e,$A140)</f>
        <v>#NAME?</v>
      </c>
      <c r="D140" s="23" t="e">
        <f aca="false" t="array" ref="D140:D140">INDEX([1]data_dbd!$f:$f,$A140)</f>
        <v>#NAME?</v>
      </c>
      <c r="E140" s="30"/>
      <c r="H140" s="23" t="n">
        <v>18</v>
      </c>
      <c r="I140" s="23" t="n">
        <v>49</v>
      </c>
      <c r="J140" s="23" t="n">
        <v>1</v>
      </c>
      <c r="K140" s="23" t="s">
        <v>20</v>
      </c>
    </row>
    <row r="141" customFormat="false" ht="15" hidden="false" customHeight="false" outlineLevel="0" collapsed="false">
      <c r="A141" s="23" t="n">
        <f aca="false">RANDBETWEEN(2,164)</f>
        <v>84</v>
      </c>
      <c r="B141" s="23" t="e">
        <f aca="false" t="array" ref="B141:B141">INDEX([1]data_dbd!$b:$b,$A141)</f>
        <v>#NAME?</v>
      </c>
      <c r="C141" s="23" t="e">
        <f aca="false" t="array" ref="C141:C141">INDEX([1]data_dbd!$e:$e,$A141)</f>
        <v>#NAME?</v>
      </c>
      <c r="D141" s="23" t="e">
        <f aca="false" t="array" ref="D141:D141">INDEX([1]data_dbd!$f:$f,$A141)</f>
        <v>#NAME?</v>
      </c>
      <c r="E141" s="30"/>
      <c r="H141" s="23" t="n">
        <v>28</v>
      </c>
      <c r="I141" s="23" t="n">
        <v>22</v>
      </c>
      <c r="J141" s="23" t="n">
        <v>1</v>
      </c>
      <c r="K141" s="23" t="s">
        <v>7</v>
      </c>
    </row>
    <row r="142" customFormat="false" ht="15" hidden="false" customHeight="false" outlineLevel="0" collapsed="false">
      <c r="A142" s="23" t="n">
        <f aca="false">RANDBETWEEN(2,164)</f>
        <v>22</v>
      </c>
      <c r="B142" s="23" t="e">
        <f aca="false" t="array" ref="B142:B142">INDEX([1]data_dbd!$b:$b,$A142)</f>
        <v>#NAME?</v>
      </c>
      <c r="C142" s="23" t="e">
        <f aca="false" t="array" ref="C142:C142">INDEX([1]data_dbd!$e:$e,$A142)</f>
        <v>#NAME?</v>
      </c>
      <c r="D142" s="23" t="e">
        <f aca="false" t="array" ref="D142:D142">INDEX([1]data_dbd!$f:$f,$A142)</f>
        <v>#NAME?</v>
      </c>
      <c r="E142" s="30"/>
      <c r="H142" s="23" t="n">
        <v>62</v>
      </c>
      <c r="I142" s="23" t="n">
        <v>43</v>
      </c>
      <c r="J142" s="23" t="n">
        <v>1</v>
      </c>
      <c r="K142" s="23" t="s">
        <v>7</v>
      </c>
    </row>
    <row r="143" customFormat="false" ht="15" hidden="false" customHeight="false" outlineLevel="0" collapsed="false">
      <c r="A143" s="23" t="n">
        <f aca="false">RANDBETWEEN(2,164)</f>
        <v>93</v>
      </c>
      <c r="B143" s="23" t="e">
        <f aca="false" t="array" ref="B143:B143">INDEX([1]data_dbd!$b:$b,$A143)</f>
        <v>#NAME?</v>
      </c>
      <c r="C143" s="23" t="e">
        <f aca="false" t="array" ref="C143:C143">INDEX([1]data_dbd!$e:$e,$A143)</f>
        <v>#NAME?</v>
      </c>
      <c r="D143" s="23" t="e">
        <f aca="false" t="array" ref="D143:D143">INDEX([1]data_dbd!$f:$f,$A143)</f>
        <v>#NAME?</v>
      </c>
      <c r="E143" s="30"/>
      <c r="H143" s="23" t="n">
        <v>145</v>
      </c>
      <c r="I143" s="23" t="n">
        <v>28</v>
      </c>
      <c r="J143" s="23" t="n">
        <v>1</v>
      </c>
      <c r="K143" s="23" t="s">
        <v>115</v>
      </c>
    </row>
    <row r="144" customFormat="false" ht="15" hidden="false" customHeight="false" outlineLevel="0" collapsed="false">
      <c r="A144" s="23" t="n">
        <f aca="false">RANDBETWEEN(2,164)</f>
        <v>3</v>
      </c>
      <c r="B144" s="23" t="e">
        <f aca="false" t="array" ref="B144:B144">INDEX([1]data_dbd!$b:$b,$A144)</f>
        <v>#NAME?</v>
      </c>
      <c r="C144" s="23" t="e">
        <f aca="false" t="array" ref="C144:C144">INDEX([1]data_dbd!$e:$e,$A144)</f>
        <v>#NAME?</v>
      </c>
      <c r="D144" s="23" t="e">
        <f aca="false" t="array" ref="D144:D144">INDEX([1]data_dbd!$f:$f,$A144)</f>
        <v>#NAME?</v>
      </c>
      <c r="E144" s="30"/>
      <c r="H144" s="23" t="n">
        <v>132</v>
      </c>
      <c r="I144" s="23" t="n">
        <v>10</v>
      </c>
      <c r="J144" s="23" t="n">
        <v>1</v>
      </c>
      <c r="K144" s="23" t="s">
        <v>115</v>
      </c>
    </row>
    <row r="145" customFormat="false" ht="15" hidden="false" customHeight="false" outlineLevel="0" collapsed="false">
      <c r="A145" s="23" t="n">
        <f aca="false">RANDBETWEEN(2,164)</f>
        <v>154</v>
      </c>
      <c r="B145" s="23" t="e">
        <f aca="false" t="array" ref="B145:B145">INDEX([1]data_dbd!$b:$b,$A145)</f>
        <v>#NAME?</v>
      </c>
      <c r="C145" s="23" t="e">
        <f aca="false" t="array" ref="C145:C145">INDEX([1]data_dbd!$e:$e,$A145)</f>
        <v>#NAME?</v>
      </c>
      <c r="D145" s="23" t="e">
        <f aca="false" t="array" ref="D145:D145">INDEX([1]data_dbd!$f:$f,$A145)</f>
        <v>#NAME?</v>
      </c>
      <c r="E145" s="30"/>
      <c r="H145" s="23" t="n">
        <v>120</v>
      </c>
      <c r="I145" s="23" t="n">
        <v>26</v>
      </c>
      <c r="J145" s="23" t="n">
        <v>1</v>
      </c>
      <c r="K145" s="23" t="s">
        <v>115</v>
      </c>
    </row>
    <row r="146" customFormat="false" ht="15" hidden="false" customHeight="false" outlineLevel="0" collapsed="false">
      <c r="A146" s="23" t="n">
        <f aca="false">RANDBETWEEN(2,164)</f>
        <v>54</v>
      </c>
      <c r="B146" s="23" t="e">
        <f aca="false" t="array" ref="B146:B146">INDEX([1]data_dbd!$b:$b,$A146)</f>
        <v>#NAME?</v>
      </c>
      <c r="C146" s="23" t="e">
        <f aca="false" t="array" ref="C146:C146">INDEX([1]data_dbd!$e:$e,$A146)</f>
        <v>#NAME?</v>
      </c>
      <c r="D146" s="23" t="e">
        <f aca="false" t="array" ref="D146:D146">INDEX([1]data_dbd!$f:$f,$A146)</f>
        <v>#NAME?</v>
      </c>
      <c r="E146" s="30"/>
      <c r="H146" s="23" t="n">
        <v>132</v>
      </c>
      <c r="I146" s="23" t="n">
        <v>10</v>
      </c>
      <c r="J146" s="23" t="n">
        <v>1</v>
      </c>
      <c r="K146" s="23" t="s">
        <v>115</v>
      </c>
    </row>
    <row r="147" customFormat="false" ht="15" hidden="false" customHeight="false" outlineLevel="0" collapsed="false">
      <c r="A147" s="23" t="n">
        <f aca="false">RANDBETWEEN(2,164)</f>
        <v>109</v>
      </c>
      <c r="B147" s="23" t="e">
        <f aca="false" t="array" ref="B147:B147">INDEX([1]data_dbd!$b:$b,$A147)</f>
        <v>#NAME?</v>
      </c>
      <c r="C147" s="23" t="e">
        <f aca="false" t="array" ref="C147:C147">INDEX([1]data_dbd!$e:$e,$A147)</f>
        <v>#NAME?</v>
      </c>
      <c r="D147" s="23" t="e">
        <f aca="false" t="array" ref="D147:D147">INDEX([1]data_dbd!$f:$f,$A147)</f>
        <v>#NAME?</v>
      </c>
      <c r="E147" s="30"/>
      <c r="H147" s="23" t="n">
        <v>125</v>
      </c>
      <c r="I147" s="23" t="n">
        <v>39</v>
      </c>
      <c r="J147" s="23" t="n">
        <v>0</v>
      </c>
      <c r="K147" s="23" t="s">
        <v>115</v>
      </c>
    </row>
    <row r="148" customFormat="false" ht="15" hidden="false" customHeight="false" outlineLevel="0" collapsed="false">
      <c r="A148" s="23" t="n">
        <f aca="false">RANDBETWEEN(2,164)</f>
        <v>71</v>
      </c>
      <c r="B148" s="23" t="e">
        <f aca="false" t="array" ref="B148:B148">INDEX([1]data_dbd!$b:$b,$A148)</f>
        <v>#NAME?</v>
      </c>
      <c r="C148" s="23" t="e">
        <f aca="false" t="array" ref="C148:C148">INDEX([1]data_dbd!$e:$e,$A148)</f>
        <v>#NAME?</v>
      </c>
      <c r="D148" s="23" t="e">
        <f aca="false" t="array" ref="D148:D148">INDEX([1]data_dbd!$f:$f,$A148)</f>
        <v>#NAME?</v>
      </c>
      <c r="E148" s="30"/>
      <c r="H148" s="23" t="n">
        <v>68</v>
      </c>
      <c r="I148" s="23" t="n">
        <v>44</v>
      </c>
      <c r="J148" s="23" t="n">
        <v>0</v>
      </c>
      <c r="K148" s="23" t="s">
        <v>7</v>
      </c>
    </row>
    <row r="149" customFormat="false" ht="15" hidden="false" customHeight="false" outlineLevel="0" collapsed="false">
      <c r="A149" s="23" t="n">
        <f aca="false">RANDBETWEEN(2,164)</f>
        <v>130</v>
      </c>
      <c r="B149" s="23" t="e">
        <f aca="false" t="array" ref="B149:B149">INDEX([1]data_dbd!$b:$b,$A149)</f>
        <v>#NAME?</v>
      </c>
      <c r="C149" s="23" t="e">
        <f aca="false" t="array" ref="C149:C149">INDEX([1]data_dbd!$e:$e,$A149)</f>
        <v>#NAME?</v>
      </c>
      <c r="D149" s="23" t="e">
        <f aca="false" t="array" ref="D149:D149">INDEX([1]data_dbd!$f:$f,$A149)</f>
        <v>#NAME?</v>
      </c>
      <c r="E149" s="30"/>
      <c r="H149" s="23" t="n">
        <v>70</v>
      </c>
      <c r="I149" s="23" t="n">
        <v>26</v>
      </c>
      <c r="J149" s="23" t="n">
        <v>1</v>
      </c>
      <c r="K149" s="23" t="s">
        <v>7</v>
      </c>
    </row>
    <row r="150" customFormat="false" ht="15" hidden="false" customHeight="false" outlineLevel="0" collapsed="false">
      <c r="A150" s="23" t="n">
        <f aca="false">RANDBETWEEN(2,164)</f>
        <v>108</v>
      </c>
      <c r="B150" s="23" t="e">
        <f aca="false" t="array" ref="B150:B150">INDEX([1]data_dbd!$b:$b,$A150)</f>
        <v>#NAME?</v>
      </c>
      <c r="C150" s="23" t="e">
        <f aca="false" t="array" ref="C150:C150">INDEX([1]data_dbd!$e:$e,$A150)</f>
        <v>#NAME?</v>
      </c>
      <c r="D150" s="23" t="e">
        <f aca="false" t="array" ref="D150:D150">INDEX([1]data_dbd!$f:$f,$A150)</f>
        <v>#NAME?</v>
      </c>
      <c r="E150" s="30"/>
      <c r="H150" s="23" t="n">
        <v>46</v>
      </c>
      <c r="I150" s="23" t="n">
        <v>62</v>
      </c>
      <c r="J150" s="23" t="n">
        <v>0</v>
      </c>
      <c r="K150" s="23" t="s">
        <v>7</v>
      </c>
    </row>
    <row r="151" customFormat="false" ht="15" hidden="false" customHeight="false" outlineLevel="0" collapsed="false">
      <c r="A151" s="23" t="n">
        <f aca="false">RANDBETWEEN(2,164)</f>
        <v>151</v>
      </c>
      <c r="B151" s="23" t="e">
        <f aca="false" t="array" ref="B151:B151">INDEX([1]data_dbd!$b:$b,$A151)</f>
        <v>#NAME?</v>
      </c>
      <c r="C151" s="23" t="e">
        <f aca="false" t="array" ref="C151:C151">INDEX([1]data_dbd!$e:$e,$A151)</f>
        <v>#NAME?</v>
      </c>
      <c r="D151" s="23" t="e">
        <f aca="false" t="array" ref="D151:D151">INDEX([1]data_dbd!$f:$f,$A151)</f>
        <v>#NAME?</v>
      </c>
      <c r="E151" s="30"/>
      <c r="H151" s="23" t="n">
        <v>153</v>
      </c>
      <c r="I151" s="23" t="n">
        <v>73</v>
      </c>
      <c r="J151" s="23" t="n">
        <v>1</v>
      </c>
      <c r="K151" s="23" t="s">
        <v>115</v>
      </c>
    </row>
    <row r="152" customFormat="false" ht="15" hidden="false" customHeight="false" outlineLevel="0" collapsed="false">
      <c r="A152" s="23" t="n">
        <f aca="false">RANDBETWEEN(2,164)</f>
        <v>96</v>
      </c>
      <c r="B152" s="23" t="e">
        <f aca="false" t="array" ref="B152:B152">INDEX([1]data_dbd!$b:$b,$A152)</f>
        <v>#NAME?</v>
      </c>
      <c r="C152" s="23" t="e">
        <f aca="false" t="array" ref="C152:C152">INDEX([1]data_dbd!$e:$e,$A152)</f>
        <v>#NAME?</v>
      </c>
      <c r="D152" s="23" t="e">
        <f aca="false" t="array" ref="D152:D152">INDEX([1]data_dbd!$f:$f,$A152)</f>
        <v>#NAME?</v>
      </c>
      <c r="E152" s="30"/>
      <c r="H152" s="23" t="n">
        <v>45</v>
      </c>
      <c r="I152" s="23" t="n">
        <v>75</v>
      </c>
      <c r="J152" s="23" t="n">
        <v>1</v>
      </c>
      <c r="K152" s="23" t="s">
        <v>7</v>
      </c>
    </row>
    <row r="153" customFormat="false" ht="15" hidden="false" customHeight="false" outlineLevel="0" collapsed="false">
      <c r="A153" s="23" t="n">
        <f aca="false">RANDBETWEEN(2,164)</f>
        <v>71</v>
      </c>
      <c r="B153" s="23" t="e">
        <f aca="false" t="array" ref="B153:B153">INDEX([1]data_dbd!$b:$b,$A153)</f>
        <v>#NAME?</v>
      </c>
      <c r="C153" s="23" t="e">
        <f aca="false" t="array" ref="C153:C153">INDEX([1]data_dbd!$e:$e,$A153)</f>
        <v>#NAME?</v>
      </c>
      <c r="D153" s="23" t="e">
        <f aca="false" t="array" ref="D153:D153">INDEX([1]data_dbd!$f:$f,$A153)</f>
        <v>#NAME?</v>
      </c>
      <c r="E153" s="30"/>
      <c r="H153" s="23" t="n">
        <v>39</v>
      </c>
      <c r="I153" s="23" t="n">
        <v>12</v>
      </c>
      <c r="J153" s="23" t="n">
        <v>1</v>
      </c>
      <c r="K153" s="23" t="s">
        <v>7</v>
      </c>
    </row>
    <row r="154" customFormat="false" ht="15.75" hidden="false" customHeight="true" outlineLevel="0" collapsed="false">
      <c r="A154" s="23" t="n">
        <f aca="false">RANDBETWEEN(2,164)</f>
        <v>105</v>
      </c>
      <c r="B154" s="23" t="e">
        <f aca="false" t="array" ref="B154:B154">INDEX([1]data_dbd!$b:$b,$A154)</f>
        <v>#NAME?</v>
      </c>
      <c r="C154" s="23" t="e">
        <f aca="false" t="array" ref="C154:C154">INDEX([1]data_dbd!$e:$e,$A154)</f>
        <v>#NAME?</v>
      </c>
      <c r="D154" s="23" t="e">
        <f aca="false" t="array" ref="D154:D154">INDEX([1]data_dbd!$f:$f,$A154)</f>
        <v>#NAME?</v>
      </c>
      <c r="E154" s="30"/>
      <c r="H154" s="23" t="n">
        <v>110</v>
      </c>
      <c r="I154" s="23" t="n">
        <v>42</v>
      </c>
      <c r="J154" s="23" t="n">
        <v>1</v>
      </c>
      <c r="K154" s="23" t="s">
        <v>115</v>
      </c>
      <c r="S154" s="7" t="s">
        <v>246</v>
      </c>
    </row>
    <row r="155" customFormat="false" ht="15.75" hidden="false" customHeight="true" outlineLevel="0" collapsed="false">
      <c r="A155" s="23" t="n">
        <f aca="false">RANDBETWEEN(2,164)</f>
        <v>145</v>
      </c>
      <c r="B155" s="23" t="e">
        <f aca="false" t="array" ref="B155:B155">INDEX([1]data_dbd!$b:$b,$A155)</f>
        <v>#NAME?</v>
      </c>
      <c r="C155" s="23" t="e">
        <f aca="false" t="array" ref="C155:C155">INDEX([1]data_dbd!$e:$e,$A155)</f>
        <v>#NAME?</v>
      </c>
      <c r="D155" s="23" t="e">
        <f aca="false" t="array" ref="D155:D155">INDEX([1]data_dbd!$f:$f,$A155)</f>
        <v>#NAME?</v>
      </c>
      <c r="E155" s="30"/>
      <c r="H155" s="23" t="n">
        <v>100</v>
      </c>
      <c r="I155" s="23" t="n">
        <v>19</v>
      </c>
      <c r="J155" s="23" t="n">
        <v>0</v>
      </c>
      <c r="K155" s="23" t="s">
        <v>115</v>
      </c>
      <c r="S155" s="8" t="s">
        <v>222</v>
      </c>
    </row>
    <row r="156" customFormat="false" ht="15.75" hidden="false" customHeight="true" outlineLevel="0" collapsed="false">
      <c r="A156" s="23" t="n">
        <f aca="false">RANDBETWEEN(2,164)</f>
        <v>89</v>
      </c>
      <c r="B156" s="23" t="e">
        <f aca="false" t="array" ref="B156:B156">INDEX([1]data_dbd!$b:$b,$A156)</f>
        <v>#NAME?</v>
      </c>
      <c r="C156" s="23" t="e">
        <f aca="false" t="array" ref="C156:C156">INDEX([1]data_dbd!$e:$e,$A156)</f>
        <v>#NAME?</v>
      </c>
      <c r="D156" s="23" t="e">
        <f aca="false" t="array" ref="D156:D156">INDEX([1]data_dbd!$f:$f,$A156)</f>
        <v>#NAME?</v>
      </c>
      <c r="E156" s="30"/>
      <c r="H156" s="23" t="n">
        <v>151</v>
      </c>
      <c r="I156" s="23" t="n">
        <v>24</v>
      </c>
      <c r="J156" s="23" t="n">
        <v>0</v>
      </c>
      <c r="K156" s="23" t="s">
        <v>115</v>
      </c>
      <c r="S156" s="9" t="s">
        <v>223</v>
      </c>
    </row>
    <row r="157" customFormat="false" ht="15.75" hidden="false" customHeight="true" outlineLevel="0" collapsed="false">
      <c r="A157" s="23" t="n">
        <f aca="false">RANDBETWEEN(2,164)</f>
        <v>38</v>
      </c>
      <c r="B157" s="23" t="e">
        <f aca="false" t="array" ref="B157:B157">INDEX([1]data_dbd!$b:$b,$A157)</f>
        <v>#NAME?</v>
      </c>
      <c r="C157" s="23" t="e">
        <f aca="false" t="array" ref="C157:C157">INDEX([1]data_dbd!$e:$e,$A157)</f>
        <v>#NAME?</v>
      </c>
      <c r="D157" s="23" t="e">
        <f aca="false" t="array" ref="D157:D157">INDEX([1]data_dbd!$f:$f,$A157)</f>
        <v>#NAME?</v>
      </c>
      <c r="E157" s="30"/>
      <c r="H157" s="23" t="n">
        <v>27</v>
      </c>
      <c r="I157" s="23" t="n">
        <v>37</v>
      </c>
      <c r="J157" s="23" t="n">
        <v>1</v>
      </c>
      <c r="K157" s="23" t="s">
        <v>7</v>
      </c>
      <c r="S157" s="9" t="s">
        <v>247</v>
      </c>
    </row>
    <row r="158" customFormat="false" ht="15.75" hidden="false" customHeight="true" outlineLevel="0" collapsed="false">
      <c r="A158" s="23" t="n">
        <f aca="false">RANDBETWEEN(2,164)</f>
        <v>113</v>
      </c>
      <c r="B158" s="23" t="e">
        <f aca="false" t="array" ref="B158:B158">INDEX([1]data_dbd!$b:$b,$A158)</f>
        <v>#NAME?</v>
      </c>
      <c r="C158" s="23" t="e">
        <f aca="false" t="array" ref="C158:C158">INDEX([1]data_dbd!$e:$e,$A158)</f>
        <v>#NAME?</v>
      </c>
      <c r="D158" s="23" t="e">
        <f aca="false" t="array" ref="D158:D158">INDEX([1]data_dbd!$f:$f,$A158)</f>
        <v>#NAME?</v>
      </c>
      <c r="E158" s="30"/>
      <c r="H158" s="23" t="n">
        <v>56</v>
      </c>
      <c r="I158" s="23" t="n">
        <v>4</v>
      </c>
      <c r="J158" s="23" t="n">
        <v>0</v>
      </c>
      <c r="K158" s="23" t="s">
        <v>7</v>
      </c>
      <c r="S158" s="8" t="s">
        <v>180</v>
      </c>
    </row>
    <row r="159" customFormat="false" ht="15.75" hidden="false" customHeight="true" outlineLevel="0" collapsed="false">
      <c r="A159" s="23" t="n">
        <f aca="false">RANDBETWEEN(2,164)</f>
        <v>102</v>
      </c>
      <c r="B159" s="23" t="e">
        <f aca="false" t="array" ref="B159:B159">INDEX([1]data_dbd!$b:$b,$A159)</f>
        <v>#NAME?</v>
      </c>
      <c r="C159" s="23" t="e">
        <f aca="false" t="array" ref="C159:C159">INDEX([1]data_dbd!$e:$e,$A159)</f>
        <v>#NAME?</v>
      </c>
      <c r="D159" s="23" t="e">
        <f aca="false" t="array" ref="D159:D159">INDEX([1]data_dbd!$f:$f,$A159)</f>
        <v>#NAME?</v>
      </c>
      <c r="E159" s="30"/>
      <c r="H159" s="23" t="n">
        <v>157</v>
      </c>
      <c r="I159" s="23" t="n">
        <v>15</v>
      </c>
      <c r="J159" s="23" t="n">
        <v>1</v>
      </c>
      <c r="K159" s="23" t="s">
        <v>115</v>
      </c>
      <c r="S159" s="9" t="s">
        <v>225</v>
      </c>
    </row>
    <row r="160" customFormat="false" ht="15" hidden="false" customHeight="false" outlineLevel="0" collapsed="false">
      <c r="A160" s="23" t="n">
        <f aca="false">RANDBETWEEN(2,164)</f>
        <v>84</v>
      </c>
      <c r="B160" s="23" t="e">
        <f aca="false" t="array" ref="B160:B160">INDEX([1]data_dbd!$b:$b,$A160)</f>
        <v>#NAME?</v>
      </c>
      <c r="C160" s="23" t="e">
        <f aca="false" t="array" ref="C160:C160">INDEX([1]data_dbd!$e:$e,$A160)</f>
        <v>#NAME?</v>
      </c>
      <c r="D160" s="23" t="e">
        <f aca="false" t="array" ref="D160:D160">INDEX([1]data_dbd!$f:$f,$A160)</f>
        <v>#NAME?</v>
      </c>
      <c r="E160" s="30"/>
      <c r="H160" s="23" t="n">
        <v>139</v>
      </c>
      <c r="I160" s="23" t="n">
        <v>52</v>
      </c>
      <c r="J160" s="23" t="n">
        <v>0</v>
      </c>
      <c r="K160" s="23" t="s">
        <v>115</v>
      </c>
    </row>
    <row r="161" customFormat="false" ht="15" hidden="false" customHeight="false" outlineLevel="0" collapsed="false">
      <c r="A161" s="23" t="n">
        <f aca="false">RANDBETWEEN(2,164)</f>
        <v>154</v>
      </c>
      <c r="B161" s="23" t="e">
        <f aca="false" t="array" ref="B161:B161">INDEX([1]data_dbd!$b:$b,$A161)</f>
        <v>#NAME?</v>
      </c>
      <c r="C161" s="23" t="e">
        <f aca="false" t="array" ref="C161:C161">INDEX([1]data_dbd!$e:$e,$A161)</f>
        <v>#NAME?</v>
      </c>
      <c r="D161" s="23" t="e">
        <f aca="false" t="array" ref="D161:D161">INDEX([1]data_dbd!$f:$f,$A161)</f>
        <v>#NAME?</v>
      </c>
      <c r="E161" s="30"/>
      <c r="H161" s="23" t="n">
        <v>4</v>
      </c>
      <c r="I161" s="23" t="n">
        <v>23</v>
      </c>
      <c r="J161" s="23" t="n">
        <v>0</v>
      </c>
      <c r="K161" s="23" t="s">
        <v>7</v>
      </c>
    </row>
    <row r="162" customFormat="false" ht="15" hidden="false" customHeight="false" outlineLevel="0" collapsed="false">
      <c r="A162" s="23" t="n">
        <f aca="false">RANDBETWEEN(2,164)</f>
        <v>120</v>
      </c>
      <c r="B162" s="23" t="e">
        <f aca="false" t="array" ref="B162:B162">INDEX([1]data_dbd!$b:$b,$A162)</f>
        <v>#NAME?</v>
      </c>
      <c r="C162" s="23" t="e">
        <f aca="false" t="array" ref="C162:C162">INDEX([1]data_dbd!$e:$e,$A162)</f>
        <v>#NAME?</v>
      </c>
      <c r="D162" s="23" t="e">
        <f aca="false" t="array" ref="D162:D162">INDEX([1]data_dbd!$f:$f,$A162)</f>
        <v>#NAME?</v>
      </c>
      <c r="E162" s="30"/>
      <c r="H162" s="23" t="n">
        <v>76</v>
      </c>
      <c r="I162" s="23" t="n">
        <v>70</v>
      </c>
      <c r="J162" s="23" t="n">
        <v>0</v>
      </c>
      <c r="K162" s="23" t="s">
        <v>7</v>
      </c>
    </row>
    <row r="163" customFormat="false" ht="15" hidden="false" customHeight="false" outlineLevel="0" collapsed="false">
      <c r="A163" s="23" t="n">
        <f aca="false">RANDBETWEEN(2,164)</f>
        <v>44</v>
      </c>
      <c r="B163" s="23" t="e">
        <f aca="false" t="array" ref="B163:B163">INDEX([1]data_dbd!$b:$b,$A163)</f>
        <v>#NAME?</v>
      </c>
      <c r="C163" s="23" t="e">
        <f aca="false" t="array" ref="C163:C163">INDEX([1]data_dbd!$e:$e,$A163)</f>
        <v>#NAME?</v>
      </c>
      <c r="D163" s="23" t="e">
        <f aca="false" t="array" ref="D163:D163">INDEX([1]data_dbd!$f:$f,$A163)</f>
        <v>#NAME?</v>
      </c>
      <c r="E163" s="30"/>
      <c r="H163" s="23" t="n">
        <v>77</v>
      </c>
      <c r="I163" s="23" t="n">
        <v>16</v>
      </c>
      <c r="J163" s="23" t="n">
        <v>1</v>
      </c>
      <c r="K163" s="23" t="s">
        <v>7</v>
      </c>
    </row>
    <row r="164" customFormat="false" ht="15" hidden="false" customHeight="false" outlineLevel="0" collapsed="false">
      <c r="A164" s="23" t="n">
        <f aca="false">RANDBETWEEN(2,164)</f>
        <v>130</v>
      </c>
      <c r="B164" s="23" t="e">
        <f aca="false" t="array" ref="B164:B164">INDEX([1]data_dbd!$b:$b,$A164)</f>
        <v>#NAME?</v>
      </c>
      <c r="C164" s="23" t="e">
        <f aca="false" t="array" ref="C164:C164">INDEX([1]data_dbd!$e:$e,$A164)</f>
        <v>#NAME?</v>
      </c>
      <c r="D164" s="23" t="e">
        <f aca="false" t="array" ref="D164:D164">INDEX([1]data_dbd!$f:$f,$A164)</f>
        <v>#NAME?</v>
      </c>
      <c r="E164" s="30"/>
      <c r="H164" s="23" t="n">
        <v>81</v>
      </c>
      <c r="I164" s="23" t="n">
        <v>23</v>
      </c>
      <c r="J164" s="23" t="n">
        <v>1</v>
      </c>
      <c r="K164" s="23" t="s">
        <v>7</v>
      </c>
    </row>
    <row r="165" customFormat="false" ht="15" hidden="false" customHeight="false" outlineLevel="0" collapsed="false">
      <c r="H165" s="22"/>
      <c r="I165" s="23" t="n">
        <f aca="false">AVERAGE(I2:I164)</f>
        <v>30.3435582822086</v>
      </c>
      <c r="J165" s="23" t="n">
        <f aca="false">AVERAGE(J2:J164)</f>
        <v>0.595092024539877</v>
      </c>
      <c r="K165" s="22"/>
    </row>
    <row r="166" customFormat="false" ht="15" hidden="false" customHeight="false" outlineLevel="0" collapsed="false">
      <c r="B166" s="19" t="n">
        <v>63</v>
      </c>
    </row>
    <row r="167" customFormat="false" ht="15" hidden="false" customHeight="false" outlineLevel="0" collapsed="false">
      <c r="E167" s="31"/>
    </row>
    <row r="168" customFormat="false" ht="15" hidden="false" customHeight="false" outlineLevel="0" collapsed="false">
      <c r="E168" s="26" t="s">
        <v>185</v>
      </c>
      <c r="N168" s="26" t="s">
        <v>188</v>
      </c>
    </row>
    <row r="169" customFormat="false" ht="15" hidden="false" customHeight="false" outlineLevel="0" collapsed="false">
      <c r="E169" s="23" t="s">
        <v>1</v>
      </c>
      <c r="F169" s="23" t="n">
        <f aca="false">AVERAGEIF($I$2:$I$164,"&lt;="&amp;$I$165)</f>
        <v>15.8989898989899</v>
      </c>
      <c r="G169" s="23" t="n">
        <f aca="false">AVERAGEIF($I$2:$I$164,"&gt;"&amp;$I$165)</f>
        <v>52.6875</v>
      </c>
      <c r="N169" s="23" t="s">
        <v>191</v>
      </c>
      <c r="O169" s="23" t="n">
        <f aca="false">AVERAGEIF($J$2:$J$164,"&lt;="&amp;$J$165)</f>
        <v>0</v>
      </c>
      <c r="P169" s="23" t="n">
        <f aca="false">AVERAGEIF($J$2:$J$164,"&gt;"&amp;$J$165)</f>
        <v>1</v>
      </c>
    </row>
    <row r="170" customFormat="false" ht="15" hidden="false" customHeight="false" outlineLevel="0" collapsed="false">
      <c r="E170" s="23" t="str">
        <f aca="false" t="array" ref="E170:E332">IF($I$2:$I$164&lt;$F$169,"kiri",IF($I$2:$I$164&lt;$G$169,"tengah","kanan"))</f>
        <v>kanan</v>
      </c>
      <c r="F170" s="23" t="s">
        <v>248</v>
      </c>
      <c r="G170" s="23"/>
      <c r="N170" s="23" t="str">
        <f aca="false" t="array" ref="N170:N332">IF($J$2:$J$164&lt;$O$169,"kiri",IF($J$2:$J$164&lt;$P$169,"tengah","kanan"))</f>
        <v>kanan</v>
      </c>
      <c r="O170" s="23" t="s">
        <v>195</v>
      </c>
      <c r="P170" s="23"/>
    </row>
    <row r="171" customFormat="false" ht="15" hidden="false" customHeight="false" outlineLevel="0" collapsed="false">
      <c r="E171" s="23" t="str">
        <v>kanan</v>
      </c>
      <c r="F171" s="23" t="n">
        <f aca="false">COUNTIFS($E$170:$E$332,"Kanan",$K$2:$K$164,"Tinggi")</f>
        <v>11</v>
      </c>
      <c r="G171" s="23" t="n">
        <f aca="false">F171/29</f>
        <v>0.379310344827586</v>
      </c>
      <c r="N171" s="23" t="str">
        <v>tengah</v>
      </c>
      <c r="O171" s="23" t="n">
        <f aca="false">COUNTIFS($N$170:$N$332,"Kanan",$K$2:$K$164,"Tinggi")</f>
        <v>45</v>
      </c>
      <c r="P171" s="23" t="n">
        <f aca="false">O171/97</f>
        <v>0.463917525773196</v>
      </c>
    </row>
    <row r="172" customFormat="false" ht="15" hidden="false" customHeight="false" outlineLevel="0" collapsed="false">
      <c r="E172" s="23" t="str">
        <v>kiri</v>
      </c>
      <c r="F172" s="23" t="n">
        <f aca="false">COUNTIFS($E$170:$E$332,"Kanan",$K$2:$K$164,"Sedang")</f>
        <v>15</v>
      </c>
      <c r="G172" s="23" t="n">
        <f aca="false">F172/29</f>
        <v>0.517241379310345</v>
      </c>
      <c r="N172" s="23" t="str">
        <v>kanan</v>
      </c>
      <c r="O172" s="23" t="n">
        <f aca="false">COUNTIFS($N$170:$N$332,"Kanan",$K$2:$K$164,"Sedang")</f>
        <v>41</v>
      </c>
      <c r="P172" s="23" t="n">
        <f aca="false">O172/97</f>
        <v>0.422680412371134</v>
      </c>
    </row>
    <row r="173" customFormat="false" ht="15" hidden="false" customHeight="false" outlineLevel="0" collapsed="false">
      <c r="E173" s="23" t="str">
        <v>tengah</v>
      </c>
      <c r="F173" s="23" t="n">
        <f aca="false">COUNTIFS($E$170:$E$332,"Kanan",$K$2:$K$164,"Rendah")</f>
        <v>3</v>
      </c>
      <c r="G173" s="23" t="n">
        <f aca="false">F173/29</f>
        <v>0.103448275862069</v>
      </c>
      <c r="N173" s="23" t="str">
        <v>kanan</v>
      </c>
      <c r="O173" s="23" t="n">
        <f aca="false">COUNTIFS($N$170:$N$332,"Kanan",$K$2:$K$164,"Rendah")</f>
        <v>11</v>
      </c>
      <c r="P173" s="23" t="n">
        <f aca="false">O173/97</f>
        <v>0.11340206185567</v>
      </c>
    </row>
    <row r="174" customFormat="false" ht="15" hidden="false" customHeight="false" outlineLevel="0" collapsed="false">
      <c r="E174" s="23" t="str">
        <v>tengah</v>
      </c>
      <c r="F174" s="23" t="s">
        <v>196</v>
      </c>
      <c r="G174" s="23" t="n">
        <f aca="false">-(IFERROR(G171*LOG(G171,2),0)+IFERROR(G172*LOG(G172,2),0)+IFERROR(G173*LOG(G173,2),0))</f>
        <v>1.361015676462</v>
      </c>
      <c r="N174" s="23" t="str">
        <v>tengah</v>
      </c>
      <c r="O174" s="23" t="s">
        <v>196</v>
      </c>
      <c r="P174" s="23" t="n">
        <f aca="false">-(IFERROR(P171*LOG(P171,2),0)+IFERROR(P172*LOG(P172,2),0)+IFERROR(P173*LOG(P173,2),0))</f>
        <v>1.39530697281407</v>
      </c>
    </row>
    <row r="175" customFormat="false" ht="15" hidden="false" customHeight="false" outlineLevel="0" collapsed="false">
      <c r="E175" s="23" t="str">
        <v>kanan</v>
      </c>
      <c r="F175" s="23"/>
      <c r="G175" s="23" t="n">
        <f aca="false">SUM(F171:F173)/163</f>
        <v>0.177914110429448</v>
      </c>
      <c r="N175" s="23" t="str">
        <v>tengah</v>
      </c>
      <c r="O175" s="23"/>
      <c r="P175" s="23" t="n">
        <f aca="false">SUM(O171:O173)/163</f>
        <v>0.595092024539877</v>
      </c>
    </row>
    <row r="176" customFormat="false" ht="15" hidden="false" customHeight="false" outlineLevel="0" collapsed="false">
      <c r="E176" s="23" t="str">
        <v>tengah</v>
      </c>
      <c r="F176" s="23"/>
      <c r="G176" s="27" t="n">
        <f aca="false">G174*G175</f>
        <v>0.24214389335827</v>
      </c>
      <c r="N176" s="23" t="str">
        <v>kanan</v>
      </c>
      <c r="O176" s="23"/>
      <c r="P176" s="27" t="n">
        <f aca="false">P174*P175</f>
        <v>0.83033605130653</v>
      </c>
    </row>
    <row r="177" customFormat="false" ht="15" hidden="false" customHeight="false" outlineLevel="0" collapsed="false">
      <c r="E177" s="23" t="str">
        <v>kanan</v>
      </c>
      <c r="F177" s="23"/>
      <c r="G177" s="23"/>
      <c r="N177" s="23" t="str">
        <v>tengah</v>
      </c>
      <c r="O177" s="23"/>
      <c r="P177" s="23"/>
    </row>
    <row r="178" customFormat="false" ht="15" hidden="false" customHeight="false" outlineLevel="0" collapsed="false">
      <c r="E178" s="23" t="str">
        <v>kiri</v>
      </c>
      <c r="F178" s="23"/>
      <c r="G178" s="23"/>
      <c r="N178" s="23" t="str">
        <v>kanan</v>
      </c>
      <c r="O178" s="23"/>
      <c r="P178" s="23"/>
    </row>
    <row r="179" customFormat="false" ht="15" hidden="false" customHeight="false" outlineLevel="0" collapsed="false">
      <c r="E179" s="23" t="str">
        <v>tengah</v>
      </c>
      <c r="F179" s="23" t="s">
        <v>249</v>
      </c>
      <c r="G179" s="23"/>
      <c r="N179" s="23" t="str">
        <v>kanan</v>
      </c>
      <c r="O179" s="23" t="s">
        <v>200</v>
      </c>
      <c r="P179" s="23"/>
    </row>
    <row r="180" customFormat="false" ht="15" hidden="false" customHeight="false" outlineLevel="0" collapsed="false">
      <c r="E180" s="23" t="str">
        <v>kiri</v>
      </c>
      <c r="F180" s="23" t="n">
        <f aca="false">COUNTIFS($E$170:$E$332,"Kiri",$K$2:$K$164,"Tinggi")</f>
        <v>21</v>
      </c>
      <c r="G180" s="23" t="n">
        <f aca="false">F180/46</f>
        <v>0.456521739130435</v>
      </c>
      <c r="N180" s="23" t="str">
        <v>tengah</v>
      </c>
      <c r="O180" s="23" t="n">
        <f aca="false">COUNTIFS($N$170:$N$332,"Kiri",$K$2:$K$164,"Tinggi")</f>
        <v>0</v>
      </c>
      <c r="P180" s="23" t="n">
        <f aca="false">O180/97</f>
        <v>0</v>
      </c>
    </row>
    <row r="181" customFormat="false" ht="15" hidden="false" customHeight="false" outlineLevel="0" collapsed="false">
      <c r="E181" s="23" t="str">
        <v>kiri</v>
      </c>
      <c r="F181" s="23" t="n">
        <f aca="false">COUNTIFS($E$170:$E$332,"Kiri",$K$2:$K$164,"Sedang")</f>
        <v>18</v>
      </c>
      <c r="G181" s="23" t="n">
        <f aca="false">F181/46</f>
        <v>0.391304347826087</v>
      </c>
      <c r="N181" s="23" t="str">
        <v>tengah</v>
      </c>
      <c r="O181" s="23" t="n">
        <f aca="false">COUNTIFS($N$170:$N$332,"Kiri",$K$2:$K$164,"Sedang")</f>
        <v>0</v>
      </c>
      <c r="P181" s="23" t="n">
        <f aca="false">O181/97</f>
        <v>0</v>
      </c>
    </row>
    <row r="182" customFormat="false" ht="15" hidden="false" customHeight="false" outlineLevel="0" collapsed="false">
      <c r="E182" s="23" t="str">
        <v>tengah</v>
      </c>
      <c r="F182" s="23" t="n">
        <f aca="false">COUNTIFS($E$170:$E$332,"Kiri",$K$2:$K$164,"Rendah")</f>
        <v>7</v>
      </c>
      <c r="G182" s="23" t="n">
        <f aca="false">F182/46</f>
        <v>0.152173913043478</v>
      </c>
      <c r="N182" s="23" t="str">
        <v>tengah</v>
      </c>
      <c r="O182" s="23" t="n">
        <f aca="false">COUNTIFS($N$170:$N$332,"Kiri",$K$2:$K$164,"Rendah")</f>
        <v>0</v>
      </c>
      <c r="P182" s="23" t="n">
        <f aca="false">O182/97</f>
        <v>0</v>
      </c>
    </row>
    <row r="183" customFormat="false" ht="15" hidden="false" customHeight="false" outlineLevel="0" collapsed="false">
      <c r="E183" s="23" t="str">
        <v>tengah</v>
      </c>
      <c r="F183" s="23" t="s">
        <v>196</v>
      </c>
      <c r="G183" s="23" t="n">
        <f aca="false">-(IFERROR(G180*LOG(G180,2),0)+IFERROR(G181*LOG(G181,2),0)+IFERROR(G182*LOG(G182,2),0))</f>
        <v>1.45945760043269</v>
      </c>
      <c r="N183" s="23" t="str">
        <v>tengah</v>
      </c>
      <c r="O183" s="23" t="s">
        <v>196</v>
      </c>
      <c r="P183" s="23" t="n">
        <f aca="false">-(IFERROR(P180*LOG(P180,2),0)+IFERROR(P181*LOG(P181,2),0)+IFERROR(P182*LOG(P182,2),0))</f>
        <v>-0</v>
      </c>
    </row>
    <row r="184" customFormat="false" ht="15" hidden="false" customHeight="false" outlineLevel="0" collapsed="false">
      <c r="E184" s="23" t="str">
        <v>kiri</v>
      </c>
      <c r="F184" s="23"/>
      <c r="G184" s="23" t="n">
        <f aca="false">SUM(F180:F182)/163</f>
        <v>0.282208588957055</v>
      </c>
      <c r="N184" s="23" t="str">
        <v>kanan</v>
      </c>
      <c r="O184" s="23"/>
      <c r="P184" s="23" t="n">
        <f aca="false">SUM(O180:O182)/163</f>
        <v>0</v>
      </c>
    </row>
    <row r="185" customFormat="false" ht="15" hidden="false" customHeight="false" outlineLevel="0" collapsed="false">
      <c r="E185" s="23" t="str">
        <v>kanan</v>
      </c>
      <c r="F185" s="23"/>
      <c r="G185" s="27" t="n">
        <f aca="false">G183*G184</f>
        <v>0.411871470060759</v>
      </c>
      <c r="N185" s="23" t="str">
        <v>tengah</v>
      </c>
      <c r="O185" s="23"/>
      <c r="P185" s="27" t="n">
        <f aca="false">P183*P184</f>
        <v>-0</v>
      </c>
    </row>
    <row r="186" customFormat="false" ht="15" hidden="false" customHeight="false" outlineLevel="0" collapsed="false">
      <c r="E186" s="23" t="str">
        <v>tengah</v>
      </c>
      <c r="F186" s="23"/>
      <c r="G186" s="23"/>
      <c r="N186" s="23" t="str">
        <v>kanan</v>
      </c>
      <c r="O186" s="23"/>
      <c r="P186" s="23"/>
    </row>
    <row r="187" customFormat="false" ht="15" hidden="false" customHeight="false" outlineLevel="0" collapsed="false">
      <c r="E187" s="23" t="str">
        <v>tengah</v>
      </c>
      <c r="F187" s="23"/>
      <c r="G187" s="23"/>
      <c r="N187" s="23" t="str">
        <v>kanan</v>
      </c>
      <c r="O187" s="23"/>
      <c r="P187" s="23"/>
    </row>
    <row r="188" customFormat="false" ht="15" hidden="false" customHeight="false" outlineLevel="0" collapsed="false">
      <c r="E188" s="23" t="str">
        <v>tengah</v>
      </c>
      <c r="F188" s="23" t="s">
        <v>201</v>
      </c>
      <c r="G188" s="23"/>
      <c r="N188" s="23" t="str">
        <v>tengah</v>
      </c>
      <c r="O188" s="23" t="s">
        <v>201</v>
      </c>
      <c r="P188" s="23"/>
    </row>
    <row r="189" customFormat="false" ht="15" hidden="false" customHeight="false" outlineLevel="0" collapsed="false">
      <c r="E189" s="23" t="str">
        <v>kiri</v>
      </c>
      <c r="F189" s="23" t="n">
        <f aca="false">COUNTIFS($E$170:$E$332,"Tengah",$K$2:$K$164,"Tinggi")</f>
        <v>37</v>
      </c>
      <c r="G189" s="23" t="n">
        <f aca="false">F189/88</f>
        <v>0.420454545454545</v>
      </c>
      <c r="N189" s="23" t="str">
        <v>tengah</v>
      </c>
      <c r="O189" s="23" t="n">
        <f aca="false">COUNTIFS($N$170:$N$332,"Tengah",$K$2:$K$164,"Tinggi")</f>
        <v>24</v>
      </c>
      <c r="P189" s="23" t="n">
        <f aca="false">O189/66</f>
        <v>0.363636363636364</v>
      </c>
    </row>
    <row r="190" customFormat="false" ht="15" hidden="false" customHeight="false" outlineLevel="0" collapsed="false">
      <c r="E190" s="23" t="str">
        <v>kiri</v>
      </c>
      <c r="F190" s="23" t="n">
        <f aca="false">COUNTIFS($E$170:$E$332,"Tengah",$K$2:$K$164,"Sedang")</f>
        <v>41</v>
      </c>
      <c r="G190" s="23" t="n">
        <f aca="false">F190/88</f>
        <v>0.465909090909091</v>
      </c>
      <c r="N190" s="23" t="str">
        <v>tengah</v>
      </c>
      <c r="O190" s="23" t="n">
        <f aca="false">COUNTIFS($N$170:$N$332,"Tengah",$K$2:$K$164,"Sedang")</f>
        <v>33</v>
      </c>
      <c r="P190" s="23" t="n">
        <f aca="false">O190/66</f>
        <v>0.5</v>
      </c>
    </row>
    <row r="191" customFormat="false" ht="15" hidden="false" customHeight="false" outlineLevel="0" collapsed="false">
      <c r="E191" s="23" t="str">
        <v>tengah</v>
      </c>
      <c r="F191" s="23" t="n">
        <f aca="false">COUNTIFS($E$170:$E$332,"Tengah",$K$2:$K$164,"Rendah")</f>
        <v>10</v>
      </c>
      <c r="G191" s="23" t="n">
        <f aca="false">F191/88</f>
        <v>0.113636363636364</v>
      </c>
      <c r="N191" s="23" t="str">
        <v>kanan</v>
      </c>
      <c r="O191" s="23" t="n">
        <f aca="false">COUNTIFS($N$170:$N$332,"Tengah",$K$2:$K$164,"Rendah")</f>
        <v>9</v>
      </c>
      <c r="P191" s="23" t="n">
        <f aca="false">O191/66</f>
        <v>0.136363636363636</v>
      </c>
    </row>
    <row r="192" customFormat="false" ht="15" hidden="false" customHeight="false" outlineLevel="0" collapsed="false">
      <c r="E192" s="23" t="str">
        <v>kanan</v>
      </c>
      <c r="F192" s="23" t="s">
        <v>196</v>
      </c>
      <c r="G192" s="23" t="n">
        <f aca="false">-(IFERROR(G189*LOG(G189,2),0)+IFERROR(G190*LOG(G190,2),0)+IFERROR(G191*LOG(G191,2),0))</f>
        <v>1.39546925879086</v>
      </c>
      <c r="N192" s="23" t="str">
        <v>kanan</v>
      </c>
      <c r="O192" s="23" t="s">
        <v>196</v>
      </c>
      <c r="P192" s="23" t="n">
        <f aca="false">-(IFERROR(P189*LOG(P189,2),0)+IFERROR(P190*LOG(P190,2),0)+IFERROR(P191*LOG(P191,2),0))</f>
        <v>1.42267546831122</v>
      </c>
    </row>
    <row r="193" customFormat="false" ht="15" hidden="false" customHeight="false" outlineLevel="0" collapsed="false">
      <c r="E193" s="23" t="str">
        <v>kiri</v>
      </c>
      <c r="F193" s="23"/>
      <c r="G193" s="23" t="n">
        <f aca="false">SUM(F189:F191)/163</f>
        <v>0.539877300613497</v>
      </c>
      <c r="N193" s="23" t="str">
        <v>tengah</v>
      </c>
      <c r="O193" s="23"/>
      <c r="P193" s="23" t="n">
        <f aca="false">SUM(O189:O191)/163</f>
        <v>0.404907975460123</v>
      </c>
    </row>
    <row r="194" customFormat="false" ht="15" hidden="false" customHeight="false" outlineLevel="0" collapsed="false">
      <c r="E194" s="23" t="str">
        <v>kiri</v>
      </c>
      <c r="F194" s="23"/>
      <c r="G194" s="27" t="n">
        <f aca="false">G192*G193</f>
        <v>0.753382176525129</v>
      </c>
      <c r="N194" s="23" t="str">
        <v>tengah</v>
      </c>
      <c r="O194" s="23"/>
      <c r="P194" s="27" t="n">
        <f aca="false">P192*P193</f>
        <v>0.576052643610677</v>
      </c>
    </row>
    <row r="195" customFormat="false" ht="15" hidden="false" customHeight="false" outlineLevel="0" collapsed="false">
      <c r="E195" s="23" t="str">
        <v>tengah</v>
      </c>
      <c r="F195" s="23"/>
      <c r="G195" s="23"/>
      <c r="N195" s="23" t="str">
        <v>kanan</v>
      </c>
      <c r="O195" s="23"/>
      <c r="P195" s="23"/>
    </row>
    <row r="196" customFormat="false" ht="15" hidden="false" customHeight="false" outlineLevel="0" collapsed="false">
      <c r="E196" s="23" t="str">
        <v>kanan</v>
      </c>
      <c r="F196" s="23" t="s">
        <v>202</v>
      </c>
      <c r="G196" s="23"/>
      <c r="N196" s="23" t="str">
        <v>tengah</v>
      </c>
      <c r="O196" s="23" t="s">
        <v>202</v>
      </c>
      <c r="P196" s="23"/>
    </row>
    <row r="197" customFormat="false" ht="15" hidden="false" customHeight="false" outlineLevel="0" collapsed="false">
      <c r="E197" s="23" t="str">
        <v>kiri</v>
      </c>
      <c r="F197" s="28" t="n">
        <f aca="false">P5-(G176+G185+G194)</f>
        <v>0.0061999488146296</v>
      </c>
      <c r="G197" s="23"/>
      <c r="N197" s="23" t="str">
        <v>kanan</v>
      </c>
      <c r="O197" s="28" t="n">
        <f aca="false">P5-(P176+P185+P194)</f>
        <v>0.00720879384158102</v>
      </c>
      <c r="P197" s="23"/>
    </row>
    <row r="198" customFormat="false" ht="15" hidden="false" customHeight="false" outlineLevel="0" collapsed="false">
      <c r="E198" s="23" t="str">
        <v>tengah</v>
      </c>
      <c r="F198" s="23"/>
      <c r="G198" s="23"/>
      <c r="N198" s="23" t="str">
        <v>kanan</v>
      </c>
      <c r="O198" s="23"/>
      <c r="P198" s="23"/>
    </row>
    <row r="199" customFormat="false" ht="15" hidden="false" customHeight="false" outlineLevel="0" collapsed="false">
      <c r="E199" s="23" t="str">
        <v>kanan</v>
      </c>
      <c r="F199" s="23"/>
      <c r="G199" s="23"/>
      <c r="N199" s="23" t="str">
        <v>kanan</v>
      </c>
      <c r="O199" s="23"/>
      <c r="P199" s="23"/>
    </row>
    <row r="200" customFormat="false" ht="15" hidden="false" customHeight="false" outlineLevel="0" collapsed="false">
      <c r="E200" s="23" t="str">
        <v>tengah</v>
      </c>
      <c r="F200" s="23"/>
      <c r="G200" s="23"/>
      <c r="N200" s="23" t="str">
        <v>kanan</v>
      </c>
      <c r="O200" s="23"/>
      <c r="P200" s="23"/>
    </row>
    <row r="201" customFormat="false" ht="15" hidden="false" customHeight="false" outlineLevel="0" collapsed="false">
      <c r="E201" s="23" t="str">
        <v>tengah</v>
      </c>
      <c r="F201" s="23"/>
      <c r="G201" s="23"/>
      <c r="N201" s="23" t="str">
        <v>tengah</v>
      </c>
      <c r="O201" s="23"/>
      <c r="P201" s="23"/>
    </row>
    <row r="202" customFormat="false" ht="15" hidden="false" customHeight="false" outlineLevel="0" collapsed="false">
      <c r="E202" s="23" t="str">
        <v>kiri</v>
      </c>
      <c r="F202" s="23"/>
      <c r="G202" s="23"/>
      <c r="N202" s="23" t="str">
        <v>tengah</v>
      </c>
      <c r="O202" s="23"/>
      <c r="P202" s="23"/>
    </row>
    <row r="203" customFormat="false" ht="15" hidden="false" customHeight="false" outlineLevel="0" collapsed="false">
      <c r="E203" s="23" t="str">
        <v>kanan</v>
      </c>
      <c r="F203" s="23"/>
      <c r="G203" s="23"/>
      <c r="N203" s="23" t="str">
        <v>kanan</v>
      </c>
      <c r="O203" s="23"/>
      <c r="P203" s="23"/>
    </row>
    <row r="204" customFormat="false" ht="15" hidden="false" customHeight="false" outlineLevel="0" collapsed="false">
      <c r="E204" s="23" t="str">
        <v>kanan</v>
      </c>
      <c r="F204" s="23"/>
      <c r="G204" s="23"/>
      <c r="N204" s="23" t="str">
        <v>kanan</v>
      </c>
      <c r="O204" s="23"/>
      <c r="P204" s="23"/>
    </row>
    <row r="205" customFormat="false" ht="15" hidden="false" customHeight="false" outlineLevel="0" collapsed="false">
      <c r="E205" s="23" t="str">
        <v>kiri</v>
      </c>
      <c r="F205" s="23"/>
      <c r="G205" s="23"/>
      <c r="N205" s="23" t="str">
        <v>kanan</v>
      </c>
      <c r="O205" s="23"/>
      <c r="P205" s="23"/>
    </row>
    <row r="206" customFormat="false" ht="15" hidden="false" customHeight="false" outlineLevel="0" collapsed="false">
      <c r="E206" s="23" t="str">
        <v>tengah</v>
      </c>
      <c r="F206" s="23"/>
      <c r="G206" s="23"/>
      <c r="N206" s="23" t="str">
        <v>kanan</v>
      </c>
      <c r="O206" s="23"/>
      <c r="P206" s="23"/>
    </row>
    <row r="207" customFormat="false" ht="15" hidden="false" customHeight="false" outlineLevel="0" collapsed="false">
      <c r="E207" s="23" t="str">
        <v>kanan</v>
      </c>
      <c r="F207" s="23"/>
      <c r="G207" s="23"/>
      <c r="N207" s="23" t="str">
        <v>tengah</v>
      </c>
      <c r="O207" s="23"/>
      <c r="P207" s="23"/>
    </row>
    <row r="208" customFormat="false" ht="15" hidden="false" customHeight="false" outlineLevel="0" collapsed="false">
      <c r="E208" s="23" t="str">
        <v>kiri</v>
      </c>
      <c r="F208" s="23"/>
      <c r="G208" s="23"/>
      <c r="N208" s="23" t="str">
        <v>tengah</v>
      </c>
      <c r="O208" s="23"/>
      <c r="P208" s="23"/>
    </row>
    <row r="209" customFormat="false" ht="15" hidden="false" customHeight="false" outlineLevel="0" collapsed="false">
      <c r="E209" s="23" t="str">
        <v>tengah</v>
      </c>
      <c r="F209" s="23"/>
      <c r="G209" s="23"/>
      <c r="N209" s="23" t="str">
        <v>tengah</v>
      </c>
      <c r="O209" s="23"/>
      <c r="P209" s="23"/>
    </row>
    <row r="210" customFormat="false" ht="15" hidden="false" customHeight="false" outlineLevel="0" collapsed="false">
      <c r="E210" s="23" t="str">
        <v>kiri</v>
      </c>
      <c r="F210" s="23"/>
      <c r="G210" s="23"/>
      <c r="N210" s="23" t="str">
        <v>tengah</v>
      </c>
      <c r="O210" s="23"/>
      <c r="P210" s="23"/>
    </row>
    <row r="211" customFormat="false" ht="15" hidden="false" customHeight="false" outlineLevel="0" collapsed="false">
      <c r="E211" s="23" t="str">
        <v>tengah</v>
      </c>
      <c r="F211" s="23"/>
      <c r="G211" s="23"/>
      <c r="N211" s="23" t="str">
        <v>kanan</v>
      </c>
      <c r="O211" s="23"/>
      <c r="P211" s="23"/>
    </row>
    <row r="212" customFormat="false" ht="15" hidden="false" customHeight="false" outlineLevel="0" collapsed="false">
      <c r="E212" s="23" t="str">
        <v>tengah</v>
      </c>
      <c r="F212" s="23"/>
      <c r="G212" s="23"/>
      <c r="N212" s="23" t="str">
        <v>tengah</v>
      </c>
      <c r="O212" s="23"/>
      <c r="P212" s="23"/>
    </row>
    <row r="213" customFormat="false" ht="15" hidden="false" customHeight="false" outlineLevel="0" collapsed="false">
      <c r="E213" s="23" t="str">
        <v>tengah</v>
      </c>
      <c r="F213" s="23"/>
      <c r="G213" s="23"/>
      <c r="N213" s="23" t="str">
        <v>tengah</v>
      </c>
      <c r="O213" s="23"/>
      <c r="P213" s="23"/>
    </row>
    <row r="214" customFormat="false" ht="15" hidden="false" customHeight="false" outlineLevel="0" collapsed="false">
      <c r="E214" s="23" t="str">
        <v>tengah</v>
      </c>
      <c r="F214" s="23"/>
      <c r="G214" s="23"/>
      <c r="N214" s="23" t="str">
        <v>kanan</v>
      </c>
      <c r="O214" s="23"/>
      <c r="P214" s="23"/>
    </row>
    <row r="215" customFormat="false" ht="15" hidden="false" customHeight="false" outlineLevel="0" collapsed="false">
      <c r="E215" s="23" t="str">
        <v>kanan</v>
      </c>
      <c r="F215" s="23"/>
      <c r="G215" s="23"/>
      <c r="N215" s="23" t="str">
        <v>kanan</v>
      </c>
      <c r="O215" s="23"/>
      <c r="P215" s="23"/>
    </row>
    <row r="216" customFormat="false" ht="15" hidden="false" customHeight="false" outlineLevel="0" collapsed="false">
      <c r="E216" s="23" t="str">
        <v>kanan</v>
      </c>
      <c r="F216" s="23"/>
      <c r="G216" s="23"/>
      <c r="N216" s="23" t="str">
        <v>tengah</v>
      </c>
      <c r="O216" s="23"/>
      <c r="P216" s="23"/>
    </row>
    <row r="217" customFormat="false" ht="15" hidden="false" customHeight="false" outlineLevel="0" collapsed="false">
      <c r="E217" s="23" t="str">
        <v>tengah</v>
      </c>
      <c r="F217" s="23"/>
      <c r="G217" s="23"/>
      <c r="N217" s="23" t="str">
        <v>tengah</v>
      </c>
      <c r="O217" s="23"/>
      <c r="P217" s="23"/>
    </row>
    <row r="218" customFormat="false" ht="15" hidden="false" customHeight="false" outlineLevel="0" collapsed="false">
      <c r="E218" s="23" t="str">
        <v>kiri</v>
      </c>
      <c r="F218" s="23"/>
      <c r="G218" s="23"/>
      <c r="N218" s="23" t="str">
        <v>tengah</v>
      </c>
      <c r="O218" s="23"/>
      <c r="P218" s="23"/>
    </row>
    <row r="219" customFormat="false" ht="15" hidden="false" customHeight="false" outlineLevel="0" collapsed="false">
      <c r="E219" s="23" t="str">
        <v>tengah</v>
      </c>
      <c r="F219" s="23"/>
      <c r="G219" s="23"/>
      <c r="N219" s="23" t="str">
        <v>kanan</v>
      </c>
      <c r="O219" s="23"/>
      <c r="P219" s="23"/>
    </row>
    <row r="220" customFormat="false" ht="15" hidden="false" customHeight="false" outlineLevel="0" collapsed="false">
      <c r="E220" s="23" t="str">
        <v>tengah</v>
      </c>
      <c r="F220" s="23"/>
      <c r="G220" s="23"/>
      <c r="N220" s="23" t="str">
        <v>kanan</v>
      </c>
      <c r="O220" s="23"/>
      <c r="P220" s="23"/>
    </row>
    <row r="221" customFormat="false" ht="15" hidden="false" customHeight="false" outlineLevel="0" collapsed="false">
      <c r="E221" s="23" t="str">
        <v>tengah</v>
      </c>
      <c r="F221" s="23"/>
      <c r="G221" s="23"/>
      <c r="N221" s="23" t="str">
        <v>kanan</v>
      </c>
      <c r="O221" s="23"/>
      <c r="P221" s="23"/>
    </row>
    <row r="222" customFormat="false" ht="15" hidden="false" customHeight="false" outlineLevel="0" collapsed="false">
      <c r="E222" s="23" t="str">
        <v>tengah</v>
      </c>
      <c r="F222" s="23"/>
      <c r="G222" s="23"/>
      <c r="N222" s="23" t="str">
        <v>kanan</v>
      </c>
      <c r="O222" s="23"/>
      <c r="P222" s="23"/>
    </row>
    <row r="223" customFormat="false" ht="15" hidden="false" customHeight="false" outlineLevel="0" collapsed="false">
      <c r="E223" s="23" t="str">
        <v>tengah</v>
      </c>
      <c r="F223" s="23"/>
      <c r="G223" s="23"/>
      <c r="N223" s="23" t="str">
        <v>tengah</v>
      </c>
      <c r="O223" s="23"/>
      <c r="P223" s="23"/>
    </row>
    <row r="224" customFormat="false" ht="15" hidden="false" customHeight="false" outlineLevel="0" collapsed="false">
      <c r="E224" s="23" t="str">
        <v>tengah</v>
      </c>
      <c r="F224" s="23"/>
      <c r="G224" s="23"/>
      <c r="N224" s="23" t="str">
        <v>tengah</v>
      </c>
      <c r="O224" s="23"/>
      <c r="P224" s="23"/>
    </row>
    <row r="225" customFormat="false" ht="15" hidden="false" customHeight="false" outlineLevel="0" collapsed="false">
      <c r="E225" s="23" t="str">
        <v>kiri</v>
      </c>
      <c r="F225" s="23"/>
      <c r="G225" s="23"/>
      <c r="N225" s="23" t="str">
        <v>tengah</v>
      </c>
      <c r="O225" s="23"/>
      <c r="P225" s="23"/>
    </row>
    <row r="226" customFormat="false" ht="15" hidden="false" customHeight="false" outlineLevel="0" collapsed="false">
      <c r="E226" s="23" t="str">
        <v>kanan</v>
      </c>
      <c r="F226" s="23"/>
      <c r="G226" s="23"/>
      <c r="N226" s="23" t="str">
        <v>kanan</v>
      </c>
      <c r="O226" s="23"/>
      <c r="P226" s="23"/>
    </row>
    <row r="227" customFormat="false" ht="15" hidden="false" customHeight="false" outlineLevel="0" collapsed="false">
      <c r="E227" s="23" t="str">
        <v>tengah</v>
      </c>
      <c r="F227" s="23"/>
      <c r="G227" s="23"/>
      <c r="N227" s="23" t="str">
        <v>tengah</v>
      </c>
      <c r="O227" s="23"/>
      <c r="P227" s="23"/>
    </row>
    <row r="228" customFormat="false" ht="15" hidden="false" customHeight="false" outlineLevel="0" collapsed="false">
      <c r="E228" s="23" t="str">
        <v>tengah</v>
      </c>
      <c r="F228" s="23"/>
      <c r="G228" s="23"/>
      <c r="N228" s="23" t="str">
        <v>kanan</v>
      </c>
      <c r="O228" s="23"/>
      <c r="P228" s="23"/>
    </row>
    <row r="229" customFormat="false" ht="15" hidden="false" customHeight="false" outlineLevel="0" collapsed="false">
      <c r="E229" s="23" t="str">
        <v>tengah</v>
      </c>
      <c r="F229" s="23"/>
      <c r="G229" s="23"/>
      <c r="N229" s="23" t="str">
        <v>kanan</v>
      </c>
      <c r="O229" s="23"/>
      <c r="P229" s="23"/>
    </row>
    <row r="230" customFormat="false" ht="15" hidden="false" customHeight="false" outlineLevel="0" collapsed="false">
      <c r="E230" s="23" t="str">
        <v>tengah</v>
      </c>
      <c r="F230" s="23"/>
      <c r="G230" s="23"/>
      <c r="N230" s="23" t="str">
        <v>kanan</v>
      </c>
      <c r="O230" s="23"/>
      <c r="P230" s="23"/>
    </row>
    <row r="231" customFormat="false" ht="15" hidden="false" customHeight="false" outlineLevel="0" collapsed="false">
      <c r="E231" s="23" t="str">
        <v>kiri</v>
      </c>
      <c r="F231" s="23"/>
      <c r="G231" s="23"/>
      <c r="N231" s="23" t="str">
        <v>kanan</v>
      </c>
      <c r="O231" s="23"/>
      <c r="P231" s="23"/>
    </row>
    <row r="232" customFormat="false" ht="15" hidden="false" customHeight="false" outlineLevel="0" collapsed="false">
      <c r="E232" s="23" t="str">
        <v>tengah</v>
      </c>
      <c r="F232" s="23"/>
      <c r="G232" s="23"/>
      <c r="N232" s="23" t="str">
        <v>kanan</v>
      </c>
      <c r="O232" s="23"/>
      <c r="P232" s="23"/>
    </row>
    <row r="233" customFormat="false" ht="15" hidden="false" customHeight="false" outlineLevel="0" collapsed="false">
      <c r="E233" s="23" t="str">
        <v>tengah</v>
      </c>
      <c r="F233" s="23"/>
      <c r="G233" s="23"/>
      <c r="N233" s="23" t="str">
        <v>kanan</v>
      </c>
      <c r="O233" s="23"/>
      <c r="P233" s="23"/>
    </row>
    <row r="234" customFormat="false" ht="15" hidden="false" customHeight="false" outlineLevel="0" collapsed="false">
      <c r="E234" s="23" t="str">
        <v>kiri</v>
      </c>
      <c r="F234" s="23"/>
      <c r="G234" s="23"/>
      <c r="N234" s="23" t="str">
        <v>kanan</v>
      </c>
      <c r="O234" s="23"/>
      <c r="P234" s="23"/>
    </row>
    <row r="235" customFormat="false" ht="15" hidden="false" customHeight="false" outlineLevel="0" collapsed="false">
      <c r="E235" s="23" t="str">
        <v>tengah</v>
      </c>
      <c r="F235" s="23"/>
      <c r="G235" s="23"/>
      <c r="N235" s="23" t="str">
        <v>kanan</v>
      </c>
      <c r="O235" s="23"/>
      <c r="P235" s="23"/>
    </row>
    <row r="236" customFormat="false" ht="15" hidden="false" customHeight="false" outlineLevel="0" collapsed="false">
      <c r="E236" s="23" t="str">
        <v>kiri</v>
      </c>
      <c r="F236" s="23"/>
      <c r="G236" s="23"/>
      <c r="N236" s="23" t="str">
        <v>tengah</v>
      </c>
      <c r="O236" s="23"/>
      <c r="P236" s="23"/>
    </row>
    <row r="237" customFormat="false" ht="15" hidden="false" customHeight="false" outlineLevel="0" collapsed="false">
      <c r="E237" s="23" t="str">
        <v>tengah</v>
      </c>
      <c r="F237" s="23"/>
      <c r="G237" s="23"/>
      <c r="N237" s="23" t="str">
        <v>kanan</v>
      </c>
      <c r="O237" s="23"/>
      <c r="P237" s="23"/>
    </row>
    <row r="238" customFormat="false" ht="15" hidden="false" customHeight="false" outlineLevel="0" collapsed="false">
      <c r="E238" s="23" t="str">
        <v>kanan</v>
      </c>
      <c r="F238" s="23"/>
      <c r="G238" s="23"/>
      <c r="N238" s="23" t="str">
        <v>kanan</v>
      </c>
      <c r="O238" s="23"/>
      <c r="P238" s="23"/>
    </row>
    <row r="239" customFormat="false" ht="15" hidden="false" customHeight="false" outlineLevel="0" collapsed="false">
      <c r="E239" s="23" t="str">
        <v>kiri</v>
      </c>
      <c r="F239" s="23"/>
      <c r="G239" s="23"/>
      <c r="N239" s="23" t="str">
        <v>tengah</v>
      </c>
      <c r="O239" s="23"/>
      <c r="P239" s="23"/>
    </row>
    <row r="240" customFormat="false" ht="15" hidden="false" customHeight="false" outlineLevel="0" collapsed="false">
      <c r="E240" s="23" t="str">
        <v>tengah</v>
      </c>
      <c r="F240" s="23"/>
      <c r="G240" s="23"/>
      <c r="N240" s="23" t="str">
        <v>tengah</v>
      </c>
      <c r="O240" s="23"/>
      <c r="P240" s="23"/>
    </row>
    <row r="241" customFormat="false" ht="15" hidden="false" customHeight="false" outlineLevel="0" collapsed="false">
      <c r="E241" s="23" t="str">
        <v>kiri</v>
      </c>
      <c r="F241" s="23"/>
      <c r="G241" s="23"/>
      <c r="N241" s="23" t="str">
        <v>kanan</v>
      </c>
      <c r="O241" s="23"/>
      <c r="P241" s="23"/>
    </row>
    <row r="242" customFormat="false" ht="15" hidden="false" customHeight="false" outlineLevel="0" collapsed="false">
      <c r="E242" s="23" t="str">
        <v>kanan</v>
      </c>
      <c r="F242" s="23"/>
      <c r="G242" s="23"/>
      <c r="N242" s="23" t="str">
        <v>kanan</v>
      </c>
      <c r="O242" s="23"/>
      <c r="P242" s="23"/>
    </row>
    <row r="243" customFormat="false" ht="15" hidden="false" customHeight="false" outlineLevel="0" collapsed="false">
      <c r="E243" s="23" t="str">
        <v>kanan</v>
      </c>
      <c r="F243" s="23"/>
      <c r="G243" s="23"/>
      <c r="N243" s="23" t="str">
        <v>kanan</v>
      </c>
      <c r="O243" s="23"/>
      <c r="P243" s="23"/>
    </row>
    <row r="244" customFormat="false" ht="15" hidden="false" customHeight="false" outlineLevel="0" collapsed="false">
      <c r="E244" s="23" t="str">
        <v>kiri</v>
      </c>
      <c r="F244" s="23"/>
      <c r="G244" s="23"/>
      <c r="N244" s="23" t="str">
        <v>kanan</v>
      </c>
      <c r="O244" s="23"/>
      <c r="P244" s="23"/>
    </row>
    <row r="245" customFormat="false" ht="15" hidden="false" customHeight="false" outlineLevel="0" collapsed="false">
      <c r="E245" s="23" t="str">
        <v>tengah</v>
      </c>
      <c r="F245" s="23"/>
      <c r="G245" s="23"/>
      <c r="N245" s="23" t="str">
        <v>kanan</v>
      </c>
      <c r="O245" s="23"/>
      <c r="P245" s="23"/>
    </row>
    <row r="246" customFormat="false" ht="15" hidden="false" customHeight="false" outlineLevel="0" collapsed="false">
      <c r="E246" s="23" t="str">
        <v>kiri</v>
      </c>
      <c r="F246" s="23"/>
      <c r="G246" s="23"/>
      <c r="N246" s="23" t="str">
        <v>tengah</v>
      </c>
      <c r="O246" s="23"/>
      <c r="P246" s="23"/>
    </row>
    <row r="247" customFormat="false" ht="15" hidden="false" customHeight="false" outlineLevel="0" collapsed="false">
      <c r="E247" s="23" t="str">
        <v>tengah</v>
      </c>
      <c r="F247" s="23"/>
      <c r="G247" s="23"/>
      <c r="N247" s="23" t="str">
        <v>kanan</v>
      </c>
      <c r="O247" s="23"/>
      <c r="P247" s="23"/>
    </row>
    <row r="248" customFormat="false" ht="15" hidden="false" customHeight="false" outlineLevel="0" collapsed="false">
      <c r="E248" s="23" t="str">
        <v>kiri</v>
      </c>
      <c r="F248" s="23"/>
      <c r="G248" s="23"/>
      <c r="N248" s="23" t="str">
        <v>kanan</v>
      </c>
      <c r="O248" s="23"/>
      <c r="P248" s="23"/>
    </row>
    <row r="249" customFormat="false" ht="15" hidden="false" customHeight="false" outlineLevel="0" collapsed="false">
      <c r="E249" s="23" t="str">
        <v>tengah</v>
      </c>
      <c r="F249" s="23"/>
      <c r="G249" s="23"/>
      <c r="N249" s="23" t="str">
        <v>kanan</v>
      </c>
      <c r="O249" s="23"/>
      <c r="P249" s="23"/>
    </row>
    <row r="250" customFormat="false" ht="15" hidden="false" customHeight="false" outlineLevel="0" collapsed="false">
      <c r="E250" s="23" t="str">
        <v>tengah</v>
      </c>
      <c r="F250" s="23"/>
      <c r="G250" s="23"/>
      <c r="N250" s="23" t="str">
        <v>tengah</v>
      </c>
      <c r="O250" s="23"/>
      <c r="P250" s="23"/>
    </row>
    <row r="251" customFormat="false" ht="15" hidden="false" customHeight="false" outlineLevel="0" collapsed="false">
      <c r="E251" s="23" t="str">
        <v>tengah</v>
      </c>
      <c r="F251" s="23"/>
      <c r="G251" s="23"/>
      <c r="N251" s="23" t="str">
        <v>kanan</v>
      </c>
      <c r="O251" s="23"/>
      <c r="P251" s="23"/>
    </row>
    <row r="252" customFormat="false" ht="15" hidden="false" customHeight="false" outlineLevel="0" collapsed="false">
      <c r="E252" s="23" t="str">
        <v>tengah</v>
      </c>
      <c r="F252" s="23"/>
      <c r="G252" s="23"/>
      <c r="N252" s="23" t="str">
        <v>kanan</v>
      </c>
      <c r="O252" s="23"/>
      <c r="P252" s="23"/>
    </row>
    <row r="253" customFormat="false" ht="15" hidden="false" customHeight="false" outlineLevel="0" collapsed="false">
      <c r="E253" s="23" t="str">
        <v>kanan</v>
      </c>
      <c r="F253" s="23"/>
      <c r="G253" s="23"/>
      <c r="N253" s="23" t="str">
        <v>tengah</v>
      </c>
      <c r="O253" s="23"/>
      <c r="P253" s="23"/>
    </row>
    <row r="254" customFormat="false" ht="15" hidden="false" customHeight="false" outlineLevel="0" collapsed="false">
      <c r="E254" s="23" t="str">
        <v>kanan</v>
      </c>
      <c r="F254" s="23"/>
      <c r="G254" s="23"/>
      <c r="N254" s="23" t="str">
        <v>kanan</v>
      </c>
      <c r="O254" s="23"/>
      <c r="P254" s="23"/>
    </row>
    <row r="255" customFormat="false" ht="15" hidden="false" customHeight="false" outlineLevel="0" collapsed="false">
      <c r="E255" s="23" t="str">
        <v>tengah</v>
      </c>
      <c r="F255" s="23"/>
      <c r="G255" s="23"/>
      <c r="N255" s="23" t="str">
        <v>kanan</v>
      </c>
      <c r="O255" s="23"/>
      <c r="P255" s="23"/>
    </row>
    <row r="256" customFormat="false" ht="15" hidden="false" customHeight="false" outlineLevel="0" collapsed="false">
      <c r="E256" s="23" t="str">
        <v>tengah</v>
      </c>
      <c r="F256" s="23"/>
      <c r="G256" s="23"/>
      <c r="N256" s="23" t="str">
        <v>tengah</v>
      </c>
      <c r="O256" s="23"/>
      <c r="P256" s="23"/>
    </row>
    <row r="257" customFormat="false" ht="15" hidden="false" customHeight="false" outlineLevel="0" collapsed="false">
      <c r="E257" s="23" t="str">
        <v>kanan</v>
      </c>
      <c r="F257" s="23"/>
      <c r="G257" s="23"/>
      <c r="N257" s="23" t="str">
        <v>tengah</v>
      </c>
      <c r="O257" s="23"/>
      <c r="P257" s="23"/>
    </row>
    <row r="258" customFormat="false" ht="15" hidden="false" customHeight="false" outlineLevel="0" collapsed="false">
      <c r="E258" s="23" t="str">
        <v>kiri</v>
      </c>
      <c r="F258" s="23"/>
      <c r="G258" s="23"/>
      <c r="N258" s="23" t="str">
        <v>kanan</v>
      </c>
      <c r="O258" s="23"/>
      <c r="P258" s="23"/>
    </row>
    <row r="259" customFormat="false" ht="15" hidden="false" customHeight="false" outlineLevel="0" collapsed="false">
      <c r="E259" s="23" t="str">
        <v>kiri</v>
      </c>
      <c r="F259" s="23"/>
      <c r="G259" s="23"/>
      <c r="N259" s="23" t="str">
        <v>kanan</v>
      </c>
      <c r="O259" s="23"/>
      <c r="P259" s="23"/>
    </row>
    <row r="260" customFormat="false" ht="15" hidden="false" customHeight="false" outlineLevel="0" collapsed="false">
      <c r="E260" s="23" t="str">
        <v>kiri</v>
      </c>
      <c r="F260" s="23"/>
      <c r="G260" s="23"/>
      <c r="N260" s="23" t="str">
        <v>kanan</v>
      </c>
      <c r="O260" s="23"/>
      <c r="P260" s="23"/>
    </row>
    <row r="261" customFormat="false" ht="15" hidden="false" customHeight="false" outlineLevel="0" collapsed="false">
      <c r="E261" s="23" t="str">
        <v>tengah</v>
      </c>
      <c r="F261" s="23"/>
      <c r="G261" s="23"/>
      <c r="N261" s="23" t="str">
        <v>kanan</v>
      </c>
      <c r="O261" s="23"/>
      <c r="P261" s="23"/>
    </row>
    <row r="262" customFormat="false" ht="15" hidden="false" customHeight="false" outlineLevel="0" collapsed="false">
      <c r="E262" s="23" t="str">
        <v>tengah</v>
      </c>
      <c r="F262" s="23"/>
      <c r="G262" s="23"/>
      <c r="N262" s="23" t="str">
        <v>kanan</v>
      </c>
      <c r="O262" s="23"/>
      <c r="P262" s="23"/>
    </row>
    <row r="263" customFormat="false" ht="15" hidden="false" customHeight="false" outlineLevel="0" collapsed="false">
      <c r="E263" s="23" t="str">
        <v>tengah</v>
      </c>
      <c r="F263" s="23"/>
      <c r="G263" s="23"/>
      <c r="N263" s="23" t="str">
        <v>tengah</v>
      </c>
      <c r="O263" s="23"/>
      <c r="P263" s="23"/>
    </row>
    <row r="264" customFormat="false" ht="15" hidden="false" customHeight="false" outlineLevel="0" collapsed="false">
      <c r="E264" s="23" t="str">
        <v>kiri</v>
      </c>
      <c r="F264" s="23"/>
      <c r="G264" s="23"/>
      <c r="N264" s="23" t="str">
        <v>tengah</v>
      </c>
      <c r="O264" s="23"/>
      <c r="P264" s="23"/>
    </row>
    <row r="265" customFormat="false" ht="15" hidden="false" customHeight="false" outlineLevel="0" collapsed="false">
      <c r="E265" s="23" t="str">
        <v>tengah</v>
      </c>
      <c r="F265" s="23"/>
      <c r="G265" s="23"/>
      <c r="N265" s="23" t="str">
        <v>tengah</v>
      </c>
      <c r="O265" s="23"/>
      <c r="P265" s="23"/>
    </row>
    <row r="266" customFormat="false" ht="15" hidden="false" customHeight="false" outlineLevel="0" collapsed="false">
      <c r="E266" s="23" t="str">
        <v>kiri</v>
      </c>
      <c r="F266" s="23"/>
      <c r="G266" s="23"/>
      <c r="N266" s="23" t="str">
        <v>tengah</v>
      </c>
      <c r="O266" s="23"/>
      <c r="P266" s="23"/>
    </row>
    <row r="267" customFormat="false" ht="15" hidden="false" customHeight="false" outlineLevel="0" collapsed="false">
      <c r="E267" s="23" t="str">
        <v>tengah</v>
      </c>
      <c r="F267" s="23"/>
      <c r="G267" s="23"/>
      <c r="N267" s="23" t="str">
        <v>tengah</v>
      </c>
      <c r="O267" s="23"/>
      <c r="P267" s="23"/>
    </row>
    <row r="268" customFormat="false" ht="15" hidden="false" customHeight="false" outlineLevel="0" collapsed="false">
      <c r="E268" s="23" t="str">
        <v>tengah</v>
      </c>
      <c r="F268" s="23"/>
      <c r="G268" s="23"/>
      <c r="N268" s="23" t="str">
        <v>kanan</v>
      </c>
      <c r="O268" s="23"/>
      <c r="P268" s="23"/>
    </row>
    <row r="269" customFormat="false" ht="15" hidden="false" customHeight="false" outlineLevel="0" collapsed="false">
      <c r="E269" s="23" t="str">
        <v>kiri</v>
      </c>
      <c r="F269" s="23"/>
      <c r="G269" s="23"/>
      <c r="N269" s="23" t="str">
        <v>tengah</v>
      </c>
      <c r="O269" s="23"/>
      <c r="P269" s="23"/>
    </row>
    <row r="270" customFormat="false" ht="15" hidden="false" customHeight="false" outlineLevel="0" collapsed="false">
      <c r="E270" s="23" t="str">
        <v>kanan</v>
      </c>
      <c r="F270" s="23"/>
      <c r="G270" s="23"/>
      <c r="N270" s="23" t="str">
        <v>kanan</v>
      </c>
      <c r="O270" s="23"/>
      <c r="P270" s="23"/>
    </row>
    <row r="271" customFormat="false" ht="15" hidden="false" customHeight="false" outlineLevel="0" collapsed="false">
      <c r="E271" s="23" t="str">
        <v>tengah</v>
      </c>
      <c r="F271" s="23"/>
      <c r="G271" s="23"/>
      <c r="N271" s="23" t="str">
        <v>kanan</v>
      </c>
      <c r="O271" s="23"/>
      <c r="P271" s="23"/>
    </row>
    <row r="272" customFormat="false" ht="15" hidden="false" customHeight="false" outlineLevel="0" collapsed="false">
      <c r="E272" s="23" t="str">
        <v>tengah</v>
      </c>
      <c r="F272" s="23"/>
      <c r="G272" s="23"/>
      <c r="N272" s="23" t="str">
        <v>kanan</v>
      </c>
      <c r="O272" s="23"/>
      <c r="P272" s="23"/>
    </row>
    <row r="273" customFormat="false" ht="15" hidden="false" customHeight="false" outlineLevel="0" collapsed="false">
      <c r="E273" s="23" t="str">
        <v>tengah</v>
      </c>
      <c r="F273" s="23"/>
      <c r="G273" s="23"/>
      <c r="N273" s="23" t="str">
        <v>tengah</v>
      </c>
      <c r="O273" s="23"/>
      <c r="P273" s="23"/>
    </row>
    <row r="274" customFormat="false" ht="15" hidden="false" customHeight="false" outlineLevel="0" collapsed="false">
      <c r="E274" s="23" t="str">
        <v>kiri</v>
      </c>
      <c r="F274" s="23"/>
      <c r="G274" s="23"/>
      <c r="N274" s="23" t="str">
        <v>kanan</v>
      </c>
      <c r="O274" s="23"/>
      <c r="P274" s="23"/>
    </row>
    <row r="275" customFormat="false" ht="15" hidden="false" customHeight="false" outlineLevel="0" collapsed="false">
      <c r="E275" s="23" t="str">
        <v>kanan</v>
      </c>
      <c r="F275" s="23"/>
      <c r="G275" s="23"/>
      <c r="N275" s="23" t="str">
        <v>tengah</v>
      </c>
      <c r="O275" s="23"/>
      <c r="P275" s="23"/>
    </row>
    <row r="276" customFormat="false" ht="15" hidden="false" customHeight="false" outlineLevel="0" collapsed="false">
      <c r="E276" s="23" t="str">
        <v>tengah</v>
      </c>
      <c r="F276" s="23"/>
      <c r="G276" s="23"/>
      <c r="N276" s="23" t="str">
        <v>tengah</v>
      </c>
      <c r="O276" s="23"/>
      <c r="P276" s="23"/>
    </row>
    <row r="277" customFormat="false" ht="15" hidden="false" customHeight="false" outlineLevel="0" collapsed="false">
      <c r="E277" s="23" t="str">
        <v>tengah</v>
      </c>
      <c r="F277" s="23"/>
      <c r="G277" s="23"/>
      <c r="N277" s="23" t="str">
        <v>kanan</v>
      </c>
      <c r="O277" s="23"/>
      <c r="P277" s="23"/>
    </row>
    <row r="278" customFormat="false" ht="15" hidden="false" customHeight="false" outlineLevel="0" collapsed="false">
      <c r="E278" s="23" t="str">
        <v>kiri</v>
      </c>
      <c r="F278" s="23"/>
      <c r="G278" s="23"/>
      <c r="N278" s="23" t="str">
        <v>kanan</v>
      </c>
      <c r="O278" s="23"/>
      <c r="P278" s="23"/>
    </row>
    <row r="279" customFormat="false" ht="15" hidden="false" customHeight="false" outlineLevel="0" collapsed="false">
      <c r="E279" s="23" t="str">
        <v>kiri</v>
      </c>
      <c r="F279" s="23"/>
      <c r="G279" s="23"/>
      <c r="N279" s="23" t="str">
        <v>kanan</v>
      </c>
      <c r="O279" s="23"/>
      <c r="P279" s="23"/>
    </row>
    <row r="280" customFormat="false" ht="15" hidden="false" customHeight="false" outlineLevel="0" collapsed="false">
      <c r="E280" s="23" t="str">
        <v>tengah</v>
      </c>
      <c r="F280" s="23"/>
      <c r="G280" s="23"/>
      <c r="N280" s="23" t="str">
        <v>tengah</v>
      </c>
      <c r="O280" s="23"/>
      <c r="P280" s="23"/>
    </row>
    <row r="281" customFormat="false" ht="15" hidden="false" customHeight="false" outlineLevel="0" collapsed="false">
      <c r="E281" s="23" t="str">
        <v>kiri</v>
      </c>
      <c r="F281" s="23"/>
      <c r="G281" s="23"/>
      <c r="N281" s="23" t="str">
        <v>tengah</v>
      </c>
      <c r="O281" s="23"/>
      <c r="P281" s="23"/>
    </row>
    <row r="282" customFormat="false" ht="15" hidden="false" customHeight="false" outlineLevel="0" collapsed="false">
      <c r="E282" s="23" t="str">
        <v>tengah</v>
      </c>
      <c r="F282" s="23"/>
      <c r="G282" s="23"/>
      <c r="N282" s="23" t="str">
        <v>kanan</v>
      </c>
      <c r="O282" s="23"/>
      <c r="P282" s="23"/>
    </row>
    <row r="283" customFormat="false" ht="15" hidden="false" customHeight="false" outlineLevel="0" collapsed="false">
      <c r="E283" s="23" t="str">
        <v>tengah</v>
      </c>
      <c r="F283" s="23"/>
      <c r="G283" s="23"/>
      <c r="N283" s="23" t="str">
        <v>kanan</v>
      </c>
      <c r="O283" s="23"/>
      <c r="P283" s="23"/>
    </row>
    <row r="284" customFormat="false" ht="15" hidden="false" customHeight="false" outlineLevel="0" collapsed="false">
      <c r="E284" s="23" t="str">
        <v>tengah</v>
      </c>
      <c r="F284" s="23"/>
      <c r="G284" s="23"/>
      <c r="N284" s="23" t="str">
        <v>kanan</v>
      </c>
      <c r="O284" s="23"/>
      <c r="P284" s="23"/>
    </row>
    <row r="285" customFormat="false" ht="15" hidden="false" customHeight="false" outlineLevel="0" collapsed="false">
      <c r="E285" s="23" t="str">
        <v>tengah</v>
      </c>
      <c r="F285" s="23"/>
      <c r="G285" s="23"/>
      <c r="N285" s="23" t="str">
        <v>tengah</v>
      </c>
      <c r="O285" s="23"/>
      <c r="P285" s="23"/>
    </row>
    <row r="286" customFormat="false" ht="15" hidden="false" customHeight="false" outlineLevel="0" collapsed="false">
      <c r="E286" s="23" t="str">
        <v>kiri</v>
      </c>
      <c r="F286" s="23"/>
      <c r="G286" s="23"/>
      <c r="N286" s="23" t="str">
        <v>kanan</v>
      </c>
      <c r="O286" s="23"/>
      <c r="P286" s="23"/>
    </row>
    <row r="287" customFormat="false" ht="15" hidden="false" customHeight="false" outlineLevel="0" collapsed="false">
      <c r="E287" s="23" t="str">
        <v>tengah</v>
      </c>
      <c r="F287" s="23"/>
      <c r="G287" s="23"/>
      <c r="N287" s="23" t="str">
        <v>tengah</v>
      </c>
      <c r="O287" s="23"/>
      <c r="P287" s="23"/>
    </row>
    <row r="288" customFormat="false" ht="15" hidden="false" customHeight="false" outlineLevel="0" collapsed="false">
      <c r="E288" s="23" t="str">
        <v>tengah</v>
      </c>
      <c r="F288" s="23"/>
      <c r="G288" s="23"/>
      <c r="N288" s="23" t="str">
        <v>kanan</v>
      </c>
      <c r="O288" s="23"/>
      <c r="P288" s="23"/>
    </row>
    <row r="289" customFormat="false" ht="15" hidden="false" customHeight="false" outlineLevel="0" collapsed="false">
      <c r="E289" s="23" t="str">
        <v>tengah</v>
      </c>
      <c r="F289" s="23"/>
      <c r="G289" s="23"/>
      <c r="N289" s="23" t="str">
        <v>kanan</v>
      </c>
      <c r="O289" s="23"/>
      <c r="P289" s="23"/>
    </row>
    <row r="290" customFormat="false" ht="15" hidden="false" customHeight="false" outlineLevel="0" collapsed="false">
      <c r="E290" s="23" t="str">
        <v>tengah</v>
      </c>
      <c r="F290" s="23"/>
      <c r="G290" s="23"/>
      <c r="N290" s="23" t="str">
        <v>kanan</v>
      </c>
      <c r="O290" s="23"/>
      <c r="P290" s="23"/>
    </row>
    <row r="291" customFormat="false" ht="15" hidden="false" customHeight="false" outlineLevel="0" collapsed="false">
      <c r="E291" s="23" t="str">
        <v>kanan</v>
      </c>
      <c r="F291" s="23"/>
      <c r="G291" s="23"/>
      <c r="N291" s="23" t="str">
        <v>kanan</v>
      </c>
      <c r="O291" s="23"/>
      <c r="P291" s="23"/>
    </row>
    <row r="292" customFormat="false" ht="15" hidden="false" customHeight="false" outlineLevel="0" collapsed="false">
      <c r="E292" s="23" t="str">
        <v>kiri</v>
      </c>
      <c r="F292" s="23"/>
      <c r="G292" s="23"/>
      <c r="N292" s="23" t="str">
        <v>kanan</v>
      </c>
      <c r="O292" s="23"/>
      <c r="P292" s="23"/>
    </row>
    <row r="293" customFormat="false" ht="15" hidden="false" customHeight="false" outlineLevel="0" collapsed="false">
      <c r="E293" s="23" t="str">
        <v>tengah</v>
      </c>
      <c r="F293" s="23"/>
      <c r="G293" s="23"/>
      <c r="N293" s="23" t="str">
        <v>tengah</v>
      </c>
      <c r="O293" s="23"/>
      <c r="P293" s="23"/>
    </row>
    <row r="294" customFormat="false" ht="15" hidden="false" customHeight="false" outlineLevel="0" collapsed="false">
      <c r="E294" s="23" t="str">
        <v>kiri</v>
      </c>
      <c r="F294" s="23"/>
      <c r="G294" s="23"/>
      <c r="N294" s="23" t="str">
        <v>kanan</v>
      </c>
      <c r="O294" s="23"/>
      <c r="P294" s="23"/>
    </row>
    <row r="295" customFormat="false" ht="15" hidden="false" customHeight="false" outlineLevel="0" collapsed="false">
      <c r="E295" s="23" t="str">
        <v>tengah</v>
      </c>
      <c r="F295" s="23"/>
      <c r="G295" s="23"/>
      <c r="N295" s="23" t="str">
        <v>kanan</v>
      </c>
      <c r="O295" s="23"/>
      <c r="P295" s="23"/>
    </row>
    <row r="296" customFormat="false" ht="15" hidden="false" customHeight="false" outlineLevel="0" collapsed="false">
      <c r="E296" s="23" t="str">
        <v>kanan</v>
      </c>
      <c r="F296" s="23"/>
      <c r="G296" s="23"/>
      <c r="N296" s="23" t="str">
        <v>tengah</v>
      </c>
      <c r="O296" s="23"/>
      <c r="P296" s="23"/>
    </row>
    <row r="297" customFormat="false" ht="15" hidden="false" customHeight="false" outlineLevel="0" collapsed="false">
      <c r="E297" s="23" t="str">
        <v>tengah</v>
      </c>
      <c r="F297" s="23"/>
      <c r="G297" s="23"/>
      <c r="N297" s="23" t="str">
        <v>tengah</v>
      </c>
      <c r="O297" s="23"/>
      <c r="P297" s="23"/>
    </row>
    <row r="298" customFormat="false" ht="15" hidden="false" customHeight="false" outlineLevel="0" collapsed="false">
      <c r="E298" s="23" t="str">
        <v>kiri</v>
      </c>
      <c r="F298" s="23"/>
      <c r="G298" s="23"/>
      <c r="N298" s="23" t="str">
        <v>tengah</v>
      </c>
      <c r="O298" s="23"/>
      <c r="P298" s="23"/>
    </row>
    <row r="299" customFormat="false" ht="15" hidden="false" customHeight="false" outlineLevel="0" collapsed="false">
      <c r="E299" s="23" t="str">
        <v>tengah</v>
      </c>
      <c r="F299" s="23"/>
      <c r="G299" s="23"/>
      <c r="N299" s="23" t="str">
        <v>kanan</v>
      </c>
      <c r="O299" s="23"/>
      <c r="P299" s="23"/>
    </row>
    <row r="300" customFormat="false" ht="15" hidden="false" customHeight="false" outlineLevel="0" collapsed="false">
      <c r="E300" s="23" t="str">
        <v>tengah</v>
      </c>
      <c r="F300" s="23"/>
      <c r="G300" s="23"/>
      <c r="N300" s="23" t="str">
        <v>kanan</v>
      </c>
      <c r="O300" s="23"/>
      <c r="P300" s="23"/>
    </row>
    <row r="301" customFormat="false" ht="15" hidden="false" customHeight="false" outlineLevel="0" collapsed="false">
      <c r="E301" s="23" t="str">
        <v>tengah</v>
      </c>
      <c r="F301" s="23"/>
      <c r="G301" s="23"/>
      <c r="N301" s="23" t="str">
        <v>kanan</v>
      </c>
      <c r="O301" s="23"/>
      <c r="P301" s="23"/>
    </row>
    <row r="302" customFormat="false" ht="15" hidden="false" customHeight="false" outlineLevel="0" collapsed="false">
      <c r="E302" s="23" t="str">
        <v>kiri</v>
      </c>
      <c r="F302" s="23"/>
      <c r="G302" s="23"/>
      <c r="N302" s="23" t="str">
        <v>tengah</v>
      </c>
      <c r="O302" s="23"/>
      <c r="P302" s="23"/>
    </row>
    <row r="303" customFormat="false" ht="15" hidden="false" customHeight="false" outlineLevel="0" collapsed="false">
      <c r="E303" s="23" t="str">
        <v>kanan</v>
      </c>
      <c r="F303" s="23"/>
      <c r="G303" s="23"/>
      <c r="N303" s="23" t="str">
        <v>kanan</v>
      </c>
      <c r="O303" s="23"/>
      <c r="P303" s="23"/>
    </row>
    <row r="304" customFormat="false" ht="15" hidden="false" customHeight="false" outlineLevel="0" collapsed="false">
      <c r="E304" s="23" t="str">
        <v>kiri</v>
      </c>
      <c r="F304" s="23"/>
      <c r="G304" s="23"/>
      <c r="N304" s="23" t="str">
        <v>kanan</v>
      </c>
      <c r="O304" s="23"/>
      <c r="P304" s="23"/>
    </row>
    <row r="305" customFormat="false" ht="15" hidden="false" customHeight="false" outlineLevel="0" collapsed="false">
      <c r="E305" s="23" t="str">
        <v>kiri</v>
      </c>
      <c r="F305" s="23"/>
      <c r="G305" s="23"/>
      <c r="N305" s="23" t="str">
        <v>kanan</v>
      </c>
      <c r="O305" s="23"/>
      <c r="P305" s="23"/>
    </row>
    <row r="306" customFormat="false" ht="15" hidden="false" customHeight="false" outlineLevel="0" collapsed="false">
      <c r="E306" s="23" t="str">
        <v>tengah</v>
      </c>
      <c r="F306" s="23"/>
      <c r="G306" s="23"/>
      <c r="N306" s="23" t="str">
        <v>kanan</v>
      </c>
      <c r="O306" s="23"/>
      <c r="P306" s="23"/>
    </row>
    <row r="307" customFormat="false" ht="15" hidden="false" customHeight="false" outlineLevel="0" collapsed="false">
      <c r="E307" s="23" t="str">
        <v>tengah</v>
      </c>
      <c r="F307" s="23"/>
      <c r="G307" s="23"/>
      <c r="N307" s="23" t="str">
        <v>tengah</v>
      </c>
      <c r="O307" s="23"/>
      <c r="P307" s="23"/>
    </row>
    <row r="308" customFormat="false" ht="15" hidden="false" customHeight="false" outlineLevel="0" collapsed="false">
      <c r="E308" s="23" t="str">
        <v>tengah</v>
      </c>
      <c r="F308" s="23"/>
      <c r="G308" s="23"/>
      <c r="N308" s="23" t="str">
        <v>kanan</v>
      </c>
      <c r="O308" s="23"/>
      <c r="P308" s="23"/>
    </row>
    <row r="309" customFormat="false" ht="15" hidden="false" customHeight="false" outlineLevel="0" collapsed="false">
      <c r="E309" s="23" t="str">
        <v>tengah</v>
      </c>
      <c r="F309" s="23"/>
      <c r="G309" s="23"/>
      <c r="N309" s="23" t="str">
        <v>kanan</v>
      </c>
      <c r="O309" s="23"/>
      <c r="P309" s="23"/>
    </row>
    <row r="310" customFormat="false" ht="15" hidden="false" customHeight="false" outlineLevel="0" collapsed="false">
      <c r="E310" s="23" t="str">
        <v>tengah</v>
      </c>
      <c r="F310" s="23"/>
      <c r="G310" s="23"/>
      <c r="N310" s="23" t="str">
        <v>kanan</v>
      </c>
      <c r="O310" s="23"/>
      <c r="P310" s="23"/>
    </row>
    <row r="311" customFormat="false" ht="15" hidden="false" customHeight="false" outlineLevel="0" collapsed="false">
      <c r="E311" s="23" t="str">
        <v>tengah</v>
      </c>
      <c r="F311" s="23"/>
      <c r="G311" s="23"/>
      <c r="N311" s="23" t="str">
        <v>kanan</v>
      </c>
      <c r="O311" s="23"/>
      <c r="P311" s="23"/>
    </row>
    <row r="312" customFormat="false" ht="15" hidden="false" customHeight="false" outlineLevel="0" collapsed="false">
      <c r="E312" s="23" t="str">
        <v>kiri</v>
      </c>
      <c r="F312" s="23"/>
      <c r="G312" s="23"/>
      <c r="N312" s="23" t="str">
        <v>kanan</v>
      </c>
      <c r="O312" s="23"/>
      <c r="P312" s="23"/>
    </row>
    <row r="313" customFormat="false" ht="15" hidden="false" customHeight="false" outlineLevel="0" collapsed="false">
      <c r="E313" s="23" t="str">
        <v>tengah</v>
      </c>
      <c r="F313" s="23"/>
      <c r="G313" s="23"/>
      <c r="N313" s="23" t="str">
        <v>kanan</v>
      </c>
      <c r="O313" s="23"/>
      <c r="P313" s="23"/>
    </row>
    <row r="314" customFormat="false" ht="15" hidden="false" customHeight="false" outlineLevel="0" collapsed="false">
      <c r="E314" s="23" t="str">
        <v>kiri</v>
      </c>
      <c r="F314" s="23"/>
      <c r="G314" s="23"/>
      <c r="N314" s="23" t="str">
        <v>kanan</v>
      </c>
      <c r="O314" s="23"/>
      <c r="P314" s="23"/>
    </row>
    <row r="315" customFormat="false" ht="15" hidden="false" customHeight="false" outlineLevel="0" collapsed="false">
      <c r="E315" s="23" t="str">
        <v>tengah</v>
      </c>
      <c r="F315" s="23"/>
      <c r="G315" s="23"/>
      <c r="N315" s="23" t="str">
        <v>tengah</v>
      </c>
      <c r="O315" s="23"/>
      <c r="P315" s="23"/>
    </row>
    <row r="316" customFormat="false" ht="15" hidden="false" customHeight="false" outlineLevel="0" collapsed="false">
      <c r="E316" s="23" t="str">
        <v>tengah</v>
      </c>
      <c r="F316" s="23"/>
      <c r="G316" s="23"/>
      <c r="N316" s="23" t="str">
        <v>tengah</v>
      </c>
      <c r="O316" s="23"/>
      <c r="P316" s="23"/>
    </row>
    <row r="317" customFormat="false" ht="15" hidden="false" customHeight="false" outlineLevel="0" collapsed="false">
      <c r="E317" s="23" t="str">
        <v>tengah</v>
      </c>
      <c r="F317" s="23"/>
      <c r="G317" s="23"/>
      <c r="N317" s="23" t="str">
        <v>kanan</v>
      </c>
      <c r="O317" s="23"/>
      <c r="P317" s="23"/>
    </row>
    <row r="318" customFormat="false" ht="15" hidden="false" customHeight="false" outlineLevel="0" collapsed="false">
      <c r="E318" s="23" t="str">
        <v>kanan</v>
      </c>
      <c r="F318" s="23"/>
      <c r="G318" s="23"/>
      <c r="N318" s="23" t="str">
        <v>tengah</v>
      </c>
      <c r="O318" s="23"/>
      <c r="P318" s="23"/>
    </row>
    <row r="319" customFormat="false" ht="15" hidden="false" customHeight="false" outlineLevel="0" collapsed="false">
      <c r="E319" s="23" t="str">
        <v>kanan</v>
      </c>
      <c r="F319" s="23"/>
      <c r="G319" s="23"/>
      <c r="N319" s="23" t="str">
        <v>kanan</v>
      </c>
      <c r="O319" s="23"/>
      <c r="P319" s="23"/>
    </row>
    <row r="320" customFormat="false" ht="15" hidden="false" customHeight="false" outlineLevel="0" collapsed="false">
      <c r="E320" s="23" t="str">
        <v>kanan</v>
      </c>
      <c r="F320" s="23"/>
      <c r="G320" s="23"/>
      <c r="N320" s="23" t="str">
        <v>kanan</v>
      </c>
      <c r="O320" s="23"/>
      <c r="P320" s="23"/>
    </row>
    <row r="321" customFormat="false" ht="15" hidden="false" customHeight="false" outlineLevel="0" collapsed="false">
      <c r="E321" s="23" t="str">
        <v>kiri</v>
      </c>
      <c r="F321" s="23"/>
      <c r="G321" s="23"/>
      <c r="N321" s="23" t="str">
        <v>kanan</v>
      </c>
      <c r="O321" s="23"/>
      <c r="P321" s="23"/>
    </row>
    <row r="322" customFormat="false" ht="15" hidden="false" customHeight="false" outlineLevel="0" collapsed="false">
      <c r="E322" s="23" t="str">
        <v>tengah</v>
      </c>
      <c r="F322" s="23"/>
      <c r="G322" s="23"/>
      <c r="N322" s="23" t="str">
        <v>kanan</v>
      </c>
      <c r="O322" s="23"/>
      <c r="P322" s="23"/>
    </row>
    <row r="323" customFormat="false" ht="15" hidden="false" customHeight="false" outlineLevel="0" collapsed="false">
      <c r="E323" s="23" t="str">
        <v>tengah</v>
      </c>
      <c r="F323" s="23"/>
      <c r="G323" s="23"/>
      <c r="N323" s="23" t="str">
        <v>tengah</v>
      </c>
      <c r="O323" s="23"/>
      <c r="P323" s="23"/>
    </row>
    <row r="324" customFormat="false" ht="15" hidden="false" customHeight="false" outlineLevel="0" collapsed="false">
      <c r="E324" s="23" t="str">
        <v>tengah</v>
      </c>
      <c r="F324" s="23"/>
      <c r="G324" s="23"/>
      <c r="N324" s="23" t="str">
        <v>tengah</v>
      </c>
      <c r="O324" s="23"/>
      <c r="P324" s="23"/>
    </row>
    <row r="325" customFormat="false" ht="15" hidden="false" customHeight="false" outlineLevel="0" collapsed="false">
      <c r="E325" s="23" t="str">
        <v>tengah</v>
      </c>
      <c r="F325" s="23"/>
      <c r="G325" s="23"/>
      <c r="N325" s="23" t="str">
        <v>kanan</v>
      </c>
      <c r="O325" s="23"/>
      <c r="P325" s="23"/>
    </row>
    <row r="326" customFormat="false" ht="15" hidden="false" customHeight="false" outlineLevel="0" collapsed="false">
      <c r="E326" s="23" t="str">
        <v>kiri</v>
      </c>
      <c r="F326" s="23"/>
      <c r="G326" s="23"/>
      <c r="N326" s="23" t="str">
        <v>tengah</v>
      </c>
      <c r="O326" s="23"/>
      <c r="P326" s="23"/>
    </row>
    <row r="327" customFormat="false" ht="15" hidden="false" customHeight="false" outlineLevel="0" collapsed="false">
      <c r="E327" s="23" t="str">
        <v>kiri</v>
      </c>
      <c r="F327" s="23"/>
      <c r="G327" s="23"/>
      <c r="N327" s="23" t="str">
        <v>kanan</v>
      </c>
      <c r="O327" s="23"/>
      <c r="P327" s="23"/>
    </row>
    <row r="328" customFormat="false" ht="15" hidden="false" customHeight="false" outlineLevel="0" collapsed="false">
      <c r="E328" s="23" t="str">
        <v>tengah</v>
      </c>
      <c r="F328" s="23"/>
      <c r="G328" s="23"/>
      <c r="N328" s="23" t="str">
        <v>tengah</v>
      </c>
      <c r="O328" s="23"/>
      <c r="P328" s="23"/>
    </row>
    <row r="329" customFormat="false" ht="15" hidden="false" customHeight="false" outlineLevel="0" collapsed="false">
      <c r="E329" s="23" t="str">
        <v>tengah</v>
      </c>
      <c r="F329" s="23"/>
      <c r="G329" s="23"/>
      <c r="N329" s="23" t="str">
        <v>tengah</v>
      </c>
      <c r="O329" s="23"/>
      <c r="P329" s="23"/>
    </row>
    <row r="330" customFormat="false" ht="15" hidden="false" customHeight="false" outlineLevel="0" collapsed="false">
      <c r="E330" s="23" t="str">
        <v>kanan</v>
      </c>
      <c r="F330" s="23"/>
      <c r="G330" s="23"/>
      <c r="N330" s="23" t="str">
        <v>tengah</v>
      </c>
      <c r="O330" s="23"/>
      <c r="P330" s="23"/>
    </row>
    <row r="331" customFormat="false" ht="15" hidden="false" customHeight="false" outlineLevel="0" collapsed="false">
      <c r="E331" s="23" t="str">
        <v>tengah</v>
      </c>
      <c r="F331" s="23"/>
      <c r="G331" s="23"/>
      <c r="N331" s="23" t="str">
        <v>kanan</v>
      </c>
      <c r="O331" s="23"/>
      <c r="P331" s="23"/>
    </row>
    <row r="332" customFormat="false" ht="15" hidden="false" customHeight="false" outlineLevel="0" collapsed="false">
      <c r="E332" s="23" t="str">
        <v>tengah</v>
      </c>
      <c r="F332" s="23"/>
      <c r="G332" s="23"/>
      <c r="N332" s="23" t="str">
        <v>kanan</v>
      </c>
      <c r="O332" s="23"/>
      <c r="P332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2"/>
  <sheetViews>
    <sheetView showFormulas="false" showGridLines="true" showRowColHeaders="true" showZeros="true" rightToLeft="false" tabSelected="false" showOutlineSymbols="true" defaultGridColor="true" view="normal" topLeftCell="H167" colorId="64" zoomScale="100" zoomScaleNormal="100" zoomScalePageLayoutView="100" workbookViewId="0">
      <selection pane="topLeft" activeCell="T172" activeCellId="0" sqref="T172"/>
    </sheetView>
  </sheetViews>
  <sheetFormatPr defaultColWidth="9.14453125" defaultRowHeight="15" customHeight="false" zeroHeight="false" outlineLevelRow="0" outlineLevelCol="0"/>
  <cols>
    <col collapsed="false" customWidth="false" hidden="false" outlineLevel="0" max="2" min="1" style="19" width="9.14"/>
    <col collapsed="false" customWidth="true" hidden="false" outlineLevel="0" max="3" min="3" style="19" width="13.86"/>
    <col collapsed="false" customWidth="false" hidden="false" outlineLevel="0" max="5" min="4" style="19" width="9.14"/>
    <col collapsed="false" customWidth="true" hidden="false" outlineLevel="0" max="6" min="6" style="19" width="11.57"/>
    <col collapsed="false" customWidth="false" hidden="false" outlineLevel="0" max="9" min="7" style="19" width="9.14"/>
    <col collapsed="false" customWidth="true" hidden="false" outlineLevel="0" max="10" min="10" style="19" width="13.86"/>
    <col collapsed="false" customWidth="false" hidden="false" outlineLevel="0" max="14" min="11" style="19" width="9.14"/>
    <col collapsed="false" customWidth="true" hidden="false" outlineLevel="0" max="15" min="15" style="19" width="16.14"/>
    <col collapsed="false" customWidth="false" hidden="false" outlineLevel="0" max="16384" min="16" style="19" width="9.14"/>
  </cols>
  <sheetData>
    <row r="1" customFormat="false" ht="15" hidden="false" customHeight="false" outlineLevel="0" collapsed="false">
      <c r="A1" s="20" t="s">
        <v>173</v>
      </c>
      <c r="B1" s="20" t="s">
        <v>1</v>
      </c>
      <c r="C1" s="20" t="s">
        <v>5</v>
      </c>
      <c r="H1" s="32" t="s">
        <v>173</v>
      </c>
      <c r="I1" s="32" t="s">
        <v>1</v>
      </c>
      <c r="J1" s="32" t="s">
        <v>5</v>
      </c>
      <c r="O1" s="20" t="s">
        <v>174</v>
      </c>
      <c r="P1" s="22"/>
      <c r="Q1" s="22"/>
    </row>
    <row r="2" customFormat="false" ht="15" hidden="false" customHeight="false" outlineLevel="0" collapsed="false">
      <c r="A2" s="23" t="n">
        <f aca="false">RANDBETWEEN(2,164)</f>
        <v>145</v>
      </c>
      <c r="B2" s="23" t="e">
        <f aca="false" t="array" ref="B2:B2">INDEX([1]data_dbd!$b:$b,$A2)</f>
        <v>#NAME?</v>
      </c>
      <c r="C2" s="23" t="e">
        <f aca="false" t="array" ref="C2:C2">INDEX([1]data_dbd!$f:$f,$A2)</f>
        <v>#NAME?</v>
      </c>
      <c r="H2" s="32" t="n">
        <v>102</v>
      </c>
      <c r="I2" s="32" t="n">
        <v>41</v>
      </c>
      <c r="J2" s="32" t="s">
        <v>115</v>
      </c>
      <c r="O2" s="22" t="s">
        <v>115</v>
      </c>
      <c r="P2" s="22" t="n">
        <f aca="false">COUNTIF(J2:J164,"Tinggi")</f>
        <v>74</v>
      </c>
      <c r="Q2" s="22" t="n">
        <f aca="false">P2/163</f>
        <v>0.45398773006135</v>
      </c>
    </row>
    <row r="3" customFormat="false" ht="15" hidden="false" customHeight="false" outlineLevel="0" collapsed="false">
      <c r="A3" s="23" t="n">
        <f aca="false">RANDBETWEEN(2,164)</f>
        <v>96</v>
      </c>
      <c r="B3" s="23" t="e">
        <f aca="false" t="array" ref="B3:B3">INDEX([1]data_dbd!$b:$b,$A3)</f>
        <v>#NAME?</v>
      </c>
      <c r="C3" s="23" t="e">
        <f aca="false" t="array" ref="C3:C3">INDEX([1]data_dbd!$f:$f,$A3)</f>
        <v>#NAME?</v>
      </c>
      <c r="H3" s="32" t="n">
        <v>76</v>
      </c>
      <c r="I3" s="32" t="n">
        <v>70</v>
      </c>
      <c r="J3" s="32" t="s">
        <v>7</v>
      </c>
      <c r="O3" s="22" t="s">
        <v>7</v>
      </c>
      <c r="P3" s="22" t="n">
        <f aca="false">COUNTIF(J2:J164,"Sedang")</f>
        <v>76</v>
      </c>
      <c r="Q3" s="22" t="n">
        <f aca="false">P3/163</f>
        <v>0.466257668711656</v>
      </c>
    </row>
    <row r="4" customFormat="false" ht="15" hidden="false" customHeight="false" outlineLevel="0" collapsed="false">
      <c r="A4" s="23" t="n">
        <f aca="false">RANDBETWEEN(2,164)</f>
        <v>114</v>
      </c>
      <c r="B4" s="23" t="e">
        <f aca="false" t="array" ref="B4:B4">INDEX([1]data_dbd!$b:$b,$A4)</f>
        <v>#NAME?</v>
      </c>
      <c r="C4" s="23" t="e">
        <f aca="false" t="array" ref="C4:C4">INDEX([1]data_dbd!$f:$f,$A4)</f>
        <v>#NAME?</v>
      </c>
      <c r="H4" s="32" t="n">
        <v>163</v>
      </c>
      <c r="I4" s="32" t="n">
        <v>34</v>
      </c>
      <c r="J4" s="32" t="s">
        <v>20</v>
      </c>
      <c r="O4" s="22" t="s">
        <v>20</v>
      </c>
      <c r="P4" s="22" t="n">
        <f aca="false">COUNTIF(J2:J164,"Rendah")</f>
        <v>13</v>
      </c>
      <c r="Q4" s="22" t="n">
        <f aca="false">P4/163</f>
        <v>0.0797546012269939</v>
      </c>
    </row>
    <row r="5" customFormat="false" ht="15" hidden="false" customHeight="false" outlineLevel="0" collapsed="false">
      <c r="A5" s="23" t="n">
        <f aca="false">RANDBETWEEN(2,164)</f>
        <v>27</v>
      </c>
      <c r="B5" s="23" t="e">
        <f aca="false" t="array" ref="B5:B5">INDEX([1]data_dbd!$b:$b,$A5)</f>
        <v>#NAME?</v>
      </c>
      <c r="C5" s="23" t="e">
        <f aca="false" t="array" ref="C5:C5">INDEX([1]data_dbd!$f:$f,$A5)</f>
        <v>#NAME?</v>
      </c>
      <c r="H5" s="32" t="n">
        <v>28</v>
      </c>
      <c r="I5" s="32" t="n">
        <v>22</v>
      </c>
      <c r="J5" s="32" t="s">
        <v>7</v>
      </c>
      <c r="O5" s="25" t="s">
        <v>175</v>
      </c>
      <c r="P5" s="19" t="n">
        <f aca="false">-(IFERROR(Q2*LOG(Q2,2),0)+IFERROR(Q3*LOG(Q3,2),0)+IFERROR(Q4*LOG(Q4,2),0))</f>
        <v>1.32144130506489</v>
      </c>
    </row>
    <row r="6" customFormat="false" ht="15" hidden="false" customHeight="false" outlineLevel="0" collapsed="false">
      <c r="A6" s="23" t="n">
        <f aca="false">RANDBETWEEN(2,164)</f>
        <v>13</v>
      </c>
      <c r="B6" s="23" t="e">
        <f aca="false" t="array" ref="B6:B6">INDEX([1]data_dbd!$b:$b,$A6)</f>
        <v>#NAME?</v>
      </c>
      <c r="C6" s="23" t="e">
        <f aca="false" t="array" ref="C6:C6">INDEX([1]data_dbd!$f:$f,$A6)</f>
        <v>#NAME?</v>
      </c>
      <c r="H6" s="32" t="n">
        <v>161</v>
      </c>
      <c r="I6" s="32" t="n">
        <v>12</v>
      </c>
      <c r="J6" s="32" t="s">
        <v>115</v>
      </c>
    </row>
    <row r="7" customFormat="false" ht="15" hidden="false" customHeight="false" outlineLevel="0" collapsed="false">
      <c r="A7" s="23" t="n">
        <f aca="false">RANDBETWEEN(2,164)</f>
        <v>117</v>
      </c>
      <c r="B7" s="23" t="e">
        <f aca="false" t="array" ref="B7:B7">INDEX([1]data_dbd!$b:$b,$A7)</f>
        <v>#NAME?</v>
      </c>
      <c r="C7" s="23" t="e">
        <f aca="false" t="array" ref="C7:C7">INDEX([1]data_dbd!$f:$f,$A7)</f>
        <v>#NAME?</v>
      </c>
      <c r="H7" s="32" t="n">
        <v>148</v>
      </c>
      <c r="I7" s="32" t="n">
        <v>55</v>
      </c>
      <c r="J7" s="32" t="s">
        <v>115</v>
      </c>
    </row>
    <row r="8" customFormat="false" ht="15" hidden="false" customHeight="false" outlineLevel="0" collapsed="false">
      <c r="A8" s="23" t="n">
        <f aca="false">RANDBETWEEN(2,164)</f>
        <v>47</v>
      </c>
      <c r="B8" s="23" t="e">
        <f aca="false" t="array" ref="B8:B8">INDEX([1]data_dbd!$b:$b,$A8)</f>
        <v>#NAME?</v>
      </c>
      <c r="C8" s="23" t="e">
        <f aca="false" t="array" ref="C8:C8">INDEX([1]data_dbd!$f:$f,$A8)</f>
        <v>#NAME?</v>
      </c>
      <c r="H8" s="32" t="n">
        <v>81</v>
      </c>
      <c r="I8" s="32" t="n">
        <v>23</v>
      </c>
      <c r="J8" s="32" t="s">
        <v>7</v>
      </c>
    </row>
    <row r="9" customFormat="false" ht="15" hidden="false" customHeight="false" outlineLevel="0" collapsed="false">
      <c r="A9" s="23" t="n">
        <f aca="false">RANDBETWEEN(2,164)</f>
        <v>84</v>
      </c>
      <c r="B9" s="23" t="e">
        <f aca="false" t="array" ref="B9:B9">INDEX([1]data_dbd!$b:$b,$A9)</f>
        <v>#NAME?</v>
      </c>
      <c r="C9" s="23" t="e">
        <f aca="false" t="array" ref="C9:C9">INDEX([1]data_dbd!$f:$f,$A9)</f>
        <v>#NAME?</v>
      </c>
      <c r="H9" s="32" t="n">
        <v>8</v>
      </c>
      <c r="I9" s="32" t="n">
        <v>4</v>
      </c>
      <c r="J9" s="32" t="s">
        <v>7</v>
      </c>
    </row>
    <row r="10" customFormat="false" ht="15" hidden="false" customHeight="false" outlineLevel="0" collapsed="false">
      <c r="A10" s="23" t="n">
        <f aca="false">RANDBETWEEN(2,164)</f>
        <v>127</v>
      </c>
      <c r="B10" s="23" t="e">
        <f aca="false" t="array" ref="B10:B10">INDEX([1]data_dbd!$b:$b,$A10)</f>
        <v>#NAME?</v>
      </c>
      <c r="C10" s="23" t="e">
        <f aca="false" t="array" ref="C10:C10">INDEX([1]data_dbd!$f:$f,$A10)</f>
        <v>#NAME?</v>
      </c>
      <c r="H10" s="32" t="n">
        <v>116</v>
      </c>
      <c r="I10" s="32" t="n">
        <v>32</v>
      </c>
      <c r="J10" s="32" t="s">
        <v>115</v>
      </c>
    </row>
    <row r="11" customFormat="false" ht="15" hidden="false" customHeight="false" outlineLevel="0" collapsed="false">
      <c r="A11" s="23" t="n">
        <f aca="false">RANDBETWEEN(2,164)</f>
        <v>149</v>
      </c>
      <c r="B11" s="23" t="e">
        <f aca="false" t="array" ref="B11:B11">INDEX([1]data_dbd!$b:$b,$A11)</f>
        <v>#NAME?</v>
      </c>
      <c r="C11" s="23" t="e">
        <f aca="false" t="array" ref="C11:C11">INDEX([1]data_dbd!$f:$f,$A11)</f>
        <v>#NAME?</v>
      </c>
      <c r="H11" s="32" t="n">
        <v>17</v>
      </c>
      <c r="I11" s="32" t="n">
        <v>2</v>
      </c>
      <c r="J11" s="32" t="s">
        <v>20</v>
      </c>
    </row>
    <row r="12" customFormat="false" ht="15" hidden="false" customHeight="false" outlineLevel="0" collapsed="false">
      <c r="A12" s="23" t="n">
        <f aca="false">RANDBETWEEN(2,164)</f>
        <v>74</v>
      </c>
      <c r="B12" s="23" t="e">
        <f aca="false" t="array" ref="B12:B12">INDEX([1]data_dbd!$b:$b,$A12)</f>
        <v>#NAME?</v>
      </c>
      <c r="C12" s="23" t="e">
        <f aca="false" t="array" ref="C12:C12">INDEX([1]data_dbd!$f:$f,$A12)</f>
        <v>#NAME?</v>
      </c>
      <c r="H12" s="32" t="n">
        <v>162</v>
      </c>
      <c r="I12" s="32" t="n">
        <v>22</v>
      </c>
      <c r="J12" s="32" t="s">
        <v>20</v>
      </c>
    </row>
    <row r="13" customFormat="false" ht="15" hidden="false" customHeight="false" outlineLevel="0" collapsed="false">
      <c r="A13" s="23" t="n">
        <f aca="false">RANDBETWEEN(2,164)</f>
        <v>121</v>
      </c>
      <c r="B13" s="23" t="e">
        <f aca="false" t="array" ref="B13:B13">INDEX([1]data_dbd!$b:$b,$A13)</f>
        <v>#NAME?</v>
      </c>
      <c r="C13" s="23" t="e">
        <f aca="false" t="array" ref="C13:C13">INDEX([1]data_dbd!$f:$f,$A13)</f>
        <v>#NAME?</v>
      </c>
      <c r="H13" s="32" t="n">
        <v>7</v>
      </c>
      <c r="I13" s="32" t="n">
        <v>12</v>
      </c>
      <c r="J13" s="32" t="s">
        <v>7</v>
      </c>
    </row>
    <row r="14" customFormat="false" ht="15" hidden="false" customHeight="false" outlineLevel="0" collapsed="false">
      <c r="A14" s="23" t="n">
        <f aca="false">RANDBETWEEN(2,164)</f>
        <v>143</v>
      </c>
      <c r="B14" s="23" t="e">
        <f aca="false" t="array" ref="B14:B14">INDEX([1]data_dbd!$b:$b,$A14)</f>
        <v>#NAME?</v>
      </c>
      <c r="C14" s="23" t="e">
        <f aca="false" t="array" ref="C14:C14">INDEX([1]data_dbd!$f:$f,$A14)</f>
        <v>#NAME?</v>
      </c>
      <c r="H14" s="32" t="n">
        <v>25</v>
      </c>
      <c r="I14" s="32" t="n">
        <v>81</v>
      </c>
      <c r="J14" s="32" t="s">
        <v>7</v>
      </c>
    </row>
    <row r="15" customFormat="false" ht="15" hidden="false" customHeight="false" outlineLevel="0" collapsed="false">
      <c r="A15" s="23" t="n">
        <f aca="false">RANDBETWEEN(2,164)</f>
        <v>155</v>
      </c>
      <c r="B15" s="23" t="e">
        <f aca="false" t="array" ref="B15:B15">INDEX([1]data_dbd!$b:$b,$A15)</f>
        <v>#NAME?</v>
      </c>
      <c r="C15" s="23" t="e">
        <f aca="false" t="array" ref="C15:C15">INDEX([1]data_dbd!$f:$f,$A15)</f>
        <v>#NAME?</v>
      </c>
      <c r="H15" s="32" t="n">
        <v>143</v>
      </c>
      <c r="I15" s="32" t="n">
        <v>20</v>
      </c>
      <c r="J15" s="32" t="s">
        <v>115</v>
      </c>
    </row>
    <row r="16" customFormat="false" ht="15" hidden="false" customHeight="false" outlineLevel="0" collapsed="false">
      <c r="A16" s="23" t="n">
        <f aca="false">RANDBETWEEN(2,164)</f>
        <v>82</v>
      </c>
      <c r="B16" s="23" t="e">
        <f aca="false" t="array" ref="B16:B16">INDEX([1]data_dbd!$b:$b,$A16)</f>
        <v>#NAME?</v>
      </c>
      <c r="C16" s="23" t="e">
        <f aca="false" t="array" ref="C16:C16">INDEX([1]data_dbd!$f:$f,$A16)</f>
        <v>#NAME?</v>
      </c>
      <c r="H16" s="32" t="n">
        <v>22</v>
      </c>
      <c r="I16" s="32" t="n">
        <v>6</v>
      </c>
      <c r="J16" s="32" t="s">
        <v>7</v>
      </c>
    </row>
    <row r="17" customFormat="false" ht="15" hidden="false" customHeight="false" outlineLevel="0" collapsed="false">
      <c r="A17" s="23" t="n">
        <f aca="false">RANDBETWEEN(2,164)</f>
        <v>131</v>
      </c>
      <c r="B17" s="23" t="e">
        <f aca="false" t="array" ref="B17:B17">INDEX([1]data_dbd!$b:$b,$A17)</f>
        <v>#NAME?</v>
      </c>
      <c r="C17" s="23" t="e">
        <f aca="false" t="array" ref="C17:C17">INDEX([1]data_dbd!$f:$f,$A17)</f>
        <v>#NAME?</v>
      </c>
      <c r="H17" s="32" t="n">
        <v>86</v>
      </c>
      <c r="I17" s="32" t="n">
        <v>23</v>
      </c>
      <c r="J17" s="32" t="s">
        <v>7</v>
      </c>
    </row>
    <row r="18" customFormat="false" ht="15" hidden="false" customHeight="false" outlineLevel="0" collapsed="false">
      <c r="A18" s="23" t="n">
        <f aca="false">RANDBETWEEN(2,164)</f>
        <v>94</v>
      </c>
      <c r="B18" s="23" t="e">
        <f aca="false" t="array" ref="B18:B18">INDEX([1]data_dbd!$b:$b,$A18)</f>
        <v>#NAME?</v>
      </c>
      <c r="C18" s="23" t="e">
        <f aca="false" t="array" ref="C18:C18">INDEX([1]data_dbd!$f:$f,$A18)</f>
        <v>#NAME?</v>
      </c>
      <c r="H18" s="32" t="n">
        <v>92</v>
      </c>
      <c r="I18" s="32" t="n">
        <v>55</v>
      </c>
      <c r="J18" s="32" t="s">
        <v>115</v>
      </c>
    </row>
    <row r="19" customFormat="false" ht="15" hidden="false" customHeight="false" outlineLevel="0" collapsed="false">
      <c r="A19" s="23" t="n">
        <f aca="false">RANDBETWEEN(2,164)</f>
        <v>119</v>
      </c>
      <c r="B19" s="23" t="e">
        <f aca="false" t="array" ref="B19:B19">INDEX([1]data_dbd!$b:$b,$A19)</f>
        <v>#NAME?</v>
      </c>
      <c r="C19" s="23" t="e">
        <f aca="false" t="array" ref="C19:C19">INDEX([1]data_dbd!$f:$f,$A19)</f>
        <v>#NAME?</v>
      </c>
      <c r="H19" s="32" t="n">
        <v>136</v>
      </c>
      <c r="I19" s="32" t="n">
        <v>6</v>
      </c>
      <c r="J19" s="32" t="s">
        <v>115</v>
      </c>
    </row>
    <row r="20" customFormat="false" ht="15" hidden="false" customHeight="false" outlineLevel="0" collapsed="false">
      <c r="A20" s="23" t="n">
        <f aca="false">RANDBETWEEN(2,164)</f>
        <v>146</v>
      </c>
      <c r="B20" s="23" t="e">
        <f aca="false" t="array" ref="B20:B20">INDEX([1]data_dbd!$b:$b,$A20)</f>
        <v>#NAME?</v>
      </c>
      <c r="C20" s="23" t="e">
        <f aca="false" t="array" ref="C20:C20">INDEX([1]data_dbd!$f:$f,$A20)</f>
        <v>#NAME?</v>
      </c>
      <c r="H20" s="32" t="n">
        <v>65</v>
      </c>
      <c r="I20" s="32" t="n">
        <v>49</v>
      </c>
      <c r="J20" s="32" t="s">
        <v>7</v>
      </c>
    </row>
    <row r="21" customFormat="false" ht="15" hidden="false" customHeight="false" outlineLevel="0" collapsed="false">
      <c r="A21" s="23" t="n">
        <f aca="false">RANDBETWEEN(2,164)</f>
        <v>114</v>
      </c>
      <c r="B21" s="23" t="e">
        <f aca="false" t="array" ref="B21:B21">INDEX([1]data_dbd!$b:$b,$A21)</f>
        <v>#NAME?</v>
      </c>
      <c r="C21" s="23" t="e">
        <f aca="false" t="array" ref="C21:C21">INDEX([1]data_dbd!$f:$f,$A21)</f>
        <v>#NAME?</v>
      </c>
      <c r="H21" s="32" t="n">
        <v>34</v>
      </c>
      <c r="I21" s="32" t="n">
        <v>55</v>
      </c>
      <c r="J21" s="32" t="s">
        <v>7</v>
      </c>
    </row>
    <row r="22" customFormat="false" ht="15" hidden="false" customHeight="false" outlineLevel="0" collapsed="false">
      <c r="A22" s="23" t="n">
        <f aca="false">RANDBETWEEN(2,164)</f>
        <v>71</v>
      </c>
      <c r="B22" s="23" t="e">
        <f aca="false" t="array" ref="B22:B22">INDEX([1]data_dbd!$b:$b,$A22)</f>
        <v>#NAME?</v>
      </c>
      <c r="C22" s="23" t="e">
        <f aca="false" t="array" ref="C22:C22">INDEX([1]data_dbd!$f:$f,$A22)</f>
        <v>#NAME?</v>
      </c>
      <c r="H22" s="32" t="n">
        <v>90</v>
      </c>
      <c r="I22" s="32" t="n">
        <v>47</v>
      </c>
      <c r="J22" s="32" t="s">
        <v>115</v>
      </c>
    </row>
    <row r="23" customFormat="false" ht="15" hidden="false" customHeight="false" outlineLevel="0" collapsed="false">
      <c r="A23" s="23" t="n">
        <f aca="false">RANDBETWEEN(2,164)</f>
        <v>85</v>
      </c>
      <c r="B23" s="23" t="e">
        <f aca="false" t="array" ref="B23:B23">INDEX([1]data_dbd!$b:$b,$A23)</f>
        <v>#NAME?</v>
      </c>
      <c r="C23" s="23" t="e">
        <f aca="false" t="array" ref="C23:C23">INDEX([1]data_dbd!$f:$f,$A23)</f>
        <v>#NAME?</v>
      </c>
      <c r="H23" s="32" t="n">
        <v>115</v>
      </c>
      <c r="I23" s="32" t="n">
        <v>52</v>
      </c>
      <c r="J23" s="32" t="s">
        <v>115</v>
      </c>
    </row>
    <row r="24" customFormat="false" ht="15" hidden="false" customHeight="false" outlineLevel="0" collapsed="false">
      <c r="A24" s="23" t="n">
        <f aca="false">RANDBETWEEN(2,164)</f>
        <v>23</v>
      </c>
      <c r="B24" s="23" t="e">
        <f aca="false" t="array" ref="B24:B24">INDEX([1]data_dbd!$b:$b,$A24)</f>
        <v>#NAME?</v>
      </c>
      <c r="C24" s="23" t="e">
        <f aca="false" t="array" ref="C24:C24">INDEX([1]data_dbd!$f:$f,$A24)</f>
        <v>#NAME?</v>
      </c>
      <c r="H24" s="32" t="n">
        <v>31</v>
      </c>
      <c r="I24" s="32" t="n">
        <v>64</v>
      </c>
      <c r="J24" s="32" t="s">
        <v>7</v>
      </c>
    </row>
    <row r="25" customFormat="false" ht="15" hidden="false" customHeight="false" outlineLevel="0" collapsed="false">
      <c r="A25" s="23" t="n">
        <f aca="false">RANDBETWEEN(2,164)</f>
        <v>163</v>
      </c>
      <c r="B25" s="23" t="e">
        <f aca="false" t="array" ref="B25:B25">INDEX([1]data_dbd!$b:$b,$A25)</f>
        <v>#NAME?</v>
      </c>
      <c r="C25" s="23" t="e">
        <f aca="false" t="array" ref="C25:C25">INDEX([1]data_dbd!$f:$f,$A25)</f>
        <v>#NAME?</v>
      </c>
      <c r="H25" s="32" t="n">
        <v>120</v>
      </c>
      <c r="I25" s="32" t="n">
        <v>26</v>
      </c>
      <c r="J25" s="32" t="s">
        <v>115</v>
      </c>
    </row>
    <row r="26" customFormat="false" ht="15" hidden="false" customHeight="false" outlineLevel="0" collapsed="false">
      <c r="A26" s="23" t="n">
        <f aca="false">RANDBETWEEN(2,164)</f>
        <v>69</v>
      </c>
      <c r="B26" s="23" t="e">
        <f aca="false" t="array" ref="B26:B26">INDEX([1]data_dbd!$b:$b,$A26)</f>
        <v>#NAME?</v>
      </c>
      <c r="C26" s="23" t="e">
        <f aca="false" t="array" ref="C26:C26">INDEX([1]data_dbd!$f:$f,$A26)</f>
        <v>#NAME?</v>
      </c>
      <c r="H26" s="32" t="n">
        <v>127</v>
      </c>
      <c r="I26" s="32" t="n">
        <v>21</v>
      </c>
      <c r="J26" s="32" t="s">
        <v>115</v>
      </c>
    </row>
    <row r="27" customFormat="false" ht="15" hidden="false" customHeight="false" outlineLevel="0" collapsed="false">
      <c r="A27" s="23" t="n">
        <f aca="false">RANDBETWEEN(2,164)</f>
        <v>93</v>
      </c>
      <c r="B27" s="23" t="e">
        <f aca="false" t="array" ref="B27:B27">INDEX([1]data_dbd!$b:$b,$A27)</f>
        <v>#NAME?</v>
      </c>
      <c r="C27" s="23" t="e">
        <f aca="false" t="array" ref="C27:C27">INDEX([1]data_dbd!$f:$f,$A27)</f>
        <v>#NAME?</v>
      </c>
      <c r="H27" s="32" t="n">
        <v>69</v>
      </c>
      <c r="I27" s="32" t="n">
        <v>24</v>
      </c>
      <c r="J27" s="32" t="s">
        <v>7</v>
      </c>
    </row>
    <row r="28" customFormat="false" ht="15" hidden="false" customHeight="false" outlineLevel="0" collapsed="false">
      <c r="A28" s="23" t="n">
        <f aca="false">RANDBETWEEN(2,164)</f>
        <v>133</v>
      </c>
      <c r="B28" s="23" t="e">
        <f aca="false" t="array" ref="B28:B28">INDEX([1]data_dbd!$b:$b,$A28)</f>
        <v>#NAME?</v>
      </c>
      <c r="C28" s="23" t="e">
        <f aca="false" t="array" ref="C28:C28">INDEX([1]data_dbd!$f:$f,$A28)</f>
        <v>#NAME?</v>
      </c>
      <c r="H28" s="32" t="n">
        <v>42</v>
      </c>
      <c r="I28" s="32" t="n">
        <v>21</v>
      </c>
      <c r="J28" s="32" t="s">
        <v>7</v>
      </c>
    </row>
    <row r="29" customFormat="false" ht="15" hidden="false" customHeight="false" outlineLevel="0" collapsed="false">
      <c r="A29" s="23" t="n">
        <f aca="false">RANDBETWEEN(2,164)</f>
        <v>130</v>
      </c>
      <c r="B29" s="23" t="e">
        <f aca="false" t="array" ref="B29:B29">INDEX([1]data_dbd!$b:$b,$A29)</f>
        <v>#NAME?</v>
      </c>
      <c r="C29" s="23" t="e">
        <f aca="false" t="array" ref="C29:C29">INDEX([1]data_dbd!$f:$f,$A29)</f>
        <v>#NAME?</v>
      </c>
      <c r="H29" s="32" t="n">
        <v>129</v>
      </c>
      <c r="I29" s="32" t="n">
        <v>4</v>
      </c>
      <c r="J29" s="32" t="s">
        <v>115</v>
      </c>
    </row>
    <row r="30" customFormat="false" ht="15" hidden="false" customHeight="false" outlineLevel="0" collapsed="false">
      <c r="A30" s="23" t="n">
        <f aca="false">RANDBETWEEN(2,164)</f>
        <v>99</v>
      </c>
      <c r="B30" s="23" t="e">
        <f aca="false" t="array" ref="B30:B30">INDEX([1]data_dbd!$b:$b,$A30)</f>
        <v>#NAME?</v>
      </c>
      <c r="C30" s="23" t="e">
        <f aca="false" t="array" ref="C30:C30">INDEX([1]data_dbd!$f:$f,$A30)</f>
        <v>#NAME?</v>
      </c>
      <c r="H30" s="32" t="n">
        <v>101</v>
      </c>
      <c r="I30" s="32" t="n">
        <v>42</v>
      </c>
      <c r="J30" s="32" t="s">
        <v>115</v>
      </c>
    </row>
    <row r="31" customFormat="false" ht="15" hidden="false" customHeight="false" outlineLevel="0" collapsed="false">
      <c r="A31" s="23" t="n">
        <f aca="false">RANDBETWEEN(2,164)</f>
        <v>132</v>
      </c>
      <c r="B31" s="23" t="e">
        <f aca="false" t="array" ref="B31:B31">INDEX([1]data_dbd!$b:$b,$A31)</f>
        <v>#NAME?</v>
      </c>
      <c r="C31" s="23" t="e">
        <f aca="false" t="array" ref="C31:C31">INDEX([1]data_dbd!$f:$f,$A31)</f>
        <v>#NAME?</v>
      </c>
      <c r="H31" s="32" t="n">
        <v>141</v>
      </c>
      <c r="I31" s="32" t="n">
        <v>36</v>
      </c>
      <c r="J31" s="32" t="s">
        <v>115</v>
      </c>
    </row>
    <row r="32" customFormat="false" ht="15" hidden="false" customHeight="false" outlineLevel="0" collapsed="false">
      <c r="A32" s="23" t="n">
        <f aca="false">RANDBETWEEN(2,164)</f>
        <v>14</v>
      </c>
      <c r="B32" s="23" t="e">
        <f aca="false" t="array" ref="B32:B32">INDEX([1]data_dbd!$b:$b,$A32)</f>
        <v>#NAME?</v>
      </c>
      <c r="C32" s="23" t="e">
        <f aca="false" t="array" ref="C32:C32">INDEX([1]data_dbd!$f:$f,$A32)</f>
        <v>#NAME?</v>
      </c>
      <c r="H32" s="32" t="n">
        <v>152</v>
      </c>
      <c r="I32" s="32" t="n">
        <v>47</v>
      </c>
      <c r="J32" s="32" t="s">
        <v>115</v>
      </c>
    </row>
    <row r="33" customFormat="false" ht="15" hidden="false" customHeight="false" outlineLevel="0" collapsed="false">
      <c r="A33" s="23" t="n">
        <f aca="false">RANDBETWEEN(2,164)</f>
        <v>130</v>
      </c>
      <c r="B33" s="23" t="e">
        <f aca="false" t="array" ref="B33:B33">INDEX([1]data_dbd!$b:$b,$A33)</f>
        <v>#NAME?</v>
      </c>
      <c r="C33" s="23" t="e">
        <f aca="false" t="array" ref="C33:C33">INDEX([1]data_dbd!$f:$f,$A33)</f>
        <v>#NAME?</v>
      </c>
      <c r="H33" s="32" t="n">
        <v>81</v>
      </c>
      <c r="I33" s="32" t="n">
        <v>23</v>
      </c>
      <c r="J33" s="32" t="s">
        <v>7</v>
      </c>
    </row>
    <row r="34" customFormat="false" ht="15" hidden="false" customHeight="false" outlineLevel="0" collapsed="false">
      <c r="A34" s="23" t="n">
        <f aca="false">RANDBETWEEN(2,164)</f>
        <v>123</v>
      </c>
      <c r="B34" s="23" t="e">
        <f aca="false" t="array" ref="B34:B34">INDEX([1]data_dbd!$b:$b,$A34)</f>
        <v>#NAME?</v>
      </c>
      <c r="C34" s="23" t="e">
        <f aca="false" t="array" ref="C34:C34">INDEX([1]data_dbd!$f:$f,$A34)</f>
        <v>#NAME?</v>
      </c>
      <c r="H34" s="32" t="n">
        <v>41</v>
      </c>
      <c r="I34" s="32" t="n">
        <v>8</v>
      </c>
      <c r="J34" s="32" t="s">
        <v>7</v>
      </c>
    </row>
    <row r="35" customFormat="false" ht="15" hidden="false" customHeight="false" outlineLevel="0" collapsed="false">
      <c r="A35" s="23" t="n">
        <f aca="false">RANDBETWEEN(2,164)</f>
        <v>156</v>
      </c>
      <c r="B35" s="23" t="e">
        <f aca="false" t="array" ref="B35:B35">INDEX([1]data_dbd!$b:$b,$A35)</f>
        <v>#NAME?</v>
      </c>
      <c r="C35" s="23" t="e">
        <f aca="false" t="array" ref="C35:C35">INDEX([1]data_dbd!$f:$f,$A35)</f>
        <v>#NAME?</v>
      </c>
      <c r="H35" s="32" t="n">
        <v>129</v>
      </c>
      <c r="I35" s="32" t="n">
        <v>4</v>
      </c>
      <c r="J35" s="32" t="s">
        <v>115</v>
      </c>
    </row>
    <row r="36" customFormat="false" ht="15" hidden="false" customHeight="false" outlineLevel="0" collapsed="false">
      <c r="A36" s="23" t="n">
        <f aca="false">RANDBETWEEN(2,164)</f>
        <v>125</v>
      </c>
      <c r="B36" s="23" t="e">
        <f aca="false" t="array" ref="B36:B36">INDEX([1]data_dbd!$b:$b,$A36)</f>
        <v>#NAME?</v>
      </c>
      <c r="C36" s="23" t="e">
        <f aca="false" t="array" ref="C36:C36">INDEX([1]data_dbd!$f:$f,$A36)</f>
        <v>#NAME?</v>
      </c>
      <c r="H36" s="32" t="n">
        <v>148</v>
      </c>
      <c r="I36" s="32" t="n">
        <v>55</v>
      </c>
      <c r="J36" s="32" t="s">
        <v>115</v>
      </c>
    </row>
    <row r="37" customFormat="false" ht="15" hidden="false" customHeight="false" outlineLevel="0" collapsed="false">
      <c r="A37" s="23" t="n">
        <f aca="false">RANDBETWEEN(2,164)</f>
        <v>87</v>
      </c>
      <c r="B37" s="23" t="e">
        <f aca="false" t="array" ref="B37:B37">INDEX([1]data_dbd!$b:$b,$A37)</f>
        <v>#NAME?</v>
      </c>
      <c r="C37" s="23" t="e">
        <f aca="false" t="array" ref="C37:C37">INDEX([1]data_dbd!$f:$f,$A37)</f>
        <v>#NAME?</v>
      </c>
      <c r="H37" s="32" t="n">
        <v>59</v>
      </c>
      <c r="I37" s="32" t="n">
        <v>28</v>
      </c>
      <c r="J37" s="32" t="s">
        <v>7</v>
      </c>
    </row>
    <row r="38" customFormat="false" ht="15" hidden="false" customHeight="false" outlineLevel="0" collapsed="false">
      <c r="A38" s="23" t="n">
        <f aca="false">RANDBETWEEN(2,164)</f>
        <v>120</v>
      </c>
      <c r="B38" s="23" t="e">
        <f aca="false" t="array" ref="B38:B38">INDEX([1]data_dbd!$b:$b,$A38)</f>
        <v>#NAME?</v>
      </c>
      <c r="C38" s="23" t="e">
        <f aca="false" t="array" ref="C38:C38">INDEX([1]data_dbd!$f:$f,$A38)</f>
        <v>#NAME?</v>
      </c>
      <c r="H38" s="32" t="n">
        <v>88</v>
      </c>
      <c r="I38" s="32" t="n">
        <v>20</v>
      </c>
      <c r="J38" s="32" t="s">
        <v>7</v>
      </c>
    </row>
    <row r="39" customFormat="false" ht="15" hidden="false" customHeight="false" outlineLevel="0" collapsed="false">
      <c r="A39" s="23" t="n">
        <f aca="false">RANDBETWEEN(2,164)</f>
        <v>32</v>
      </c>
      <c r="B39" s="23" t="e">
        <f aca="false" t="array" ref="B39:B39">INDEX([1]data_dbd!$b:$b,$A39)</f>
        <v>#NAME?</v>
      </c>
      <c r="C39" s="23" t="e">
        <f aca="false" t="array" ref="C39:C39">INDEX([1]data_dbd!$f:$f,$A39)</f>
        <v>#NAME?</v>
      </c>
      <c r="H39" s="32" t="n">
        <v>39</v>
      </c>
      <c r="I39" s="32" t="n">
        <v>12</v>
      </c>
      <c r="J39" s="32" t="s">
        <v>7</v>
      </c>
    </row>
    <row r="40" customFormat="false" ht="15" hidden="false" customHeight="false" outlineLevel="0" collapsed="false">
      <c r="A40" s="23" t="n">
        <f aca="false">RANDBETWEEN(2,164)</f>
        <v>148</v>
      </c>
      <c r="B40" s="23" t="e">
        <f aca="false" t="array" ref="B40:B40">INDEX([1]data_dbd!$b:$b,$A40)</f>
        <v>#NAME?</v>
      </c>
      <c r="C40" s="23" t="e">
        <f aca="false" t="array" ref="C40:C40">INDEX([1]data_dbd!$f:$f,$A40)</f>
        <v>#NAME?</v>
      </c>
      <c r="H40" s="32" t="n">
        <v>99</v>
      </c>
      <c r="I40" s="32" t="n">
        <v>4</v>
      </c>
      <c r="J40" s="32" t="s">
        <v>115</v>
      </c>
    </row>
    <row r="41" customFormat="false" ht="15" hidden="false" customHeight="false" outlineLevel="0" collapsed="false">
      <c r="A41" s="23" t="n">
        <f aca="false">RANDBETWEEN(2,164)</f>
        <v>15</v>
      </c>
      <c r="B41" s="23" t="e">
        <f aca="false" t="array" ref="B41:B41">INDEX([1]data_dbd!$b:$b,$A41)</f>
        <v>#NAME?</v>
      </c>
      <c r="C41" s="23" t="e">
        <f aca="false" t="array" ref="C41:C41">INDEX([1]data_dbd!$f:$f,$A41)</f>
        <v>#NAME?</v>
      </c>
      <c r="H41" s="32" t="n">
        <v>64</v>
      </c>
      <c r="I41" s="32" t="n">
        <v>35</v>
      </c>
      <c r="J41" s="32" t="s">
        <v>7</v>
      </c>
    </row>
    <row r="42" customFormat="false" ht="15" hidden="false" customHeight="false" outlineLevel="0" collapsed="false">
      <c r="A42" s="23" t="n">
        <f aca="false">RANDBETWEEN(2,164)</f>
        <v>27</v>
      </c>
      <c r="B42" s="23" t="e">
        <f aca="false" t="array" ref="B42:B42">INDEX([1]data_dbd!$b:$b,$A42)</f>
        <v>#NAME?</v>
      </c>
      <c r="C42" s="23" t="e">
        <f aca="false" t="array" ref="C42:C42">INDEX([1]data_dbd!$f:$f,$A42)</f>
        <v>#NAME?</v>
      </c>
      <c r="H42" s="32" t="n">
        <v>138</v>
      </c>
      <c r="I42" s="32" t="n">
        <v>13</v>
      </c>
      <c r="J42" s="32" t="s">
        <v>115</v>
      </c>
    </row>
    <row r="43" customFormat="false" ht="15" hidden="false" customHeight="false" outlineLevel="0" collapsed="false">
      <c r="A43" s="23" t="n">
        <f aca="false">RANDBETWEEN(2,164)</f>
        <v>56</v>
      </c>
      <c r="B43" s="23" t="e">
        <f aca="false" t="array" ref="B43:B43">INDEX([1]data_dbd!$b:$b,$A43)</f>
        <v>#NAME?</v>
      </c>
      <c r="C43" s="23" t="e">
        <f aca="false" t="array" ref="C43:C43">INDEX([1]data_dbd!$f:$f,$A43)</f>
        <v>#NAME?</v>
      </c>
      <c r="H43" s="32" t="n">
        <v>111</v>
      </c>
      <c r="I43" s="32" t="n">
        <v>25</v>
      </c>
      <c r="J43" s="32" t="s">
        <v>115</v>
      </c>
    </row>
    <row r="44" customFormat="false" ht="15" hidden="false" customHeight="false" outlineLevel="0" collapsed="false">
      <c r="A44" s="23" t="n">
        <f aca="false">RANDBETWEEN(2,164)</f>
        <v>47</v>
      </c>
      <c r="B44" s="23" t="e">
        <f aca="false" t="array" ref="B44:B44">INDEX([1]data_dbd!$b:$b,$A44)</f>
        <v>#NAME?</v>
      </c>
      <c r="C44" s="23" t="e">
        <f aca="false" t="array" ref="C44:C44">INDEX([1]data_dbd!$f:$f,$A44)</f>
        <v>#NAME?</v>
      </c>
      <c r="H44" s="32" t="n">
        <v>86</v>
      </c>
      <c r="I44" s="32" t="n">
        <v>23</v>
      </c>
      <c r="J44" s="32" t="s">
        <v>7</v>
      </c>
    </row>
    <row r="45" customFormat="false" ht="15" hidden="false" customHeight="false" outlineLevel="0" collapsed="false">
      <c r="A45" s="23" t="n">
        <f aca="false">RANDBETWEEN(2,164)</f>
        <v>76</v>
      </c>
      <c r="B45" s="23" t="e">
        <f aca="false" t="array" ref="B45:B45">INDEX([1]data_dbd!$b:$b,$A45)</f>
        <v>#NAME?</v>
      </c>
      <c r="C45" s="23" t="e">
        <f aca="false" t="array" ref="C45:C45">INDEX([1]data_dbd!$f:$f,$A45)</f>
        <v>#NAME?</v>
      </c>
      <c r="H45" s="32" t="n">
        <v>98</v>
      </c>
      <c r="I45" s="32" t="n">
        <v>16</v>
      </c>
      <c r="J45" s="32" t="s">
        <v>115</v>
      </c>
    </row>
    <row r="46" customFormat="false" ht="15" hidden="false" customHeight="false" outlineLevel="0" collapsed="false">
      <c r="A46" s="23" t="n">
        <f aca="false">RANDBETWEEN(2,164)</f>
        <v>91</v>
      </c>
      <c r="B46" s="23" t="e">
        <f aca="false" t="array" ref="B46:B46">INDEX([1]data_dbd!$b:$b,$A46)</f>
        <v>#NAME?</v>
      </c>
      <c r="C46" s="23" t="e">
        <f aca="false" t="array" ref="C46:C46">INDEX([1]data_dbd!$f:$f,$A46)</f>
        <v>#NAME?</v>
      </c>
      <c r="H46" s="32" t="n">
        <v>94</v>
      </c>
      <c r="I46" s="32" t="n">
        <v>12</v>
      </c>
      <c r="J46" s="32" t="s">
        <v>115</v>
      </c>
    </row>
    <row r="47" customFormat="false" ht="15" hidden="false" customHeight="false" outlineLevel="0" collapsed="false">
      <c r="A47" s="23" t="n">
        <f aca="false">RANDBETWEEN(2,164)</f>
        <v>79</v>
      </c>
      <c r="B47" s="23" t="e">
        <f aca="false" t="array" ref="B47:B47">INDEX([1]data_dbd!$b:$b,$A47)</f>
        <v>#NAME?</v>
      </c>
      <c r="C47" s="23" t="e">
        <f aca="false" t="array" ref="C47:C47">INDEX([1]data_dbd!$f:$f,$A47)</f>
        <v>#NAME?</v>
      </c>
      <c r="H47" s="32" t="n">
        <v>31</v>
      </c>
      <c r="I47" s="32" t="n">
        <v>64</v>
      </c>
      <c r="J47" s="32" t="s">
        <v>7</v>
      </c>
    </row>
    <row r="48" customFormat="false" ht="15" hidden="false" customHeight="false" outlineLevel="0" collapsed="false">
      <c r="A48" s="23" t="n">
        <f aca="false">RANDBETWEEN(2,164)</f>
        <v>103</v>
      </c>
      <c r="B48" s="23" t="e">
        <f aca="false" t="array" ref="B48:B48">INDEX([1]data_dbd!$b:$b,$A48)</f>
        <v>#NAME?</v>
      </c>
      <c r="C48" s="23" t="e">
        <f aca="false" t="array" ref="C48:C48">INDEX([1]data_dbd!$f:$f,$A48)</f>
        <v>#NAME?</v>
      </c>
      <c r="H48" s="32" t="n">
        <v>103</v>
      </c>
      <c r="I48" s="32" t="n">
        <v>22</v>
      </c>
      <c r="J48" s="32" t="s">
        <v>115</v>
      </c>
    </row>
    <row r="49" customFormat="false" ht="15" hidden="false" customHeight="false" outlineLevel="0" collapsed="false">
      <c r="A49" s="23" t="n">
        <f aca="false">RANDBETWEEN(2,164)</f>
        <v>155</v>
      </c>
      <c r="B49" s="23" t="e">
        <f aca="false" t="array" ref="B49:B49">INDEX([1]data_dbd!$b:$b,$A49)</f>
        <v>#NAME?</v>
      </c>
      <c r="C49" s="23" t="e">
        <f aca="false" t="array" ref="C49:C49">INDEX([1]data_dbd!$f:$f,$A49)</f>
        <v>#NAME?</v>
      </c>
      <c r="H49" s="32" t="n">
        <v>105</v>
      </c>
      <c r="I49" s="32" t="n">
        <v>61</v>
      </c>
      <c r="J49" s="32" t="s">
        <v>115</v>
      </c>
    </row>
    <row r="50" customFormat="false" ht="15" hidden="false" customHeight="false" outlineLevel="0" collapsed="false">
      <c r="A50" s="23" t="n">
        <f aca="false">RANDBETWEEN(2,164)</f>
        <v>97</v>
      </c>
      <c r="B50" s="23" t="e">
        <f aca="false" t="array" ref="B50:B50">INDEX([1]data_dbd!$b:$b,$A50)</f>
        <v>#NAME?</v>
      </c>
      <c r="C50" s="23" t="e">
        <f aca="false" t="array" ref="C50:C50">INDEX([1]data_dbd!$f:$f,$A50)</f>
        <v>#NAME?</v>
      </c>
      <c r="H50" s="32" t="n">
        <v>67</v>
      </c>
      <c r="I50" s="32" t="n">
        <v>21</v>
      </c>
      <c r="J50" s="32" t="s">
        <v>7</v>
      </c>
    </row>
    <row r="51" customFormat="false" ht="15" hidden="false" customHeight="false" outlineLevel="0" collapsed="false">
      <c r="A51" s="23" t="n">
        <f aca="false">RANDBETWEEN(2,164)</f>
        <v>49</v>
      </c>
      <c r="B51" s="23" t="e">
        <f aca="false" t="array" ref="B51:B51">INDEX([1]data_dbd!$b:$b,$A51)</f>
        <v>#NAME?</v>
      </c>
      <c r="C51" s="23" t="e">
        <f aca="false" t="array" ref="C51:C51">INDEX([1]data_dbd!$f:$f,$A51)</f>
        <v>#NAME?</v>
      </c>
      <c r="H51" s="32" t="n">
        <v>127</v>
      </c>
      <c r="I51" s="32" t="n">
        <v>21</v>
      </c>
      <c r="J51" s="32" t="s">
        <v>115</v>
      </c>
    </row>
    <row r="52" customFormat="false" ht="15" hidden="false" customHeight="false" outlineLevel="0" collapsed="false">
      <c r="A52" s="23" t="n">
        <f aca="false">RANDBETWEEN(2,164)</f>
        <v>143</v>
      </c>
      <c r="B52" s="23" t="e">
        <f aca="false" t="array" ref="B52:B52">INDEX([1]data_dbd!$b:$b,$A52)</f>
        <v>#NAME?</v>
      </c>
      <c r="C52" s="23" t="e">
        <f aca="false" t="array" ref="C52:C52">INDEX([1]data_dbd!$f:$f,$A52)</f>
        <v>#NAME?</v>
      </c>
      <c r="H52" s="32" t="n">
        <v>164</v>
      </c>
      <c r="I52" s="32" t="n">
        <v>10</v>
      </c>
      <c r="J52" s="32" t="s">
        <v>20</v>
      </c>
    </row>
    <row r="53" customFormat="false" ht="15" hidden="false" customHeight="false" outlineLevel="0" collapsed="false">
      <c r="A53" s="23" t="n">
        <f aca="false">RANDBETWEEN(2,164)</f>
        <v>161</v>
      </c>
      <c r="B53" s="23" t="e">
        <f aca="false" t="array" ref="B53:B53">INDEX([1]data_dbd!$b:$b,$A53)</f>
        <v>#NAME?</v>
      </c>
      <c r="C53" s="23" t="e">
        <f aca="false" t="array" ref="C53:C53">INDEX([1]data_dbd!$f:$f,$A53)</f>
        <v>#NAME?</v>
      </c>
      <c r="H53" s="32" t="n">
        <v>19</v>
      </c>
      <c r="I53" s="32" t="n">
        <v>8</v>
      </c>
      <c r="J53" s="32" t="s">
        <v>20</v>
      </c>
    </row>
    <row r="54" customFormat="false" ht="15" hidden="false" customHeight="false" outlineLevel="0" collapsed="false">
      <c r="A54" s="23" t="n">
        <f aca="false">RANDBETWEEN(2,164)</f>
        <v>151</v>
      </c>
      <c r="B54" s="23" t="e">
        <f aca="false" t="array" ref="B54:B54">INDEX([1]data_dbd!$b:$b,$A54)</f>
        <v>#NAME?</v>
      </c>
      <c r="C54" s="23" t="e">
        <f aca="false" t="array" ref="C54:C54">INDEX([1]data_dbd!$f:$f,$A54)</f>
        <v>#NAME?</v>
      </c>
      <c r="H54" s="32" t="n">
        <v>60</v>
      </c>
      <c r="I54" s="32" t="n">
        <v>68</v>
      </c>
      <c r="J54" s="32" t="s">
        <v>7</v>
      </c>
    </row>
    <row r="55" customFormat="false" ht="15" hidden="false" customHeight="false" outlineLevel="0" collapsed="false">
      <c r="A55" s="23" t="n">
        <f aca="false">RANDBETWEEN(2,164)</f>
        <v>163</v>
      </c>
      <c r="B55" s="23" t="e">
        <f aca="false" t="array" ref="B55:B55">INDEX([1]data_dbd!$b:$b,$A55)</f>
        <v>#NAME?</v>
      </c>
      <c r="C55" s="23" t="e">
        <f aca="false" t="array" ref="C55:C55">INDEX([1]data_dbd!$f:$f,$A55)</f>
        <v>#NAME?</v>
      </c>
      <c r="H55" s="32" t="n">
        <v>109</v>
      </c>
      <c r="I55" s="32" t="n">
        <v>40</v>
      </c>
      <c r="J55" s="32" t="s">
        <v>115</v>
      </c>
    </row>
    <row r="56" customFormat="false" ht="15" hidden="false" customHeight="false" outlineLevel="0" collapsed="false">
      <c r="A56" s="23" t="n">
        <f aca="false">RANDBETWEEN(2,164)</f>
        <v>163</v>
      </c>
      <c r="B56" s="23" t="e">
        <f aca="false" t="array" ref="B56:B56">INDEX([1]data_dbd!$b:$b,$A56)</f>
        <v>#NAME?</v>
      </c>
      <c r="C56" s="23" t="e">
        <f aca="false" t="array" ref="C56:C56">INDEX([1]data_dbd!$f:$f,$A56)</f>
        <v>#NAME?</v>
      </c>
      <c r="H56" s="32" t="n">
        <v>130</v>
      </c>
      <c r="I56" s="32" t="n">
        <v>12</v>
      </c>
      <c r="J56" s="32" t="s">
        <v>115</v>
      </c>
    </row>
    <row r="57" customFormat="false" ht="15" hidden="false" customHeight="false" outlineLevel="0" collapsed="false">
      <c r="A57" s="23" t="n">
        <f aca="false">RANDBETWEEN(2,164)</f>
        <v>157</v>
      </c>
      <c r="B57" s="23" t="e">
        <f aca="false" t="array" ref="B57:B57">INDEX([1]data_dbd!$b:$b,$A57)</f>
        <v>#NAME?</v>
      </c>
      <c r="C57" s="23" t="e">
        <f aca="false" t="array" ref="C57:C57">INDEX([1]data_dbd!$f:$f,$A57)</f>
        <v>#NAME?</v>
      </c>
      <c r="H57" s="32" t="n">
        <v>139</v>
      </c>
      <c r="I57" s="32" t="n">
        <v>52</v>
      </c>
      <c r="J57" s="32" t="s">
        <v>115</v>
      </c>
    </row>
    <row r="58" customFormat="false" ht="15" hidden="false" customHeight="false" outlineLevel="0" collapsed="false">
      <c r="A58" s="23" t="n">
        <f aca="false">RANDBETWEEN(2,164)</f>
        <v>4</v>
      </c>
      <c r="B58" s="23" t="e">
        <f aca="false" t="array" ref="B58:B58">INDEX([1]data_dbd!$b:$b,$A58)</f>
        <v>#NAME?</v>
      </c>
      <c r="C58" s="23" t="e">
        <f aca="false" t="array" ref="C58:C58">INDEX([1]data_dbd!$f:$f,$A58)</f>
        <v>#NAME?</v>
      </c>
      <c r="H58" s="32" t="n">
        <v>28</v>
      </c>
      <c r="I58" s="32" t="n">
        <v>22</v>
      </c>
      <c r="J58" s="32" t="s">
        <v>7</v>
      </c>
    </row>
    <row r="59" customFormat="false" ht="15" hidden="false" customHeight="false" outlineLevel="0" collapsed="false">
      <c r="A59" s="23" t="n">
        <f aca="false">RANDBETWEEN(2,164)</f>
        <v>10</v>
      </c>
      <c r="B59" s="23" t="e">
        <f aca="false" t="array" ref="B59:B59">INDEX([1]data_dbd!$b:$b,$A59)</f>
        <v>#NAME?</v>
      </c>
      <c r="C59" s="23" t="e">
        <f aca="false" t="array" ref="C59:C59">INDEX([1]data_dbd!$f:$f,$A59)</f>
        <v>#NAME?</v>
      </c>
      <c r="H59" s="32" t="n">
        <v>122</v>
      </c>
      <c r="I59" s="32" t="n">
        <v>28</v>
      </c>
      <c r="J59" s="32" t="s">
        <v>115</v>
      </c>
    </row>
    <row r="60" customFormat="false" ht="15" hidden="false" customHeight="false" outlineLevel="0" collapsed="false">
      <c r="A60" s="23" t="n">
        <f aca="false">RANDBETWEEN(2,164)</f>
        <v>159</v>
      </c>
      <c r="B60" s="23" t="e">
        <f aca="false" t="array" ref="B60:B60">INDEX([1]data_dbd!$b:$b,$A60)</f>
        <v>#NAME?</v>
      </c>
      <c r="C60" s="23" t="e">
        <f aca="false" t="array" ref="C60:C60">INDEX([1]data_dbd!$f:$f,$A60)</f>
        <v>#NAME?</v>
      </c>
      <c r="H60" s="32" t="n">
        <v>68</v>
      </c>
      <c r="I60" s="32" t="n">
        <v>44</v>
      </c>
      <c r="J60" s="32" t="s">
        <v>7</v>
      </c>
    </row>
    <row r="61" customFormat="false" ht="15" hidden="false" customHeight="false" outlineLevel="0" collapsed="false">
      <c r="A61" s="23" t="n">
        <f aca="false">RANDBETWEEN(2,164)</f>
        <v>19</v>
      </c>
      <c r="B61" s="23" t="e">
        <f aca="false" t="array" ref="B61:B61">INDEX([1]data_dbd!$b:$b,$A61)</f>
        <v>#NAME?</v>
      </c>
      <c r="C61" s="23" t="e">
        <f aca="false" t="array" ref="C61:C61">INDEX([1]data_dbd!$f:$f,$A61)</f>
        <v>#NAME?</v>
      </c>
      <c r="H61" s="32" t="n">
        <v>23</v>
      </c>
      <c r="I61" s="32" t="n">
        <v>28</v>
      </c>
      <c r="J61" s="32" t="s">
        <v>7</v>
      </c>
    </row>
    <row r="62" customFormat="false" ht="15" hidden="false" customHeight="false" outlineLevel="0" collapsed="false">
      <c r="A62" s="23" t="n">
        <f aca="false">RANDBETWEEN(2,164)</f>
        <v>141</v>
      </c>
      <c r="B62" s="23" t="e">
        <f aca="false" t="array" ref="B62:B62">INDEX([1]data_dbd!$b:$b,$A62)</f>
        <v>#NAME?</v>
      </c>
      <c r="C62" s="23" t="e">
        <f aca="false" t="array" ref="C62:C62">INDEX([1]data_dbd!$f:$f,$A62)</f>
        <v>#NAME?</v>
      </c>
      <c r="H62" s="32" t="n">
        <v>107</v>
      </c>
      <c r="I62" s="32" t="n">
        <v>48</v>
      </c>
      <c r="J62" s="32" t="s">
        <v>115</v>
      </c>
    </row>
    <row r="63" customFormat="false" ht="15" hidden="false" customHeight="false" outlineLevel="0" collapsed="false">
      <c r="A63" s="23" t="n">
        <f aca="false">RANDBETWEEN(2,164)</f>
        <v>110</v>
      </c>
      <c r="B63" s="23" t="e">
        <f aca="false" t="array" ref="B63:B63">INDEX([1]data_dbd!$b:$b,$A63)</f>
        <v>#NAME?</v>
      </c>
      <c r="C63" s="23" t="e">
        <f aca="false" t="array" ref="C63:C63">INDEX([1]data_dbd!$f:$f,$A63)</f>
        <v>#NAME?</v>
      </c>
      <c r="H63" s="32" t="n">
        <v>89</v>
      </c>
      <c r="I63" s="32" t="n">
        <v>32</v>
      </c>
      <c r="J63" s="32" t="s">
        <v>7</v>
      </c>
    </row>
    <row r="64" customFormat="false" ht="15" hidden="false" customHeight="false" outlineLevel="0" collapsed="false">
      <c r="A64" s="23" t="n">
        <f aca="false">RANDBETWEEN(2,164)</f>
        <v>125</v>
      </c>
      <c r="B64" s="23" t="e">
        <f aca="false" t="array" ref="B64:B64">INDEX([1]data_dbd!$b:$b,$A64)</f>
        <v>#NAME?</v>
      </c>
      <c r="C64" s="23" t="e">
        <f aca="false" t="array" ref="C64:C64">INDEX([1]data_dbd!$f:$f,$A64)</f>
        <v>#NAME?</v>
      </c>
      <c r="H64" s="32" t="n">
        <v>79</v>
      </c>
      <c r="I64" s="32" t="n">
        <v>29</v>
      </c>
      <c r="J64" s="32" t="s">
        <v>7</v>
      </c>
    </row>
    <row r="65" customFormat="false" ht="15" hidden="false" customHeight="false" outlineLevel="0" collapsed="false">
      <c r="A65" s="23" t="n">
        <f aca="false">RANDBETWEEN(2,164)</f>
        <v>6</v>
      </c>
      <c r="B65" s="23" t="e">
        <f aca="false" t="array" ref="B65:B65">INDEX([1]data_dbd!$b:$b,$A65)</f>
        <v>#NAME?</v>
      </c>
      <c r="C65" s="23" t="e">
        <f aca="false" t="array" ref="C65:C65">INDEX([1]data_dbd!$f:$f,$A65)</f>
        <v>#NAME?</v>
      </c>
      <c r="H65" s="32" t="n">
        <v>2</v>
      </c>
      <c r="I65" s="32" t="n">
        <v>34</v>
      </c>
      <c r="J65" s="32" t="s">
        <v>7</v>
      </c>
    </row>
    <row r="66" customFormat="false" ht="15" hidden="false" customHeight="false" outlineLevel="0" collapsed="false">
      <c r="A66" s="23" t="n">
        <f aca="false">RANDBETWEEN(2,164)</f>
        <v>107</v>
      </c>
      <c r="B66" s="23" t="e">
        <f aca="false" t="array" ref="B66:B66">INDEX([1]data_dbd!$b:$b,$A66)</f>
        <v>#NAME?</v>
      </c>
      <c r="C66" s="23" t="e">
        <f aca="false" t="array" ref="C66:C66">INDEX([1]data_dbd!$f:$f,$A66)</f>
        <v>#NAME?</v>
      </c>
      <c r="H66" s="32" t="n">
        <v>32</v>
      </c>
      <c r="I66" s="32" t="n">
        <v>54</v>
      </c>
      <c r="J66" s="32" t="s">
        <v>7</v>
      </c>
    </row>
    <row r="67" customFormat="false" ht="15" hidden="false" customHeight="false" outlineLevel="0" collapsed="false">
      <c r="A67" s="23" t="n">
        <f aca="false">RANDBETWEEN(2,164)</f>
        <v>34</v>
      </c>
      <c r="B67" s="23" t="e">
        <f aca="false" t="array" ref="B67:B67">INDEX([1]data_dbd!$b:$b,$A67)</f>
        <v>#NAME?</v>
      </c>
      <c r="C67" s="23" t="e">
        <f aca="false" t="array" ref="C67:C67">INDEX([1]data_dbd!$f:$f,$A67)</f>
        <v>#NAME?</v>
      </c>
      <c r="H67" s="32" t="n">
        <v>18</v>
      </c>
      <c r="I67" s="32" t="n">
        <v>49</v>
      </c>
      <c r="J67" s="32" t="s">
        <v>20</v>
      </c>
    </row>
    <row r="68" customFormat="false" ht="15" hidden="false" customHeight="false" outlineLevel="0" collapsed="false">
      <c r="A68" s="23" t="n">
        <f aca="false">RANDBETWEEN(2,164)</f>
        <v>40</v>
      </c>
      <c r="B68" s="23" t="e">
        <f aca="false" t="array" ref="B68:B68">INDEX([1]data_dbd!$b:$b,$A68)</f>
        <v>#NAME?</v>
      </c>
      <c r="C68" s="23" t="e">
        <f aca="false" t="array" ref="C68:C68">INDEX([1]data_dbd!$f:$f,$A68)</f>
        <v>#NAME?</v>
      </c>
      <c r="H68" s="32" t="n">
        <v>52</v>
      </c>
      <c r="I68" s="32" t="n">
        <v>59</v>
      </c>
      <c r="J68" s="32" t="s">
        <v>7</v>
      </c>
    </row>
    <row r="69" customFormat="false" ht="15" hidden="false" customHeight="false" outlineLevel="0" collapsed="false">
      <c r="A69" s="23" t="n">
        <f aca="false">RANDBETWEEN(2,164)</f>
        <v>42</v>
      </c>
      <c r="B69" s="23" t="e">
        <f aca="false" t="array" ref="B69:B69">INDEX([1]data_dbd!$b:$b,$A69)</f>
        <v>#NAME?</v>
      </c>
      <c r="C69" s="23" t="e">
        <f aca="false" t="array" ref="C69:C69">INDEX([1]data_dbd!$f:$f,$A69)</f>
        <v>#NAME?</v>
      </c>
      <c r="H69" s="32" t="n">
        <v>135</v>
      </c>
      <c r="I69" s="32" t="n">
        <v>10</v>
      </c>
      <c r="J69" s="32" t="s">
        <v>115</v>
      </c>
    </row>
    <row r="70" customFormat="false" ht="15" hidden="false" customHeight="false" outlineLevel="0" collapsed="false">
      <c r="A70" s="23" t="n">
        <f aca="false">RANDBETWEEN(2,164)</f>
        <v>38</v>
      </c>
      <c r="B70" s="23" t="e">
        <f aca="false" t="array" ref="B70:B70">INDEX([1]data_dbd!$b:$b,$A70)</f>
        <v>#NAME?</v>
      </c>
      <c r="C70" s="23" t="e">
        <f aca="false" t="array" ref="C70:C70">INDEX([1]data_dbd!$f:$f,$A70)</f>
        <v>#NAME?</v>
      </c>
      <c r="H70" s="32" t="n">
        <v>140</v>
      </c>
      <c r="I70" s="32" t="n">
        <v>74</v>
      </c>
      <c r="J70" s="32" t="s">
        <v>115</v>
      </c>
    </row>
    <row r="71" customFormat="false" ht="15" hidden="false" customHeight="false" outlineLevel="0" collapsed="false">
      <c r="A71" s="23" t="n">
        <f aca="false">RANDBETWEEN(2,164)</f>
        <v>82</v>
      </c>
      <c r="B71" s="23" t="e">
        <f aca="false" t="array" ref="B71:B71">INDEX([1]data_dbd!$b:$b,$A71)</f>
        <v>#NAME?</v>
      </c>
      <c r="C71" s="23" t="e">
        <f aca="false" t="array" ref="C71:C71">INDEX([1]data_dbd!$f:$f,$A71)</f>
        <v>#NAME?</v>
      </c>
      <c r="H71" s="32" t="n">
        <v>103</v>
      </c>
      <c r="I71" s="32" t="n">
        <v>22</v>
      </c>
      <c r="J71" s="32" t="s">
        <v>115</v>
      </c>
    </row>
    <row r="72" customFormat="false" ht="15" hidden="false" customHeight="false" outlineLevel="0" collapsed="false">
      <c r="A72" s="23" t="n">
        <f aca="false">RANDBETWEEN(2,164)</f>
        <v>115</v>
      </c>
      <c r="B72" s="23" t="e">
        <f aca="false" t="array" ref="B72:B72">INDEX([1]data_dbd!$b:$b,$A72)</f>
        <v>#NAME?</v>
      </c>
      <c r="C72" s="23" t="e">
        <f aca="false" t="array" ref="C72:C72">INDEX([1]data_dbd!$f:$f,$A72)</f>
        <v>#NAME?</v>
      </c>
      <c r="H72" s="32" t="n">
        <v>8</v>
      </c>
      <c r="I72" s="32" t="n">
        <v>4</v>
      </c>
      <c r="J72" s="32" t="s">
        <v>7</v>
      </c>
    </row>
    <row r="73" customFormat="false" ht="15" hidden="false" customHeight="false" outlineLevel="0" collapsed="false">
      <c r="A73" s="23" t="n">
        <f aca="false">RANDBETWEEN(2,164)</f>
        <v>29</v>
      </c>
      <c r="B73" s="23" t="e">
        <f aca="false" t="array" ref="B73:B73">INDEX([1]data_dbd!$b:$b,$A73)</f>
        <v>#NAME?</v>
      </c>
      <c r="C73" s="23" t="e">
        <f aca="false" t="array" ref="C73:C73">INDEX([1]data_dbd!$f:$f,$A73)</f>
        <v>#NAME?</v>
      </c>
      <c r="H73" s="32" t="n">
        <v>130</v>
      </c>
      <c r="I73" s="32" t="n">
        <v>12</v>
      </c>
      <c r="J73" s="32" t="s">
        <v>115</v>
      </c>
    </row>
    <row r="74" customFormat="false" ht="15" hidden="false" customHeight="false" outlineLevel="0" collapsed="false">
      <c r="A74" s="23" t="n">
        <f aca="false">RANDBETWEEN(2,164)</f>
        <v>57</v>
      </c>
      <c r="B74" s="23" t="e">
        <f aca="false" t="array" ref="B74:B74">INDEX([1]data_dbd!$b:$b,$A74)</f>
        <v>#NAME?</v>
      </c>
      <c r="C74" s="23" t="e">
        <f aca="false" t="array" ref="C74:C74">INDEX([1]data_dbd!$f:$f,$A74)</f>
        <v>#NAME?</v>
      </c>
      <c r="H74" s="32" t="n">
        <v>158</v>
      </c>
      <c r="I74" s="32" t="n">
        <v>5</v>
      </c>
      <c r="J74" s="32" t="s">
        <v>115</v>
      </c>
    </row>
    <row r="75" customFormat="false" ht="15" hidden="false" customHeight="false" outlineLevel="0" collapsed="false">
      <c r="A75" s="23" t="n">
        <f aca="false">RANDBETWEEN(2,164)</f>
        <v>109</v>
      </c>
      <c r="B75" s="23" t="e">
        <f aca="false" t="array" ref="B75:B75">INDEX([1]data_dbd!$b:$b,$A75)</f>
        <v>#NAME?</v>
      </c>
      <c r="C75" s="23" t="e">
        <f aca="false" t="array" ref="C75:C75">INDEX([1]data_dbd!$f:$f,$A75)</f>
        <v>#NAME?</v>
      </c>
      <c r="H75" s="32" t="n">
        <v>150</v>
      </c>
      <c r="I75" s="32" t="n">
        <v>61</v>
      </c>
      <c r="J75" s="32" t="s">
        <v>115</v>
      </c>
    </row>
    <row r="76" customFormat="false" ht="15" hidden="false" customHeight="false" outlineLevel="0" collapsed="false">
      <c r="A76" s="23" t="n">
        <f aca="false">RANDBETWEEN(2,164)</f>
        <v>52</v>
      </c>
      <c r="B76" s="23" t="e">
        <f aca="false" t="array" ref="B76:B76">INDEX([1]data_dbd!$b:$b,$A76)</f>
        <v>#NAME?</v>
      </c>
      <c r="C76" s="23" t="e">
        <f aca="false" t="array" ref="C76:C76">INDEX([1]data_dbd!$f:$f,$A76)</f>
        <v>#NAME?</v>
      </c>
      <c r="H76" s="32" t="n">
        <v>91</v>
      </c>
      <c r="I76" s="32" t="n">
        <v>35</v>
      </c>
      <c r="J76" s="32" t="s">
        <v>115</v>
      </c>
    </row>
    <row r="77" customFormat="false" ht="15" hidden="false" customHeight="false" outlineLevel="0" collapsed="false">
      <c r="A77" s="23" t="n">
        <f aca="false">RANDBETWEEN(2,164)</f>
        <v>70</v>
      </c>
      <c r="B77" s="23" t="e">
        <f aca="false" t="array" ref="B77:B77">INDEX([1]data_dbd!$b:$b,$A77)</f>
        <v>#NAME?</v>
      </c>
      <c r="C77" s="23" t="e">
        <f aca="false" t="array" ref="C77:C77">INDEX([1]data_dbd!$f:$f,$A77)</f>
        <v>#NAME?</v>
      </c>
      <c r="H77" s="32" t="n">
        <v>17</v>
      </c>
      <c r="I77" s="32" t="n">
        <v>2</v>
      </c>
      <c r="J77" s="32" t="s">
        <v>20</v>
      </c>
    </row>
    <row r="78" customFormat="false" ht="15" hidden="false" customHeight="false" outlineLevel="0" collapsed="false">
      <c r="A78" s="23" t="n">
        <f aca="false">RANDBETWEEN(2,164)</f>
        <v>72</v>
      </c>
      <c r="B78" s="23" t="e">
        <f aca="false" t="array" ref="B78:B78">INDEX([1]data_dbd!$b:$b,$A78)</f>
        <v>#NAME?</v>
      </c>
      <c r="C78" s="23" t="e">
        <f aca="false" t="array" ref="C78:C78">INDEX([1]data_dbd!$f:$f,$A78)</f>
        <v>#NAME?</v>
      </c>
      <c r="H78" s="32" t="n">
        <v>147</v>
      </c>
      <c r="I78" s="32" t="n">
        <v>66</v>
      </c>
      <c r="J78" s="32" t="s">
        <v>115</v>
      </c>
    </row>
    <row r="79" customFormat="false" ht="15" hidden="false" customHeight="false" outlineLevel="0" collapsed="false">
      <c r="A79" s="23" t="n">
        <f aca="false">RANDBETWEEN(2,164)</f>
        <v>105</v>
      </c>
      <c r="B79" s="23" t="e">
        <f aca="false" t="array" ref="B79:B79">INDEX([1]data_dbd!$b:$b,$A79)</f>
        <v>#NAME?</v>
      </c>
      <c r="C79" s="23" t="e">
        <f aca="false" t="array" ref="C79:C79">INDEX([1]data_dbd!$f:$f,$A79)</f>
        <v>#NAME?</v>
      </c>
      <c r="H79" s="32" t="n">
        <v>67</v>
      </c>
      <c r="I79" s="32" t="n">
        <v>21</v>
      </c>
      <c r="J79" s="32" t="s">
        <v>7</v>
      </c>
    </row>
    <row r="80" customFormat="false" ht="15" hidden="false" customHeight="false" outlineLevel="0" collapsed="false">
      <c r="A80" s="23" t="n">
        <f aca="false">RANDBETWEEN(2,164)</f>
        <v>63</v>
      </c>
      <c r="B80" s="23" t="e">
        <f aca="false" t="array" ref="B80:B80">INDEX([1]data_dbd!$b:$b,$A80)</f>
        <v>#NAME?</v>
      </c>
      <c r="C80" s="23" t="e">
        <f aca="false" t="array" ref="C80:C80">INDEX([1]data_dbd!$f:$f,$A80)</f>
        <v>#NAME?</v>
      </c>
      <c r="H80" s="32" t="n">
        <v>130</v>
      </c>
      <c r="I80" s="32" t="n">
        <v>12</v>
      </c>
      <c r="J80" s="32" t="s">
        <v>115</v>
      </c>
    </row>
    <row r="81" customFormat="false" ht="15" hidden="false" customHeight="false" outlineLevel="0" collapsed="false">
      <c r="A81" s="23" t="n">
        <f aca="false">RANDBETWEEN(2,164)</f>
        <v>145</v>
      </c>
      <c r="B81" s="23" t="e">
        <f aca="false" t="array" ref="B81:B81">INDEX([1]data_dbd!$b:$b,$A81)</f>
        <v>#NAME?</v>
      </c>
      <c r="C81" s="23" t="e">
        <f aca="false" t="array" ref="C81:C81">INDEX([1]data_dbd!$f:$f,$A81)</f>
        <v>#NAME?</v>
      </c>
      <c r="H81" s="32" t="n">
        <v>64</v>
      </c>
      <c r="I81" s="32" t="n">
        <v>35</v>
      </c>
      <c r="J81" s="32" t="s">
        <v>7</v>
      </c>
    </row>
    <row r="82" customFormat="false" ht="15" hidden="false" customHeight="false" outlineLevel="0" collapsed="false">
      <c r="A82" s="23" t="n">
        <f aca="false">RANDBETWEEN(2,164)</f>
        <v>100</v>
      </c>
      <c r="B82" s="23" t="e">
        <f aca="false" t="array" ref="B82:B82">INDEX([1]data_dbd!$b:$b,$A82)</f>
        <v>#NAME?</v>
      </c>
      <c r="C82" s="23" t="e">
        <f aca="false" t="array" ref="C82:C82">INDEX([1]data_dbd!$f:$f,$A82)</f>
        <v>#NAME?</v>
      </c>
      <c r="H82" s="32" t="n">
        <v>30</v>
      </c>
      <c r="I82" s="32" t="n">
        <v>3</v>
      </c>
      <c r="J82" s="32" t="s">
        <v>7</v>
      </c>
    </row>
    <row r="83" customFormat="false" ht="15" hidden="false" customHeight="false" outlineLevel="0" collapsed="false">
      <c r="A83" s="23" t="n">
        <f aca="false">RANDBETWEEN(2,164)</f>
        <v>27</v>
      </c>
      <c r="B83" s="23" t="e">
        <f aca="false" t="array" ref="B83:B83">INDEX([1]data_dbd!$b:$b,$A83)</f>
        <v>#NAME?</v>
      </c>
      <c r="C83" s="23" t="e">
        <f aca="false" t="array" ref="C83:C83">INDEX([1]data_dbd!$f:$f,$A83)</f>
        <v>#NAME?</v>
      </c>
      <c r="H83" s="32" t="n">
        <v>31</v>
      </c>
      <c r="I83" s="32" t="n">
        <v>64</v>
      </c>
      <c r="J83" s="32" t="s">
        <v>7</v>
      </c>
    </row>
    <row r="84" customFormat="false" ht="15" hidden="false" customHeight="false" outlineLevel="0" collapsed="false">
      <c r="A84" s="23" t="n">
        <f aca="false">RANDBETWEEN(2,164)</f>
        <v>99</v>
      </c>
      <c r="B84" s="23" t="e">
        <f aca="false" t="array" ref="B84:B84">INDEX([1]data_dbd!$b:$b,$A84)</f>
        <v>#NAME?</v>
      </c>
      <c r="C84" s="23" t="e">
        <f aca="false" t="array" ref="C84:C84">INDEX([1]data_dbd!$f:$f,$A84)</f>
        <v>#NAME?</v>
      </c>
      <c r="H84" s="32" t="n">
        <v>132</v>
      </c>
      <c r="I84" s="32" t="n">
        <v>10</v>
      </c>
      <c r="J84" s="32" t="s">
        <v>115</v>
      </c>
    </row>
    <row r="85" customFormat="false" ht="15" hidden="false" customHeight="false" outlineLevel="0" collapsed="false">
      <c r="A85" s="23" t="n">
        <f aca="false">RANDBETWEEN(2,164)</f>
        <v>57</v>
      </c>
      <c r="B85" s="23" t="e">
        <f aca="false" t="array" ref="B85:B85">INDEX([1]data_dbd!$b:$b,$A85)</f>
        <v>#NAME?</v>
      </c>
      <c r="C85" s="23" t="e">
        <f aca="false" t="array" ref="C85:C85">INDEX([1]data_dbd!$f:$f,$A85)</f>
        <v>#NAME?</v>
      </c>
      <c r="H85" s="32" t="n">
        <v>164</v>
      </c>
      <c r="I85" s="32" t="n">
        <v>10</v>
      </c>
      <c r="J85" s="32" t="s">
        <v>20</v>
      </c>
    </row>
    <row r="86" customFormat="false" ht="15" hidden="false" customHeight="false" outlineLevel="0" collapsed="false">
      <c r="A86" s="23" t="n">
        <f aca="false">RANDBETWEEN(2,164)</f>
        <v>38</v>
      </c>
      <c r="B86" s="23" t="e">
        <f aca="false" t="array" ref="B86:B86">INDEX([1]data_dbd!$b:$b,$A86)</f>
        <v>#NAME?</v>
      </c>
      <c r="C86" s="23" t="e">
        <f aca="false" t="array" ref="C86:C86">INDEX([1]data_dbd!$f:$f,$A86)</f>
        <v>#NAME?</v>
      </c>
      <c r="H86" s="32" t="n">
        <v>17</v>
      </c>
      <c r="I86" s="32" t="n">
        <v>2</v>
      </c>
      <c r="J86" s="32" t="s">
        <v>20</v>
      </c>
    </row>
    <row r="87" customFormat="false" ht="15" hidden="false" customHeight="false" outlineLevel="0" collapsed="false">
      <c r="A87" s="23" t="n">
        <f aca="false">RANDBETWEEN(2,164)</f>
        <v>15</v>
      </c>
      <c r="B87" s="23" t="e">
        <f aca="false" t="array" ref="B87:B87">INDEX([1]data_dbd!$b:$b,$A87)</f>
        <v>#NAME?</v>
      </c>
      <c r="C87" s="23" t="e">
        <f aca="false" t="array" ref="C87:C87">INDEX([1]data_dbd!$f:$f,$A87)</f>
        <v>#NAME?</v>
      </c>
      <c r="H87" s="32" t="n">
        <v>72</v>
      </c>
      <c r="I87" s="32" t="n">
        <v>3</v>
      </c>
      <c r="J87" s="32" t="s">
        <v>7</v>
      </c>
    </row>
    <row r="88" customFormat="false" ht="15" hidden="false" customHeight="false" outlineLevel="0" collapsed="false">
      <c r="A88" s="23" t="n">
        <f aca="false">RANDBETWEEN(2,164)</f>
        <v>10</v>
      </c>
      <c r="B88" s="23" t="e">
        <f aca="false" t="array" ref="B88:B88">INDEX([1]data_dbd!$b:$b,$A88)</f>
        <v>#NAME?</v>
      </c>
      <c r="C88" s="23" t="e">
        <f aca="false" t="array" ref="C88:C88">INDEX([1]data_dbd!$f:$f,$A88)</f>
        <v>#NAME?</v>
      </c>
      <c r="H88" s="32" t="n">
        <v>55</v>
      </c>
      <c r="I88" s="32" t="n">
        <v>7</v>
      </c>
      <c r="J88" s="32" t="s">
        <v>7</v>
      </c>
    </row>
    <row r="89" customFormat="false" ht="15" hidden="false" customHeight="false" outlineLevel="0" collapsed="false">
      <c r="A89" s="23" t="n">
        <f aca="false">RANDBETWEEN(2,164)</f>
        <v>109</v>
      </c>
      <c r="B89" s="23" t="e">
        <f aca="false" t="array" ref="B89:B89">INDEX([1]data_dbd!$b:$b,$A89)</f>
        <v>#NAME?</v>
      </c>
      <c r="C89" s="23" t="e">
        <f aca="false" t="array" ref="C89:C89">INDEX([1]data_dbd!$f:$f,$A89)</f>
        <v>#NAME?</v>
      </c>
      <c r="H89" s="32" t="n">
        <v>54</v>
      </c>
      <c r="I89" s="32" t="n">
        <v>7</v>
      </c>
      <c r="J89" s="32" t="s">
        <v>7</v>
      </c>
    </row>
    <row r="90" customFormat="false" ht="15" hidden="false" customHeight="false" outlineLevel="0" collapsed="false">
      <c r="A90" s="23" t="n">
        <f aca="false">RANDBETWEEN(2,164)</f>
        <v>121</v>
      </c>
      <c r="B90" s="23" t="e">
        <f aca="false" t="array" ref="B90:B90">INDEX([1]data_dbd!$b:$b,$A90)</f>
        <v>#NAME?</v>
      </c>
      <c r="C90" s="23" t="e">
        <f aca="false" t="array" ref="C90:C90">INDEX([1]data_dbd!$f:$f,$A90)</f>
        <v>#NAME?</v>
      </c>
      <c r="H90" s="32" t="n">
        <v>84</v>
      </c>
      <c r="I90" s="32" t="n">
        <v>42</v>
      </c>
      <c r="J90" s="32" t="s">
        <v>7</v>
      </c>
    </row>
    <row r="91" customFormat="false" ht="15" hidden="false" customHeight="false" outlineLevel="0" collapsed="false">
      <c r="A91" s="23" t="n">
        <f aca="false">RANDBETWEEN(2,164)</f>
        <v>144</v>
      </c>
      <c r="B91" s="23" t="e">
        <f aca="false" t="array" ref="B91:B91">INDEX([1]data_dbd!$b:$b,$A91)</f>
        <v>#NAME?</v>
      </c>
      <c r="C91" s="23" t="e">
        <f aca="false" t="array" ref="C91:C91">INDEX([1]data_dbd!$f:$f,$A91)</f>
        <v>#NAME?</v>
      </c>
      <c r="H91" s="32" t="n">
        <v>63</v>
      </c>
      <c r="I91" s="32" t="n">
        <v>25</v>
      </c>
      <c r="J91" s="32" t="s">
        <v>7</v>
      </c>
    </row>
    <row r="92" customFormat="false" ht="15" hidden="false" customHeight="false" outlineLevel="0" collapsed="false">
      <c r="A92" s="23" t="n">
        <f aca="false">RANDBETWEEN(2,164)</f>
        <v>154</v>
      </c>
      <c r="B92" s="23" t="e">
        <f aca="false" t="array" ref="B92:B92">INDEX([1]data_dbd!$b:$b,$A92)</f>
        <v>#NAME?</v>
      </c>
      <c r="C92" s="23" t="e">
        <f aca="false" t="array" ref="C92:C92">INDEX([1]data_dbd!$f:$f,$A92)</f>
        <v>#NAME?</v>
      </c>
      <c r="H92" s="32" t="n">
        <v>41</v>
      </c>
      <c r="I92" s="32" t="n">
        <v>8</v>
      </c>
      <c r="J92" s="32" t="s">
        <v>7</v>
      </c>
    </row>
    <row r="93" customFormat="false" ht="15" hidden="false" customHeight="false" outlineLevel="0" collapsed="false">
      <c r="A93" s="23" t="n">
        <f aca="false">RANDBETWEEN(2,164)</f>
        <v>83</v>
      </c>
      <c r="B93" s="23" t="e">
        <f aca="false" t="array" ref="B93:B93">INDEX([1]data_dbd!$b:$b,$A93)</f>
        <v>#NAME?</v>
      </c>
      <c r="C93" s="23" t="e">
        <f aca="false" t="array" ref="C93:C93">INDEX([1]data_dbd!$f:$f,$A93)</f>
        <v>#NAME?</v>
      </c>
      <c r="H93" s="32" t="n">
        <v>39</v>
      </c>
      <c r="I93" s="32" t="n">
        <v>12</v>
      </c>
      <c r="J93" s="32" t="s">
        <v>7</v>
      </c>
    </row>
    <row r="94" customFormat="false" ht="15" hidden="false" customHeight="false" outlineLevel="0" collapsed="false">
      <c r="A94" s="23" t="n">
        <f aca="false">RANDBETWEEN(2,164)</f>
        <v>71</v>
      </c>
      <c r="B94" s="23" t="e">
        <f aca="false" t="array" ref="B94:B94">INDEX([1]data_dbd!$b:$b,$A94)</f>
        <v>#NAME?</v>
      </c>
      <c r="C94" s="23" t="e">
        <f aca="false" t="array" ref="C94:C94">INDEX([1]data_dbd!$f:$f,$A94)</f>
        <v>#NAME?</v>
      </c>
      <c r="H94" s="32" t="n">
        <v>107</v>
      </c>
      <c r="I94" s="32" t="n">
        <v>48</v>
      </c>
      <c r="J94" s="32" t="s">
        <v>115</v>
      </c>
    </row>
    <row r="95" customFormat="false" ht="15" hidden="false" customHeight="false" outlineLevel="0" collapsed="false">
      <c r="A95" s="23" t="n">
        <f aca="false">RANDBETWEEN(2,164)</f>
        <v>73</v>
      </c>
      <c r="B95" s="23" t="e">
        <f aca="false" t="array" ref="B95:B95">INDEX([1]data_dbd!$b:$b,$A95)</f>
        <v>#NAME?</v>
      </c>
      <c r="C95" s="23" t="e">
        <f aca="false" t="array" ref="C95:C95">INDEX([1]data_dbd!$f:$f,$A95)</f>
        <v>#NAME?</v>
      </c>
      <c r="H95" s="32" t="n">
        <v>5</v>
      </c>
      <c r="I95" s="32" t="n">
        <v>18</v>
      </c>
      <c r="J95" s="32" t="s">
        <v>7</v>
      </c>
    </row>
    <row r="96" customFormat="false" ht="15" hidden="false" customHeight="false" outlineLevel="0" collapsed="false">
      <c r="A96" s="23" t="n">
        <f aca="false">RANDBETWEEN(2,164)</f>
        <v>113</v>
      </c>
      <c r="B96" s="23" t="e">
        <f aca="false" t="array" ref="B96:B96">INDEX([1]data_dbd!$b:$b,$A96)</f>
        <v>#NAME?</v>
      </c>
      <c r="C96" s="23" t="e">
        <f aca="false" t="array" ref="C96:C96">INDEX([1]data_dbd!$f:$f,$A96)</f>
        <v>#NAME?</v>
      </c>
      <c r="H96" s="32" t="n">
        <v>38</v>
      </c>
      <c r="I96" s="32" t="n">
        <v>52</v>
      </c>
      <c r="J96" s="32" t="s">
        <v>20</v>
      </c>
    </row>
    <row r="97" customFormat="false" ht="15" hidden="false" customHeight="false" outlineLevel="0" collapsed="false">
      <c r="A97" s="23" t="n">
        <f aca="false">RANDBETWEEN(2,164)</f>
        <v>21</v>
      </c>
      <c r="B97" s="23" t="e">
        <f aca="false" t="array" ref="B97:B97">INDEX([1]data_dbd!$b:$b,$A97)</f>
        <v>#NAME?</v>
      </c>
      <c r="C97" s="23" t="e">
        <f aca="false" t="array" ref="C97:C97">INDEX([1]data_dbd!$f:$f,$A97)</f>
        <v>#NAME?</v>
      </c>
      <c r="H97" s="32" t="n">
        <v>76</v>
      </c>
      <c r="I97" s="32" t="n">
        <v>70</v>
      </c>
      <c r="J97" s="32" t="s">
        <v>7</v>
      </c>
    </row>
    <row r="98" customFormat="false" ht="15" hidden="false" customHeight="false" outlineLevel="0" collapsed="false">
      <c r="A98" s="23" t="n">
        <f aca="false">RANDBETWEEN(2,164)</f>
        <v>17</v>
      </c>
      <c r="B98" s="23" t="e">
        <f aca="false" t="array" ref="B98:B98">INDEX([1]data_dbd!$b:$b,$A98)</f>
        <v>#NAME?</v>
      </c>
      <c r="C98" s="23" t="e">
        <f aca="false" t="array" ref="C98:C98">INDEX([1]data_dbd!$f:$f,$A98)</f>
        <v>#NAME?</v>
      </c>
      <c r="H98" s="32" t="n">
        <v>145</v>
      </c>
      <c r="I98" s="32" t="n">
        <v>28</v>
      </c>
      <c r="J98" s="32" t="s">
        <v>115</v>
      </c>
    </row>
    <row r="99" customFormat="false" ht="15" hidden="false" customHeight="false" outlineLevel="0" collapsed="false">
      <c r="A99" s="23" t="n">
        <f aca="false">RANDBETWEEN(2,164)</f>
        <v>8</v>
      </c>
      <c r="B99" s="23" t="e">
        <f aca="false" t="array" ref="B99:B99">INDEX([1]data_dbd!$b:$b,$A99)</f>
        <v>#NAME?</v>
      </c>
      <c r="C99" s="23" t="e">
        <f aca="false" t="array" ref="C99:C99">INDEX([1]data_dbd!$f:$f,$A99)</f>
        <v>#NAME?</v>
      </c>
      <c r="H99" s="32" t="n">
        <v>40</v>
      </c>
      <c r="I99" s="32" t="n">
        <v>65</v>
      </c>
      <c r="J99" s="32" t="s">
        <v>7</v>
      </c>
    </row>
    <row r="100" customFormat="false" ht="15" hidden="false" customHeight="false" outlineLevel="0" collapsed="false">
      <c r="A100" s="23" t="n">
        <f aca="false">RANDBETWEEN(2,164)</f>
        <v>134</v>
      </c>
      <c r="B100" s="23" t="e">
        <f aca="false" t="array" ref="B100:B100">INDEX([1]data_dbd!$b:$b,$A100)</f>
        <v>#NAME?</v>
      </c>
      <c r="C100" s="23" t="e">
        <f aca="false" t="array" ref="C100:C100">INDEX([1]data_dbd!$f:$f,$A100)</f>
        <v>#NAME?</v>
      </c>
      <c r="H100" s="32" t="n">
        <v>113</v>
      </c>
      <c r="I100" s="32" t="n">
        <v>69</v>
      </c>
      <c r="J100" s="32" t="s">
        <v>115</v>
      </c>
    </row>
    <row r="101" customFormat="false" ht="15" hidden="false" customHeight="false" outlineLevel="0" collapsed="false">
      <c r="A101" s="23" t="n">
        <f aca="false">RANDBETWEEN(2,164)</f>
        <v>83</v>
      </c>
      <c r="B101" s="23" t="e">
        <f aca="false" t="array" ref="B101:B101">INDEX([1]data_dbd!$b:$b,$A101)</f>
        <v>#NAME?</v>
      </c>
      <c r="C101" s="23" t="e">
        <f aca="false" t="array" ref="C101:C101">INDEX([1]data_dbd!$f:$f,$A101)</f>
        <v>#NAME?</v>
      </c>
      <c r="H101" s="32" t="n">
        <v>9</v>
      </c>
      <c r="I101" s="32" t="n">
        <v>16</v>
      </c>
      <c r="J101" s="32" t="s">
        <v>7</v>
      </c>
    </row>
    <row r="102" customFormat="false" ht="15" hidden="false" customHeight="false" outlineLevel="0" collapsed="false">
      <c r="A102" s="23" t="n">
        <f aca="false">RANDBETWEEN(2,164)</f>
        <v>114</v>
      </c>
      <c r="B102" s="23" t="e">
        <f aca="false" t="array" ref="B102:B102">INDEX([1]data_dbd!$b:$b,$A102)</f>
        <v>#NAME?</v>
      </c>
      <c r="C102" s="23" t="e">
        <f aca="false" t="array" ref="C102:C102">INDEX([1]data_dbd!$f:$f,$A102)</f>
        <v>#NAME?</v>
      </c>
      <c r="H102" s="32" t="n">
        <v>13</v>
      </c>
      <c r="I102" s="32" t="n">
        <v>47</v>
      </c>
      <c r="J102" s="32" t="s">
        <v>7</v>
      </c>
    </row>
    <row r="103" customFormat="false" ht="15" hidden="false" customHeight="false" outlineLevel="0" collapsed="false">
      <c r="A103" s="23" t="n">
        <f aca="false">RANDBETWEEN(2,164)</f>
        <v>101</v>
      </c>
      <c r="B103" s="23" t="e">
        <f aca="false" t="array" ref="B103:B103">INDEX([1]data_dbd!$b:$b,$A103)</f>
        <v>#NAME?</v>
      </c>
      <c r="C103" s="23" t="e">
        <f aca="false" t="array" ref="C103:C103">INDEX([1]data_dbd!$f:$f,$A103)</f>
        <v>#NAME?</v>
      </c>
      <c r="H103" s="32" t="n">
        <v>124</v>
      </c>
      <c r="I103" s="32" t="n">
        <v>24</v>
      </c>
      <c r="J103" s="32" t="s">
        <v>115</v>
      </c>
    </row>
    <row r="104" customFormat="false" ht="15" hidden="false" customHeight="false" outlineLevel="0" collapsed="false">
      <c r="A104" s="23" t="n">
        <f aca="false">RANDBETWEEN(2,164)</f>
        <v>115</v>
      </c>
      <c r="B104" s="23" t="e">
        <f aca="false" t="array" ref="B104:B104">INDEX([1]data_dbd!$b:$b,$A104)</f>
        <v>#NAME?</v>
      </c>
      <c r="C104" s="23" t="e">
        <f aca="false" t="array" ref="C104:C104">INDEX([1]data_dbd!$f:$f,$A104)</f>
        <v>#NAME?</v>
      </c>
      <c r="H104" s="32" t="n">
        <v>3</v>
      </c>
      <c r="I104" s="32" t="n">
        <v>43</v>
      </c>
      <c r="J104" s="32" t="s">
        <v>7</v>
      </c>
    </row>
    <row r="105" customFormat="false" ht="15" hidden="false" customHeight="false" outlineLevel="0" collapsed="false">
      <c r="A105" s="23" t="n">
        <f aca="false">RANDBETWEEN(2,164)</f>
        <v>108</v>
      </c>
      <c r="B105" s="23" t="e">
        <f aca="false" t="array" ref="B105:B105">INDEX([1]data_dbd!$b:$b,$A105)</f>
        <v>#NAME?</v>
      </c>
      <c r="C105" s="23" t="e">
        <f aca="false" t="array" ref="C105:C105">INDEX([1]data_dbd!$f:$f,$A105)</f>
        <v>#NAME?</v>
      </c>
      <c r="H105" s="32" t="n">
        <v>102</v>
      </c>
      <c r="I105" s="32" t="n">
        <v>41</v>
      </c>
      <c r="J105" s="32" t="s">
        <v>115</v>
      </c>
    </row>
    <row r="106" customFormat="false" ht="15" hidden="false" customHeight="false" outlineLevel="0" collapsed="false">
      <c r="A106" s="23" t="n">
        <f aca="false">RANDBETWEEN(2,164)</f>
        <v>26</v>
      </c>
      <c r="B106" s="23" t="e">
        <f aca="false" t="array" ref="B106:B106">INDEX([1]data_dbd!$b:$b,$A106)</f>
        <v>#NAME?</v>
      </c>
      <c r="C106" s="23" t="e">
        <f aca="false" t="array" ref="C106:C106">INDEX([1]data_dbd!$f:$f,$A106)</f>
        <v>#NAME?</v>
      </c>
      <c r="H106" s="32" t="n">
        <v>6</v>
      </c>
      <c r="I106" s="32" t="n">
        <v>14</v>
      </c>
      <c r="J106" s="32" t="s">
        <v>7</v>
      </c>
    </row>
    <row r="107" customFormat="false" ht="15" hidden="false" customHeight="false" outlineLevel="0" collapsed="false">
      <c r="A107" s="23" t="n">
        <f aca="false">RANDBETWEEN(2,164)</f>
        <v>146</v>
      </c>
      <c r="B107" s="23" t="e">
        <f aca="false" t="array" ref="B107:B107">INDEX([1]data_dbd!$b:$b,$A107)</f>
        <v>#NAME?</v>
      </c>
      <c r="C107" s="23" t="e">
        <f aca="false" t="array" ref="C107:C107">INDEX([1]data_dbd!$f:$f,$A107)</f>
        <v>#NAME?</v>
      </c>
      <c r="H107" s="32" t="n">
        <v>4</v>
      </c>
      <c r="I107" s="32" t="n">
        <v>23</v>
      </c>
      <c r="J107" s="32" t="s">
        <v>7</v>
      </c>
    </row>
    <row r="108" customFormat="false" ht="15" hidden="false" customHeight="false" outlineLevel="0" collapsed="false">
      <c r="A108" s="23" t="n">
        <f aca="false">RANDBETWEEN(2,164)</f>
        <v>129</v>
      </c>
      <c r="B108" s="23" t="e">
        <f aca="false" t="array" ref="B108:B108">INDEX([1]data_dbd!$b:$b,$A108)</f>
        <v>#NAME?</v>
      </c>
      <c r="C108" s="23" t="e">
        <f aca="false" t="array" ref="C108:C108">INDEX([1]data_dbd!$f:$f,$A108)</f>
        <v>#NAME?</v>
      </c>
      <c r="H108" s="32" t="n">
        <v>85</v>
      </c>
      <c r="I108" s="32" t="n">
        <v>27</v>
      </c>
      <c r="J108" s="32" t="s">
        <v>7</v>
      </c>
    </row>
    <row r="109" customFormat="false" ht="15" hidden="false" customHeight="false" outlineLevel="0" collapsed="false">
      <c r="A109" s="23" t="n">
        <f aca="false">RANDBETWEEN(2,164)</f>
        <v>137</v>
      </c>
      <c r="B109" s="23" t="e">
        <f aca="false" t="array" ref="B109:B109">INDEX([1]data_dbd!$b:$b,$A109)</f>
        <v>#NAME?</v>
      </c>
      <c r="C109" s="23" t="e">
        <f aca="false" t="array" ref="C109:C109">INDEX([1]data_dbd!$f:$f,$A109)</f>
        <v>#NAME?</v>
      </c>
      <c r="H109" s="32" t="n">
        <v>68</v>
      </c>
      <c r="I109" s="32" t="n">
        <v>44</v>
      </c>
      <c r="J109" s="32" t="s">
        <v>7</v>
      </c>
    </row>
    <row r="110" customFormat="false" ht="15" hidden="false" customHeight="false" outlineLevel="0" collapsed="false">
      <c r="A110" s="23" t="n">
        <f aca="false">RANDBETWEEN(2,164)</f>
        <v>24</v>
      </c>
      <c r="B110" s="23" t="e">
        <f aca="false" t="array" ref="B110:B110">INDEX([1]data_dbd!$b:$b,$A110)</f>
        <v>#NAME?</v>
      </c>
      <c r="C110" s="23" t="e">
        <f aca="false" t="array" ref="C110:C110">INDEX([1]data_dbd!$f:$f,$A110)</f>
        <v>#NAME?</v>
      </c>
      <c r="H110" s="32" t="n">
        <v>6</v>
      </c>
      <c r="I110" s="32" t="n">
        <v>14</v>
      </c>
      <c r="J110" s="32" t="s">
        <v>7</v>
      </c>
    </row>
    <row r="111" customFormat="false" ht="15" hidden="false" customHeight="false" outlineLevel="0" collapsed="false">
      <c r="A111" s="23" t="n">
        <f aca="false">RANDBETWEEN(2,164)</f>
        <v>35</v>
      </c>
      <c r="B111" s="23" t="e">
        <f aca="false" t="array" ref="B111:B111">INDEX([1]data_dbd!$b:$b,$A111)</f>
        <v>#NAME?</v>
      </c>
      <c r="C111" s="23" t="e">
        <f aca="false" t="array" ref="C111:C111">INDEX([1]data_dbd!$f:$f,$A111)</f>
        <v>#NAME?</v>
      </c>
      <c r="H111" s="32" t="n">
        <v>107</v>
      </c>
      <c r="I111" s="32" t="n">
        <v>48</v>
      </c>
      <c r="J111" s="32" t="s">
        <v>115</v>
      </c>
    </row>
    <row r="112" customFormat="false" ht="15" hidden="false" customHeight="false" outlineLevel="0" collapsed="false">
      <c r="A112" s="23" t="n">
        <f aca="false">RANDBETWEEN(2,164)</f>
        <v>152</v>
      </c>
      <c r="B112" s="23" t="e">
        <f aca="false" t="array" ref="B112:B112">INDEX([1]data_dbd!$b:$b,$A112)</f>
        <v>#NAME?</v>
      </c>
      <c r="C112" s="23" t="e">
        <f aca="false" t="array" ref="C112:C112">INDEX([1]data_dbd!$f:$f,$A112)</f>
        <v>#NAME?</v>
      </c>
      <c r="H112" s="32" t="n">
        <v>153</v>
      </c>
      <c r="I112" s="32" t="n">
        <v>73</v>
      </c>
      <c r="J112" s="32" t="s">
        <v>115</v>
      </c>
    </row>
    <row r="113" customFormat="false" ht="15" hidden="false" customHeight="false" outlineLevel="0" collapsed="false">
      <c r="A113" s="23" t="n">
        <f aca="false">RANDBETWEEN(2,164)</f>
        <v>100</v>
      </c>
      <c r="B113" s="23" t="e">
        <f aca="false" t="array" ref="B113:B113">INDEX([1]data_dbd!$b:$b,$A113)</f>
        <v>#NAME?</v>
      </c>
      <c r="C113" s="23" t="e">
        <f aca="false" t="array" ref="C113:C113">INDEX([1]data_dbd!$f:$f,$A113)</f>
        <v>#NAME?</v>
      </c>
      <c r="H113" s="32" t="n">
        <v>55</v>
      </c>
      <c r="I113" s="32" t="n">
        <v>7</v>
      </c>
      <c r="J113" s="32" t="s">
        <v>7</v>
      </c>
    </row>
    <row r="114" customFormat="false" ht="15" hidden="false" customHeight="false" outlineLevel="0" collapsed="false">
      <c r="A114" s="23" t="n">
        <f aca="false">RANDBETWEEN(2,164)</f>
        <v>46</v>
      </c>
      <c r="B114" s="23" t="e">
        <f aca="false" t="array" ref="B114:B114">INDEX([1]data_dbd!$b:$b,$A114)</f>
        <v>#NAME?</v>
      </c>
      <c r="C114" s="23" t="e">
        <f aca="false" t="array" ref="C114:C114">INDEX([1]data_dbd!$f:$f,$A114)</f>
        <v>#NAME?</v>
      </c>
      <c r="H114" s="32" t="n">
        <v>34</v>
      </c>
      <c r="I114" s="32" t="n">
        <v>55</v>
      </c>
      <c r="J114" s="32" t="s">
        <v>7</v>
      </c>
    </row>
    <row r="115" customFormat="false" ht="15" hidden="false" customHeight="false" outlineLevel="0" collapsed="false">
      <c r="A115" s="23" t="n">
        <f aca="false">RANDBETWEEN(2,164)</f>
        <v>39</v>
      </c>
      <c r="B115" s="23" t="e">
        <f aca="false" t="array" ref="B115:B115">INDEX([1]data_dbd!$b:$b,$A115)</f>
        <v>#NAME?</v>
      </c>
      <c r="C115" s="23" t="e">
        <f aca="false" t="array" ref="C115:C115">INDEX([1]data_dbd!$f:$f,$A115)</f>
        <v>#NAME?</v>
      </c>
      <c r="H115" s="32" t="n">
        <v>6</v>
      </c>
      <c r="I115" s="32" t="n">
        <v>14</v>
      </c>
      <c r="J115" s="32" t="s">
        <v>7</v>
      </c>
    </row>
    <row r="116" customFormat="false" ht="15" hidden="false" customHeight="false" outlineLevel="0" collapsed="false">
      <c r="A116" s="23" t="n">
        <f aca="false">RANDBETWEEN(2,164)</f>
        <v>132</v>
      </c>
      <c r="B116" s="23" t="e">
        <f aca="false" t="array" ref="B116:B116">INDEX([1]data_dbd!$b:$b,$A116)</f>
        <v>#NAME?</v>
      </c>
      <c r="C116" s="23" t="e">
        <f aca="false" t="array" ref="C116:C116">INDEX([1]data_dbd!$f:$f,$A116)</f>
        <v>#NAME?</v>
      </c>
      <c r="H116" s="32" t="n">
        <v>110</v>
      </c>
      <c r="I116" s="32" t="n">
        <v>42</v>
      </c>
      <c r="J116" s="32" t="s">
        <v>115</v>
      </c>
    </row>
    <row r="117" customFormat="false" ht="15" hidden="false" customHeight="false" outlineLevel="0" collapsed="false">
      <c r="A117" s="23" t="n">
        <f aca="false">RANDBETWEEN(2,164)</f>
        <v>147</v>
      </c>
      <c r="B117" s="23" t="e">
        <f aca="false" t="array" ref="B117:B117">INDEX([1]data_dbd!$b:$b,$A117)</f>
        <v>#NAME?</v>
      </c>
      <c r="C117" s="23" t="e">
        <f aca="false" t="array" ref="C117:C117">INDEX([1]data_dbd!$f:$f,$A117)</f>
        <v>#NAME?</v>
      </c>
      <c r="H117" s="32" t="n">
        <v>158</v>
      </c>
      <c r="I117" s="32" t="n">
        <v>5</v>
      </c>
      <c r="J117" s="32" t="s">
        <v>115</v>
      </c>
    </row>
    <row r="118" customFormat="false" ht="15" hidden="false" customHeight="false" outlineLevel="0" collapsed="false">
      <c r="A118" s="23" t="n">
        <f aca="false">RANDBETWEEN(2,164)</f>
        <v>101</v>
      </c>
      <c r="B118" s="23" t="e">
        <f aca="false" t="array" ref="B118:B118">INDEX([1]data_dbd!$b:$b,$A118)</f>
        <v>#NAME?</v>
      </c>
      <c r="C118" s="23" t="e">
        <f aca="false" t="array" ref="C118:C118">INDEX([1]data_dbd!$f:$f,$A118)</f>
        <v>#NAME?</v>
      </c>
      <c r="H118" s="32" t="n">
        <v>28</v>
      </c>
      <c r="I118" s="32" t="n">
        <v>22</v>
      </c>
      <c r="J118" s="32" t="s">
        <v>7</v>
      </c>
    </row>
    <row r="119" customFormat="false" ht="15" hidden="false" customHeight="false" outlineLevel="0" collapsed="false">
      <c r="A119" s="23" t="n">
        <f aca="false">RANDBETWEEN(2,164)</f>
        <v>13</v>
      </c>
      <c r="B119" s="23" t="e">
        <f aca="false" t="array" ref="B119:B119">INDEX([1]data_dbd!$b:$b,$A119)</f>
        <v>#NAME?</v>
      </c>
      <c r="C119" s="23" t="e">
        <f aca="false" t="array" ref="C119:C119">INDEX([1]data_dbd!$f:$f,$A119)</f>
        <v>#NAME?</v>
      </c>
      <c r="H119" s="32" t="n">
        <v>84</v>
      </c>
      <c r="I119" s="32" t="n">
        <v>42</v>
      </c>
      <c r="J119" s="32" t="s">
        <v>7</v>
      </c>
    </row>
    <row r="120" customFormat="false" ht="15" hidden="false" customHeight="false" outlineLevel="0" collapsed="false">
      <c r="A120" s="23" t="n">
        <f aca="false">RANDBETWEEN(2,164)</f>
        <v>48</v>
      </c>
      <c r="B120" s="23" t="e">
        <f aca="false" t="array" ref="B120:B120">INDEX([1]data_dbd!$b:$b,$A120)</f>
        <v>#NAME?</v>
      </c>
      <c r="C120" s="23" t="e">
        <f aca="false" t="array" ref="C120:C120">INDEX([1]data_dbd!$f:$f,$A120)</f>
        <v>#NAME?</v>
      </c>
      <c r="H120" s="32" t="n">
        <v>50</v>
      </c>
      <c r="I120" s="32" t="n">
        <v>19</v>
      </c>
      <c r="J120" s="32" t="s">
        <v>7</v>
      </c>
    </row>
    <row r="121" customFormat="false" ht="15" hidden="false" customHeight="false" outlineLevel="0" collapsed="false">
      <c r="A121" s="23" t="n">
        <f aca="false">RANDBETWEEN(2,164)</f>
        <v>153</v>
      </c>
      <c r="B121" s="23" t="e">
        <f aca="false" t="array" ref="B121:B121">INDEX([1]data_dbd!$b:$b,$A121)</f>
        <v>#NAME?</v>
      </c>
      <c r="C121" s="23" t="e">
        <f aca="false" t="array" ref="C121:C121">INDEX([1]data_dbd!$f:$f,$A121)</f>
        <v>#NAME?</v>
      </c>
      <c r="H121" s="32" t="n">
        <v>113</v>
      </c>
      <c r="I121" s="32" t="n">
        <v>69</v>
      </c>
      <c r="J121" s="32" t="s">
        <v>115</v>
      </c>
    </row>
    <row r="122" customFormat="false" ht="15" hidden="false" customHeight="false" outlineLevel="0" collapsed="false">
      <c r="A122" s="23" t="n">
        <f aca="false">RANDBETWEEN(2,164)</f>
        <v>144</v>
      </c>
      <c r="B122" s="23" t="e">
        <f aca="false" t="array" ref="B122:B122">INDEX([1]data_dbd!$b:$b,$A122)</f>
        <v>#NAME?</v>
      </c>
      <c r="C122" s="23" t="e">
        <f aca="false" t="array" ref="C122:C122">INDEX([1]data_dbd!$f:$f,$A122)</f>
        <v>#NAME?</v>
      </c>
      <c r="H122" s="32" t="n">
        <v>33</v>
      </c>
      <c r="I122" s="32" t="n">
        <v>19</v>
      </c>
      <c r="J122" s="32" t="s">
        <v>7</v>
      </c>
    </row>
    <row r="123" customFormat="false" ht="15" hidden="false" customHeight="false" outlineLevel="0" collapsed="false">
      <c r="A123" s="23" t="n">
        <f aca="false">RANDBETWEEN(2,164)</f>
        <v>60</v>
      </c>
      <c r="B123" s="23" t="e">
        <f aca="false" t="array" ref="B123:B123">INDEX([1]data_dbd!$b:$b,$A123)</f>
        <v>#NAME?</v>
      </c>
      <c r="C123" s="23" t="e">
        <f aca="false" t="array" ref="C123:C123">INDEX([1]data_dbd!$f:$f,$A123)</f>
        <v>#NAME?</v>
      </c>
      <c r="H123" s="32" t="n">
        <v>114</v>
      </c>
      <c r="I123" s="32" t="n">
        <v>14</v>
      </c>
      <c r="J123" s="32" t="s">
        <v>115</v>
      </c>
    </row>
    <row r="124" customFormat="false" ht="15" hidden="false" customHeight="false" outlineLevel="0" collapsed="false">
      <c r="A124" s="23" t="n">
        <f aca="false">RANDBETWEEN(2,164)</f>
        <v>97</v>
      </c>
      <c r="B124" s="23" t="e">
        <f aca="false" t="array" ref="B124:B124">INDEX([1]data_dbd!$b:$b,$A124)</f>
        <v>#NAME?</v>
      </c>
      <c r="C124" s="23" t="e">
        <f aca="false" t="array" ref="C124:C124">INDEX([1]data_dbd!$f:$f,$A124)</f>
        <v>#NAME?</v>
      </c>
      <c r="H124" s="32" t="n">
        <v>30</v>
      </c>
      <c r="I124" s="32" t="n">
        <v>3</v>
      </c>
      <c r="J124" s="32" t="s">
        <v>7</v>
      </c>
    </row>
    <row r="125" customFormat="false" ht="15" hidden="false" customHeight="false" outlineLevel="0" collapsed="false">
      <c r="A125" s="23" t="n">
        <f aca="false">RANDBETWEEN(2,164)</f>
        <v>149</v>
      </c>
      <c r="B125" s="23" t="e">
        <f aca="false" t="array" ref="B125:B125">INDEX([1]data_dbd!$b:$b,$A125)</f>
        <v>#NAME?</v>
      </c>
      <c r="C125" s="23" t="e">
        <f aca="false" t="array" ref="C125:C125">INDEX([1]data_dbd!$f:$f,$A125)</f>
        <v>#NAME?</v>
      </c>
      <c r="H125" s="32" t="n">
        <v>115</v>
      </c>
      <c r="I125" s="32" t="n">
        <v>52</v>
      </c>
      <c r="J125" s="32" t="s">
        <v>115</v>
      </c>
    </row>
    <row r="126" customFormat="false" ht="15" hidden="false" customHeight="false" outlineLevel="0" collapsed="false">
      <c r="A126" s="23" t="n">
        <f aca="false">RANDBETWEEN(2,164)</f>
        <v>110</v>
      </c>
      <c r="B126" s="23" t="e">
        <f aca="false" t="array" ref="B126:B126">INDEX([1]data_dbd!$b:$b,$A126)</f>
        <v>#NAME?</v>
      </c>
      <c r="C126" s="23" t="e">
        <f aca="false" t="array" ref="C126:C126">INDEX([1]data_dbd!$f:$f,$A126)</f>
        <v>#NAME?</v>
      </c>
      <c r="H126" s="32" t="n">
        <v>25</v>
      </c>
      <c r="I126" s="32" t="n">
        <v>81</v>
      </c>
      <c r="J126" s="32" t="s">
        <v>7</v>
      </c>
    </row>
    <row r="127" customFormat="false" ht="15" hidden="false" customHeight="false" outlineLevel="0" collapsed="false">
      <c r="A127" s="23" t="n">
        <f aca="false">RANDBETWEEN(2,164)</f>
        <v>60</v>
      </c>
      <c r="B127" s="23" t="e">
        <f aca="false" t="array" ref="B127:B127">INDEX([1]data_dbd!$b:$b,$A127)</f>
        <v>#NAME?</v>
      </c>
      <c r="C127" s="23" t="e">
        <f aca="false" t="array" ref="C127:C127">INDEX([1]data_dbd!$f:$f,$A127)</f>
        <v>#NAME?</v>
      </c>
      <c r="H127" s="32" t="n">
        <v>53</v>
      </c>
      <c r="I127" s="32" t="n">
        <v>35</v>
      </c>
      <c r="J127" s="32" t="s">
        <v>7</v>
      </c>
    </row>
    <row r="128" customFormat="false" ht="15" hidden="false" customHeight="false" outlineLevel="0" collapsed="false">
      <c r="A128" s="23" t="n">
        <f aca="false">RANDBETWEEN(2,164)</f>
        <v>91</v>
      </c>
      <c r="B128" s="23" t="e">
        <f aca="false" t="array" ref="B128:B128">INDEX([1]data_dbd!$b:$b,$A128)</f>
        <v>#NAME?</v>
      </c>
      <c r="C128" s="23" t="e">
        <f aca="false" t="array" ref="C128:C128">INDEX([1]data_dbd!$f:$f,$A128)</f>
        <v>#NAME?</v>
      </c>
      <c r="H128" s="32" t="n">
        <v>32</v>
      </c>
      <c r="I128" s="32" t="n">
        <v>54</v>
      </c>
      <c r="J128" s="32" t="s">
        <v>7</v>
      </c>
    </row>
    <row r="129" customFormat="false" ht="15" hidden="false" customHeight="false" outlineLevel="0" collapsed="false">
      <c r="A129" s="23" t="n">
        <f aca="false">RANDBETWEEN(2,164)</f>
        <v>3</v>
      </c>
      <c r="B129" s="23" t="e">
        <f aca="false" t="array" ref="B129:B129">INDEX([1]data_dbd!$b:$b,$A129)</f>
        <v>#NAME?</v>
      </c>
      <c r="C129" s="23" t="e">
        <f aca="false" t="array" ref="C129:C129">INDEX([1]data_dbd!$f:$f,$A129)</f>
        <v>#NAME?</v>
      </c>
      <c r="H129" s="32" t="n">
        <v>162</v>
      </c>
      <c r="I129" s="32" t="n">
        <v>22</v>
      </c>
      <c r="J129" s="32" t="s">
        <v>20</v>
      </c>
    </row>
    <row r="130" customFormat="false" ht="15" hidden="false" customHeight="false" outlineLevel="0" collapsed="false">
      <c r="A130" s="23" t="n">
        <f aca="false">RANDBETWEEN(2,164)</f>
        <v>2</v>
      </c>
      <c r="B130" s="23" t="e">
        <f aca="false" t="array" ref="B130:B130">INDEX([1]data_dbd!$b:$b,$A130)</f>
        <v>#NAME?</v>
      </c>
      <c r="C130" s="23" t="e">
        <f aca="false" t="array" ref="C130:C130">INDEX([1]data_dbd!$f:$f,$A130)</f>
        <v>#NAME?</v>
      </c>
      <c r="H130" s="32" t="n">
        <v>140</v>
      </c>
      <c r="I130" s="32" t="n">
        <v>74</v>
      </c>
      <c r="J130" s="32" t="s">
        <v>115</v>
      </c>
    </row>
    <row r="131" customFormat="false" ht="15" hidden="false" customHeight="false" outlineLevel="0" collapsed="false">
      <c r="A131" s="23" t="n">
        <f aca="false">RANDBETWEEN(2,164)</f>
        <v>149</v>
      </c>
      <c r="B131" s="23" t="e">
        <f aca="false" t="array" ref="B131:B131">INDEX([1]data_dbd!$b:$b,$A131)</f>
        <v>#NAME?</v>
      </c>
      <c r="C131" s="23" t="e">
        <f aca="false" t="array" ref="C131:C131">INDEX([1]data_dbd!$f:$f,$A131)</f>
        <v>#NAME?</v>
      </c>
      <c r="H131" s="32" t="n">
        <v>143</v>
      </c>
      <c r="I131" s="32" t="n">
        <v>20</v>
      </c>
      <c r="J131" s="32" t="s">
        <v>115</v>
      </c>
    </row>
    <row r="132" customFormat="false" ht="15" hidden="false" customHeight="false" outlineLevel="0" collapsed="false">
      <c r="A132" s="23" t="n">
        <f aca="false">RANDBETWEEN(2,164)</f>
        <v>8</v>
      </c>
      <c r="B132" s="23" t="e">
        <f aca="false" t="array" ref="B132:B132">INDEX([1]data_dbd!$b:$b,$A132)</f>
        <v>#NAME?</v>
      </c>
      <c r="C132" s="23" t="e">
        <f aca="false" t="array" ref="C132:C132">INDEX([1]data_dbd!$f:$f,$A132)</f>
        <v>#NAME?</v>
      </c>
      <c r="H132" s="32" t="n">
        <v>144</v>
      </c>
      <c r="I132" s="32" t="n">
        <v>61</v>
      </c>
      <c r="J132" s="32" t="s">
        <v>115</v>
      </c>
    </row>
    <row r="133" customFormat="false" ht="15" hidden="false" customHeight="false" outlineLevel="0" collapsed="false">
      <c r="A133" s="23" t="n">
        <f aca="false">RANDBETWEEN(2,164)</f>
        <v>100</v>
      </c>
      <c r="B133" s="23" t="e">
        <f aca="false" t="array" ref="B133:B133">INDEX([1]data_dbd!$b:$b,$A133)</f>
        <v>#NAME?</v>
      </c>
      <c r="C133" s="23" t="e">
        <f aca="false" t="array" ref="C133:C133">INDEX([1]data_dbd!$f:$f,$A133)</f>
        <v>#NAME?</v>
      </c>
      <c r="H133" s="32" t="n">
        <v>30</v>
      </c>
      <c r="I133" s="32" t="n">
        <v>3</v>
      </c>
      <c r="J133" s="32" t="s">
        <v>7</v>
      </c>
    </row>
    <row r="134" customFormat="false" ht="15" hidden="false" customHeight="false" outlineLevel="0" collapsed="false">
      <c r="A134" s="23" t="n">
        <f aca="false">RANDBETWEEN(2,164)</f>
        <v>163</v>
      </c>
      <c r="B134" s="23" t="e">
        <f aca="false" t="array" ref="B134:B134">INDEX([1]data_dbd!$b:$b,$A134)</f>
        <v>#NAME?</v>
      </c>
      <c r="C134" s="23" t="e">
        <f aca="false" t="array" ref="C134:C134">INDEX([1]data_dbd!$f:$f,$A134)</f>
        <v>#NAME?</v>
      </c>
      <c r="H134" s="32" t="n">
        <v>90</v>
      </c>
      <c r="I134" s="32" t="n">
        <v>47</v>
      </c>
      <c r="J134" s="32" t="s">
        <v>115</v>
      </c>
    </row>
    <row r="135" customFormat="false" ht="15" hidden="false" customHeight="false" outlineLevel="0" collapsed="false">
      <c r="A135" s="23" t="n">
        <f aca="false">RANDBETWEEN(2,164)</f>
        <v>46</v>
      </c>
      <c r="B135" s="23" t="e">
        <f aca="false" t="array" ref="B135:B135">INDEX([1]data_dbd!$b:$b,$A135)</f>
        <v>#NAME?</v>
      </c>
      <c r="C135" s="23" t="e">
        <f aca="false" t="array" ref="C135:C135">INDEX([1]data_dbd!$f:$f,$A135)</f>
        <v>#NAME?</v>
      </c>
      <c r="H135" s="32" t="n">
        <v>121</v>
      </c>
      <c r="I135" s="32" t="n">
        <v>82</v>
      </c>
      <c r="J135" s="32" t="s">
        <v>115</v>
      </c>
    </row>
    <row r="136" customFormat="false" ht="15" hidden="false" customHeight="false" outlineLevel="0" collapsed="false">
      <c r="A136" s="23" t="n">
        <f aca="false">RANDBETWEEN(2,164)</f>
        <v>50</v>
      </c>
      <c r="B136" s="23" t="e">
        <f aca="false" t="array" ref="B136:B136">INDEX([1]data_dbd!$b:$b,$A136)</f>
        <v>#NAME?</v>
      </c>
      <c r="C136" s="23" t="e">
        <f aca="false" t="array" ref="C136:C136">INDEX([1]data_dbd!$f:$f,$A136)</f>
        <v>#NAME?</v>
      </c>
      <c r="H136" s="32" t="n">
        <v>68</v>
      </c>
      <c r="I136" s="32" t="n">
        <v>44</v>
      </c>
      <c r="J136" s="32" t="s">
        <v>7</v>
      </c>
    </row>
    <row r="137" customFormat="false" ht="15" hidden="false" customHeight="false" outlineLevel="0" collapsed="false">
      <c r="A137" s="23" t="n">
        <f aca="false">RANDBETWEEN(2,164)</f>
        <v>134</v>
      </c>
      <c r="B137" s="23" t="e">
        <f aca="false" t="array" ref="B137:B137">INDEX([1]data_dbd!$b:$b,$A137)</f>
        <v>#NAME?</v>
      </c>
      <c r="C137" s="23" t="e">
        <f aca="false" t="array" ref="C137:C137">INDEX([1]data_dbd!$f:$f,$A137)</f>
        <v>#NAME?</v>
      </c>
      <c r="H137" s="32" t="n">
        <v>83</v>
      </c>
      <c r="I137" s="32" t="n">
        <v>50</v>
      </c>
      <c r="J137" s="32" t="s">
        <v>7</v>
      </c>
    </row>
    <row r="138" customFormat="false" ht="15" hidden="false" customHeight="false" outlineLevel="0" collapsed="false">
      <c r="A138" s="23" t="n">
        <f aca="false">RANDBETWEEN(2,164)</f>
        <v>139</v>
      </c>
      <c r="B138" s="23" t="e">
        <f aca="false" t="array" ref="B138:B138">INDEX([1]data_dbd!$b:$b,$A138)</f>
        <v>#NAME?</v>
      </c>
      <c r="C138" s="23" t="e">
        <f aca="false" t="array" ref="C138:C138">INDEX([1]data_dbd!$f:$f,$A138)</f>
        <v>#NAME?</v>
      </c>
      <c r="H138" s="32" t="n">
        <v>41</v>
      </c>
      <c r="I138" s="32" t="n">
        <v>8</v>
      </c>
      <c r="J138" s="32" t="s">
        <v>7</v>
      </c>
    </row>
    <row r="139" customFormat="false" ht="15" hidden="false" customHeight="false" outlineLevel="0" collapsed="false">
      <c r="A139" s="23" t="n">
        <f aca="false">RANDBETWEEN(2,164)</f>
        <v>67</v>
      </c>
      <c r="B139" s="23" t="e">
        <f aca="false" t="array" ref="B139:B139">INDEX([1]data_dbd!$b:$b,$A139)</f>
        <v>#NAME?</v>
      </c>
      <c r="C139" s="23" t="e">
        <f aca="false" t="array" ref="C139:C139">INDEX([1]data_dbd!$f:$f,$A139)</f>
        <v>#NAME?</v>
      </c>
      <c r="H139" s="32" t="n">
        <v>59</v>
      </c>
      <c r="I139" s="32" t="n">
        <v>28</v>
      </c>
      <c r="J139" s="32" t="s">
        <v>7</v>
      </c>
    </row>
    <row r="140" customFormat="false" ht="15" hidden="false" customHeight="false" outlineLevel="0" collapsed="false">
      <c r="A140" s="23" t="n">
        <f aca="false">RANDBETWEEN(2,164)</f>
        <v>49</v>
      </c>
      <c r="B140" s="23" t="e">
        <f aca="false" t="array" ref="B140:B140">INDEX([1]data_dbd!$b:$b,$A140)</f>
        <v>#NAME?</v>
      </c>
      <c r="C140" s="23" t="e">
        <f aca="false" t="array" ref="C140:C140">INDEX([1]data_dbd!$f:$f,$A140)</f>
        <v>#NAME?</v>
      </c>
      <c r="H140" s="32" t="n">
        <v>136</v>
      </c>
      <c r="I140" s="32" t="n">
        <v>6</v>
      </c>
      <c r="J140" s="32" t="s">
        <v>115</v>
      </c>
    </row>
    <row r="141" customFormat="false" ht="15" hidden="false" customHeight="false" outlineLevel="0" collapsed="false">
      <c r="A141" s="23" t="n">
        <f aca="false">RANDBETWEEN(2,164)</f>
        <v>32</v>
      </c>
      <c r="B141" s="23" t="e">
        <f aca="false" t="array" ref="B141:B141">INDEX([1]data_dbd!$b:$b,$A141)</f>
        <v>#NAME?</v>
      </c>
      <c r="C141" s="23" t="e">
        <f aca="false" t="array" ref="C141:C141">INDEX([1]data_dbd!$f:$f,$A141)</f>
        <v>#NAME?</v>
      </c>
      <c r="H141" s="32" t="n">
        <v>85</v>
      </c>
      <c r="I141" s="32" t="n">
        <v>27</v>
      </c>
      <c r="J141" s="32" t="s">
        <v>7</v>
      </c>
    </row>
    <row r="142" customFormat="false" ht="15" hidden="false" customHeight="false" outlineLevel="0" collapsed="false">
      <c r="A142" s="23" t="n">
        <f aca="false">RANDBETWEEN(2,164)</f>
        <v>26</v>
      </c>
      <c r="B142" s="23" t="e">
        <f aca="false" t="array" ref="B142:B142">INDEX([1]data_dbd!$b:$b,$A142)</f>
        <v>#NAME?</v>
      </c>
      <c r="C142" s="23" t="e">
        <f aca="false" t="array" ref="C142:C142">INDEX([1]data_dbd!$f:$f,$A142)</f>
        <v>#NAME?</v>
      </c>
      <c r="H142" s="32" t="n">
        <v>101</v>
      </c>
      <c r="I142" s="32" t="n">
        <v>42</v>
      </c>
      <c r="J142" s="32" t="s">
        <v>115</v>
      </c>
    </row>
    <row r="143" customFormat="false" ht="15" hidden="false" customHeight="false" outlineLevel="0" collapsed="false">
      <c r="A143" s="23" t="n">
        <f aca="false">RANDBETWEEN(2,164)</f>
        <v>139</v>
      </c>
      <c r="B143" s="23" t="e">
        <f aca="false" t="array" ref="B143:B143">INDEX([1]data_dbd!$b:$b,$A143)</f>
        <v>#NAME?</v>
      </c>
      <c r="C143" s="23" t="e">
        <f aca="false" t="array" ref="C143:C143">INDEX([1]data_dbd!$f:$f,$A143)</f>
        <v>#NAME?</v>
      </c>
      <c r="H143" s="32" t="n">
        <v>14</v>
      </c>
      <c r="I143" s="32" t="n">
        <v>49</v>
      </c>
      <c r="J143" s="32" t="s">
        <v>20</v>
      </c>
    </row>
    <row r="144" customFormat="false" ht="15" hidden="false" customHeight="false" outlineLevel="0" collapsed="false">
      <c r="A144" s="23" t="n">
        <f aca="false">RANDBETWEEN(2,164)</f>
        <v>87</v>
      </c>
      <c r="B144" s="23" t="e">
        <f aca="false" t="array" ref="B144:B144">INDEX([1]data_dbd!$b:$b,$A144)</f>
        <v>#NAME?</v>
      </c>
      <c r="C144" s="23" t="e">
        <f aca="false" t="array" ref="C144:C144">INDEX([1]data_dbd!$f:$f,$A144)</f>
        <v>#NAME?</v>
      </c>
      <c r="H144" s="32" t="n">
        <v>161</v>
      </c>
      <c r="I144" s="32" t="n">
        <v>12</v>
      </c>
      <c r="J144" s="32" t="s">
        <v>115</v>
      </c>
    </row>
    <row r="145" customFormat="false" ht="15" hidden="false" customHeight="false" outlineLevel="0" collapsed="false">
      <c r="A145" s="23" t="n">
        <f aca="false">RANDBETWEEN(2,164)</f>
        <v>70</v>
      </c>
      <c r="B145" s="23" t="e">
        <f aca="false" t="array" ref="B145:B145">INDEX([1]data_dbd!$b:$b,$A145)</f>
        <v>#NAME?</v>
      </c>
      <c r="C145" s="23" t="e">
        <f aca="false" t="array" ref="C145:C145">INDEX([1]data_dbd!$f:$f,$A145)</f>
        <v>#NAME?</v>
      </c>
      <c r="H145" s="32" t="n">
        <v>111</v>
      </c>
      <c r="I145" s="32" t="n">
        <v>25</v>
      </c>
      <c r="J145" s="32" t="s">
        <v>115</v>
      </c>
    </row>
    <row r="146" customFormat="false" ht="15" hidden="false" customHeight="false" outlineLevel="0" collapsed="false">
      <c r="A146" s="23" t="n">
        <f aca="false">RANDBETWEEN(2,164)</f>
        <v>75</v>
      </c>
      <c r="B146" s="23" t="e">
        <f aca="false" t="array" ref="B146:B146">INDEX([1]data_dbd!$b:$b,$A146)</f>
        <v>#NAME?</v>
      </c>
      <c r="C146" s="23" t="e">
        <f aca="false" t="array" ref="C146:C146">INDEX([1]data_dbd!$f:$f,$A146)</f>
        <v>#NAME?</v>
      </c>
      <c r="H146" s="32" t="n">
        <v>98</v>
      </c>
      <c r="I146" s="32" t="n">
        <v>16</v>
      </c>
      <c r="J146" s="32" t="s">
        <v>115</v>
      </c>
    </row>
    <row r="147" customFormat="false" ht="15" hidden="false" customHeight="false" outlineLevel="0" collapsed="false">
      <c r="A147" s="23" t="n">
        <f aca="false">RANDBETWEEN(2,164)</f>
        <v>113</v>
      </c>
      <c r="B147" s="23" t="e">
        <f aca="false" t="array" ref="B147:B147">INDEX([1]data_dbd!$b:$b,$A147)</f>
        <v>#NAME?</v>
      </c>
      <c r="C147" s="23" t="e">
        <f aca="false" t="array" ref="C147:C147">INDEX([1]data_dbd!$f:$f,$A147)</f>
        <v>#NAME?</v>
      </c>
      <c r="H147" s="32" t="n">
        <v>15</v>
      </c>
      <c r="I147" s="32" t="n">
        <v>21</v>
      </c>
      <c r="J147" s="32" t="s">
        <v>20</v>
      </c>
    </row>
    <row r="148" customFormat="false" ht="15" hidden="false" customHeight="false" outlineLevel="0" collapsed="false">
      <c r="A148" s="23" t="n">
        <f aca="false">RANDBETWEEN(2,164)</f>
        <v>13</v>
      </c>
      <c r="B148" s="23" t="e">
        <f aca="false" t="array" ref="B148:B148">INDEX([1]data_dbd!$b:$b,$A148)</f>
        <v>#NAME?</v>
      </c>
      <c r="C148" s="23" t="e">
        <f aca="false" t="array" ref="C148:C148">INDEX([1]data_dbd!$f:$f,$A148)</f>
        <v>#NAME?</v>
      </c>
      <c r="H148" s="32" t="n">
        <v>135</v>
      </c>
      <c r="I148" s="32" t="n">
        <v>10</v>
      </c>
      <c r="J148" s="32" t="s">
        <v>115</v>
      </c>
    </row>
    <row r="149" customFormat="false" ht="15" hidden="false" customHeight="false" outlineLevel="0" collapsed="false">
      <c r="A149" s="23" t="n">
        <f aca="false">RANDBETWEEN(2,164)</f>
        <v>6</v>
      </c>
      <c r="B149" s="23" t="e">
        <f aca="false" t="array" ref="B149:B149">INDEX([1]data_dbd!$b:$b,$A149)</f>
        <v>#NAME?</v>
      </c>
      <c r="C149" s="23" t="e">
        <f aca="false" t="array" ref="C149:C149">INDEX([1]data_dbd!$f:$f,$A149)</f>
        <v>#NAME?</v>
      </c>
      <c r="H149" s="32" t="n">
        <v>145</v>
      </c>
      <c r="I149" s="32" t="n">
        <v>28</v>
      </c>
      <c r="J149" s="32" t="s">
        <v>115</v>
      </c>
    </row>
    <row r="150" customFormat="false" ht="15" hidden="false" customHeight="false" outlineLevel="0" collapsed="false">
      <c r="A150" s="23" t="n">
        <f aca="false">RANDBETWEEN(2,164)</f>
        <v>38</v>
      </c>
      <c r="B150" s="23" t="e">
        <f aca="false" t="array" ref="B150:B150">INDEX([1]data_dbd!$b:$b,$A150)</f>
        <v>#NAME?</v>
      </c>
      <c r="C150" s="23" t="e">
        <f aca="false" t="array" ref="C150:C150">INDEX([1]data_dbd!$f:$f,$A150)</f>
        <v>#NAME?</v>
      </c>
      <c r="H150" s="32" t="n">
        <v>23</v>
      </c>
      <c r="I150" s="32" t="n">
        <v>28</v>
      </c>
      <c r="J150" s="32" t="s">
        <v>7</v>
      </c>
    </row>
    <row r="151" customFormat="false" ht="15" hidden="false" customHeight="false" outlineLevel="0" collapsed="false">
      <c r="A151" s="23" t="n">
        <f aca="false">RANDBETWEEN(2,164)</f>
        <v>123</v>
      </c>
      <c r="B151" s="23" t="e">
        <f aca="false" t="array" ref="B151:B151">INDEX([1]data_dbd!$b:$b,$A151)</f>
        <v>#NAME?</v>
      </c>
      <c r="C151" s="23" t="e">
        <f aca="false" t="array" ref="C151:C151">INDEX([1]data_dbd!$f:$f,$A151)</f>
        <v>#NAME?</v>
      </c>
      <c r="H151" s="32" t="n">
        <v>112</v>
      </c>
      <c r="I151" s="32" t="n">
        <v>61</v>
      </c>
      <c r="J151" s="32" t="s">
        <v>115</v>
      </c>
    </row>
    <row r="152" customFormat="false" ht="15" hidden="false" customHeight="false" outlineLevel="0" collapsed="false">
      <c r="A152" s="23" t="n">
        <f aca="false">RANDBETWEEN(2,164)</f>
        <v>162</v>
      </c>
      <c r="B152" s="23" t="e">
        <f aca="false" t="array" ref="B152:B152">INDEX([1]data_dbd!$b:$b,$A152)</f>
        <v>#NAME?</v>
      </c>
      <c r="C152" s="23" t="e">
        <f aca="false" t="array" ref="C152:C152">INDEX([1]data_dbd!$f:$f,$A152)</f>
        <v>#NAME?</v>
      </c>
      <c r="H152" s="32" t="n">
        <v>92</v>
      </c>
      <c r="I152" s="32" t="n">
        <v>55</v>
      </c>
      <c r="J152" s="32" t="s">
        <v>115</v>
      </c>
    </row>
    <row r="153" customFormat="false" ht="15" hidden="false" customHeight="false" outlineLevel="0" collapsed="false">
      <c r="A153" s="23" t="n">
        <f aca="false">RANDBETWEEN(2,164)</f>
        <v>11</v>
      </c>
      <c r="B153" s="23" t="e">
        <f aca="false" t="array" ref="B153:B153">INDEX([1]data_dbd!$b:$b,$A153)</f>
        <v>#NAME?</v>
      </c>
      <c r="C153" s="23" t="e">
        <f aca="false" t="array" ref="C153:C153">INDEX([1]data_dbd!$f:$f,$A153)</f>
        <v>#NAME?</v>
      </c>
      <c r="H153" s="32" t="n">
        <v>144</v>
      </c>
      <c r="I153" s="32" t="n">
        <v>61</v>
      </c>
      <c r="J153" s="32" t="s">
        <v>115</v>
      </c>
    </row>
    <row r="154" customFormat="false" ht="15" hidden="false" customHeight="false" outlineLevel="0" collapsed="false">
      <c r="A154" s="23" t="n">
        <f aca="false">RANDBETWEEN(2,164)</f>
        <v>50</v>
      </c>
      <c r="B154" s="23" t="e">
        <f aca="false" t="array" ref="B154:B154">INDEX([1]data_dbd!$b:$b,$A154)</f>
        <v>#NAME?</v>
      </c>
      <c r="C154" s="23" t="e">
        <f aca="false" t="array" ref="C154:C154">INDEX([1]data_dbd!$f:$f,$A154)</f>
        <v>#NAME?</v>
      </c>
      <c r="H154" s="32" t="n">
        <v>137</v>
      </c>
      <c r="I154" s="32" t="n">
        <v>3</v>
      </c>
      <c r="J154" s="32" t="s">
        <v>115</v>
      </c>
    </row>
    <row r="155" customFormat="false" ht="15" hidden="false" customHeight="false" outlineLevel="0" collapsed="false">
      <c r="A155" s="23" t="n">
        <f aca="false">RANDBETWEEN(2,164)</f>
        <v>111</v>
      </c>
      <c r="B155" s="23" t="e">
        <f aca="false" t="array" ref="B155:B155">INDEX([1]data_dbd!$b:$b,$A155)</f>
        <v>#NAME?</v>
      </c>
      <c r="C155" s="23" t="e">
        <f aca="false" t="array" ref="C155:C155">INDEX([1]data_dbd!$f:$f,$A155)</f>
        <v>#NAME?</v>
      </c>
      <c r="H155" s="32" t="n">
        <v>93</v>
      </c>
      <c r="I155" s="32" t="n">
        <v>65</v>
      </c>
      <c r="J155" s="32" t="s">
        <v>115</v>
      </c>
    </row>
    <row r="156" customFormat="false" ht="15" hidden="false" customHeight="false" outlineLevel="0" collapsed="false">
      <c r="A156" s="23" t="n">
        <f aca="false">RANDBETWEEN(2,164)</f>
        <v>40</v>
      </c>
      <c r="B156" s="23" t="e">
        <f aca="false" t="array" ref="B156:B156">INDEX([1]data_dbd!$b:$b,$A156)</f>
        <v>#NAME?</v>
      </c>
      <c r="C156" s="23" t="e">
        <f aca="false" t="array" ref="C156:C156">INDEX([1]data_dbd!$f:$f,$A156)</f>
        <v>#NAME?</v>
      </c>
      <c r="H156" s="32" t="n">
        <v>108</v>
      </c>
      <c r="I156" s="32" t="n">
        <v>69</v>
      </c>
      <c r="J156" s="32" t="s">
        <v>115</v>
      </c>
    </row>
    <row r="157" customFormat="false" ht="15" hidden="false" customHeight="false" outlineLevel="0" collapsed="false">
      <c r="A157" s="23" t="n">
        <f aca="false">RANDBETWEEN(2,164)</f>
        <v>71</v>
      </c>
      <c r="B157" s="23" t="e">
        <f aca="false" t="array" ref="B157:B157">INDEX([1]data_dbd!$b:$b,$A157)</f>
        <v>#NAME?</v>
      </c>
      <c r="C157" s="23" t="e">
        <f aca="false" t="array" ref="C157:C157">INDEX([1]data_dbd!$f:$f,$A157)</f>
        <v>#NAME?</v>
      </c>
      <c r="H157" s="32" t="n">
        <v>127</v>
      </c>
      <c r="I157" s="32" t="n">
        <v>21</v>
      </c>
      <c r="J157" s="32" t="s">
        <v>115</v>
      </c>
    </row>
    <row r="158" customFormat="false" ht="15" hidden="false" customHeight="false" outlineLevel="0" collapsed="false">
      <c r="A158" s="23" t="n">
        <f aca="false">RANDBETWEEN(2,164)</f>
        <v>13</v>
      </c>
      <c r="B158" s="23" t="e">
        <f aca="false" t="array" ref="B158:B158">INDEX([1]data_dbd!$b:$b,$A158)</f>
        <v>#NAME?</v>
      </c>
      <c r="C158" s="23" t="e">
        <f aca="false" t="array" ref="C158:C158">INDEX([1]data_dbd!$f:$f,$A158)</f>
        <v>#NAME?</v>
      </c>
      <c r="H158" s="32" t="n">
        <v>48</v>
      </c>
      <c r="I158" s="32" t="n">
        <v>50</v>
      </c>
      <c r="J158" s="32" t="s">
        <v>7</v>
      </c>
    </row>
    <row r="159" customFormat="false" ht="15" hidden="false" customHeight="false" outlineLevel="0" collapsed="false">
      <c r="A159" s="23" t="n">
        <f aca="false">RANDBETWEEN(2,164)</f>
        <v>128</v>
      </c>
      <c r="B159" s="23" t="e">
        <f aca="false" t="array" ref="B159:B159">INDEX([1]data_dbd!$b:$b,$A159)</f>
        <v>#NAME?</v>
      </c>
      <c r="C159" s="23" t="e">
        <f aca="false" t="array" ref="C159:C159">INDEX([1]data_dbd!$f:$f,$A159)</f>
        <v>#NAME?</v>
      </c>
      <c r="H159" s="32" t="n">
        <v>159</v>
      </c>
      <c r="I159" s="32" t="n">
        <v>17</v>
      </c>
      <c r="J159" s="32" t="s">
        <v>115</v>
      </c>
    </row>
    <row r="160" customFormat="false" ht="15" hidden="false" customHeight="false" outlineLevel="0" collapsed="false">
      <c r="A160" s="23" t="n">
        <f aca="false">RANDBETWEEN(2,164)</f>
        <v>53</v>
      </c>
      <c r="B160" s="23" t="e">
        <f aca="false" t="array" ref="B160:B160">INDEX([1]data_dbd!$b:$b,$A160)</f>
        <v>#NAME?</v>
      </c>
      <c r="C160" s="23" t="e">
        <f aca="false" t="array" ref="C160:C160">INDEX([1]data_dbd!$f:$f,$A160)</f>
        <v>#NAME?</v>
      </c>
      <c r="H160" s="32" t="n">
        <v>54</v>
      </c>
      <c r="I160" s="32" t="n">
        <v>7</v>
      </c>
      <c r="J160" s="32" t="s">
        <v>7</v>
      </c>
    </row>
    <row r="161" customFormat="false" ht="15" hidden="false" customHeight="false" outlineLevel="0" collapsed="false">
      <c r="A161" s="23" t="n">
        <f aca="false">RANDBETWEEN(2,164)</f>
        <v>131</v>
      </c>
      <c r="B161" s="23" t="e">
        <f aca="false" t="array" ref="B161:B161">INDEX([1]data_dbd!$b:$b,$A161)</f>
        <v>#NAME?</v>
      </c>
      <c r="C161" s="23" t="e">
        <f aca="false" t="array" ref="C161:C161">INDEX([1]data_dbd!$f:$f,$A161)</f>
        <v>#NAME?</v>
      </c>
      <c r="H161" s="32" t="n">
        <v>108</v>
      </c>
      <c r="I161" s="32" t="n">
        <v>69</v>
      </c>
      <c r="J161" s="32" t="s">
        <v>115</v>
      </c>
    </row>
    <row r="162" customFormat="false" ht="15" hidden="false" customHeight="false" outlineLevel="0" collapsed="false">
      <c r="A162" s="23" t="n">
        <f aca="false">RANDBETWEEN(2,164)</f>
        <v>111</v>
      </c>
      <c r="B162" s="23" t="e">
        <f aca="false" t="array" ref="B162:B162">INDEX([1]data_dbd!$b:$b,$A162)</f>
        <v>#NAME?</v>
      </c>
      <c r="C162" s="23" t="e">
        <f aca="false" t="array" ref="C162:C162">INDEX([1]data_dbd!$f:$f,$A162)</f>
        <v>#NAME?</v>
      </c>
      <c r="H162" s="32" t="n">
        <v>43</v>
      </c>
      <c r="I162" s="32" t="n">
        <v>15</v>
      </c>
      <c r="J162" s="32" t="s">
        <v>7</v>
      </c>
    </row>
    <row r="163" customFormat="false" ht="15" hidden="false" customHeight="false" outlineLevel="0" collapsed="false">
      <c r="A163" s="23" t="n">
        <f aca="false">RANDBETWEEN(2,164)</f>
        <v>49</v>
      </c>
      <c r="B163" s="23" t="e">
        <f aca="false" t="array" ref="B163:B163">INDEX([1]data_dbd!$b:$b,$A163)</f>
        <v>#NAME?</v>
      </c>
      <c r="C163" s="23" t="e">
        <f aca="false" t="array" ref="C163:C163">INDEX([1]data_dbd!$f:$f,$A163)</f>
        <v>#NAME?</v>
      </c>
      <c r="H163" s="32" t="n">
        <v>97</v>
      </c>
      <c r="I163" s="32" t="n">
        <v>16</v>
      </c>
      <c r="J163" s="32" t="s">
        <v>115</v>
      </c>
    </row>
    <row r="164" customFormat="false" ht="15" hidden="false" customHeight="false" outlineLevel="0" collapsed="false">
      <c r="A164" s="23" t="n">
        <f aca="false">RANDBETWEEN(2,164)</f>
        <v>41</v>
      </c>
      <c r="B164" s="23" t="e">
        <f aca="false" t="array" ref="B164:B164">INDEX([1]data_dbd!$b:$b,$A164)</f>
        <v>#NAME?</v>
      </c>
      <c r="C164" s="23" t="e">
        <f aca="false" t="array" ref="C164:C164">INDEX([1]data_dbd!$f:$f,$A164)</f>
        <v>#NAME?</v>
      </c>
      <c r="H164" s="32" t="n">
        <v>60</v>
      </c>
      <c r="I164" s="32" t="n">
        <v>68</v>
      </c>
      <c r="J164" s="32" t="s">
        <v>7</v>
      </c>
    </row>
    <row r="165" customFormat="false" ht="15" hidden="false" customHeight="false" outlineLevel="0" collapsed="false">
      <c r="I165" s="19" t="n">
        <f aca="false">AVERAGE(I2:I164)</f>
        <v>32.0306748466258</v>
      </c>
    </row>
    <row r="166" customFormat="false" ht="15" hidden="false" customHeight="false" outlineLevel="0" collapsed="false">
      <c r="B166" s="19" t="n">
        <v>99</v>
      </c>
    </row>
    <row r="168" customFormat="false" ht="15" hidden="false" customHeight="false" outlineLevel="0" collapsed="false">
      <c r="E168" s="26" t="s">
        <v>185</v>
      </c>
    </row>
    <row r="169" customFormat="false" ht="15" hidden="false" customHeight="false" outlineLevel="0" collapsed="false">
      <c r="E169" s="23" t="s">
        <v>1</v>
      </c>
      <c r="F169" s="23" t="n">
        <f aca="false">AVERAGEIF($I$2:$I$164,"&lt;="&amp;$I$165)</f>
        <v>15.7021276595745</v>
      </c>
      <c r="G169" s="23" t="n">
        <f aca="false">AVERAGEIF($I$2:$I$164,"&gt;"&amp;$I$165)</f>
        <v>54.2753623188406</v>
      </c>
    </row>
    <row r="170" customFormat="false" ht="15" hidden="false" customHeight="false" outlineLevel="0" collapsed="false">
      <c r="E170" s="23" t="str">
        <f aca="false" t="array" ref="E170:E332">IF($I$2:$I$164&lt;$F$169,"kiri",IF($I$2:$I$164&lt;$G$169,"tengah","kanan"))</f>
        <v>tengah</v>
      </c>
      <c r="F170" s="23" t="s">
        <v>250</v>
      </c>
      <c r="G170" s="23"/>
    </row>
    <row r="171" customFormat="false" ht="15.75" hidden="false" customHeight="true" outlineLevel="0" collapsed="false">
      <c r="E171" s="23" t="str">
        <v>kanan</v>
      </c>
      <c r="F171" s="23" t="n">
        <f aca="false">COUNTIFS($E$170:$E$332,"Kanan",$J$2:$J$164,"Tinggi")</f>
        <v>19</v>
      </c>
      <c r="G171" s="23" t="n">
        <f aca="false">F171/32</f>
        <v>0.59375</v>
      </c>
      <c r="Q171" s="7" t="s">
        <v>251</v>
      </c>
    </row>
    <row r="172" customFormat="false" ht="15.75" hidden="false" customHeight="true" outlineLevel="0" collapsed="false">
      <c r="E172" s="23" t="str">
        <v>tengah</v>
      </c>
      <c r="F172" s="23" t="n">
        <f aca="false">COUNTIFS($E$170:$E$332,"Kanan",$J$2:$J$164,"Sedang")</f>
        <v>13</v>
      </c>
      <c r="G172" s="23" t="n">
        <f aca="false">F172/32</f>
        <v>0.40625</v>
      </c>
      <c r="Q172" s="8" t="s">
        <v>177</v>
      </c>
    </row>
    <row r="173" customFormat="false" ht="15.75" hidden="false" customHeight="true" outlineLevel="0" collapsed="false">
      <c r="E173" s="23" t="str">
        <v>tengah</v>
      </c>
      <c r="F173" s="23" t="n">
        <f aca="false">COUNTIFS($E$170:$E$332,"Kanan",$J$2:$J$164,"Rendah")</f>
        <v>0</v>
      </c>
      <c r="G173" s="23" t="n">
        <f aca="false">F173/32</f>
        <v>0</v>
      </c>
      <c r="Q173" s="9" t="s">
        <v>252</v>
      </c>
    </row>
    <row r="174" customFormat="false" ht="15.75" hidden="false" customHeight="true" outlineLevel="0" collapsed="false">
      <c r="E174" s="23" t="str">
        <v>kiri</v>
      </c>
      <c r="F174" s="23" t="s">
        <v>196</v>
      </c>
      <c r="G174" s="23" t="n">
        <f aca="false">-(IFERROR(G171*LOG(G171,2),0)+IFERROR(G172*LOG(G172,2),0)+IFERROR(G173*LOG(G173,2),0))</f>
        <v>0.974489403398052</v>
      </c>
      <c r="Q174" s="9" t="s">
        <v>205</v>
      </c>
    </row>
    <row r="175" customFormat="false" ht="15.75" hidden="false" customHeight="true" outlineLevel="0" collapsed="false">
      <c r="E175" s="23" t="str">
        <v>kanan</v>
      </c>
      <c r="F175" s="23"/>
      <c r="G175" s="23" t="n">
        <f aca="false">SUM(F171:F173)/163</f>
        <v>0.196319018404908</v>
      </c>
      <c r="Q175" s="8" t="s">
        <v>180</v>
      </c>
    </row>
    <row r="176" customFormat="false" ht="15.75" hidden="false" customHeight="true" outlineLevel="0" collapsed="false">
      <c r="E176" s="23" t="str">
        <v>tengah</v>
      </c>
      <c r="F176" s="23"/>
      <c r="G176" s="27" t="n">
        <f aca="false">G174*G175</f>
        <v>0.19131080312109</v>
      </c>
      <c r="Q176" s="9" t="s">
        <v>253</v>
      </c>
    </row>
    <row r="177" customFormat="false" ht="15.75" hidden="false" customHeight="true" outlineLevel="0" collapsed="false">
      <c r="E177" s="23" t="str">
        <v>kiri</v>
      </c>
      <c r="F177" s="23"/>
      <c r="G177" s="23"/>
      <c r="Q177" s="9" t="s">
        <v>207</v>
      </c>
    </row>
    <row r="178" customFormat="false" ht="15.75" hidden="false" customHeight="true" outlineLevel="0" collapsed="false">
      <c r="E178" s="23" t="str">
        <v>tengah</v>
      </c>
      <c r="F178" s="23"/>
      <c r="G178" s="23"/>
      <c r="Q178" s="8" t="s">
        <v>183</v>
      </c>
    </row>
    <row r="179" customFormat="false" ht="15.75" hidden="false" customHeight="true" outlineLevel="0" collapsed="false">
      <c r="E179" s="23" t="str">
        <v>kiri</v>
      </c>
      <c r="F179" s="23" t="s">
        <v>254</v>
      </c>
      <c r="G179" s="23"/>
      <c r="Q179" s="9" t="s">
        <v>255</v>
      </c>
    </row>
    <row r="180" customFormat="false" ht="15" hidden="false" customHeight="false" outlineLevel="0" collapsed="false">
      <c r="E180" s="23" t="str">
        <v>tengah</v>
      </c>
      <c r="F180" s="23" t="n">
        <f aca="false">COUNTIFS($E$170:$E$332,"Kiri",$J$2:$J$164,"Tinggi")</f>
        <v>19</v>
      </c>
      <c r="G180" s="23" t="n">
        <f aca="false">F180/46</f>
        <v>0.41304347826087</v>
      </c>
    </row>
    <row r="181" customFormat="false" ht="15" hidden="false" customHeight="false" outlineLevel="0" collapsed="false">
      <c r="E181" s="23" t="str">
        <v>kiri</v>
      </c>
      <c r="F181" s="23" t="n">
        <f aca="false">COUNTIFS($E$170:$E$332,"Kiri",$J$2:$J$164,"Sedang")</f>
        <v>21</v>
      </c>
      <c r="G181" s="23" t="n">
        <f aca="false">F181/46</f>
        <v>0.456521739130435</v>
      </c>
    </row>
    <row r="182" customFormat="false" ht="15" hidden="false" customHeight="false" outlineLevel="0" collapsed="false">
      <c r="E182" s="23" t="str">
        <v>kanan</v>
      </c>
      <c r="F182" s="23" t="n">
        <f aca="false">COUNTIFS($E$170:$E$332,"Kiri",$J$2:$J$164,"Rendah")</f>
        <v>6</v>
      </c>
      <c r="G182" s="23" t="n">
        <f aca="false">F182/46</f>
        <v>0.130434782608696</v>
      </c>
    </row>
    <row r="183" customFormat="false" ht="15" hidden="false" customHeight="false" outlineLevel="0" collapsed="false">
      <c r="E183" s="23" t="str">
        <v>tengah</v>
      </c>
      <c r="F183" s="23" t="s">
        <v>196</v>
      </c>
      <c r="G183" s="23" t="n">
        <f aca="false">-(IFERROR(G180*LOG(G180,2),0)+IFERROR(G181*LOG(G181,2),0)+IFERROR(G182*LOG(G182,2),0))</f>
        <v>1.42662579001116</v>
      </c>
    </row>
    <row r="184" customFormat="false" ht="15" hidden="false" customHeight="false" outlineLevel="0" collapsed="false">
      <c r="E184" s="23" t="str">
        <v>kiri</v>
      </c>
      <c r="F184" s="23"/>
      <c r="G184" s="23" t="n">
        <f aca="false">SUM(F180:F182)/163</f>
        <v>0.282208588957055</v>
      </c>
    </row>
    <row r="185" customFormat="false" ht="15" hidden="false" customHeight="false" outlineLevel="0" collapsed="false">
      <c r="E185" s="23" t="str">
        <v>tengah</v>
      </c>
      <c r="F185" s="23"/>
      <c r="G185" s="27" t="n">
        <f aca="false">G183*G184</f>
        <v>0.402606051168795</v>
      </c>
    </row>
    <row r="186" customFormat="false" ht="15" hidden="false" customHeight="false" outlineLevel="0" collapsed="false">
      <c r="E186" s="23" t="str">
        <v>kanan</v>
      </c>
      <c r="F186" s="23"/>
      <c r="G186" s="23"/>
    </row>
    <row r="187" customFormat="false" ht="15" hidden="false" customHeight="false" outlineLevel="0" collapsed="false">
      <c r="E187" s="23" t="str">
        <v>kiri</v>
      </c>
      <c r="F187" s="23"/>
      <c r="G187" s="23"/>
    </row>
    <row r="188" customFormat="false" ht="15" hidden="false" customHeight="false" outlineLevel="0" collapsed="false">
      <c r="E188" s="23" t="str">
        <v>tengah</v>
      </c>
      <c r="F188" s="23" t="s">
        <v>201</v>
      </c>
      <c r="G188" s="23"/>
    </row>
    <row r="189" customFormat="false" ht="15" hidden="false" customHeight="false" outlineLevel="0" collapsed="false">
      <c r="E189" s="23" t="str">
        <v>kanan</v>
      </c>
      <c r="F189" s="23" t="n">
        <f aca="false">COUNTIFS($E$170:$E$332,"Tengah",$J$2:$J$164,"Tinggi")</f>
        <v>36</v>
      </c>
      <c r="G189" s="23" t="n">
        <f aca="false">F189/85</f>
        <v>0.423529411764706</v>
      </c>
    </row>
    <row r="190" customFormat="false" ht="15" hidden="false" customHeight="false" outlineLevel="0" collapsed="false">
      <c r="E190" s="23" t="str">
        <v>tengah</v>
      </c>
      <c r="F190" s="23" t="n">
        <f aca="false">COUNTIFS($E$170:$E$332,"Tengah",$J$2:$J$164,"Sedang")</f>
        <v>42</v>
      </c>
      <c r="G190" s="23" t="n">
        <f aca="false">F190/85</f>
        <v>0.494117647058824</v>
      </c>
    </row>
    <row r="191" customFormat="false" ht="15" hidden="false" customHeight="false" outlineLevel="0" collapsed="false">
      <c r="E191" s="23" t="str">
        <v>tengah</v>
      </c>
      <c r="F191" s="23" t="n">
        <f aca="false">COUNTIFS($E$170:$E$332,"Tengah",$J$2:$J$164,"Rendah")</f>
        <v>7</v>
      </c>
      <c r="G191" s="23" t="n">
        <f aca="false">F191/85</f>
        <v>0.0823529411764706</v>
      </c>
    </row>
    <row r="192" customFormat="false" ht="15" hidden="false" customHeight="false" outlineLevel="0" collapsed="false">
      <c r="E192" s="23" t="str">
        <v>kanan</v>
      </c>
      <c r="F192" s="23" t="s">
        <v>196</v>
      </c>
      <c r="G192" s="23" t="n">
        <f aca="false">-(IFERROR(G189*LOG(G189,2),0)+IFERROR(G190*LOG(G190,2),0)+IFERROR(G191*LOG(G191,2),0))</f>
        <v>1.32414250951377</v>
      </c>
    </row>
    <row r="193" customFormat="false" ht="15" hidden="false" customHeight="false" outlineLevel="0" collapsed="false">
      <c r="E193" s="23" t="str">
        <v>tengah</v>
      </c>
      <c r="F193" s="23"/>
      <c r="G193" s="23" t="n">
        <f aca="false">SUM(F189:F191)/163</f>
        <v>0.521472392638037</v>
      </c>
    </row>
    <row r="194" customFormat="false" ht="15" hidden="false" customHeight="false" outlineLevel="0" collapsed="false">
      <c r="E194" s="23" t="str">
        <v>tengah</v>
      </c>
      <c r="F194" s="23"/>
      <c r="G194" s="27" t="n">
        <f aca="false">G192*G193</f>
        <v>0.690503762629879</v>
      </c>
    </row>
    <row r="195" customFormat="false" ht="15" hidden="false" customHeight="false" outlineLevel="0" collapsed="false">
      <c r="E195" s="23" t="str">
        <v>tengah</v>
      </c>
      <c r="F195" s="23"/>
      <c r="G195" s="23"/>
    </row>
    <row r="196" customFormat="false" ht="15" hidden="false" customHeight="false" outlineLevel="0" collapsed="false">
      <c r="E196" s="23" t="str">
        <v>tengah</v>
      </c>
      <c r="F196" s="23" t="s">
        <v>202</v>
      </c>
      <c r="G196" s="23"/>
    </row>
    <row r="197" customFormat="false" ht="15" hidden="false" customHeight="false" outlineLevel="0" collapsed="false">
      <c r="E197" s="23" t="str">
        <v>kiri</v>
      </c>
      <c r="F197" s="28" t="n">
        <f aca="false">P5-(G176+G185+G194)</f>
        <v>0.0370206881451236</v>
      </c>
      <c r="G197" s="23"/>
    </row>
    <row r="198" customFormat="false" ht="15" hidden="false" customHeight="false" outlineLevel="0" collapsed="false">
      <c r="E198" s="23" t="str">
        <v>tengah</v>
      </c>
      <c r="F198" s="23"/>
      <c r="G198" s="23"/>
    </row>
    <row r="199" customFormat="false" ht="15" hidden="false" customHeight="false" outlineLevel="0" collapsed="false">
      <c r="E199" s="23" t="str">
        <v>tengah</v>
      </c>
      <c r="F199" s="23"/>
      <c r="G199" s="23"/>
    </row>
    <row r="200" customFormat="false" ht="15" hidden="false" customHeight="false" outlineLevel="0" collapsed="false">
      <c r="E200" s="23" t="str">
        <v>tengah</v>
      </c>
      <c r="F200" s="23"/>
      <c r="G200" s="23"/>
    </row>
    <row r="201" customFormat="false" ht="15" hidden="false" customHeight="false" outlineLevel="0" collapsed="false">
      <c r="E201" s="23" t="str">
        <v>tengah</v>
      </c>
      <c r="F201" s="23"/>
      <c r="G201" s="23"/>
    </row>
    <row r="202" customFormat="false" ht="15" hidden="false" customHeight="false" outlineLevel="0" collapsed="false">
      <c r="E202" s="23" t="str">
        <v>kiri</v>
      </c>
      <c r="F202" s="23"/>
      <c r="G202" s="23"/>
    </row>
    <row r="203" customFormat="false" ht="15" hidden="false" customHeight="false" outlineLevel="0" collapsed="false">
      <c r="E203" s="23" t="str">
        <v>kiri</v>
      </c>
      <c r="F203" s="23"/>
      <c r="G203" s="23"/>
    </row>
    <row r="204" customFormat="false" ht="15" hidden="false" customHeight="false" outlineLevel="0" collapsed="false">
      <c r="E204" s="23" t="str">
        <v>kanan</v>
      </c>
      <c r="F204" s="23"/>
      <c r="G204" s="23"/>
    </row>
    <row r="205" customFormat="false" ht="15" hidden="false" customHeight="false" outlineLevel="0" collapsed="false">
      <c r="E205" s="23" t="str">
        <v>tengah</v>
      </c>
      <c r="F205" s="23"/>
      <c r="G205" s="23"/>
    </row>
    <row r="206" customFormat="false" ht="15" hidden="false" customHeight="false" outlineLevel="0" collapsed="false">
      <c r="E206" s="23" t="str">
        <v>tengah</v>
      </c>
      <c r="F206" s="23"/>
      <c r="G206" s="23"/>
    </row>
    <row r="207" customFormat="false" ht="15" hidden="false" customHeight="false" outlineLevel="0" collapsed="false">
      <c r="E207" s="23" t="str">
        <v>kiri</v>
      </c>
      <c r="F207" s="23"/>
      <c r="G207" s="23"/>
    </row>
    <row r="208" customFormat="false" ht="15" hidden="false" customHeight="false" outlineLevel="0" collapsed="false">
      <c r="E208" s="23" t="str">
        <v>kiri</v>
      </c>
      <c r="F208" s="23"/>
      <c r="G208" s="23"/>
    </row>
    <row r="209" customFormat="false" ht="15" hidden="false" customHeight="false" outlineLevel="0" collapsed="false">
      <c r="E209" s="23" t="str">
        <v>tengah</v>
      </c>
      <c r="F209" s="23"/>
      <c r="G209" s="23"/>
    </row>
    <row r="210" customFormat="false" ht="15" hidden="false" customHeight="false" outlineLevel="0" collapsed="false">
      <c r="E210" s="23" t="str">
        <v>kiri</v>
      </c>
      <c r="F210" s="23"/>
      <c r="G210" s="23"/>
    </row>
    <row r="211" customFormat="false" ht="15" hidden="false" customHeight="false" outlineLevel="0" collapsed="false">
      <c r="E211" s="23" t="str">
        <v>tengah</v>
      </c>
      <c r="F211" s="23"/>
      <c r="G211" s="23"/>
    </row>
    <row r="212" customFormat="false" ht="15" hidden="false" customHeight="false" outlineLevel="0" collapsed="false">
      <c r="E212" s="23" t="str">
        <v>tengah</v>
      </c>
      <c r="F212" s="23"/>
      <c r="G212" s="23"/>
    </row>
    <row r="213" customFormat="false" ht="15" hidden="false" customHeight="false" outlineLevel="0" collapsed="false">
      <c r="E213" s="23" t="str">
        <v>tengah</v>
      </c>
      <c r="F213" s="23"/>
      <c r="G213" s="23"/>
    </row>
    <row r="214" customFormat="false" ht="15" hidden="false" customHeight="false" outlineLevel="0" collapsed="false">
      <c r="E214" s="23" t="str">
        <v>kiri</v>
      </c>
      <c r="F214" s="23"/>
      <c r="G214" s="23"/>
    </row>
    <row r="215" customFormat="false" ht="15" hidden="false" customHeight="false" outlineLevel="0" collapsed="false">
      <c r="E215" s="23" t="str">
        <v>kanan</v>
      </c>
      <c r="F215" s="23"/>
      <c r="G215" s="23"/>
    </row>
    <row r="216" customFormat="false" ht="15" hidden="false" customHeight="false" outlineLevel="0" collapsed="false">
      <c r="E216" s="23" t="str">
        <v>tengah</v>
      </c>
      <c r="F216" s="23"/>
      <c r="G216" s="23"/>
    </row>
    <row r="217" customFormat="false" ht="15" hidden="false" customHeight="false" outlineLevel="0" collapsed="false">
      <c r="E217" s="23" t="str">
        <v>kanan</v>
      </c>
      <c r="F217" s="23"/>
      <c r="G217" s="23"/>
    </row>
    <row r="218" customFormat="false" ht="15" hidden="false" customHeight="false" outlineLevel="0" collapsed="false">
      <c r="E218" s="23" t="str">
        <v>tengah</v>
      </c>
      <c r="F218" s="23"/>
      <c r="G218" s="23"/>
    </row>
    <row r="219" customFormat="false" ht="15" hidden="false" customHeight="false" outlineLevel="0" collapsed="false">
      <c r="E219" s="23" t="str">
        <v>tengah</v>
      </c>
      <c r="F219" s="23"/>
      <c r="G219" s="23"/>
    </row>
    <row r="220" customFormat="false" ht="15" hidden="false" customHeight="false" outlineLevel="0" collapsed="false">
      <c r="E220" s="23" t="str">
        <v>kiri</v>
      </c>
      <c r="F220" s="23"/>
      <c r="G220" s="23"/>
    </row>
    <row r="221" customFormat="false" ht="15" hidden="false" customHeight="false" outlineLevel="0" collapsed="false">
      <c r="E221" s="23" t="str">
        <v>kiri</v>
      </c>
      <c r="F221" s="23"/>
      <c r="G221" s="23"/>
    </row>
    <row r="222" customFormat="false" ht="15" hidden="false" customHeight="false" outlineLevel="0" collapsed="false">
      <c r="E222" s="23" t="str">
        <v>kanan</v>
      </c>
      <c r="F222" s="23"/>
      <c r="G222" s="23"/>
    </row>
    <row r="223" customFormat="false" ht="15" hidden="false" customHeight="false" outlineLevel="0" collapsed="false">
      <c r="E223" s="23" t="str">
        <v>tengah</v>
      </c>
      <c r="F223" s="23"/>
      <c r="G223" s="23"/>
    </row>
    <row r="224" customFormat="false" ht="15" hidden="false" customHeight="false" outlineLevel="0" collapsed="false">
      <c r="E224" s="23" t="str">
        <v>kiri</v>
      </c>
      <c r="F224" s="23"/>
      <c r="G224" s="23"/>
    </row>
    <row r="225" customFormat="false" ht="15" hidden="false" customHeight="false" outlineLevel="0" collapsed="false">
      <c r="E225" s="23" t="str">
        <v>tengah</v>
      </c>
      <c r="F225" s="23"/>
      <c r="G225" s="23"/>
    </row>
    <row r="226" customFormat="false" ht="15" hidden="false" customHeight="false" outlineLevel="0" collapsed="false">
      <c r="E226" s="23" t="str">
        <v>tengah</v>
      </c>
      <c r="F226" s="23"/>
      <c r="G226" s="23"/>
    </row>
    <row r="227" customFormat="false" ht="15" hidden="false" customHeight="false" outlineLevel="0" collapsed="false">
      <c r="E227" s="23" t="str">
        <v>tengah</v>
      </c>
      <c r="F227" s="23"/>
      <c r="G227" s="23"/>
    </row>
    <row r="228" customFormat="false" ht="15" hidden="false" customHeight="false" outlineLevel="0" collapsed="false">
      <c r="E228" s="23" t="str">
        <v>tengah</v>
      </c>
      <c r="F228" s="23"/>
      <c r="G228" s="23"/>
    </row>
    <row r="229" customFormat="false" ht="15" hidden="false" customHeight="false" outlineLevel="0" collapsed="false">
      <c r="E229" s="23" t="str">
        <v>tengah</v>
      </c>
      <c r="F229" s="23"/>
      <c r="G229" s="23"/>
    </row>
    <row r="230" customFormat="false" ht="15" hidden="false" customHeight="false" outlineLevel="0" collapsed="false">
      <c r="E230" s="23" t="str">
        <v>tengah</v>
      </c>
      <c r="F230" s="23"/>
      <c r="G230" s="23"/>
    </row>
    <row r="231" customFormat="false" ht="15" hidden="false" customHeight="false" outlineLevel="0" collapsed="false">
      <c r="E231" s="23" t="str">
        <v>tengah</v>
      </c>
      <c r="F231" s="23"/>
      <c r="G231" s="23"/>
    </row>
    <row r="232" customFormat="false" ht="15" hidden="false" customHeight="false" outlineLevel="0" collapsed="false">
      <c r="E232" s="23" t="str">
        <v>tengah</v>
      </c>
      <c r="F232" s="23"/>
      <c r="G232" s="23"/>
    </row>
    <row r="233" customFormat="false" ht="15" hidden="false" customHeight="false" outlineLevel="0" collapsed="false">
      <c r="E233" s="23" t="str">
        <v>tengah</v>
      </c>
      <c r="F233" s="23"/>
      <c r="G233" s="23"/>
    </row>
    <row r="234" customFormat="false" ht="15" hidden="false" customHeight="false" outlineLevel="0" collapsed="false">
      <c r="E234" s="23" t="str">
        <v>tengah</v>
      </c>
      <c r="F234" s="23"/>
      <c r="G234" s="23"/>
    </row>
    <row r="235" customFormat="false" ht="15" hidden="false" customHeight="false" outlineLevel="0" collapsed="false">
      <c r="E235" s="23" t="str">
        <v>tengah</v>
      </c>
      <c r="F235" s="23"/>
      <c r="G235" s="23"/>
    </row>
    <row r="236" customFormat="false" ht="15" hidden="false" customHeight="false" outlineLevel="0" collapsed="false">
      <c r="E236" s="23" t="str">
        <v>kanan</v>
      </c>
      <c r="F236" s="23"/>
      <c r="G236" s="23"/>
    </row>
    <row r="237" customFormat="false" ht="15" hidden="false" customHeight="false" outlineLevel="0" collapsed="false">
      <c r="E237" s="23" t="str">
        <v>kiri</v>
      </c>
      <c r="F237" s="23"/>
      <c r="G237" s="23"/>
    </row>
    <row r="238" customFormat="false" ht="15" hidden="false" customHeight="false" outlineLevel="0" collapsed="false">
      <c r="E238" s="23" t="str">
        <v>kanan</v>
      </c>
      <c r="F238" s="23"/>
      <c r="G238" s="23"/>
    </row>
    <row r="239" customFormat="false" ht="15" hidden="false" customHeight="false" outlineLevel="0" collapsed="false">
      <c r="E239" s="23" t="str">
        <v>tengah</v>
      </c>
      <c r="F239" s="23"/>
      <c r="G239" s="23"/>
    </row>
    <row r="240" customFormat="false" ht="15" hidden="false" customHeight="false" outlineLevel="0" collapsed="false">
      <c r="E240" s="23" t="str">
        <v>kiri</v>
      </c>
      <c r="F240" s="23"/>
      <c r="G240" s="23"/>
    </row>
    <row r="241" customFormat="false" ht="15" hidden="false" customHeight="false" outlineLevel="0" collapsed="false">
      <c r="E241" s="23" t="str">
        <v>kiri</v>
      </c>
      <c r="F241" s="23"/>
      <c r="G241" s="23"/>
    </row>
    <row r="242" customFormat="false" ht="15" hidden="false" customHeight="false" outlineLevel="0" collapsed="false">
      <c r="E242" s="23" t="str">
        <v>kiri</v>
      </c>
      <c r="F242" s="23"/>
      <c r="G242" s="23"/>
    </row>
    <row r="243" customFormat="false" ht="15" hidden="false" customHeight="false" outlineLevel="0" collapsed="false">
      <c r="E243" s="23" t="str">
        <v>kanan</v>
      </c>
      <c r="F243" s="23"/>
      <c r="G243" s="23"/>
    </row>
    <row r="244" customFormat="false" ht="15" hidden="false" customHeight="false" outlineLevel="0" collapsed="false">
      <c r="E244" s="23" t="str">
        <v>tengah</v>
      </c>
      <c r="F244" s="23"/>
      <c r="G244" s="23"/>
    </row>
    <row r="245" customFormat="false" ht="15" hidden="false" customHeight="false" outlineLevel="0" collapsed="false">
      <c r="E245" s="23" t="str">
        <v>kiri</v>
      </c>
      <c r="F245" s="23"/>
      <c r="G245" s="23"/>
    </row>
    <row r="246" customFormat="false" ht="15" hidden="false" customHeight="false" outlineLevel="0" collapsed="false">
      <c r="E246" s="23" t="str">
        <v>kanan</v>
      </c>
      <c r="F246" s="23"/>
      <c r="G246" s="23"/>
    </row>
    <row r="247" customFormat="false" ht="15" hidden="false" customHeight="false" outlineLevel="0" collapsed="false">
      <c r="E247" s="23" t="str">
        <v>tengah</v>
      </c>
      <c r="F247" s="23"/>
      <c r="G247" s="23"/>
    </row>
    <row r="248" customFormat="false" ht="15" hidden="false" customHeight="false" outlineLevel="0" collapsed="false">
      <c r="E248" s="23" t="str">
        <v>kiri</v>
      </c>
      <c r="F248" s="23"/>
      <c r="G248" s="23"/>
    </row>
    <row r="249" customFormat="false" ht="15" hidden="false" customHeight="false" outlineLevel="0" collapsed="false">
      <c r="E249" s="23" t="str">
        <v>tengah</v>
      </c>
      <c r="F249" s="23"/>
      <c r="G249" s="23"/>
    </row>
    <row r="250" customFormat="false" ht="15" hidden="false" customHeight="false" outlineLevel="0" collapsed="false">
      <c r="E250" s="23" t="str">
        <v>kiri</v>
      </c>
      <c r="F250" s="23"/>
      <c r="G250" s="23"/>
    </row>
    <row r="251" customFormat="false" ht="15" hidden="false" customHeight="false" outlineLevel="0" collapsed="false">
      <c r="E251" s="23" t="str">
        <v>kanan</v>
      </c>
      <c r="F251" s="23"/>
      <c r="G251" s="23"/>
    </row>
    <row r="252" customFormat="false" ht="15" hidden="false" customHeight="false" outlineLevel="0" collapsed="false">
      <c r="E252" s="23" t="str">
        <v>kiri</v>
      </c>
      <c r="F252" s="23"/>
      <c r="G252" s="23"/>
    </row>
    <row r="253" customFormat="false" ht="15" hidden="false" customHeight="false" outlineLevel="0" collapsed="false">
      <c r="E253" s="23" t="str">
        <v>kiri</v>
      </c>
      <c r="F253" s="23"/>
      <c r="G253" s="23"/>
    </row>
    <row r="254" customFormat="false" ht="15" hidden="false" customHeight="false" outlineLevel="0" collapsed="false">
      <c r="E254" s="23" t="str">
        <v>kiri</v>
      </c>
      <c r="F254" s="23"/>
      <c r="G254" s="23"/>
    </row>
    <row r="255" customFormat="false" ht="15" hidden="false" customHeight="false" outlineLevel="0" collapsed="false">
      <c r="E255" s="23" t="str">
        <v>kiri</v>
      </c>
      <c r="F255" s="23"/>
      <c r="G255" s="23"/>
    </row>
    <row r="256" customFormat="false" ht="15" hidden="false" customHeight="false" outlineLevel="0" collapsed="false">
      <c r="E256" s="23" t="str">
        <v>kiri</v>
      </c>
      <c r="F256" s="23"/>
      <c r="G256" s="23"/>
    </row>
    <row r="257" customFormat="false" ht="15" hidden="false" customHeight="false" outlineLevel="0" collapsed="false">
      <c r="E257" s="23" t="str">
        <v>kiri</v>
      </c>
      <c r="F257" s="23"/>
      <c r="G257" s="23"/>
    </row>
    <row r="258" customFormat="false" ht="15" hidden="false" customHeight="false" outlineLevel="0" collapsed="false">
      <c r="E258" s="23" t="str">
        <v>tengah</v>
      </c>
      <c r="F258" s="23"/>
      <c r="G258" s="23"/>
    </row>
    <row r="259" customFormat="false" ht="15" hidden="false" customHeight="false" outlineLevel="0" collapsed="false">
      <c r="E259" s="23" t="str">
        <v>tengah</v>
      </c>
      <c r="F259" s="23"/>
      <c r="G259" s="23"/>
    </row>
    <row r="260" customFormat="false" ht="15" hidden="false" customHeight="false" outlineLevel="0" collapsed="false">
      <c r="E260" s="23" t="str">
        <v>kiri</v>
      </c>
      <c r="F260" s="23"/>
      <c r="G260" s="23"/>
    </row>
    <row r="261" customFormat="false" ht="15" hidden="false" customHeight="false" outlineLevel="0" collapsed="false">
      <c r="E261" s="23" t="str">
        <v>kiri</v>
      </c>
      <c r="F261" s="23"/>
      <c r="G261" s="23"/>
    </row>
    <row r="262" customFormat="false" ht="15" hidden="false" customHeight="false" outlineLevel="0" collapsed="false">
      <c r="E262" s="23" t="str">
        <v>tengah</v>
      </c>
      <c r="F262" s="23"/>
      <c r="G262" s="23"/>
    </row>
    <row r="263" customFormat="false" ht="15" hidden="false" customHeight="false" outlineLevel="0" collapsed="false">
      <c r="E263" s="23" t="str">
        <v>tengah</v>
      </c>
      <c r="F263" s="23"/>
      <c r="G263" s="23"/>
    </row>
    <row r="264" customFormat="false" ht="15" hidden="false" customHeight="false" outlineLevel="0" collapsed="false">
      <c r="E264" s="23" t="str">
        <v>tengah</v>
      </c>
      <c r="F264" s="23"/>
      <c r="G264" s="23"/>
    </row>
    <row r="265" customFormat="false" ht="15" hidden="false" customHeight="false" outlineLevel="0" collapsed="false">
      <c r="E265" s="23" t="str">
        <v>kanan</v>
      </c>
      <c r="F265" s="23"/>
      <c r="G265" s="23"/>
    </row>
    <row r="266" customFormat="false" ht="15" hidden="false" customHeight="false" outlineLevel="0" collapsed="false">
      <c r="E266" s="23" t="str">
        <v>tengah</v>
      </c>
      <c r="F266" s="23"/>
      <c r="G266" s="23"/>
    </row>
    <row r="267" customFormat="false" ht="15" hidden="false" customHeight="false" outlineLevel="0" collapsed="false">
      <c r="E267" s="23" t="str">
        <v>kanan</v>
      </c>
      <c r="F267" s="23"/>
      <c r="G267" s="23"/>
    </row>
    <row r="268" customFormat="false" ht="15" hidden="false" customHeight="false" outlineLevel="0" collapsed="false">
      <c r="E268" s="23" t="str">
        <v>kanan</v>
      </c>
      <c r="F268" s="23"/>
      <c r="G268" s="23"/>
    </row>
    <row r="269" customFormat="false" ht="15" hidden="false" customHeight="false" outlineLevel="0" collapsed="false">
      <c r="E269" s="23" t="str">
        <v>tengah</v>
      </c>
      <c r="F269" s="23"/>
      <c r="G269" s="23"/>
    </row>
    <row r="270" customFormat="false" ht="15" hidden="false" customHeight="false" outlineLevel="0" collapsed="false">
      <c r="E270" s="23" t="str">
        <v>tengah</v>
      </c>
      <c r="F270" s="23"/>
      <c r="G270" s="23"/>
    </row>
    <row r="271" customFormat="false" ht="15" hidden="false" customHeight="false" outlineLevel="0" collapsed="false">
      <c r="E271" s="23" t="str">
        <v>tengah</v>
      </c>
      <c r="F271" s="23"/>
      <c r="G271" s="23"/>
    </row>
    <row r="272" customFormat="false" ht="15" hidden="false" customHeight="false" outlineLevel="0" collapsed="false">
      <c r="E272" s="23" t="str">
        <v>tengah</v>
      </c>
      <c r="F272" s="23"/>
      <c r="G272" s="23"/>
    </row>
    <row r="273" customFormat="false" ht="15" hidden="false" customHeight="false" outlineLevel="0" collapsed="false">
      <c r="E273" s="23" t="str">
        <v>tengah</v>
      </c>
      <c r="F273" s="23"/>
      <c r="G273" s="23"/>
    </row>
    <row r="274" customFormat="false" ht="15" hidden="false" customHeight="false" outlineLevel="0" collapsed="false">
      <c r="E274" s="23" t="str">
        <v>kiri</v>
      </c>
      <c r="F274" s="23"/>
      <c r="G274" s="23"/>
    </row>
    <row r="275" customFormat="false" ht="15" hidden="false" customHeight="false" outlineLevel="0" collapsed="false">
      <c r="E275" s="23" t="str">
        <v>tengah</v>
      </c>
      <c r="F275" s="23"/>
      <c r="G275" s="23"/>
    </row>
    <row r="276" customFormat="false" ht="15" hidden="false" customHeight="false" outlineLevel="0" collapsed="false">
      <c r="E276" s="23" t="str">
        <v>tengah</v>
      </c>
      <c r="F276" s="23"/>
      <c r="G276" s="23"/>
    </row>
    <row r="277" customFormat="false" ht="15" hidden="false" customHeight="false" outlineLevel="0" collapsed="false">
      <c r="E277" s="23" t="str">
        <v>tengah</v>
      </c>
      <c r="F277" s="23"/>
      <c r="G277" s="23"/>
    </row>
    <row r="278" customFormat="false" ht="15" hidden="false" customHeight="false" outlineLevel="0" collapsed="false">
      <c r="E278" s="23" t="str">
        <v>kiri</v>
      </c>
      <c r="F278" s="23"/>
      <c r="G278" s="23"/>
    </row>
    <row r="279" customFormat="false" ht="15" hidden="false" customHeight="false" outlineLevel="0" collapsed="false">
      <c r="E279" s="23" t="str">
        <v>tengah</v>
      </c>
      <c r="F279" s="23"/>
      <c r="G279" s="23"/>
    </row>
    <row r="280" customFormat="false" ht="15" hidden="false" customHeight="false" outlineLevel="0" collapsed="false">
      <c r="E280" s="23" t="str">
        <v>kanan</v>
      </c>
      <c r="F280" s="23"/>
      <c r="G280" s="23"/>
    </row>
    <row r="281" customFormat="false" ht="15" hidden="false" customHeight="false" outlineLevel="0" collapsed="false">
      <c r="E281" s="23" t="str">
        <v>kiri</v>
      </c>
      <c r="F281" s="23"/>
      <c r="G281" s="23"/>
    </row>
    <row r="282" customFormat="false" ht="15" hidden="false" customHeight="false" outlineLevel="0" collapsed="false">
      <c r="E282" s="23" t="str">
        <v>kanan</v>
      </c>
      <c r="F282" s="23"/>
      <c r="G282" s="23"/>
    </row>
    <row r="283" customFormat="false" ht="15" hidden="false" customHeight="false" outlineLevel="0" collapsed="false">
      <c r="E283" s="23" t="str">
        <v>kiri</v>
      </c>
      <c r="F283" s="23"/>
      <c r="G283" s="23"/>
    </row>
    <row r="284" customFormat="false" ht="15" hidden="false" customHeight="false" outlineLevel="0" collapsed="false">
      <c r="E284" s="23" t="str">
        <v>tengah</v>
      </c>
      <c r="F284" s="23"/>
      <c r="G284" s="23"/>
    </row>
    <row r="285" customFormat="false" ht="15" hidden="false" customHeight="false" outlineLevel="0" collapsed="false">
      <c r="E285" s="23" t="str">
        <v>kiri</v>
      </c>
      <c r="F285" s="23"/>
      <c r="G285" s="23"/>
    </row>
    <row r="286" customFormat="false" ht="15" hidden="false" customHeight="false" outlineLevel="0" collapsed="false">
      <c r="E286" s="23" t="str">
        <v>tengah</v>
      </c>
      <c r="F286" s="23"/>
      <c r="G286" s="23"/>
    </row>
    <row r="287" customFormat="false" ht="15" hidden="false" customHeight="false" outlineLevel="0" collapsed="false">
      <c r="E287" s="23" t="str">
        <v>tengah</v>
      </c>
      <c r="F287" s="23"/>
      <c r="G287" s="23"/>
    </row>
    <row r="288" customFormat="false" ht="15" hidden="false" customHeight="false" outlineLevel="0" collapsed="false">
      <c r="E288" s="23" t="str">
        <v>tengah</v>
      </c>
      <c r="F288" s="23"/>
      <c r="G288" s="23"/>
    </row>
    <row r="289" customFormat="false" ht="15" hidden="false" customHeight="false" outlineLevel="0" collapsed="false">
      <c r="E289" s="23" t="str">
        <v>kanan</v>
      </c>
      <c r="F289" s="23"/>
      <c r="G289" s="23"/>
    </row>
    <row r="290" customFormat="false" ht="15" hidden="false" customHeight="false" outlineLevel="0" collapsed="false">
      <c r="E290" s="23" t="str">
        <v>tengah</v>
      </c>
      <c r="F290" s="23"/>
      <c r="G290" s="23"/>
    </row>
    <row r="291" customFormat="false" ht="15" hidden="false" customHeight="false" outlineLevel="0" collapsed="false">
      <c r="E291" s="23" t="str">
        <v>kiri</v>
      </c>
      <c r="F291" s="23"/>
      <c r="G291" s="23"/>
    </row>
    <row r="292" customFormat="false" ht="15" hidden="false" customHeight="false" outlineLevel="0" collapsed="false">
      <c r="E292" s="23" t="str">
        <v>kiri</v>
      </c>
      <c r="F292" s="23"/>
      <c r="G292" s="23"/>
    </row>
    <row r="293" customFormat="false" ht="15" hidden="false" customHeight="false" outlineLevel="0" collapsed="false">
      <c r="E293" s="23" t="str">
        <v>tengah</v>
      </c>
      <c r="F293" s="23"/>
      <c r="G293" s="23"/>
    </row>
    <row r="294" customFormat="false" ht="15" hidden="false" customHeight="false" outlineLevel="0" collapsed="false">
      <c r="E294" s="23" t="str">
        <v>kanan</v>
      </c>
      <c r="F294" s="23"/>
      <c r="G294" s="23"/>
    </row>
    <row r="295" customFormat="false" ht="15" hidden="false" customHeight="false" outlineLevel="0" collapsed="false">
      <c r="E295" s="23" t="str">
        <v>tengah</v>
      </c>
      <c r="F295" s="23"/>
      <c r="G295" s="23"/>
    </row>
    <row r="296" customFormat="false" ht="15" hidden="false" customHeight="false" outlineLevel="0" collapsed="false">
      <c r="E296" s="23" t="str">
        <v>tengah</v>
      </c>
      <c r="F296" s="23"/>
      <c r="G296" s="23"/>
    </row>
    <row r="297" customFormat="false" ht="15" hidden="false" customHeight="false" outlineLevel="0" collapsed="false">
      <c r="E297" s="23" t="str">
        <v>tengah</v>
      </c>
      <c r="F297" s="23"/>
      <c r="G297" s="23"/>
    </row>
    <row r="298" customFormat="false" ht="15" hidden="false" customHeight="false" outlineLevel="0" collapsed="false">
      <c r="E298" s="23" t="str">
        <v>kanan</v>
      </c>
      <c r="F298" s="23"/>
      <c r="G298" s="23"/>
    </row>
    <row r="299" customFormat="false" ht="15" hidden="false" customHeight="false" outlineLevel="0" collapsed="false">
      <c r="E299" s="23" t="str">
        <v>tengah</v>
      </c>
      <c r="F299" s="23"/>
      <c r="G299" s="23"/>
    </row>
    <row r="300" customFormat="false" ht="15" hidden="false" customHeight="false" outlineLevel="0" collapsed="false">
      <c r="E300" s="23" t="str">
        <v>kanan</v>
      </c>
      <c r="F300" s="23"/>
      <c r="G300" s="23"/>
    </row>
    <row r="301" customFormat="false" ht="15" hidden="false" customHeight="false" outlineLevel="0" collapsed="false">
      <c r="E301" s="23" t="str">
        <v>kiri</v>
      </c>
      <c r="F301" s="23"/>
      <c r="G301" s="23"/>
    </row>
    <row r="302" customFormat="false" ht="15" hidden="false" customHeight="false" outlineLevel="0" collapsed="false">
      <c r="E302" s="23" t="str">
        <v>tengah</v>
      </c>
      <c r="F302" s="23"/>
      <c r="G302" s="23"/>
    </row>
    <row r="303" customFormat="false" ht="15" hidden="false" customHeight="false" outlineLevel="0" collapsed="false">
      <c r="E303" s="23" t="str">
        <v>kanan</v>
      </c>
      <c r="F303" s="23"/>
      <c r="G303" s="23"/>
    </row>
    <row r="304" customFormat="false" ht="15" hidden="false" customHeight="false" outlineLevel="0" collapsed="false">
      <c r="E304" s="23" t="str">
        <v>tengah</v>
      </c>
      <c r="F304" s="23"/>
      <c r="G304" s="23"/>
    </row>
    <row r="305" customFormat="false" ht="15" hidden="false" customHeight="false" outlineLevel="0" collapsed="false">
      <c r="E305" s="23" t="str">
        <v>tengah</v>
      </c>
      <c r="F305" s="23"/>
      <c r="G305" s="23"/>
    </row>
    <row r="306" customFormat="false" ht="15" hidden="false" customHeight="false" outlineLevel="0" collapsed="false">
      <c r="E306" s="23" t="str">
        <v>kiri</v>
      </c>
      <c r="F306" s="23"/>
      <c r="G306" s="23"/>
    </row>
    <row r="307" customFormat="false" ht="15" hidden="false" customHeight="false" outlineLevel="0" collapsed="false">
      <c r="E307" s="23" t="str">
        <v>tengah</v>
      </c>
      <c r="F307" s="23"/>
      <c r="G307" s="23"/>
    </row>
    <row r="308" customFormat="false" ht="15" hidden="false" customHeight="false" outlineLevel="0" collapsed="false">
      <c r="E308" s="23" t="str">
        <v>kiri</v>
      </c>
      <c r="F308" s="23"/>
      <c r="G308" s="23"/>
    </row>
    <row r="309" customFormat="false" ht="15" hidden="false" customHeight="false" outlineLevel="0" collapsed="false">
      <c r="E309" s="23" t="str">
        <v>tengah</v>
      </c>
      <c r="F309" s="23"/>
      <c r="G309" s="23"/>
    </row>
    <row r="310" customFormat="false" ht="15" hidden="false" customHeight="false" outlineLevel="0" collapsed="false">
      <c r="E310" s="23" t="str">
        <v>tengah</v>
      </c>
      <c r="F310" s="23"/>
      <c r="G310" s="23"/>
    </row>
    <row r="311" customFormat="false" ht="15" hidden="false" customHeight="false" outlineLevel="0" collapsed="false">
      <c r="E311" s="23" t="str">
        <v>tengah</v>
      </c>
      <c r="F311" s="23"/>
      <c r="G311" s="23"/>
    </row>
    <row r="312" customFormat="false" ht="15" hidden="false" customHeight="false" outlineLevel="0" collapsed="false">
      <c r="E312" s="23" t="str">
        <v>kiri</v>
      </c>
      <c r="F312" s="23"/>
      <c r="G312" s="23"/>
    </row>
    <row r="313" customFormat="false" ht="15" hidden="false" customHeight="false" outlineLevel="0" collapsed="false">
      <c r="E313" s="23" t="str">
        <v>tengah</v>
      </c>
      <c r="F313" s="23"/>
      <c r="G313" s="23"/>
    </row>
    <row r="314" customFormat="false" ht="15" hidden="false" customHeight="false" outlineLevel="0" collapsed="false">
      <c r="E314" s="23" t="str">
        <v>tengah</v>
      </c>
      <c r="F314" s="23"/>
      <c r="G314" s="23"/>
    </row>
    <row r="315" customFormat="false" ht="15" hidden="false" customHeight="false" outlineLevel="0" collapsed="false">
      <c r="E315" s="23" t="str">
        <v>tengah</v>
      </c>
      <c r="F315" s="23"/>
      <c r="G315" s="23"/>
    </row>
    <row r="316" customFormat="false" ht="15" hidden="false" customHeight="false" outlineLevel="0" collapsed="false">
      <c r="E316" s="23" t="str">
        <v>kiri</v>
      </c>
      <c r="F316" s="23"/>
      <c r="G316" s="23"/>
    </row>
    <row r="317" customFormat="false" ht="15" hidden="false" customHeight="false" outlineLevel="0" collapsed="false">
      <c r="E317" s="23" t="str">
        <v>tengah</v>
      </c>
      <c r="F317" s="23"/>
      <c r="G317" s="23"/>
    </row>
    <row r="318" customFormat="false" ht="15" hidden="false" customHeight="false" outlineLevel="0" collapsed="false">
      <c r="E318" s="23" t="str">
        <v>tengah</v>
      </c>
      <c r="F318" s="23"/>
      <c r="G318" s="23"/>
    </row>
    <row r="319" customFormat="false" ht="15" hidden="false" customHeight="false" outlineLevel="0" collapsed="false">
      <c r="E319" s="23" t="str">
        <v>kanan</v>
      </c>
      <c r="F319" s="23"/>
      <c r="G319" s="23"/>
    </row>
    <row r="320" customFormat="false" ht="15" hidden="false" customHeight="false" outlineLevel="0" collapsed="false">
      <c r="E320" s="23" t="str">
        <v>kanan</v>
      </c>
      <c r="F320" s="23"/>
      <c r="G320" s="23"/>
    </row>
    <row r="321" customFormat="false" ht="15" hidden="false" customHeight="false" outlineLevel="0" collapsed="false">
      <c r="E321" s="23" t="str">
        <v>kanan</v>
      </c>
      <c r="F321" s="23"/>
      <c r="G321" s="23"/>
    </row>
    <row r="322" customFormat="false" ht="15" hidden="false" customHeight="false" outlineLevel="0" collapsed="false">
      <c r="E322" s="23" t="str">
        <v>kiri</v>
      </c>
      <c r="F322" s="23"/>
      <c r="G322" s="23"/>
    </row>
    <row r="323" customFormat="false" ht="15" hidden="false" customHeight="false" outlineLevel="0" collapsed="false">
      <c r="E323" s="23" t="str">
        <v>kanan</v>
      </c>
      <c r="F323" s="23"/>
      <c r="G323" s="23"/>
    </row>
    <row r="324" customFormat="false" ht="15" hidden="false" customHeight="false" outlineLevel="0" collapsed="false">
      <c r="E324" s="23" t="str">
        <v>kanan</v>
      </c>
      <c r="F324" s="23"/>
      <c r="G324" s="23"/>
    </row>
    <row r="325" customFormat="false" ht="15" hidden="false" customHeight="false" outlineLevel="0" collapsed="false">
      <c r="E325" s="23" t="str">
        <v>tengah</v>
      </c>
      <c r="F325" s="23"/>
      <c r="G325" s="23"/>
    </row>
    <row r="326" customFormat="false" ht="15" hidden="false" customHeight="false" outlineLevel="0" collapsed="false">
      <c r="E326" s="23" t="str">
        <v>tengah</v>
      </c>
      <c r="F326" s="23"/>
      <c r="G326" s="23"/>
    </row>
    <row r="327" customFormat="false" ht="15" hidden="false" customHeight="false" outlineLevel="0" collapsed="false">
      <c r="E327" s="23" t="str">
        <v>tengah</v>
      </c>
      <c r="F327" s="23"/>
      <c r="G327" s="23"/>
    </row>
    <row r="328" customFormat="false" ht="15" hidden="false" customHeight="false" outlineLevel="0" collapsed="false">
      <c r="E328" s="23" t="str">
        <v>kiri</v>
      </c>
      <c r="F328" s="23"/>
      <c r="G328" s="23"/>
    </row>
    <row r="329" customFormat="false" ht="15" hidden="false" customHeight="false" outlineLevel="0" collapsed="false">
      <c r="E329" s="23" t="str">
        <v>kanan</v>
      </c>
      <c r="F329" s="23"/>
      <c r="G329" s="23"/>
    </row>
    <row r="330" customFormat="false" ht="15" hidden="false" customHeight="false" outlineLevel="0" collapsed="false">
      <c r="E330" s="23" t="str">
        <v>kiri</v>
      </c>
      <c r="F330" s="23"/>
      <c r="G330" s="23"/>
    </row>
    <row r="331" customFormat="false" ht="15" hidden="false" customHeight="false" outlineLevel="0" collapsed="false">
      <c r="E331" s="23" t="str">
        <v>tengah</v>
      </c>
      <c r="F331" s="23"/>
      <c r="G331" s="23"/>
    </row>
    <row r="332" customFormat="false" ht="15" hidden="false" customHeight="false" outlineLevel="0" collapsed="false">
      <c r="E332" s="23" t="str">
        <v>kanan</v>
      </c>
      <c r="F332" s="23"/>
      <c r="G332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2"/>
  <sheetViews>
    <sheetView showFormulas="false" showGridLines="true" showRowColHeaders="true" showZeros="true" rightToLeft="false" tabSelected="false" showOutlineSymbols="true" defaultGridColor="true" view="normal" topLeftCell="N152" colorId="64" zoomScale="106" zoomScaleNormal="106" zoomScalePageLayoutView="100" workbookViewId="0">
      <selection pane="topLeft" activeCell="U154" activeCellId="0" sqref="U154"/>
    </sheetView>
  </sheetViews>
  <sheetFormatPr defaultColWidth="9.00390625" defaultRowHeight="15" customHeight="false" zeroHeight="false" outlineLevelRow="0" outlineLevelCol="0"/>
  <cols>
    <col collapsed="false" customWidth="true" hidden="false" outlineLevel="0" max="3" min="3" style="0" width="17.29"/>
    <col collapsed="false" customWidth="true" hidden="false" outlineLevel="0" max="4" min="4" style="0" width="31.28"/>
    <col collapsed="false" customWidth="true" hidden="false" outlineLevel="0" max="5" min="5" style="0" width="20.72"/>
    <col collapsed="false" customWidth="true" hidden="false" outlineLevel="0" max="6" min="6" style="0" width="13.86"/>
    <col collapsed="false" customWidth="true" hidden="false" outlineLevel="0" max="10" min="10" style="0" width="15.86"/>
    <col collapsed="false" customWidth="true" hidden="false" outlineLevel="0" max="11" min="11" style="0" width="22"/>
    <col collapsed="false" customWidth="true" hidden="false" outlineLevel="0" max="12" min="12" style="0" width="13.29"/>
    <col collapsed="false" customWidth="true" hidden="false" outlineLevel="0" max="13" min="13" style="0" width="13.86"/>
    <col collapsed="false" customWidth="true" hidden="false" outlineLevel="0" max="15" min="15" style="0" width="24.86"/>
    <col collapsed="false" customWidth="true" hidden="false" outlineLevel="0" max="16" min="16" style="0" width="12"/>
    <col collapsed="false" customWidth="true" hidden="false" outlineLevel="0" max="20" min="20" style="0" width="14.29"/>
  </cols>
  <sheetData>
    <row r="1" customFormat="false" ht="15" hidden="false" customHeight="false" outlineLevel="0" collapsed="false">
      <c r="A1" s="4" t="s">
        <v>173</v>
      </c>
      <c r="B1" s="4" t="s">
        <v>1</v>
      </c>
      <c r="C1" s="4" t="s">
        <v>2</v>
      </c>
      <c r="D1" s="4" t="s">
        <v>172</v>
      </c>
      <c r="E1" s="4" t="s">
        <v>4</v>
      </c>
      <c r="F1" s="4" t="s">
        <v>5</v>
      </c>
      <c r="H1" s="5" t="s">
        <v>173</v>
      </c>
      <c r="I1" s="5" t="s">
        <v>1</v>
      </c>
      <c r="J1" s="5" t="s">
        <v>2</v>
      </c>
      <c r="K1" s="5" t="s">
        <v>172</v>
      </c>
      <c r="L1" s="5" t="s">
        <v>4</v>
      </c>
      <c r="M1" s="5" t="s">
        <v>5</v>
      </c>
      <c r="O1" s="4" t="s">
        <v>174</v>
      </c>
      <c r="P1" s="3"/>
      <c r="Q1" s="3"/>
    </row>
    <row r="2" customFormat="false" ht="15" hidden="false" customHeight="false" outlineLevel="0" collapsed="false">
      <c r="A2" s="5" t="n">
        <f aca="false">RANDBETWEEN(2,164)</f>
        <v>153</v>
      </c>
      <c r="B2" s="5" t="n">
        <f aca="false" t="array" ref="B2:B2">INDEX(Data_DBD!$B:$B,$A2)</f>
        <v>73</v>
      </c>
      <c r="C2" s="5" t="n">
        <f aca="false" t="array" ref="C2:C2">INDEX(Data_DBD!$C:$C,$A2)</f>
        <v>7</v>
      </c>
      <c r="D2" s="5" t="n">
        <f aca="false" t="array" ref="D2:D2">INDEX(Data_DBD!$D:$D,$A2)</f>
        <v>21</v>
      </c>
      <c r="E2" s="5" t="n">
        <f aca="false" t="array" ref="E2:E2">INDEX(Data_DBD!$E:$E,$A2)</f>
        <v>1</v>
      </c>
      <c r="F2" s="5" t="str">
        <f aca="false" t="array" ref="F2:F2">INDEX(Data_DBD!$F:$F,$A2)</f>
        <v>Tinggi</v>
      </c>
      <c r="H2" s="5" t="n">
        <v>76</v>
      </c>
      <c r="I2" s="5" t="n">
        <v>70</v>
      </c>
      <c r="J2" s="5" t="n">
        <v>2</v>
      </c>
      <c r="K2" s="5" t="n">
        <v>10</v>
      </c>
      <c r="L2" s="5" t="n">
        <v>0</v>
      </c>
      <c r="M2" s="5" t="s">
        <v>20</v>
      </c>
      <c r="O2" s="3" t="s">
        <v>115</v>
      </c>
      <c r="P2" s="3" t="n">
        <f aca="false">COUNTIF(M2:M164,"Tinggi")</f>
        <v>53</v>
      </c>
      <c r="Q2" s="3" t="n">
        <f aca="false">P2/163</f>
        <v>0.325153374233129</v>
      </c>
    </row>
    <row r="3" customFormat="false" ht="15" hidden="false" customHeight="false" outlineLevel="0" collapsed="false">
      <c r="A3" s="5" t="n">
        <f aca="false">RANDBETWEEN(2,164)</f>
        <v>68</v>
      </c>
      <c r="B3" s="5" t="n">
        <f aca="false" t="array" ref="B3:B3">INDEX(Data_DBD!$B:$B,$A3)</f>
        <v>44</v>
      </c>
      <c r="C3" s="5" t="n">
        <f aca="false" t="array" ref="C3:C3">INDEX(Data_DBD!$C:$C,$A3)</f>
        <v>5</v>
      </c>
      <c r="D3" s="5" t="n">
        <f aca="false" t="array" ref="D3:D3">INDEX(Data_DBD!$D:$D,$A3)</f>
        <v>10</v>
      </c>
      <c r="E3" s="5" t="n">
        <f aca="false" t="array" ref="E3:E3">INDEX(Data_DBD!$E:$E,$A3)</f>
        <v>0</v>
      </c>
      <c r="F3" s="5" t="str">
        <f aca="false" t="array" ref="F3:F3">INDEX(Data_DBD!$F:$F,$A3)</f>
        <v>Rendah</v>
      </c>
      <c r="H3" s="5" t="n">
        <v>125</v>
      </c>
      <c r="I3" s="5" t="n">
        <v>39</v>
      </c>
      <c r="J3" s="5" t="n">
        <v>4</v>
      </c>
      <c r="K3" s="5" t="n">
        <v>33</v>
      </c>
      <c r="L3" s="5" t="n">
        <v>0</v>
      </c>
      <c r="M3" s="5" t="s">
        <v>115</v>
      </c>
      <c r="O3" s="3" t="s">
        <v>7</v>
      </c>
      <c r="P3" s="3" t="n">
        <f aca="false">COUNTIF(M2:M164,"Sedang")</f>
        <v>82</v>
      </c>
      <c r="Q3" s="3" t="n">
        <f aca="false">P3/163</f>
        <v>0.503067484662577</v>
      </c>
    </row>
    <row r="4" customFormat="false" ht="15" hidden="false" customHeight="false" outlineLevel="0" collapsed="false">
      <c r="A4" s="5" t="n">
        <f aca="false">RANDBETWEEN(2,164)</f>
        <v>123</v>
      </c>
      <c r="B4" s="5" t="n">
        <f aca="false" t="array" ref="B4:B4">INDEX(Data_DBD!$B:$B,$A4)</f>
        <v>22</v>
      </c>
      <c r="C4" s="5" t="n">
        <f aca="false" t="array" ref="C4:C4">INDEX(Data_DBD!$C:$C,$A4)</f>
        <v>4</v>
      </c>
      <c r="D4" s="5" t="n">
        <f aca="false" t="array" ref="D4:D4">INDEX(Data_DBD!$D:$D,$A4)</f>
        <v>33</v>
      </c>
      <c r="E4" s="5" t="n">
        <f aca="false" t="array" ref="E4:E4">INDEX(Data_DBD!$E:$E,$A4)</f>
        <v>0</v>
      </c>
      <c r="F4" s="5" t="str">
        <f aca="false" t="array" ref="F4:F4">INDEX(Data_DBD!$F:$F,$A4)</f>
        <v>Tinggi</v>
      </c>
      <c r="H4" s="5" t="n">
        <v>126</v>
      </c>
      <c r="I4" s="5" t="n">
        <v>51</v>
      </c>
      <c r="J4" s="5" t="n">
        <v>3</v>
      </c>
      <c r="K4" s="5" t="n">
        <v>33</v>
      </c>
      <c r="L4" s="5" t="n">
        <v>1</v>
      </c>
      <c r="M4" s="5" t="s">
        <v>115</v>
      </c>
      <c r="O4" s="3" t="s">
        <v>20</v>
      </c>
      <c r="P4" s="3" t="n">
        <f aca="false">COUNTIF(M2:M164,"Rendah")</f>
        <v>28</v>
      </c>
      <c r="Q4" s="3" t="n">
        <f aca="false">P4/163</f>
        <v>0.171779141104294</v>
      </c>
    </row>
    <row r="5" customFormat="false" ht="15" hidden="false" customHeight="false" outlineLevel="0" collapsed="false">
      <c r="A5" s="5" t="n">
        <f aca="false">RANDBETWEEN(2,164)</f>
        <v>58</v>
      </c>
      <c r="B5" s="5" t="n">
        <f aca="false" t="array" ref="B5:B5">INDEX(Data_DBD!$B:$B,$A5)</f>
        <v>17</v>
      </c>
      <c r="C5" s="5" t="n">
        <f aca="false" t="array" ref="C5:C5">INDEX(Data_DBD!$C:$C,$A5)</f>
        <v>3</v>
      </c>
      <c r="D5" s="5" t="n">
        <f aca="false" t="array" ref="D5:D5">INDEX(Data_DBD!$D:$D,$A5)</f>
        <v>15</v>
      </c>
      <c r="E5" s="5" t="n">
        <f aca="false" t="array" ref="E5:E5">INDEX(Data_DBD!$E:$E,$A5)</f>
        <v>0</v>
      </c>
      <c r="F5" s="5" t="str">
        <f aca="false" t="array" ref="F5:F5">INDEX(Data_DBD!$F:$F,$A5)</f>
        <v>Sedang</v>
      </c>
      <c r="H5" s="5" t="n">
        <v>140</v>
      </c>
      <c r="I5" s="5" t="n">
        <v>74</v>
      </c>
      <c r="J5" s="5" t="n">
        <v>5</v>
      </c>
      <c r="K5" s="5" t="n">
        <v>21</v>
      </c>
      <c r="L5" s="5" t="n">
        <v>1</v>
      </c>
      <c r="M5" s="5" t="s">
        <v>115</v>
      </c>
      <c r="O5" s="6" t="s">
        <v>175</v>
      </c>
      <c r="P5" s="0" t="n">
        <f aca="false">-(IFERROR(Q2*LOG(Q2,2),0)+IFERROR(Q3*LOG(Q3,2),0)+IFERROR(Q4*LOG(Q4,2),0))</f>
        <v>1.4621944960216</v>
      </c>
    </row>
    <row r="6" customFormat="false" ht="15" hidden="false" customHeight="false" outlineLevel="0" collapsed="false">
      <c r="A6" s="5" t="n">
        <f aca="false">RANDBETWEEN(2,164)</f>
        <v>8</v>
      </c>
      <c r="B6" s="5" t="n">
        <f aca="false" t="array" ref="B6:B6">INDEX(Data_DBD!$B:$B,$A6)</f>
        <v>4</v>
      </c>
      <c r="C6" s="5" t="n">
        <f aca="false" t="array" ref="C6:C6">INDEX(Data_DBD!$C:$C,$A6)</f>
        <v>2</v>
      </c>
      <c r="D6" s="5" t="n">
        <f aca="false" t="array" ref="D6:D6">INDEX(Data_DBD!$D:$D,$A6)</f>
        <v>12</v>
      </c>
      <c r="E6" s="5" t="n">
        <f aca="false" t="array" ref="E6:E6">INDEX(Data_DBD!$E:$E,$A6)</f>
        <v>0</v>
      </c>
      <c r="F6" s="5" t="str">
        <f aca="false" t="array" ref="F6:F6">INDEX(Data_DBD!$F:$F,$A6)</f>
        <v>Sedang</v>
      </c>
      <c r="H6" s="5" t="n">
        <v>73</v>
      </c>
      <c r="I6" s="5" t="n">
        <v>15</v>
      </c>
      <c r="J6" s="5" t="n">
        <v>3</v>
      </c>
      <c r="K6" s="5" t="n">
        <v>10</v>
      </c>
      <c r="L6" s="5" t="n">
        <v>1</v>
      </c>
      <c r="M6" s="5" t="s">
        <v>20</v>
      </c>
    </row>
    <row r="7" customFormat="false" ht="15" hidden="false" customHeight="false" outlineLevel="0" collapsed="false">
      <c r="A7" s="5" t="n">
        <f aca="false">RANDBETWEEN(2,164)</f>
        <v>82</v>
      </c>
      <c r="B7" s="5" t="n">
        <f aca="false" t="array" ref="B7:B7">INDEX(Data_DBD!$B:$B,$A7)</f>
        <v>28</v>
      </c>
      <c r="C7" s="5" t="n">
        <f aca="false" t="array" ref="C7:C7">INDEX(Data_DBD!$C:$C,$A7)</f>
        <v>3</v>
      </c>
      <c r="D7" s="5" t="n">
        <f aca="false" t="array" ref="D7:D7">INDEX(Data_DBD!$D:$D,$A7)</f>
        <v>13</v>
      </c>
      <c r="E7" s="5" t="n">
        <f aca="false" t="array" ref="E7:E7">INDEX(Data_DBD!$E:$E,$A7)</f>
        <v>1</v>
      </c>
      <c r="F7" s="5" t="str">
        <f aca="false" t="array" ref="F7:F7">INDEX(Data_DBD!$F:$F,$A7)</f>
        <v>Sedang</v>
      </c>
      <c r="H7" s="5" t="n">
        <v>125</v>
      </c>
      <c r="I7" s="5" t="n">
        <v>39</v>
      </c>
      <c r="J7" s="5" t="n">
        <v>4</v>
      </c>
      <c r="K7" s="5" t="n">
        <v>33</v>
      </c>
      <c r="L7" s="5" t="n">
        <v>0</v>
      </c>
      <c r="M7" s="5" t="s">
        <v>115</v>
      </c>
    </row>
    <row r="8" customFormat="false" ht="15" hidden="false" customHeight="false" outlineLevel="0" collapsed="false">
      <c r="A8" s="5" t="n">
        <f aca="false">RANDBETWEEN(2,164)</f>
        <v>106</v>
      </c>
      <c r="B8" s="5" t="n">
        <f aca="false" t="array" ref="B8:B8">INDEX(Data_DBD!$B:$B,$A8)</f>
        <v>23</v>
      </c>
      <c r="C8" s="5" t="n">
        <f aca="false" t="array" ref="C8:C8">INDEX(Data_DBD!$C:$C,$A8)</f>
        <v>3</v>
      </c>
      <c r="D8" s="5" t="n">
        <f aca="false" t="array" ref="D8:D8">INDEX(Data_DBD!$D:$D,$A8)</f>
        <v>18</v>
      </c>
      <c r="E8" s="5" t="n">
        <f aca="false" t="array" ref="E8:E8">INDEX(Data_DBD!$E:$E,$A8)</f>
        <v>1</v>
      </c>
      <c r="F8" s="5" t="str">
        <f aca="false" t="array" ref="F8:F8">INDEX(Data_DBD!$F:$F,$A8)</f>
        <v>Sedang</v>
      </c>
      <c r="H8" s="5" t="n">
        <v>119</v>
      </c>
      <c r="I8" s="5" t="n">
        <v>30</v>
      </c>
      <c r="J8" s="5" t="n">
        <v>7</v>
      </c>
      <c r="K8" s="5" t="n">
        <v>33</v>
      </c>
      <c r="L8" s="5" t="n">
        <v>0</v>
      </c>
      <c r="M8" s="5" t="s">
        <v>115</v>
      </c>
    </row>
    <row r="9" customFormat="false" ht="15" hidden="false" customHeight="false" outlineLevel="0" collapsed="false">
      <c r="A9" s="5" t="n">
        <f aca="false">RANDBETWEEN(2,164)</f>
        <v>36</v>
      </c>
      <c r="B9" s="5" t="n">
        <f aca="false" t="array" ref="B9:B9">INDEX(Data_DBD!$B:$B,$A9)</f>
        <v>27</v>
      </c>
      <c r="C9" s="5" t="n">
        <f aca="false" t="array" ref="C9:C9">INDEX(Data_DBD!$C:$C,$A9)</f>
        <v>1</v>
      </c>
      <c r="D9" s="5" t="n">
        <f aca="false" t="array" ref="D9:D9">INDEX(Data_DBD!$D:$D,$A9)</f>
        <v>4</v>
      </c>
      <c r="E9" s="5" t="n">
        <f aca="false" t="array" ref="E9:E9">INDEX(Data_DBD!$E:$E,$A9)</f>
        <v>1</v>
      </c>
      <c r="F9" s="5" t="str">
        <f aca="false" t="array" ref="F9:F9">INDEX(Data_DBD!$F:$F,$A9)</f>
        <v>Rendah</v>
      </c>
      <c r="H9" s="5" t="n">
        <v>11</v>
      </c>
      <c r="I9" s="5" t="n">
        <v>24</v>
      </c>
      <c r="J9" s="5" t="n">
        <v>5</v>
      </c>
      <c r="K9" s="5" t="n">
        <v>12</v>
      </c>
      <c r="L9" s="5" t="n">
        <v>1</v>
      </c>
      <c r="M9" s="5" t="s">
        <v>7</v>
      </c>
    </row>
    <row r="10" customFormat="false" ht="15" hidden="false" customHeight="false" outlineLevel="0" collapsed="false">
      <c r="A10" s="5" t="n">
        <f aca="false">RANDBETWEEN(2,164)</f>
        <v>29</v>
      </c>
      <c r="B10" s="5" t="n">
        <f aca="false" t="array" ref="B10:B10">INDEX(Data_DBD!$B:$B,$A10)</f>
        <v>19</v>
      </c>
      <c r="C10" s="5" t="n">
        <f aca="false" t="array" ref="C10:C10">INDEX(Data_DBD!$C:$C,$A10)</f>
        <v>2</v>
      </c>
      <c r="D10" s="5" t="n">
        <f aca="false" t="array" ref="D10:D10">INDEX(Data_DBD!$D:$D,$A10)</f>
        <v>14</v>
      </c>
      <c r="E10" s="5" t="n">
        <f aca="false" t="array" ref="E10:E10">INDEX(Data_DBD!$E:$E,$A10)</f>
        <v>1</v>
      </c>
      <c r="F10" s="5" t="str">
        <f aca="false" t="array" ref="F10:F10">INDEX(Data_DBD!$F:$F,$A10)</f>
        <v>Sedang</v>
      </c>
      <c r="H10" s="5" t="n">
        <v>125</v>
      </c>
      <c r="I10" s="5" t="n">
        <v>39</v>
      </c>
      <c r="J10" s="5" t="n">
        <v>4</v>
      </c>
      <c r="K10" s="5" t="n">
        <v>33</v>
      </c>
      <c r="L10" s="5" t="n">
        <v>0</v>
      </c>
      <c r="M10" s="5" t="s">
        <v>115</v>
      </c>
    </row>
    <row r="11" customFormat="false" ht="15" hidden="false" customHeight="false" outlineLevel="0" collapsed="false">
      <c r="A11" s="5" t="n">
        <f aca="false">RANDBETWEEN(2,164)</f>
        <v>56</v>
      </c>
      <c r="B11" s="5" t="n">
        <f aca="false" t="array" ref="B11:B11">INDEX(Data_DBD!$B:$B,$A11)</f>
        <v>4</v>
      </c>
      <c r="C11" s="5" t="n">
        <f aca="false" t="array" ref="C11:C11">INDEX(Data_DBD!$C:$C,$A11)</f>
        <v>3</v>
      </c>
      <c r="D11" s="5" t="n">
        <f aca="false" t="array" ref="D11:D11">INDEX(Data_DBD!$D:$D,$A11)</f>
        <v>15</v>
      </c>
      <c r="E11" s="5" t="n">
        <f aca="false" t="array" ref="E11:E11">INDEX(Data_DBD!$E:$E,$A11)</f>
        <v>0</v>
      </c>
      <c r="F11" s="5" t="str">
        <f aca="false" t="array" ref="F11:F11">INDEX(Data_DBD!$F:$F,$A11)</f>
        <v>Sedang</v>
      </c>
      <c r="H11" s="5" t="n">
        <v>39</v>
      </c>
      <c r="I11" s="5" t="n">
        <v>12</v>
      </c>
      <c r="J11" s="5" t="n">
        <v>5</v>
      </c>
      <c r="K11" s="5" t="n">
        <v>13</v>
      </c>
      <c r="L11" s="5" t="n">
        <v>1</v>
      </c>
      <c r="M11" s="5" t="s">
        <v>7</v>
      </c>
    </row>
    <row r="12" customFormat="false" ht="15" hidden="false" customHeight="false" outlineLevel="0" collapsed="false">
      <c r="A12" s="5" t="n">
        <f aca="false">RANDBETWEEN(2,164)</f>
        <v>133</v>
      </c>
      <c r="B12" s="5" t="n">
        <f aca="false" t="array" ref="B12:B12">INDEX(Data_DBD!$B:$B,$A12)</f>
        <v>6</v>
      </c>
      <c r="C12" s="5" t="n">
        <f aca="false" t="array" ref="C12:C12">INDEX(Data_DBD!$C:$C,$A12)</f>
        <v>4</v>
      </c>
      <c r="D12" s="5" t="n">
        <f aca="false" t="array" ref="D12:D12">INDEX(Data_DBD!$D:$D,$A12)</f>
        <v>33</v>
      </c>
      <c r="E12" s="5" t="n">
        <f aca="false" t="array" ref="E12:E12">INDEX(Data_DBD!$E:$E,$A12)</f>
        <v>0</v>
      </c>
      <c r="F12" s="5" t="str">
        <f aca="false" t="array" ref="F12:F12">INDEX(Data_DBD!$F:$F,$A12)</f>
        <v>Tinggi</v>
      </c>
      <c r="H12" s="5" t="n">
        <v>23</v>
      </c>
      <c r="I12" s="5" t="n">
        <v>28</v>
      </c>
      <c r="J12" s="5" t="n">
        <v>4</v>
      </c>
      <c r="K12" s="5" t="n">
        <v>14</v>
      </c>
      <c r="L12" s="5" t="n">
        <v>1</v>
      </c>
      <c r="M12" s="5" t="s">
        <v>7</v>
      </c>
    </row>
    <row r="13" customFormat="false" ht="15" hidden="false" customHeight="false" outlineLevel="0" collapsed="false">
      <c r="A13" s="5" t="n">
        <f aca="false">RANDBETWEEN(2,164)</f>
        <v>12</v>
      </c>
      <c r="B13" s="5" t="n">
        <f aca="false" t="array" ref="B13:B13">INDEX(Data_DBD!$B:$B,$A13)</f>
        <v>23</v>
      </c>
      <c r="C13" s="5" t="n">
        <f aca="false" t="array" ref="C13:C13">INDEX(Data_DBD!$C:$C,$A13)</f>
        <v>3</v>
      </c>
      <c r="D13" s="5" t="n">
        <f aca="false" t="array" ref="D13:D13">INDEX(Data_DBD!$D:$D,$A13)</f>
        <v>12</v>
      </c>
      <c r="E13" s="5" t="n">
        <f aca="false" t="array" ref="E13:E13">INDEX(Data_DBD!$E:$E,$A13)</f>
        <v>0</v>
      </c>
      <c r="F13" s="5" t="str">
        <f aca="false" t="array" ref="F13:F13">INDEX(Data_DBD!$F:$F,$A13)</f>
        <v>Sedang</v>
      </c>
      <c r="H13" s="5" t="n">
        <v>129</v>
      </c>
      <c r="I13" s="5" t="n">
        <v>4</v>
      </c>
      <c r="J13" s="5" t="n">
        <v>3</v>
      </c>
      <c r="K13" s="5" t="n">
        <v>33</v>
      </c>
      <c r="L13" s="5" t="n">
        <v>0</v>
      </c>
      <c r="M13" s="5" t="s">
        <v>115</v>
      </c>
    </row>
    <row r="14" customFormat="false" ht="15" hidden="false" customHeight="false" outlineLevel="0" collapsed="false">
      <c r="A14" s="5" t="n">
        <f aca="false">RANDBETWEEN(2,164)</f>
        <v>54</v>
      </c>
      <c r="B14" s="5" t="n">
        <f aca="false" t="array" ref="B14:B14">INDEX(Data_DBD!$B:$B,$A14)</f>
        <v>7</v>
      </c>
      <c r="C14" s="5" t="n">
        <f aca="false" t="array" ref="C14:C14">INDEX(Data_DBD!$C:$C,$A14)</f>
        <v>3</v>
      </c>
      <c r="D14" s="5" t="n">
        <f aca="false" t="array" ref="D14:D14">INDEX(Data_DBD!$D:$D,$A14)</f>
        <v>15</v>
      </c>
      <c r="E14" s="5" t="n">
        <f aca="false" t="array" ref="E14:E14">INDEX(Data_DBD!$E:$E,$A14)</f>
        <v>0</v>
      </c>
      <c r="F14" s="5" t="str">
        <f aca="false" t="array" ref="F14:F14">INDEX(Data_DBD!$F:$F,$A14)</f>
        <v>Sedang</v>
      </c>
      <c r="H14" s="5" t="n">
        <v>86</v>
      </c>
      <c r="I14" s="5" t="n">
        <v>23</v>
      </c>
      <c r="J14" s="5" t="n">
        <v>3</v>
      </c>
      <c r="K14" s="5" t="n">
        <v>13</v>
      </c>
      <c r="L14" s="5" t="n">
        <v>0</v>
      </c>
      <c r="M14" s="5" t="s">
        <v>7</v>
      </c>
    </row>
    <row r="15" customFormat="false" ht="15" hidden="false" customHeight="false" outlineLevel="0" collapsed="false">
      <c r="A15" s="5" t="n">
        <f aca="false">RANDBETWEEN(2,164)</f>
        <v>29</v>
      </c>
      <c r="B15" s="5" t="n">
        <f aca="false" t="array" ref="B15:B15">INDEX(Data_DBD!$B:$B,$A15)</f>
        <v>19</v>
      </c>
      <c r="C15" s="5" t="n">
        <f aca="false" t="array" ref="C15:C15">INDEX(Data_DBD!$C:$C,$A15)</f>
        <v>2</v>
      </c>
      <c r="D15" s="5" t="n">
        <f aca="false" t="array" ref="D15:D15">INDEX(Data_DBD!$D:$D,$A15)</f>
        <v>14</v>
      </c>
      <c r="E15" s="5" t="n">
        <f aca="false" t="array" ref="E15:E15">INDEX(Data_DBD!$E:$E,$A15)</f>
        <v>1</v>
      </c>
      <c r="F15" s="5" t="str">
        <f aca="false" t="array" ref="F15:F15">INDEX(Data_DBD!$F:$F,$A15)</f>
        <v>Sedang</v>
      </c>
      <c r="H15" s="5" t="n">
        <v>58</v>
      </c>
      <c r="I15" s="5" t="n">
        <v>17</v>
      </c>
      <c r="J15" s="5" t="n">
        <v>3</v>
      </c>
      <c r="K15" s="5" t="n">
        <v>15</v>
      </c>
      <c r="L15" s="5" t="n">
        <v>0</v>
      </c>
      <c r="M15" s="5" t="s">
        <v>7</v>
      </c>
    </row>
    <row r="16" customFormat="false" ht="15" hidden="false" customHeight="false" outlineLevel="0" collapsed="false">
      <c r="A16" s="5" t="n">
        <f aca="false">RANDBETWEEN(2,164)</f>
        <v>127</v>
      </c>
      <c r="B16" s="5" t="n">
        <f aca="false" t="array" ref="B16:B16">INDEX(Data_DBD!$B:$B,$A16)</f>
        <v>21</v>
      </c>
      <c r="C16" s="5" t="n">
        <f aca="false" t="array" ref="C16:C16">INDEX(Data_DBD!$C:$C,$A16)</f>
        <v>2</v>
      </c>
      <c r="D16" s="5" t="n">
        <f aca="false" t="array" ref="D16:D16">INDEX(Data_DBD!$D:$D,$A16)</f>
        <v>33</v>
      </c>
      <c r="E16" s="5" t="n">
        <f aca="false" t="array" ref="E16:E16">INDEX(Data_DBD!$E:$E,$A16)</f>
        <v>0</v>
      </c>
      <c r="F16" s="5" t="str">
        <f aca="false" t="array" ref="F16:F16">INDEX(Data_DBD!$F:$F,$A16)</f>
        <v>Tinggi</v>
      </c>
      <c r="H16" s="5" t="n">
        <v>134</v>
      </c>
      <c r="I16" s="5" t="n">
        <v>4</v>
      </c>
      <c r="J16" s="5" t="n">
        <v>2</v>
      </c>
      <c r="K16" s="5" t="n">
        <v>33</v>
      </c>
      <c r="L16" s="5" t="n">
        <v>1</v>
      </c>
      <c r="M16" s="5" t="s">
        <v>115</v>
      </c>
    </row>
    <row r="17" customFormat="false" ht="15" hidden="false" customHeight="false" outlineLevel="0" collapsed="false">
      <c r="A17" s="5" t="n">
        <f aca="false">RANDBETWEEN(2,164)</f>
        <v>115</v>
      </c>
      <c r="B17" s="5" t="n">
        <f aca="false" t="array" ref="B17:B17">INDEX(Data_DBD!$B:$B,$A17)</f>
        <v>52</v>
      </c>
      <c r="C17" s="5" t="n">
        <f aca="false" t="array" ref="C17:C17">INDEX(Data_DBD!$C:$C,$A17)</f>
        <v>3</v>
      </c>
      <c r="D17" s="5" t="n">
        <f aca="false" t="array" ref="D17:D17">INDEX(Data_DBD!$D:$D,$A17)</f>
        <v>33</v>
      </c>
      <c r="E17" s="5" t="n">
        <f aca="false" t="array" ref="E17:E17">INDEX(Data_DBD!$E:$E,$A17)</f>
        <v>1</v>
      </c>
      <c r="F17" s="5" t="str">
        <f aca="false" t="array" ref="F17:F17">INDEX(Data_DBD!$F:$F,$A17)</f>
        <v>Tinggi</v>
      </c>
      <c r="H17" s="5" t="n">
        <v>102</v>
      </c>
      <c r="I17" s="5" t="n">
        <v>41</v>
      </c>
      <c r="J17" s="5" t="n">
        <v>4</v>
      </c>
      <c r="K17" s="5" t="n">
        <v>18</v>
      </c>
      <c r="L17" s="5" t="n">
        <v>0</v>
      </c>
      <c r="M17" s="5" t="s">
        <v>7</v>
      </c>
    </row>
    <row r="18" customFormat="false" ht="15" hidden="false" customHeight="false" outlineLevel="0" collapsed="false">
      <c r="A18" s="5" t="n">
        <f aca="false">RANDBETWEEN(2,164)</f>
        <v>128</v>
      </c>
      <c r="B18" s="5" t="n">
        <f aca="false" t="array" ref="B18:B18">INDEX(Data_DBD!$B:$B,$A18)</f>
        <v>38</v>
      </c>
      <c r="C18" s="5" t="n">
        <f aca="false" t="array" ref="C18:C18">INDEX(Data_DBD!$C:$C,$A18)</f>
        <v>2</v>
      </c>
      <c r="D18" s="5" t="n">
        <f aca="false" t="array" ref="D18:D18">INDEX(Data_DBD!$D:$D,$A18)</f>
        <v>33</v>
      </c>
      <c r="E18" s="5" t="n">
        <f aca="false" t="array" ref="E18:E18">INDEX(Data_DBD!$E:$E,$A18)</f>
        <v>0</v>
      </c>
      <c r="F18" s="5" t="str">
        <f aca="false" t="array" ref="F18:F18">INDEX(Data_DBD!$F:$F,$A18)</f>
        <v>Tinggi</v>
      </c>
      <c r="H18" s="5" t="n">
        <v>60</v>
      </c>
      <c r="I18" s="5" t="n">
        <v>68</v>
      </c>
      <c r="J18" s="5" t="n">
        <v>4</v>
      </c>
      <c r="K18" s="5" t="n">
        <v>15</v>
      </c>
      <c r="L18" s="5" t="n">
        <v>0</v>
      </c>
      <c r="M18" s="5" t="s">
        <v>7</v>
      </c>
    </row>
    <row r="19" customFormat="false" ht="15" hidden="false" customHeight="false" outlineLevel="0" collapsed="false">
      <c r="A19" s="5" t="n">
        <f aca="false">RANDBETWEEN(2,164)</f>
        <v>146</v>
      </c>
      <c r="B19" s="5" t="n">
        <f aca="false" t="array" ref="B19:B19">INDEX(Data_DBD!$B:$B,$A19)</f>
        <v>34</v>
      </c>
      <c r="C19" s="5" t="n">
        <f aca="false" t="array" ref="C19:C19">INDEX(Data_DBD!$C:$C,$A19)</f>
        <v>2</v>
      </c>
      <c r="D19" s="5" t="n">
        <f aca="false" t="array" ref="D19:D19">INDEX(Data_DBD!$D:$D,$A19)</f>
        <v>21</v>
      </c>
      <c r="E19" s="5" t="n">
        <f aca="false" t="array" ref="E19:E19">INDEX(Data_DBD!$E:$E,$A19)</f>
        <v>1</v>
      </c>
      <c r="F19" s="5" t="str">
        <f aca="false" t="array" ref="F19:F19">INDEX(Data_DBD!$F:$F,$A19)</f>
        <v>Tinggi</v>
      </c>
      <c r="H19" s="5" t="n">
        <v>4</v>
      </c>
      <c r="I19" s="5" t="n">
        <v>23</v>
      </c>
      <c r="J19" s="5" t="n">
        <v>5</v>
      </c>
      <c r="K19" s="5" t="n">
        <v>12</v>
      </c>
      <c r="L19" s="5" t="n">
        <v>0</v>
      </c>
      <c r="M19" s="5" t="s">
        <v>7</v>
      </c>
    </row>
    <row r="20" customFormat="false" ht="15" hidden="false" customHeight="false" outlineLevel="0" collapsed="false">
      <c r="A20" s="5" t="n">
        <f aca="false">RANDBETWEEN(2,164)</f>
        <v>14</v>
      </c>
      <c r="B20" s="5" t="n">
        <f aca="false" t="array" ref="B20:B20">INDEX(Data_DBD!$B:$B,$A20)</f>
        <v>49</v>
      </c>
      <c r="C20" s="5" t="n">
        <f aca="false" t="array" ref="C20:C20">INDEX(Data_DBD!$C:$C,$A20)</f>
        <v>4</v>
      </c>
      <c r="D20" s="5" t="n">
        <f aca="false" t="array" ref="D20:D20">INDEX(Data_DBD!$D:$D,$A20)</f>
        <v>7</v>
      </c>
      <c r="E20" s="5" t="n">
        <f aca="false" t="array" ref="E20:E20">INDEX(Data_DBD!$E:$E,$A20)</f>
        <v>1</v>
      </c>
      <c r="F20" s="5" t="str">
        <f aca="false" t="array" ref="F20:F20">INDEX(Data_DBD!$F:$F,$A20)</f>
        <v>Rendah</v>
      </c>
      <c r="H20" s="5" t="n">
        <v>147</v>
      </c>
      <c r="I20" s="5" t="n">
        <v>66</v>
      </c>
      <c r="J20" s="5" t="n">
        <v>10</v>
      </c>
      <c r="K20" s="5" t="n">
        <v>21</v>
      </c>
      <c r="L20" s="5" t="n">
        <v>1</v>
      </c>
      <c r="M20" s="5" t="s">
        <v>115</v>
      </c>
    </row>
    <row r="21" customFormat="false" ht="15" hidden="false" customHeight="false" outlineLevel="0" collapsed="false">
      <c r="A21" s="5" t="n">
        <f aca="false">RANDBETWEEN(2,164)</f>
        <v>55</v>
      </c>
      <c r="B21" s="5" t="n">
        <f aca="false" t="array" ref="B21:B21">INDEX(Data_DBD!$B:$B,$A21)</f>
        <v>7</v>
      </c>
      <c r="C21" s="5" t="n">
        <f aca="false" t="array" ref="C21:C21">INDEX(Data_DBD!$C:$C,$A21)</f>
        <v>4</v>
      </c>
      <c r="D21" s="5" t="n">
        <f aca="false" t="array" ref="D21:D21">INDEX(Data_DBD!$D:$D,$A21)</f>
        <v>15</v>
      </c>
      <c r="E21" s="5" t="n">
        <f aca="false" t="array" ref="E21:E21">INDEX(Data_DBD!$E:$E,$A21)</f>
        <v>1</v>
      </c>
      <c r="F21" s="5" t="str">
        <f aca="false" t="array" ref="F21:F21">INDEX(Data_DBD!$F:$F,$A21)</f>
        <v>Sedang</v>
      </c>
      <c r="H21" s="5" t="n">
        <v>59</v>
      </c>
      <c r="I21" s="5" t="n">
        <v>28</v>
      </c>
      <c r="J21" s="5" t="n">
        <v>4</v>
      </c>
      <c r="K21" s="5" t="n">
        <v>15</v>
      </c>
      <c r="L21" s="5" t="n">
        <v>0</v>
      </c>
      <c r="M21" s="5" t="s">
        <v>7</v>
      </c>
    </row>
    <row r="22" customFormat="false" ht="15" hidden="false" customHeight="false" outlineLevel="0" collapsed="false">
      <c r="A22" s="5" t="n">
        <f aca="false">RANDBETWEEN(2,164)</f>
        <v>128</v>
      </c>
      <c r="B22" s="5" t="n">
        <f aca="false" t="array" ref="B22:B22">INDEX(Data_DBD!$B:$B,$A22)</f>
        <v>38</v>
      </c>
      <c r="C22" s="5" t="n">
        <f aca="false" t="array" ref="C22:C22">INDEX(Data_DBD!$C:$C,$A22)</f>
        <v>2</v>
      </c>
      <c r="D22" s="5" t="n">
        <f aca="false" t="array" ref="D22:D22">INDEX(Data_DBD!$D:$D,$A22)</f>
        <v>33</v>
      </c>
      <c r="E22" s="5" t="n">
        <f aca="false" t="array" ref="E22:E22">INDEX(Data_DBD!$E:$E,$A22)</f>
        <v>0</v>
      </c>
      <c r="F22" s="5" t="str">
        <f aca="false" t="array" ref="F22:F22">INDEX(Data_DBD!$F:$F,$A22)</f>
        <v>Tinggi</v>
      </c>
      <c r="H22" s="5" t="n">
        <v>132</v>
      </c>
      <c r="I22" s="5" t="n">
        <v>10</v>
      </c>
      <c r="J22" s="5" t="n">
        <v>3</v>
      </c>
      <c r="K22" s="5" t="n">
        <v>33</v>
      </c>
      <c r="L22" s="5" t="n">
        <v>1</v>
      </c>
      <c r="M22" s="5" t="s">
        <v>115</v>
      </c>
    </row>
    <row r="23" customFormat="false" ht="15" hidden="false" customHeight="false" outlineLevel="0" collapsed="false">
      <c r="A23" s="5" t="n">
        <f aca="false">RANDBETWEEN(2,164)</f>
        <v>132</v>
      </c>
      <c r="B23" s="5" t="n">
        <f aca="false" t="array" ref="B23:B23">INDEX(Data_DBD!$B:$B,$A23)</f>
        <v>10</v>
      </c>
      <c r="C23" s="5" t="n">
        <f aca="false" t="array" ref="C23:C23">INDEX(Data_DBD!$C:$C,$A23)</f>
        <v>3</v>
      </c>
      <c r="D23" s="5" t="n">
        <f aca="false" t="array" ref="D23:D23">INDEX(Data_DBD!$D:$D,$A23)</f>
        <v>33</v>
      </c>
      <c r="E23" s="5" t="n">
        <f aca="false" t="array" ref="E23:E23">INDEX(Data_DBD!$E:$E,$A23)</f>
        <v>1</v>
      </c>
      <c r="F23" s="5" t="str">
        <f aca="false" t="array" ref="F23:F23">INDEX(Data_DBD!$F:$F,$A23)</f>
        <v>Tinggi</v>
      </c>
      <c r="H23" s="5" t="n">
        <v>58</v>
      </c>
      <c r="I23" s="5" t="n">
        <v>17</v>
      </c>
      <c r="J23" s="5" t="n">
        <v>3</v>
      </c>
      <c r="K23" s="5" t="n">
        <v>15</v>
      </c>
      <c r="L23" s="5" t="n">
        <v>0</v>
      </c>
      <c r="M23" s="5" t="s">
        <v>7</v>
      </c>
    </row>
    <row r="24" customFormat="false" ht="15" hidden="false" customHeight="false" outlineLevel="0" collapsed="false">
      <c r="A24" s="5" t="n">
        <f aca="false">RANDBETWEEN(2,164)</f>
        <v>70</v>
      </c>
      <c r="B24" s="5" t="n">
        <f aca="false" t="array" ref="B24:B24">INDEX(Data_DBD!$B:$B,$A24)</f>
        <v>26</v>
      </c>
      <c r="C24" s="5" t="n">
        <f aca="false" t="array" ref="C24:C24">INDEX(Data_DBD!$C:$C,$A24)</f>
        <v>3</v>
      </c>
      <c r="D24" s="5" t="n">
        <f aca="false" t="array" ref="D24:D24">INDEX(Data_DBD!$D:$D,$A24)</f>
        <v>10</v>
      </c>
      <c r="E24" s="5" t="n">
        <f aca="false" t="array" ref="E24:E24">INDEX(Data_DBD!$E:$E,$A24)</f>
        <v>1</v>
      </c>
      <c r="F24" s="5" t="str">
        <f aca="false" t="array" ref="F24:F24">INDEX(Data_DBD!$F:$F,$A24)</f>
        <v>Rendah</v>
      </c>
      <c r="H24" s="5" t="n">
        <v>28</v>
      </c>
      <c r="I24" s="5" t="n">
        <v>22</v>
      </c>
      <c r="J24" s="5" t="n">
        <v>2</v>
      </c>
      <c r="K24" s="5" t="n">
        <v>14</v>
      </c>
      <c r="L24" s="5" t="n">
        <v>1</v>
      </c>
      <c r="M24" s="5" t="s">
        <v>7</v>
      </c>
    </row>
    <row r="25" customFormat="false" ht="15" hidden="false" customHeight="false" outlineLevel="0" collapsed="false">
      <c r="A25" s="5" t="n">
        <f aca="false">RANDBETWEEN(2,164)</f>
        <v>110</v>
      </c>
      <c r="B25" s="5" t="n">
        <f aca="false" t="array" ref="B25:B25">INDEX(Data_DBD!$B:$B,$A25)</f>
        <v>42</v>
      </c>
      <c r="C25" s="5" t="n">
        <f aca="false" t="array" ref="C25:C25">INDEX(Data_DBD!$C:$C,$A25)</f>
        <v>2</v>
      </c>
      <c r="D25" s="5" t="n">
        <f aca="false" t="array" ref="D25:D25">INDEX(Data_DBD!$D:$D,$A25)</f>
        <v>33</v>
      </c>
      <c r="E25" s="5" t="n">
        <f aca="false" t="array" ref="E25:E25">INDEX(Data_DBD!$E:$E,$A25)</f>
        <v>1</v>
      </c>
      <c r="F25" s="5" t="str">
        <f aca="false" t="array" ref="F25:F25">INDEX(Data_DBD!$F:$F,$A25)</f>
        <v>Tinggi</v>
      </c>
      <c r="H25" s="5" t="n">
        <v>124</v>
      </c>
      <c r="I25" s="5" t="n">
        <v>24</v>
      </c>
      <c r="J25" s="5" t="n">
        <v>3</v>
      </c>
      <c r="K25" s="5" t="n">
        <v>33</v>
      </c>
      <c r="L25" s="5" t="n">
        <v>1</v>
      </c>
      <c r="M25" s="5" t="s">
        <v>115</v>
      </c>
    </row>
    <row r="26" customFormat="false" ht="15" hidden="false" customHeight="false" outlineLevel="0" collapsed="false">
      <c r="A26" s="5" t="n">
        <f aca="false">RANDBETWEEN(2,164)</f>
        <v>150</v>
      </c>
      <c r="B26" s="5" t="n">
        <f aca="false" t="array" ref="B26:B26">INDEX(Data_DBD!$B:$B,$A26)</f>
        <v>61</v>
      </c>
      <c r="C26" s="5" t="n">
        <f aca="false" t="array" ref="C26:C26">INDEX(Data_DBD!$C:$C,$A26)</f>
        <v>5</v>
      </c>
      <c r="D26" s="5" t="n">
        <f aca="false" t="array" ref="D26:D26">INDEX(Data_DBD!$D:$D,$A26)</f>
        <v>21</v>
      </c>
      <c r="E26" s="5" t="n">
        <f aca="false" t="array" ref="E26:E26">INDEX(Data_DBD!$E:$E,$A26)</f>
        <v>1</v>
      </c>
      <c r="F26" s="5" t="str">
        <f aca="false" t="array" ref="F26:F26">INDEX(Data_DBD!$F:$F,$A26)</f>
        <v>Tinggi</v>
      </c>
      <c r="H26" s="5" t="n">
        <v>80</v>
      </c>
      <c r="I26" s="5" t="n">
        <v>27</v>
      </c>
      <c r="J26" s="5" t="n">
        <v>3</v>
      </c>
      <c r="K26" s="5" t="n">
        <v>13</v>
      </c>
      <c r="L26" s="5" t="n">
        <v>1</v>
      </c>
      <c r="M26" s="5" t="s">
        <v>7</v>
      </c>
    </row>
    <row r="27" customFormat="false" ht="15" hidden="false" customHeight="false" outlineLevel="0" collapsed="false">
      <c r="A27" s="5" t="n">
        <f aca="false">RANDBETWEEN(2,164)</f>
        <v>158</v>
      </c>
      <c r="B27" s="5" t="n">
        <f aca="false" t="array" ref="B27:B27">INDEX(Data_DBD!$B:$B,$A27)</f>
        <v>5</v>
      </c>
      <c r="C27" s="5" t="n">
        <f aca="false" t="array" ref="C27:C27">INDEX(Data_DBD!$C:$C,$A27)</f>
        <v>2</v>
      </c>
      <c r="D27" s="5" t="n">
        <f aca="false" t="array" ref="D27:D27">INDEX(Data_DBD!$D:$D,$A27)</f>
        <v>21</v>
      </c>
      <c r="E27" s="5" t="n">
        <f aca="false" t="array" ref="E27:E27">INDEX(Data_DBD!$E:$E,$A27)</f>
        <v>0</v>
      </c>
      <c r="F27" s="5" t="str">
        <f aca="false" t="array" ref="F27:F27">INDEX(Data_DBD!$F:$F,$A27)</f>
        <v>Tinggi</v>
      </c>
      <c r="H27" s="5" t="n">
        <v>42</v>
      </c>
      <c r="I27" s="5" t="n">
        <v>21</v>
      </c>
      <c r="J27" s="5" t="n">
        <v>5</v>
      </c>
      <c r="K27" s="5" t="n">
        <v>13</v>
      </c>
      <c r="L27" s="5" t="n">
        <v>1</v>
      </c>
      <c r="M27" s="5" t="s">
        <v>7</v>
      </c>
    </row>
    <row r="28" customFormat="false" ht="15" hidden="false" customHeight="false" outlineLevel="0" collapsed="false">
      <c r="A28" s="5" t="n">
        <f aca="false">RANDBETWEEN(2,164)</f>
        <v>48</v>
      </c>
      <c r="B28" s="5" t="n">
        <f aca="false" t="array" ref="B28:B28">INDEX(Data_DBD!$B:$B,$A28)</f>
        <v>50</v>
      </c>
      <c r="C28" s="5" t="n">
        <f aca="false" t="array" ref="C28:C28">INDEX(Data_DBD!$C:$C,$A28)</f>
        <v>5</v>
      </c>
      <c r="D28" s="5" t="n">
        <f aca="false" t="array" ref="D28:D28">INDEX(Data_DBD!$D:$D,$A28)</f>
        <v>13</v>
      </c>
      <c r="E28" s="5" t="n">
        <f aca="false" t="array" ref="E28:E28">INDEX(Data_DBD!$E:$E,$A28)</f>
        <v>1</v>
      </c>
      <c r="F28" s="5" t="str">
        <f aca="false" t="array" ref="F28:F28">INDEX(Data_DBD!$F:$F,$A28)</f>
        <v>Sedang</v>
      </c>
      <c r="H28" s="5" t="n">
        <v>18</v>
      </c>
      <c r="I28" s="5" t="n">
        <v>49</v>
      </c>
      <c r="J28" s="5" t="n">
        <v>4</v>
      </c>
      <c r="K28" s="5" t="n">
        <v>7</v>
      </c>
      <c r="L28" s="5" t="n">
        <v>1</v>
      </c>
      <c r="M28" s="5" t="s">
        <v>20</v>
      </c>
    </row>
    <row r="29" customFormat="false" ht="15" hidden="false" customHeight="false" outlineLevel="0" collapsed="false">
      <c r="A29" s="5" t="n">
        <f aca="false">RANDBETWEEN(2,164)</f>
        <v>96</v>
      </c>
      <c r="B29" s="5" t="n">
        <f aca="false" t="array" ref="B29:B29">INDEX(Data_DBD!$B:$B,$A29)</f>
        <v>56</v>
      </c>
      <c r="C29" s="5" t="n">
        <f aca="false" t="array" ref="C29:C29">INDEX(Data_DBD!$C:$C,$A29)</f>
        <v>4</v>
      </c>
      <c r="D29" s="5" t="n">
        <f aca="false" t="array" ref="D29:D29">INDEX(Data_DBD!$D:$D,$A29)</f>
        <v>18</v>
      </c>
      <c r="E29" s="5" t="n">
        <f aca="false" t="array" ref="E29:E29">INDEX(Data_DBD!$E:$E,$A29)</f>
        <v>0</v>
      </c>
      <c r="F29" s="5" t="str">
        <f aca="false" t="array" ref="F29:F29">INDEX(Data_DBD!$F:$F,$A29)</f>
        <v>Sedang</v>
      </c>
      <c r="H29" s="5" t="n">
        <v>117</v>
      </c>
      <c r="I29" s="5" t="n">
        <v>49</v>
      </c>
      <c r="J29" s="5" t="n">
        <v>4</v>
      </c>
      <c r="K29" s="5" t="n">
        <v>33</v>
      </c>
      <c r="L29" s="5" t="n">
        <v>1</v>
      </c>
      <c r="M29" s="5" t="s">
        <v>115</v>
      </c>
    </row>
    <row r="30" customFormat="false" ht="15" hidden="false" customHeight="false" outlineLevel="0" collapsed="false">
      <c r="A30" s="5" t="n">
        <f aca="false">RANDBETWEEN(2,164)</f>
        <v>105</v>
      </c>
      <c r="B30" s="5" t="n">
        <f aca="false" t="array" ref="B30:B30">INDEX(Data_DBD!$B:$B,$A30)</f>
        <v>61</v>
      </c>
      <c r="C30" s="5" t="n">
        <f aca="false" t="array" ref="C30:C30">INDEX(Data_DBD!$C:$C,$A30)</f>
        <v>3</v>
      </c>
      <c r="D30" s="5" t="n">
        <f aca="false" t="array" ref="D30:D30">INDEX(Data_DBD!$D:$D,$A30)</f>
        <v>18</v>
      </c>
      <c r="E30" s="5" t="n">
        <f aca="false" t="array" ref="E30:E30">INDEX(Data_DBD!$E:$E,$A30)</f>
        <v>1</v>
      </c>
      <c r="F30" s="5" t="str">
        <f aca="false" t="array" ref="F30:F30">INDEX(Data_DBD!$F:$F,$A30)</f>
        <v>Sedang</v>
      </c>
      <c r="H30" s="5" t="n">
        <v>49</v>
      </c>
      <c r="I30" s="5" t="n">
        <v>64</v>
      </c>
      <c r="J30" s="5" t="n">
        <v>5</v>
      </c>
      <c r="K30" s="5" t="n">
        <v>13</v>
      </c>
      <c r="L30" s="5" t="n">
        <v>0</v>
      </c>
      <c r="M30" s="5" t="s">
        <v>7</v>
      </c>
    </row>
    <row r="31" customFormat="false" ht="15" hidden="false" customHeight="false" outlineLevel="0" collapsed="false">
      <c r="A31" s="5" t="n">
        <f aca="false">RANDBETWEEN(2,164)</f>
        <v>69</v>
      </c>
      <c r="B31" s="5" t="n">
        <f aca="false" t="array" ref="B31:B31">INDEX(Data_DBD!$B:$B,$A31)</f>
        <v>24</v>
      </c>
      <c r="C31" s="5" t="n">
        <f aca="false" t="array" ref="C31:C31">INDEX(Data_DBD!$C:$C,$A31)</f>
        <v>4</v>
      </c>
      <c r="D31" s="5" t="n">
        <f aca="false" t="array" ref="D31:D31">INDEX(Data_DBD!$D:$D,$A31)</f>
        <v>10</v>
      </c>
      <c r="E31" s="5" t="n">
        <f aca="false" t="array" ref="E31:E31">INDEX(Data_DBD!$E:$E,$A31)</f>
        <v>1</v>
      </c>
      <c r="F31" s="5" t="str">
        <f aca="false" t="array" ref="F31:F31">INDEX(Data_DBD!$F:$F,$A31)</f>
        <v>Rendah</v>
      </c>
      <c r="H31" s="5" t="n">
        <v>8</v>
      </c>
      <c r="I31" s="5" t="n">
        <v>4</v>
      </c>
      <c r="J31" s="5" t="n">
        <v>2</v>
      </c>
      <c r="K31" s="5" t="n">
        <v>12</v>
      </c>
      <c r="L31" s="5" t="n">
        <v>0</v>
      </c>
      <c r="M31" s="5" t="s">
        <v>7</v>
      </c>
    </row>
    <row r="32" customFormat="false" ht="15" hidden="false" customHeight="false" outlineLevel="0" collapsed="false">
      <c r="A32" s="5" t="n">
        <f aca="false">RANDBETWEEN(2,164)</f>
        <v>24</v>
      </c>
      <c r="B32" s="5" t="n">
        <f aca="false" t="array" ref="B32:B32">INDEX(Data_DBD!$B:$B,$A32)</f>
        <v>60</v>
      </c>
      <c r="C32" s="5" t="n">
        <f aca="false" t="array" ref="C32:C32">INDEX(Data_DBD!$C:$C,$A32)</f>
        <v>4</v>
      </c>
      <c r="D32" s="5" t="n">
        <f aca="false" t="array" ref="D32:D32">INDEX(Data_DBD!$D:$D,$A32)</f>
        <v>14</v>
      </c>
      <c r="E32" s="5" t="n">
        <f aca="false" t="array" ref="E32:E32">INDEX(Data_DBD!$E:$E,$A32)</f>
        <v>0</v>
      </c>
      <c r="F32" s="5" t="str">
        <f aca="false" t="array" ref="F32:F32">INDEX(Data_DBD!$F:$F,$A32)</f>
        <v>Sedang</v>
      </c>
      <c r="H32" s="5" t="n">
        <v>31</v>
      </c>
      <c r="I32" s="5" t="n">
        <v>64</v>
      </c>
      <c r="J32" s="5" t="n">
        <v>4</v>
      </c>
      <c r="K32" s="5" t="n">
        <v>14</v>
      </c>
      <c r="L32" s="5" t="n">
        <v>1</v>
      </c>
      <c r="M32" s="5" t="s">
        <v>7</v>
      </c>
    </row>
    <row r="33" customFormat="false" ht="15" hidden="false" customHeight="false" outlineLevel="0" collapsed="false">
      <c r="A33" s="5" t="n">
        <f aca="false">RANDBETWEEN(2,164)</f>
        <v>111</v>
      </c>
      <c r="B33" s="5" t="n">
        <f aca="false" t="array" ref="B33:B33">INDEX(Data_DBD!$B:$B,$A33)</f>
        <v>25</v>
      </c>
      <c r="C33" s="5" t="n">
        <f aca="false" t="array" ref="C33:C33">INDEX(Data_DBD!$C:$C,$A33)</f>
        <v>4</v>
      </c>
      <c r="D33" s="5" t="n">
        <f aca="false" t="array" ref="D33:D33">INDEX(Data_DBD!$D:$D,$A33)</f>
        <v>33</v>
      </c>
      <c r="E33" s="5" t="n">
        <f aca="false" t="array" ref="E33:E33">INDEX(Data_DBD!$E:$E,$A33)</f>
        <v>0</v>
      </c>
      <c r="F33" s="5" t="str">
        <f aca="false" t="array" ref="F33:F33">INDEX(Data_DBD!$F:$F,$A33)</f>
        <v>Tinggi</v>
      </c>
      <c r="H33" s="5" t="n">
        <v>6</v>
      </c>
      <c r="I33" s="5" t="n">
        <v>14</v>
      </c>
      <c r="J33" s="5" t="n">
        <v>4</v>
      </c>
      <c r="K33" s="5" t="n">
        <v>12</v>
      </c>
      <c r="L33" s="5" t="n">
        <v>0</v>
      </c>
      <c r="M33" s="5" t="s">
        <v>7</v>
      </c>
    </row>
    <row r="34" customFormat="false" ht="15" hidden="false" customHeight="false" outlineLevel="0" collapsed="false">
      <c r="A34" s="5" t="n">
        <f aca="false">RANDBETWEEN(2,164)</f>
        <v>119</v>
      </c>
      <c r="B34" s="5" t="n">
        <f aca="false" t="array" ref="B34:B34">INDEX(Data_DBD!$B:$B,$A34)</f>
        <v>30</v>
      </c>
      <c r="C34" s="5" t="n">
        <f aca="false" t="array" ref="C34:C34">INDEX(Data_DBD!$C:$C,$A34)</f>
        <v>7</v>
      </c>
      <c r="D34" s="5" t="n">
        <f aca="false" t="array" ref="D34:D34">INDEX(Data_DBD!$D:$D,$A34)</f>
        <v>33</v>
      </c>
      <c r="E34" s="5" t="n">
        <f aca="false" t="array" ref="E34:E34">INDEX(Data_DBD!$E:$E,$A34)</f>
        <v>0</v>
      </c>
      <c r="F34" s="5" t="str">
        <f aca="false" t="array" ref="F34:F34">INDEX(Data_DBD!$F:$F,$A34)</f>
        <v>Tinggi</v>
      </c>
      <c r="H34" s="5" t="n">
        <v>74</v>
      </c>
      <c r="I34" s="5" t="n">
        <v>9</v>
      </c>
      <c r="J34" s="5" t="n">
        <v>4</v>
      </c>
      <c r="K34" s="5" t="n">
        <v>10</v>
      </c>
      <c r="L34" s="5" t="n">
        <v>0</v>
      </c>
      <c r="M34" s="5" t="s">
        <v>20</v>
      </c>
    </row>
    <row r="35" customFormat="false" ht="15" hidden="false" customHeight="false" outlineLevel="0" collapsed="false">
      <c r="A35" s="5" t="n">
        <f aca="false">RANDBETWEEN(2,164)</f>
        <v>74</v>
      </c>
      <c r="B35" s="5" t="n">
        <f aca="false" t="array" ref="B35:B35">INDEX(Data_DBD!$B:$B,$A35)</f>
        <v>9</v>
      </c>
      <c r="C35" s="5" t="n">
        <f aca="false" t="array" ref="C35:C35">INDEX(Data_DBD!$C:$C,$A35)</f>
        <v>4</v>
      </c>
      <c r="D35" s="5" t="n">
        <f aca="false" t="array" ref="D35:D35">INDEX(Data_DBD!$D:$D,$A35)</f>
        <v>10</v>
      </c>
      <c r="E35" s="5" t="n">
        <f aca="false" t="array" ref="E35:E35">INDEX(Data_DBD!$E:$E,$A35)</f>
        <v>0</v>
      </c>
      <c r="F35" s="5" t="str">
        <f aca="false" t="array" ref="F35:F35">INDEX(Data_DBD!$F:$F,$A35)</f>
        <v>Rendah</v>
      </c>
      <c r="H35" s="5" t="n">
        <v>39</v>
      </c>
      <c r="I35" s="5" t="n">
        <v>12</v>
      </c>
      <c r="J35" s="5" t="n">
        <v>5</v>
      </c>
      <c r="K35" s="5" t="n">
        <v>13</v>
      </c>
      <c r="L35" s="5" t="n">
        <v>1</v>
      </c>
      <c r="M35" s="5" t="s">
        <v>7</v>
      </c>
    </row>
    <row r="36" customFormat="false" ht="15" hidden="false" customHeight="false" outlineLevel="0" collapsed="false">
      <c r="A36" s="5" t="n">
        <f aca="false">RANDBETWEEN(2,164)</f>
        <v>97</v>
      </c>
      <c r="B36" s="5" t="n">
        <f aca="false" t="array" ref="B36:B36">INDEX(Data_DBD!$B:$B,$A36)</f>
        <v>16</v>
      </c>
      <c r="C36" s="5" t="n">
        <f aca="false" t="array" ref="C36:C36">INDEX(Data_DBD!$C:$C,$A36)</f>
        <v>2</v>
      </c>
      <c r="D36" s="5" t="n">
        <f aca="false" t="array" ref="D36:D36">INDEX(Data_DBD!$D:$D,$A36)</f>
        <v>18</v>
      </c>
      <c r="E36" s="5" t="n">
        <f aca="false" t="array" ref="E36:E36">INDEX(Data_DBD!$E:$E,$A36)</f>
        <v>1</v>
      </c>
      <c r="F36" s="5" t="str">
        <f aca="false" t="array" ref="F36:F36">INDEX(Data_DBD!$F:$F,$A36)</f>
        <v>Sedang</v>
      </c>
      <c r="H36" s="5" t="n">
        <v>76</v>
      </c>
      <c r="I36" s="5" t="n">
        <v>70</v>
      </c>
      <c r="J36" s="5" t="n">
        <v>2</v>
      </c>
      <c r="K36" s="5" t="n">
        <v>10</v>
      </c>
      <c r="L36" s="5" t="n">
        <v>0</v>
      </c>
      <c r="M36" s="5" t="s">
        <v>20</v>
      </c>
    </row>
    <row r="37" customFormat="false" ht="15" hidden="false" customHeight="false" outlineLevel="0" collapsed="false">
      <c r="A37" s="5" t="n">
        <f aca="false">RANDBETWEEN(2,164)</f>
        <v>57</v>
      </c>
      <c r="B37" s="5" t="n">
        <f aca="false" t="array" ref="B37:B37">INDEX(Data_DBD!$B:$B,$A37)</f>
        <v>2</v>
      </c>
      <c r="C37" s="5" t="n">
        <f aca="false" t="array" ref="C37:C37">INDEX(Data_DBD!$C:$C,$A37)</f>
        <v>2</v>
      </c>
      <c r="D37" s="5" t="n">
        <f aca="false" t="array" ref="D37:D37">INDEX(Data_DBD!$D:$D,$A37)</f>
        <v>15</v>
      </c>
      <c r="E37" s="5" t="n">
        <f aca="false" t="array" ref="E37:E37">INDEX(Data_DBD!$E:$E,$A37)</f>
        <v>1</v>
      </c>
      <c r="F37" s="5" t="str">
        <f aca="false" t="array" ref="F37:F37">INDEX(Data_DBD!$F:$F,$A37)</f>
        <v>Sedang</v>
      </c>
      <c r="H37" s="5" t="n">
        <v>36</v>
      </c>
      <c r="I37" s="5" t="n">
        <v>27</v>
      </c>
      <c r="J37" s="5" t="n">
        <v>1</v>
      </c>
      <c r="K37" s="5" t="n">
        <v>4</v>
      </c>
      <c r="L37" s="5" t="n">
        <v>1</v>
      </c>
      <c r="M37" s="5" t="s">
        <v>20</v>
      </c>
    </row>
    <row r="38" customFormat="false" ht="15" hidden="false" customHeight="false" outlineLevel="0" collapsed="false">
      <c r="A38" s="5" t="n">
        <f aca="false">RANDBETWEEN(2,164)</f>
        <v>32</v>
      </c>
      <c r="B38" s="5" t="n">
        <f aca="false" t="array" ref="B38:B38">INDEX(Data_DBD!$B:$B,$A38)</f>
        <v>54</v>
      </c>
      <c r="C38" s="5" t="n">
        <f aca="false" t="array" ref="C38:C38">INDEX(Data_DBD!$C:$C,$A38)</f>
        <v>4</v>
      </c>
      <c r="D38" s="5" t="n">
        <f aca="false" t="array" ref="D38:D38">INDEX(Data_DBD!$D:$D,$A38)</f>
        <v>14</v>
      </c>
      <c r="E38" s="5" t="n">
        <f aca="false" t="array" ref="E38:E38">INDEX(Data_DBD!$E:$E,$A38)</f>
        <v>0</v>
      </c>
      <c r="F38" s="5" t="str">
        <f aca="false" t="array" ref="F38:F38">INDEX(Data_DBD!$F:$F,$A38)</f>
        <v>Sedang</v>
      </c>
      <c r="H38" s="5" t="n">
        <v>9</v>
      </c>
      <c r="I38" s="5" t="n">
        <v>16</v>
      </c>
      <c r="J38" s="5" t="n">
        <v>6</v>
      </c>
      <c r="K38" s="5" t="n">
        <v>12</v>
      </c>
      <c r="L38" s="5" t="n">
        <v>1</v>
      </c>
      <c r="M38" s="5" t="s">
        <v>7</v>
      </c>
    </row>
    <row r="39" customFormat="false" ht="15" hidden="false" customHeight="false" outlineLevel="0" collapsed="false">
      <c r="A39" s="5" t="n">
        <f aca="false">RANDBETWEEN(2,164)</f>
        <v>153</v>
      </c>
      <c r="B39" s="5" t="n">
        <f aca="false" t="array" ref="B39:B39">INDEX(Data_DBD!$B:$B,$A39)</f>
        <v>73</v>
      </c>
      <c r="C39" s="5" t="n">
        <f aca="false" t="array" ref="C39:C39">INDEX(Data_DBD!$C:$C,$A39)</f>
        <v>7</v>
      </c>
      <c r="D39" s="5" t="n">
        <f aca="false" t="array" ref="D39:D39">INDEX(Data_DBD!$D:$D,$A39)</f>
        <v>21</v>
      </c>
      <c r="E39" s="5" t="n">
        <f aca="false" t="array" ref="E39:E39">INDEX(Data_DBD!$E:$E,$A39)</f>
        <v>1</v>
      </c>
      <c r="F39" s="5" t="str">
        <f aca="false" t="array" ref="F39:F39">INDEX(Data_DBD!$F:$F,$A39)</f>
        <v>Tinggi</v>
      </c>
      <c r="H39" s="5" t="n">
        <v>71</v>
      </c>
      <c r="I39" s="5" t="n">
        <v>84</v>
      </c>
      <c r="J39" s="5" t="n">
        <v>3</v>
      </c>
      <c r="K39" s="5" t="n">
        <v>10</v>
      </c>
      <c r="L39" s="5" t="n">
        <v>0</v>
      </c>
      <c r="M39" s="5" t="s">
        <v>20</v>
      </c>
    </row>
    <row r="40" customFormat="false" ht="15" hidden="false" customHeight="false" outlineLevel="0" collapsed="false">
      <c r="A40" s="5" t="n">
        <f aca="false">RANDBETWEEN(2,164)</f>
        <v>88</v>
      </c>
      <c r="B40" s="5" t="n">
        <f aca="false" t="array" ref="B40:B40">INDEX(Data_DBD!$B:$B,$A40)</f>
        <v>20</v>
      </c>
      <c r="C40" s="5" t="n">
        <f aca="false" t="array" ref="C40:C40">INDEX(Data_DBD!$C:$C,$A40)</f>
        <v>4</v>
      </c>
      <c r="D40" s="5" t="n">
        <f aca="false" t="array" ref="D40:D40">INDEX(Data_DBD!$D:$D,$A40)</f>
        <v>13</v>
      </c>
      <c r="E40" s="5" t="n">
        <f aca="false" t="array" ref="E40:E40">INDEX(Data_DBD!$E:$E,$A40)</f>
        <v>1</v>
      </c>
      <c r="F40" s="5" t="str">
        <f aca="false" t="array" ref="F40:F40">INDEX(Data_DBD!$F:$F,$A40)</f>
        <v>Sedang</v>
      </c>
      <c r="H40" s="5" t="n">
        <v>104</v>
      </c>
      <c r="I40" s="5" t="n">
        <v>37</v>
      </c>
      <c r="J40" s="5" t="n">
        <v>4</v>
      </c>
      <c r="K40" s="5" t="n">
        <v>18</v>
      </c>
      <c r="L40" s="5" t="n">
        <v>1</v>
      </c>
      <c r="M40" s="5" t="s">
        <v>7</v>
      </c>
    </row>
    <row r="41" customFormat="false" ht="15" hidden="false" customHeight="false" outlineLevel="0" collapsed="false">
      <c r="A41" s="5" t="n">
        <f aca="false">RANDBETWEEN(2,164)</f>
        <v>91</v>
      </c>
      <c r="B41" s="5" t="n">
        <f aca="false" t="array" ref="B41:B41">INDEX(Data_DBD!$B:$B,$A41)</f>
        <v>35</v>
      </c>
      <c r="C41" s="5" t="n">
        <f aca="false" t="array" ref="C41:C41">INDEX(Data_DBD!$C:$C,$A41)</f>
        <v>1</v>
      </c>
      <c r="D41" s="5" t="n">
        <f aca="false" t="array" ref="D41:D41">INDEX(Data_DBD!$D:$D,$A41)</f>
        <v>18</v>
      </c>
      <c r="E41" s="5" t="n">
        <f aca="false" t="array" ref="E41:E41">INDEX(Data_DBD!$E:$E,$A41)</f>
        <v>1</v>
      </c>
      <c r="F41" s="5" t="str">
        <f aca="false" t="array" ref="F41:F41">INDEX(Data_DBD!$F:$F,$A41)</f>
        <v>Sedang</v>
      </c>
      <c r="H41" s="5" t="n">
        <v>89</v>
      </c>
      <c r="I41" s="5" t="n">
        <v>32</v>
      </c>
      <c r="J41" s="5" t="n">
        <v>4</v>
      </c>
      <c r="K41" s="5" t="n">
        <v>13</v>
      </c>
      <c r="L41" s="5" t="n">
        <v>0</v>
      </c>
      <c r="M41" s="5" t="s">
        <v>7</v>
      </c>
    </row>
    <row r="42" customFormat="false" ht="15" hidden="false" customHeight="false" outlineLevel="0" collapsed="false">
      <c r="A42" s="5" t="n">
        <f aca="false">RANDBETWEEN(2,164)</f>
        <v>43</v>
      </c>
      <c r="B42" s="5" t="n">
        <f aca="false" t="array" ref="B42:B42">INDEX(Data_DBD!$B:$B,$A42)</f>
        <v>15</v>
      </c>
      <c r="C42" s="5" t="n">
        <f aca="false" t="array" ref="C42:C42">INDEX(Data_DBD!$C:$C,$A42)</f>
        <v>4</v>
      </c>
      <c r="D42" s="5" t="n">
        <f aca="false" t="array" ref="D42:D42">INDEX(Data_DBD!$D:$D,$A42)</f>
        <v>13</v>
      </c>
      <c r="E42" s="5" t="n">
        <f aca="false" t="array" ref="E42:E42">INDEX(Data_DBD!$E:$E,$A42)</f>
        <v>0</v>
      </c>
      <c r="F42" s="5" t="str">
        <f aca="false" t="array" ref="F42:F42">INDEX(Data_DBD!$F:$F,$A42)</f>
        <v>Sedang</v>
      </c>
      <c r="H42" s="5" t="n">
        <v>143</v>
      </c>
      <c r="I42" s="5" t="n">
        <v>20</v>
      </c>
      <c r="J42" s="5" t="n">
        <v>4</v>
      </c>
      <c r="K42" s="5" t="n">
        <v>21</v>
      </c>
      <c r="L42" s="5" t="n">
        <v>1</v>
      </c>
      <c r="M42" s="5" t="s">
        <v>115</v>
      </c>
    </row>
    <row r="43" customFormat="false" ht="15" hidden="false" customHeight="false" outlineLevel="0" collapsed="false">
      <c r="A43" s="5" t="n">
        <f aca="false">RANDBETWEEN(2,164)</f>
        <v>108</v>
      </c>
      <c r="B43" s="5" t="n">
        <f aca="false" t="array" ref="B43:B43">INDEX(Data_DBD!$B:$B,$A43)</f>
        <v>69</v>
      </c>
      <c r="C43" s="5" t="n">
        <f aca="false" t="array" ref="C43:C43">INDEX(Data_DBD!$C:$C,$A43)</f>
        <v>7</v>
      </c>
      <c r="D43" s="5" t="n">
        <f aca="false" t="array" ref="D43:D43">INDEX(Data_DBD!$D:$D,$A43)</f>
        <v>33</v>
      </c>
      <c r="E43" s="5" t="n">
        <f aca="false" t="array" ref="E43:E43">INDEX(Data_DBD!$E:$E,$A43)</f>
        <v>1</v>
      </c>
      <c r="F43" s="5" t="str">
        <f aca="false" t="array" ref="F43:F43">INDEX(Data_DBD!$F:$F,$A43)</f>
        <v>Tinggi</v>
      </c>
      <c r="H43" s="5" t="n">
        <v>122</v>
      </c>
      <c r="I43" s="5" t="n">
        <v>28</v>
      </c>
      <c r="J43" s="5" t="n">
        <v>3</v>
      </c>
      <c r="K43" s="5" t="n">
        <v>33</v>
      </c>
      <c r="L43" s="5" t="n">
        <v>1</v>
      </c>
      <c r="M43" s="5" t="s">
        <v>115</v>
      </c>
    </row>
    <row r="44" customFormat="false" ht="15" hidden="false" customHeight="false" outlineLevel="0" collapsed="false">
      <c r="A44" s="5" t="n">
        <f aca="false">RANDBETWEEN(2,164)</f>
        <v>62</v>
      </c>
      <c r="B44" s="5" t="n">
        <f aca="false" t="array" ref="B44:B44">INDEX(Data_DBD!$B:$B,$A44)</f>
        <v>43</v>
      </c>
      <c r="C44" s="5" t="n">
        <f aca="false" t="array" ref="C44:C44">INDEX(Data_DBD!$C:$C,$A44)</f>
        <v>4</v>
      </c>
      <c r="D44" s="5" t="n">
        <f aca="false" t="array" ref="D44:D44">INDEX(Data_DBD!$D:$D,$A44)</f>
        <v>15</v>
      </c>
      <c r="E44" s="5" t="n">
        <f aca="false" t="array" ref="E44:E44">INDEX(Data_DBD!$E:$E,$A44)</f>
        <v>1</v>
      </c>
      <c r="F44" s="5" t="str">
        <f aca="false" t="array" ref="F44:F44">INDEX(Data_DBD!$F:$F,$A44)</f>
        <v>Sedang</v>
      </c>
      <c r="H44" s="5" t="n">
        <v>19</v>
      </c>
      <c r="I44" s="5" t="n">
        <v>8</v>
      </c>
      <c r="J44" s="5" t="n">
        <v>4</v>
      </c>
      <c r="K44" s="5" t="n">
        <v>7</v>
      </c>
      <c r="L44" s="5" t="n">
        <v>0</v>
      </c>
      <c r="M44" s="5" t="s">
        <v>20</v>
      </c>
    </row>
    <row r="45" customFormat="false" ht="15" hidden="false" customHeight="false" outlineLevel="0" collapsed="false">
      <c r="A45" s="5" t="n">
        <f aca="false">RANDBETWEEN(2,164)</f>
        <v>101</v>
      </c>
      <c r="B45" s="5" t="n">
        <f aca="false" t="array" ref="B45:B45">INDEX(Data_DBD!$B:$B,$A45)</f>
        <v>42</v>
      </c>
      <c r="C45" s="5" t="n">
        <f aca="false" t="array" ref="C45:C45">INDEX(Data_DBD!$C:$C,$A45)</f>
        <v>5</v>
      </c>
      <c r="D45" s="5" t="n">
        <f aca="false" t="array" ref="D45:D45">INDEX(Data_DBD!$D:$D,$A45)</f>
        <v>18</v>
      </c>
      <c r="E45" s="5" t="n">
        <f aca="false" t="array" ref="E45:E45">INDEX(Data_DBD!$E:$E,$A45)</f>
        <v>0</v>
      </c>
      <c r="F45" s="5" t="str">
        <f aca="false" t="array" ref="F45:F45">INDEX(Data_DBD!$F:$F,$A45)</f>
        <v>Sedang</v>
      </c>
      <c r="H45" s="5" t="n">
        <v>33</v>
      </c>
      <c r="I45" s="5" t="n">
        <v>19</v>
      </c>
      <c r="J45" s="5" t="n">
        <v>4</v>
      </c>
      <c r="K45" s="5" t="n">
        <v>14</v>
      </c>
      <c r="L45" s="5" t="n">
        <v>1</v>
      </c>
      <c r="M45" s="5" t="s">
        <v>7</v>
      </c>
    </row>
    <row r="46" customFormat="false" ht="15" hidden="false" customHeight="false" outlineLevel="0" collapsed="false">
      <c r="A46" s="5" t="n">
        <f aca="false">RANDBETWEEN(2,164)</f>
        <v>97</v>
      </c>
      <c r="B46" s="5" t="n">
        <f aca="false" t="array" ref="B46:B46">INDEX(Data_DBD!$B:$B,$A46)</f>
        <v>16</v>
      </c>
      <c r="C46" s="5" t="n">
        <f aca="false" t="array" ref="C46:C46">INDEX(Data_DBD!$C:$C,$A46)</f>
        <v>2</v>
      </c>
      <c r="D46" s="5" t="n">
        <f aca="false" t="array" ref="D46:D46">INDEX(Data_DBD!$D:$D,$A46)</f>
        <v>18</v>
      </c>
      <c r="E46" s="5" t="n">
        <f aca="false" t="array" ref="E46:E46">INDEX(Data_DBD!$E:$E,$A46)</f>
        <v>1</v>
      </c>
      <c r="F46" s="5" t="str">
        <f aca="false" t="array" ref="F46:F46">INDEX(Data_DBD!$F:$F,$A46)</f>
        <v>Sedang</v>
      </c>
      <c r="H46" s="5" t="n">
        <v>43</v>
      </c>
      <c r="I46" s="5" t="n">
        <v>15</v>
      </c>
      <c r="J46" s="5" t="n">
        <v>4</v>
      </c>
      <c r="K46" s="5" t="n">
        <v>13</v>
      </c>
      <c r="L46" s="5" t="n">
        <v>0</v>
      </c>
      <c r="M46" s="5" t="s">
        <v>7</v>
      </c>
    </row>
    <row r="47" customFormat="false" ht="15" hidden="false" customHeight="false" outlineLevel="0" collapsed="false">
      <c r="A47" s="5" t="n">
        <f aca="false">RANDBETWEEN(2,164)</f>
        <v>44</v>
      </c>
      <c r="B47" s="5" t="n">
        <f aca="false" t="array" ref="B47:B47">INDEX(Data_DBD!$B:$B,$A47)</f>
        <v>28</v>
      </c>
      <c r="C47" s="5" t="n">
        <f aca="false" t="array" ref="C47:C47">INDEX(Data_DBD!$C:$C,$A47)</f>
        <v>5</v>
      </c>
      <c r="D47" s="5" t="n">
        <f aca="false" t="array" ref="D47:D47">INDEX(Data_DBD!$D:$D,$A47)</f>
        <v>13</v>
      </c>
      <c r="E47" s="5" t="n">
        <f aca="false" t="array" ref="E47:E47">INDEX(Data_DBD!$E:$E,$A47)</f>
        <v>1</v>
      </c>
      <c r="F47" s="5" t="str">
        <f aca="false" t="array" ref="F47:F47">INDEX(Data_DBD!$F:$F,$A47)</f>
        <v>Sedang</v>
      </c>
      <c r="H47" s="5" t="n">
        <v>35</v>
      </c>
      <c r="I47" s="5" t="n">
        <v>40</v>
      </c>
      <c r="J47" s="5" t="n">
        <v>3</v>
      </c>
      <c r="K47" s="5" t="n">
        <v>4</v>
      </c>
      <c r="L47" s="5" t="n">
        <v>1</v>
      </c>
      <c r="M47" s="5" t="s">
        <v>20</v>
      </c>
    </row>
    <row r="48" customFormat="false" ht="15" hidden="false" customHeight="false" outlineLevel="0" collapsed="false">
      <c r="A48" s="5" t="n">
        <f aca="false">RANDBETWEEN(2,164)</f>
        <v>46</v>
      </c>
      <c r="B48" s="5" t="n">
        <f aca="false" t="array" ref="B48:B48">INDEX(Data_DBD!$B:$B,$A48)</f>
        <v>62</v>
      </c>
      <c r="C48" s="5" t="n">
        <f aca="false" t="array" ref="C48:C48">INDEX(Data_DBD!$C:$C,$A48)</f>
        <v>2</v>
      </c>
      <c r="D48" s="5" t="n">
        <f aca="false" t="array" ref="D48:D48">INDEX(Data_DBD!$D:$D,$A48)</f>
        <v>13</v>
      </c>
      <c r="E48" s="5" t="n">
        <f aca="false" t="array" ref="E48:E48">INDEX(Data_DBD!$E:$E,$A48)</f>
        <v>0</v>
      </c>
      <c r="F48" s="5" t="str">
        <f aca="false" t="array" ref="F48:F48">INDEX(Data_DBD!$F:$F,$A48)</f>
        <v>Sedang</v>
      </c>
      <c r="H48" s="5" t="n">
        <v>58</v>
      </c>
      <c r="I48" s="5" t="n">
        <v>17</v>
      </c>
      <c r="J48" s="5" t="n">
        <v>3</v>
      </c>
      <c r="K48" s="5" t="n">
        <v>15</v>
      </c>
      <c r="L48" s="5" t="n">
        <v>0</v>
      </c>
      <c r="M48" s="5" t="s">
        <v>7</v>
      </c>
    </row>
    <row r="49" customFormat="false" ht="15" hidden="false" customHeight="false" outlineLevel="0" collapsed="false">
      <c r="A49" s="5" t="n">
        <f aca="false">RANDBETWEEN(2,164)</f>
        <v>93</v>
      </c>
      <c r="B49" s="5" t="n">
        <f aca="false" t="array" ref="B49:B49">INDEX(Data_DBD!$B:$B,$A49)</f>
        <v>65</v>
      </c>
      <c r="C49" s="5" t="n">
        <f aca="false" t="array" ref="C49:C49">INDEX(Data_DBD!$C:$C,$A49)</f>
        <v>4</v>
      </c>
      <c r="D49" s="5" t="n">
        <f aca="false" t="array" ref="D49:D49">INDEX(Data_DBD!$D:$D,$A49)</f>
        <v>18</v>
      </c>
      <c r="E49" s="5" t="n">
        <f aca="false" t="array" ref="E49:E49">INDEX(Data_DBD!$E:$E,$A49)</f>
        <v>0</v>
      </c>
      <c r="F49" s="5" t="str">
        <f aca="false" t="array" ref="F49:F49">INDEX(Data_DBD!$F:$F,$A49)</f>
        <v>Sedang</v>
      </c>
      <c r="H49" s="5" t="n">
        <v>116</v>
      </c>
      <c r="I49" s="5" t="n">
        <v>32</v>
      </c>
      <c r="J49" s="5" t="n">
        <v>4</v>
      </c>
      <c r="K49" s="5" t="n">
        <v>33</v>
      </c>
      <c r="L49" s="5" t="n">
        <v>1</v>
      </c>
      <c r="M49" s="5" t="s">
        <v>115</v>
      </c>
    </row>
    <row r="50" customFormat="false" ht="15" hidden="false" customHeight="false" outlineLevel="0" collapsed="false">
      <c r="A50" s="5" t="n">
        <f aca="false">RANDBETWEEN(2,164)</f>
        <v>90</v>
      </c>
      <c r="B50" s="5" t="n">
        <f aca="false" t="array" ref="B50:B50">INDEX(Data_DBD!$B:$B,$A50)</f>
        <v>47</v>
      </c>
      <c r="C50" s="5" t="n">
        <f aca="false" t="array" ref="C50:C50">INDEX(Data_DBD!$C:$C,$A50)</f>
        <v>3</v>
      </c>
      <c r="D50" s="5" t="n">
        <f aca="false" t="array" ref="D50:D50">INDEX(Data_DBD!$D:$D,$A50)</f>
        <v>18</v>
      </c>
      <c r="E50" s="5" t="n">
        <f aca="false" t="array" ref="E50:E50">INDEX(Data_DBD!$E:$E,$A50)</f>
        <v>0</v>
      </c>
      <c r="F50" s="5" t="str">
        <f aca="false" t="array" ref="F50:F50">INDEX(Data_DBD!$F:$F,$A50)</f>
        <v>Sedang</v>
      </c>
      <c r="H50" s="5" t="n">
        <v>156</v>
      </c>
      <c r="I50" s="5" t="n">
        <v>5</v>
      </c>
      <c r="J50" s="5" t="n">
        <v>2</v>
      </c>
      <c r="K50" s="5" t="n">
        <v>21</v>
      </c>
      <c r="L50" s="5" t="n">
        <v>0</v>
      </c>
      <c r="M50" s="5" t="s">
        <v>115</v>
      </c>
    </row>
    <row r="51" customFormat="false" ht="15" hidden="false" customHeight="false" outlineLevel="0" collapsed="false">
      <c r="A51" s="5" t="n">
        <f aca="false">RANDBETWEEN(2,164)</f>
        <v>44</v>
      </c>
      <c r="B51" s="5" t="n">
        <f aca="false" t="array" ref="B51:B51">INDEX(Data_DBD!$B:$B,$A51)</f>
        <v>28</v>
      </c>
      <c r="C51" s="5" t="n">
        <f aca="false" t="array" ref="C51:C51">INDEX(Data_DBD!$C:$C,$A51)</f>
        <v>5</v>
      </c>
      <c r="D51" s="5" t="n">
        <f aca="false" t="array" ref="D51:D51">INDEX(Data_DBD!$D:$D,$A51)</f>
        <v>13</v>
      </c>
      <c r="E51" s="5" t="n">
        <f aca="false" t="array" ref="E51:E51">INDEX(Data_DBD!$E:$E,$A51)</f>
        <v>1</v>
      </c>
      <c r="F51" s="5" t="str">
        <f aca="false" t="array" ref="F51:F51">INDEX(Data_DBD!$F:$F,$A51)</f>
        <v>Sedang</v>
      </c>
      <c r="H51" s="5" t="n">
        <v>25</v>
      </c>
      <c r="I51" s="5" t="n">
        <v>81</v>
      </c>
      <c r="J51" s="5" t="n">
        <v>5</v>
      </c>
      <c r="K51" s="5" t="n">
        <v>14</v>
      </c>
      <c r="L51" s="5" t="n">
        <v>0</v>
      </c>
      <c r="M51" s="5" t="s">
        <v>7</v>
      </c>
    </row>
    <row r="52" customFormat="false" ht="15" hidden="false" customHeight="false" outlineLevel="0" collapsed="false">
      <c r="A52" s="5" t="n">
        <f aca="false">RANDBETWEEN(2,164)</f>
        <v>44</v>
      </c>
      <c r="B52" s="5" t="n">
        <f aca="false" t="array" ref="B52:B52">INDEX(Data_DBD!$B:$B,$A52)</f>
        <v>28</v>
      </c>
      <c r="C52" s="5" t="n">
        <f aca="false" t="array" ref="C52:C52">INDEX(Data_DBD!$C:$C,$A52)</f>
        <v>5</v>
      </c>
      <c r="D52" s="5" t="n">
        <f aca="false" t="array" ref="D52:D52">INDEX(Data_DBD!$D:$D,$A52)</f>
        <v>13</v>
      </c>
      <c r="E52" s="5" t="n">
        <f aca="false" t="array" ref="E52:E52">INDEX(Data_DBD!$E:$E,$A52)</f>
        <v>1</v>
      </c>
      <c r="F52" s="5" t="str">
        <f aca="false" t="array" ref="F52:F52">INDEX(Data_DBD!$F:$F,$A52)</f>
        <v>Sedang</v>
      </c>
      <c r="H52" s="5" t="n">
        <v>49</v>
      </c>
      <c r="I52" s="5" t="n">
        <v>64</v>
      </c>
      <c r="J52" s="5" t="n">
        <v>5</v>
      </c>
      <c r="K52" s="5" t="n">
        <v>13</v>
      </c>
      <c r="L52" s="5" t="n">
        <v>0</v>
      </c>
      <c r="M52" s="5" t="s">
        <v>7</v>
      </c>
    </row>
    <row r="53" customFormat="false" ht="15" hidden="false" customHeight="false" outlineLevel="0" collapsed="false">
      <c r="A53" s="5" t="n">
        <f aca="false">RANDBETWEEN(2,164)</f>
        <v>161</v>
      </c>
      <c r="B53" s="5" t="n">
        <f aca="false" t="array" ref="B53:B53">INDEX(Data_DBD!$B:$B,$A53)</f>
        <v>12</v>
      </c>
      <c r="C53" s="5" t="n">
        <f aca="false" t="array" ref="C53:C53">INDEX(Data_DBD!$C:$C,$A53)</f>
        <v>3</v>
      </c>
      <c r="D53" s="5" t="n">
        <f aca="false" t="array" ref="D53:D53">INDEX(Data_DBD!$D:$D,$A53)</f>
        <v>21</v>
      </c>
      <c r="E53" s="5" t="n">
        <f aca="false" t="array" ref="E53:E53">INDEX(Data_DBD!$E:$E,$A53)</f>
        <v>1</v>
      </c>
      <c r="F53" s="5" t="str">
        <f aca="false" t="array" ref="F53:F53">INDEX(Data_DBD!$F:$F,$A53)</f>
        <v>Tinggi</v>
      </c>
      <c r="H53" s="5" t="n">
        <v>10</v>
      </c>
      <c r="I53" s="5" t="n">
        <v>18</v>
      </c>
      <c r="J53" s="5" t="n">
        <v>5</v>
      </c>
      <c r="K53" s="5" t="n">
        <v>12</v>
      </c>
      <c r="L53" s="5" t="n">
        <v>0</v>
      </c>
      <c r="M53" s="5" t="s">
        <v>7</v>
      </c>
    </row>
    <row r="54" customFormat="false" ht="15" hidden="false" customHeight="false" outlineLevel="0" collapsed="false">
      <c r="A54" s="5" t="n">
        <f aca="false">RANDBETWEEN(2,164)</f>
        <v>148</v>
      </c>
      <c r="B54" s="5" t="n">
        <f aca="false" t="array" ref="B54:B54">INDEX(Data_DBD!$B:$B,$A54)</f>
        <v>55</v>
      </c>
      <c r="C54" s="5" t="n">
        <f aca="false" t="array" ref="C54:C54">INDEX(Data_DBD!$C:$C,$A54)</f>
        <v>3</v>
      </c>
      <c r="D54" s="5" t="n">
        <f aca="false" t="array" ref="D54:D54">INDEX(Data_DBD!$D:$D,$A54)</f>
        <v>21</v>
      </c>
      <c r="E54" s="5" t="n">
        <f aca="false" t="array" ref="E54:E54">INDEX(Data_DBD!$E:$E,$A54)</f>
        <v>1</v>
      </c>
      <c r="F54" s="5" t="str">
        <f aca="false" t="array" ref="F54:F54">INDEX(Data_DBD!$F:$F,$A54)</f>
        <v>Tinggi</v>
      </c>
      <c r="H54" s="5" t="n">
        <v>73</v>
      </c>
      <c r="I54" s="5" t="n">
        <v>15</v>
      </c>
      <c r="J54" s="5" t="n">
        <v>3</v>
      </c>
      <c r="K54" s="5" t="n">
        <v>10</v>
      </c>
      <c r="L54" s="5" t="n">
        <v>1</v>
      </c>
      <c r="M54" s="5" t="s">
        <v>20</v>
      </c>
    </row>
    <row r="55" customFormat="false" ht="15" hidden="false" customHeight="false" outlineLevel="0" collapsed="false">
      <c r="A55" s="5" t="n">
        <f aca="false">RANDBETWEEN(2,164)</f>
        <v>37</v>
      </c>
      <c r="B55" s="5" t="n">
        <f aca="false" t="array" ref="B55:B55">INDEX(Data_DBD!$B:$B,$A55)</f>
        <v>28</v>
      </c>
      <c r="C55" s="5" t="n">
        <f aca="false" t="array" ref="C55:C55">INDEX(Data_DBD!$C:$C,$A55)</f>
        <v>4</v>
      </c>
      <c r="D55" s="5" t="n">
        <f aca="false" t="array" ref="D55:D55">INDEX(Data_DBD!$D:$D,$A55)</f>
        <v>4</v>
      </c>
      <c r="E55" s="5" t="n">
        <f aca="false" t="array" ref="E55:E55">INDEX(Data_DBD!$E:$E,$A55)</f>
        <v>1</v>
      </c>
      <c r="F55" s="5" t="str">
        <f aca="false" t="array" ref="F55:F55">INDEX(Data_DBD!$F:$F,$A55)</f>
        <v>Rendah</v>
      </c>
      <c r="H55" s="5" t="n">
        <v>6</v>
      </c>
      <c r="I55" s="5" t="n">
        <v>14</v>
      </c>
      <c r="J55" s="5" t="n">
        <v>4</v>
      </c>
      <c r="K55" s="5" t="n">
        <v>12</v>
      </c>
      <c r="L55" s="5" t="n">
        <v>0</v>
      </c>
      <c r="M55" s="5" t="s">
        <v>7</v>
      </c>
    </row>
    <row r="56" customFormat="false" ht="15" hidden="false" customHeight="false" outlineLevel="0" collapsed="false">
      <c r="A56" s="5" t="n">
        <f aca="false">RANDBETWEEN(2,164)</f>
        <v>136</v>
      </c>
      <c r="B56" s="5" t="n">
        <f aca="false" t="array" ref="B56:B56">INDEX(Data_DBD!$B:$B,$A56)</f>
        <v>6</v>
      </c>
      <c r="C56" s="5" t="n">
        <f aca="false" t="array" ref="C56:C56">INDEX(Data_DBD!$C:$C,$A56)</f>
        <v>2</v>
      </c>
      <c r="D56" s="5" t="n">
        <f aca="false" t="array" ref="D56:D56">INDEX(Data_DBD!$D:$D,$A56)</f>
        <v>33</v>
      </c>
      <c r="E56" s="5" t="n">
        <f aca="false" t="array" ref="E56:E56">INDEX(Data_DBD!$E:$E,$A56)</f>
        <v>0</v>
      </c>
      <c r="F56" s="5" t="str">
        <f aca="false" t="array" ref="F56:F56">INDEX(Data_DBD!$F:$F,$A56)</f>
        <v>Tinggi</v>
      </c>
      <c r="H56" s="5" t="n">
        <v>92</v>
      </c>
      <c r="I56" s="5" t="n">
        <v>55</v>
      </c>
      <c r="J56" s="5" t="n">
        <v>7</v>
      </c>
      <c r="K56" s="5" t="n">
        <v>18</v>
      </c>
      <c r="L56" s="5" t="n">
        <v>0</v>
      </c>
      <c r="M56" s="5" t="s">
        <v>7</v>
      </c>
    </row>
    <row r="57" customFormat="false" ht="15" hidden="false" customHeight="false" outlineLevel="0" collapsed="false">
      <c r="A57" s="5" t="n">
        <f aca="false">RANDBETWEEN(2,164)</f>
        <v>157</v>
      </c>
      <c r="B57" s="5" t="n">
        <f aca="false" t="array" ref="B57:B57">INDEX(Data_DBD!$B:$B,$A57)</f>
        <v>15</v>
      </c>
      <c r="C57" s="5" t="n">
        <f aca="false" t="array" ref="C57:C57">INDEX(Data_DBD!$C:$C,$A57)</f>
        <v>4</v>
      </c>
      <c r="D57" s="5" t="n">
        <f aca="false" t="array" ref="D57:D57">INDEX(Data_DBD!$D:$D,$A57)</f>
        <v>21</v>
      </c>
      <c r="E57" s="5" t="n">
        <f aca="false" t="array" ref="E57:E57">INDEX(Data_DBD!$E:$E,$A57)</f>
        <v>1</v>
      </c>
      <c r="F57" s="5" t="str">
        <f aca="false" t="array" ref="F57:F57">INDEX(Data_DBD!$F:$F,$A57)</f>
        <v>Tinggi</v>
      </c>
      <c r="H57" s="5" t="n">
        <v>99</v>
      </c>
      <c r="I57" s="5" t="n">
        <v>4</v>
      </c>
      <c r="J57" s="5" t="n">
        <v>2</v>
      </c>
      <c r="K57" s="5" t="n">
        <v>18</v>
      </c>
      <c r="L57" s="5" t="n">
        <v>1</v>
      </c>
      <c r="M57" s="5" t="s">
        <v>7</v>
      </c>
    </row>
    <row r="58" customFormat="false" ht="15" hidden="false" customHeight="false" outlineLevel="0" collapsed="false">
      <c r="A58" s="5" t="n">
        <f aca="false">RANDBETWEEN(2,164)</f>
        <v>46</v>
      </c>
      <c r="B58" s="5" t="n">
        <f aca="false" t="array" ref="B58:B58">INDEX(Data_DBD!$B:$B,$A58)</f>
        <v>62</v>
      </c>
      <c r="C58" s="5" t="n">
        <f aca="false" t="array" ref="C58:C58">INDEX(Data_DBD!$C:$C,$A58)</f>
        <v>2</v>
      </c>
      <c r="D58" s="5" t="n">
        <f aca="false" t="array" ref="D58:D58">INDEX(Data_DBD!$D:$D,$A58)</f>
        <v>13</v>
      </c>
      <c r="E58" s="5" t="n">
        <f aca="false" t="array" ref="E58:E58">INDEX(Data_DBD!$E:$E,$A58)</f>
        <v>0</v>
      </c>
      <c r="F58" s="5" t="str">
        <f aca="false" t="array" ref="F58:F58">INDEX(Data_DBD!$F:$F,$A58)</f>
        <v>Sedang</v>
      </c>
      <c r="H58" s="5" t="n">
        <v>62</v>
      </c>
      <c r="I58" s="5" t="n">
        <v>43</v>
      </c>
      <c r="J58" s="5" t="n">
        <v>4</v>
      </c>
      <c r="K58" s="5" t="n">
        <v>15</v>
      </c>
      <c r="L58" s="5" t="n">
        <v>1</v>
      </c>
      <c r="M58" s="5" t="s">
        <v>7</v>
      </c>
    </row>
    <row r="59" customFormat="false" ht="15" hidden="false" customHeight="false" outlineLevel="0" collapsed="false">
      <c r="A59" s="5" t="n">
        <f aca="false">RANDBETWEEN(2,164)</f>
        <v>112</v>
      </c>
      <c r="B59" s="5" t="n">
        <f aca="false" t="array" ref="B59:B59">INDEX(Data_DBD!$B:$B,$A59)</f>
        <v>61</v>
      </c>
      <c r="C59" s="5" t="n">
        <f aca="false" t="array" ref="C59:C59">INDEX(Data_DBD!$C:$C,$A59)</f>
        <v>3</v>
      </c>
      <c r="D59" s="5" t="n">
        <f aca="false" t="array" ref="D59:D59">INDEX(Data_DBD!$D:$D,$A59)</f>
        <v>33</v>
      </c>
      <c r="E59" s="5" t="n">
        <f aca="false" t="array" ref="E59:E59">INDEX(Data_DBD!$E:$E,$A59)</f>
        <v>1</v>
      </c>
      <c r="F59" s="5" t="str">
        <f aca="false" t="array" ref="F59:F59">INDEX(Data_DBD!$F:$F,$A59)</f>
        <v>Tinggi</v>
      </c>
      <c r="H59" s="5" t="n">
        <v>65</v>
      </c>
      <c r="I59" s="5" t="n">
        <v>49</v>
      </c>
      <c r="J59" s="5" t="n">
        <v>3</v>
      </c>
      <c r="K59" s="5" t="n">
        <v>15</v>
      </c>
      <c r="L59" s="5" t="n">
        <v>0</v>
      </c>
      <c r="M59" s="5" t="s">
        <v>7</v>
      </c>
    </row>
    <row r="60" customFormat="false" ht="15" hidden="false" customHeight="false" outlineLevel="0" collapsed="false">
      <c r="A60" s="5" t="n">
        <f aca="false">RANDBETWEEN(2,164)</f>
        <v>151</v>
      </c>
      <c r="B60" s="5" t="n">
        <f aca="false" t="array" ref="B60:B60">INDEX(Data_DBD!$B:$B,$A60)</f>
        <v>24</v>
      </c>
      <c r="C60" s="5" t="n">
        <f aca="false" t="array" ref="C60:C60">INDEX(Data_DBD!$C:$C,$A60)</f>
        <v>3</v>
      </c>
      <c r="D60" s="5" t="n">
        <f aca="false" t="array" ref="D60:D60">INDEX(Data_DBD!$D:$D,$A60)</f>
        <v>21</v>
      </c>
      <c r="E60" s="5" t="n">
        <f aca="false" t="array" ref="E60:E60">INDEX(Data_DBD!$E:$E,$A60)</f>
        <v>0</v>
      </c>
      <c r="F60" s="5" t="str">
        <f aca="false" t="array" ref="F60:F60">INDEX(Data_DBD!$F:$F,$A60)</f>
        <v>Tinggi</v>
      </c>
      <c r="H60" s="5" t="n">
        <v>163</v>
      </c>
      <c r="I60" s="5" t="n">
        <v>34</v>
      </c>
      <c r="J60" s="5" t="n">
        <v>4</v>
      </c>
      <c r="K60" s="5" t="n">
        <v>3</v>
      </c>
      <c r="L60" s="5" t="n">
        <v>1</v>
      </c>
      <c r="M60" s="5" t="s">
        <v>20</v>
      </c>
    </row>
    <row r="61" customFormat="false" ht="15" hidden="false" customHeight="false" outlineLevel="0" collapsed="false">
      <c r="A61" s="5" t="n">
        <f aca="false">RANDBETWEEN(2,164)</f>
        <v>97</v>
      </c>
      <c r="B61" s="5" t="n">
        <f aca="false" t="array" ref="B61:B61">INDEX(Data_DBD!$B:$B,$A61)</f>
        <v>16</v>
      </c>
      <c r="C61" s="5" t="n">
        <f aca="false" t="array" ref="C61:C61">INDEX(Data_DBD!$C:$C,$A61)</f>
        <v>2</v>
      </c>
      <c r="D61" s="5" t="n">
        <f aca="false" t="array" ref="D61:D61">INDEX(Data_DBD!$D:$D,$A61)</f>
        <v>18</v>
      </c>
      <c r="E61" s="5" t="n">
        <f aca="false" t="array" ref="E61:E61">INDEX(Data_DBD!$E:$E,$A61)</f>
        <v>1</v>
      </c>
      <c r="F61" s="5" t="str">
        <f aca="false" t="array" ref="F61:F61">INDEX(Data_DBD!$F:$F,$A61)</f>
        <v>Sedang</v>
      </c>
      <c r="H61" s="5" t="n">
        <v>38</v>
      </c>
      <c r="I61" s="5" t="n">
        <v>52</v>
      </c>
      <c r="J61" s="5" t="n">
        <v>3</v>
      </c>
      <c r="K61" s="5" t="n">
        <v>4</v>
      </c>
      <c r="L61" s="5" t="n">
        <v>1</v>
      </c>
      <c r="M61" s="5" t="s">
        <v>20</v>
      </c>
    </row>
    <row r="62" customFormat="false" ht="15" hidden="false" customHeight="false" outlineLevel="0" collapsed="false">
      <c r="A62" s="5" t="n">
        <f aca="false">RANDBETWEEN(2,164)</f>
        <v>132</v>
      </c>
      <c r="B62" s="5" t="n">
        <f aca="false" t="array" ref="B62:B62">INDEX(Data_DBD!$B:$B,$A62)</f>
        <v>10</v>
      </c>
      <c r="C62" s="5" t="n">
        <f aca="false" t="array" ref="C62:C62">INDEX(Data_DBD!$C:$C,$A62)</f>
        <v>3</v>
      </c>
      <c r="D62" s="5" t="n">
        <f aca="false" t="array" ref="D62:D62">INDEX(Data_DBD!$D:$D,$A62)</f>
        <v>33</v>
      </c>
      <c r="E62" s="5" t="n">
        <f aca="false" t="array" ref="E62:E62">INDEX(Data_DBD!$E:$E,$A62)</f>
        <v>1</v>
      </c>
      <c r="F62" s="5" t="str">
        <f aca="false" t="array" ref="F62:F62">INDEX(Data_DBD!$F:$F,$A62)</f>
        <v>Tinggi</v>
      </c>
      <c r="H62" s="5" t="n">
        <v>123</v>
      </c>
      <c r="I62" s="5" t="n">
        <v>22</v>
      </c>
      <c r="J62" s="5" t="n">
        <v>4</v>
      </c>
      <c r="K62" s="5" t="n">
        <v>33</v>
      </c>
      <c r="L62" s="5" t="n">
        <v>0</v>
      </c>
      <c r="M62" s="5" t="s">
        <v>115</v>
      </c>
    </row>
    <row r="63" customFormat="false" ht="15" hidden="false" customHeight="false" outlineLevel="0" collapsed="false">
      <c r="A63" s="5" t="n">
        <f aca="false">RANDBETWEEN(2,164)</f>
        <v>133</v>
      </c>
      <c r="B63" s="5" t="n">
        <f aca="false" t="array" ref="B63:B63">INDEX(Data_DBD!$B:$B,$A63)</f>
        <v>6</v>
      </c>
      <c r="C63" s="5" t="n">
        <f aca="false" t="array" ref="C63:C63">INDEX(Data_DBD!$C:$C,$A63)</f>
        <v>4</v>
      </c>
      <c r="D63" s="5" t="n">
        <f aca="false" t="array" ref="D63:D63">INDEX(Data_DBD!$D:$D,$A63)</f>
        <v>33</v>
      </c>
      <c r="E63" s="5" t="n">
        <f aca="false" t="array" ref="E63:E63">INDEX(Data_DBD!$E:$E,$A63)</f>
        <v>0</v>
      </c>
      <c r="F63" s="5" t="str">
        <f aca="false" t="array" ref="F63:F63">INDEX(Data_DBD!$F:$F,$A63)</f>
        <v>Tinggi</v>
      </c>
      <c r="H63" s="5" t="n">
        <v>151</v>
      </c>
      <c r="I63" s="5" t="n">
        <v>24</v>
      </c>
      <c r="J63" s="5" t="n">
        <v>3</v>
      </c>
      <c r="K63" s="5" t="n">
        <v>21</v>
      </c>
      <c r="L63" s="5" t="n">
        <v>0</v>
      </c>
      <c r="M63" s="5" t="s">
        <v>115</v>
      </c>
    </row>
    <row r="64" customFormat="false" ht="15" hidden="false" customHeight="false" outlineLevel="0" collapsed="false">
      <c r="A64" s="5" t="n">
        <f aca="false">RANDBETWEEN(2,164)</f>
        <v>147</v>
      </c>
      <c r="B64" s="5" t="n">
        <f aca="false" t="array" ref="B64:B64">INDEX(Data_DBD!$B:$B,$A64)</f>
        <v>66</v>
      </c>
      <c r="C64" s="5" t="n">
        <f aca="false" t="array" ref="C64:C64">INDEX(Data_DBD!$C:$C,$A64)</f>
        <v>10</v>
      </c>
      <c r="D64" s="5" t="n">
        <f aca="false" t="array" ref="D64:D64">INDEX(Data_DBD!$D:$D,$A64)</f>
        <v>21</v>
      </c>
      <c r="E64" s="5" t="n">
        <f aca="false" t="array" ref="E64:E64">INDEX(Data_DBD!$E:$E,$A64)</f>
        <v>1</v>
      </c>
      <c r="F64" s="5" t="str">
        <f aca="false" t="array" ref="F64:F64">INDEX(Data_DBD!$F:$F,$A64)</f>
        <v>Tinggi</v>
      </c>
      <c r="H64" s="5" t="n">
        <v>164</v>
      </c>
      <c r="I64" s="5" t="n">
        <v>10</v>
      </c>
      <c r="J64" s="5" t="n">
        <v>6</v>
      </c>
      <c r="K64" s="5" t="n">
        <v>3</v>
      </c>
      <c r="L64" s="5" t="n">
        <v>0</v>
      </c>
      <c r="M64" s="5" t="s">
        <v>20</v>
      </c>
    </row>
    <row r="65" customFormat="false" ht="15" hidden="false" customHeight="false" outlineLevel="0" collapsed="false">
      <c r="A65" s="5" t="n">
        <f aca="false">RANDBETWEEN(2,164)</f>
        <v>74</v>
      </c>
      <c r="B65" s="5" t="n">
        <f aca="false" t="array" ref="B65:B65">INDEX(Data_DBD!$B:$B,$A65)</f>
        <v>9</v>
      </c>
      <c r="C65" s="5" t="n">
        <f aca="false" t="array" ref="C65:C65">INDEX(Data_DBD!$C:$C,$A65)</f>
        <v>4</v>
      </c>
      <c r="D65" s="5" t="n">
        <f aca="false" t="array" ref="D65:D65">INDEX(Data_DBD!$D:$D,$A65)</f>
        <v>10</v>
      </c>
      <c r="E65" s="5" t="n">
        <f aca="false" t="array" ref="E65:E65">INDEX(Data_DBD!$E:$E,$A65)</f>
        <v>0</v>
      </c>
      <c r="F65" s="5" t="str">
        <f aca="false" t="array" ref="F65:F65">INDEX(Data_DBD!$F:$F,$A65)</f>
        <v>Rendah</v>
      </c>
      <c r="H65" s="5" t="n">
        <v>140</v>
      </c>
      <c r="I65" s="5" t="n">
        <v>74</v>
      </c>
      <c r="J65" s="5" t="n">
        <v>5</v>
      </c>
      <c r="K65" s="5" t="n">
        <v>21</v>
      </c>
      <c r="L65" s="5" t="n">
        <v>1</v>
      </c>
      <c r="M65" s="5" t="s">
        <v>115</v>
      </c>
    </row>
    <row r="66" customFormat="false" ht="15" hidden="false" customHeight="false" outlineLevel="0" collapsed="false">
      <c r="A66" s="5" t="n">
        <f aca="false">RANDBETWEEN(2,164)</f>
        <v>55</v>
      </c>
      <c r="B66" s="5" t="n">
        <f aca="false" t="array" ref="B66:B66">INDEX(Data_DBD!$B:$B,$A66)</f>
        <v>7</v>
      </c>
      <c r="C66" s="5" t="n">
        <f aca="false" t="array" ref="C66:C66">INDEX(Data_DBD!$C:$C,$A66)</f>
        <v>4</v>
      </c>
      <c r="D66" s="5" t="n">
        <f aca="false" t="array" ref="D66:D66">INDEX(Data_DBD!$D:$D,$A66)</f>
        <v>15</v>
      </c>
      <c r="E66" s="5" t="n">
        <f aca="false" t="array" ref="E66:E66">INDEX(Data_DBD!$E:$E,$A66)</f>
        <v>1</v>
      </c>
      <c r="F66" s="5" t="str">
        <f aca="false" t="array" ref="F66:F66">INDEX(Data_DBD!$F:$F,$A66)</f>
        <v>Sedang</v>
      </c>
      <c r="H66" s="5" t="n">
        <v>112</v>
      </c>
      <c r="I66" s="5" t="n">
        <v>61</v>
      </c>
      <c r="J66" s="5" t="n">
        <v>3</v>
      </c>
      <c r="K66" s="5" t="n">
        <v>33</v>
      </c>
      <c r="L66" s="5" t="n">
        <v>1</v>
      </c>
      <c r="M66" s="5" t="s">
        <v>115</v>
      </c>
    </row>
    <row r="67" customFormat="false" ht="15" hidden="false" customHeight="false" outlineLevel="0" collapsed="false">
      <c r="A67" s="5" t="n">
        <f aca="false">RANDBETWEEN(2,164)</f>
        <v>34</v>
      </c>
      <c r="B67" s="5" t="n">
        <f aca="false" t="array" ref="B67:B67">INDEX(Data_DBD!$B:$B,$A67)</f>
        <v>55</v>
      </c>
      <c r="C67" s="5" t="n">
        <f aca="false" t="array" ref="C67:C67">INDEX(Data_DBD!$C:$C,$A67)</f>
        <v>3</v>
      </c>
      <c r="D67" s="5" t="n">
        <f aca="false" t="array" ref="D67:D67">INDEX(Data_DBD!$D:$D,$A67)</f>
        <v>14</v>
      </c>
      <c r="E67" s="5" t="n">
        <f aca="false" t="array" ref="E67:E67">INDEX(Data_DBD!$E:$E,$A67)</f>
        <v>0</v>
      </c>
      <c r="F67" s="5" t="str">
        <f aca="false" t="array" ref="F67:F67">INDEX(Data_DBD!$F:$F,$A67)</f>
        <v>Sedang</v>
      </c>
      <c r="H67" s="5" t="n">
        <v>124</v>
      </c>
      <c r="I67" s="5" t="n">
        <v>24</v>
      </c>
      <c r="J67" s="5" t="n">
        <v>3</v>
      </c>
      <c r="K67" s="5" t="n">
        <v>33</v>
      </c>
      <c r="L67" s="5" t="n">
        <v>1</v>
      </c>
      <c r="M67" s="5" t="s">
        <v>115</v>
      </c>
    </row>
    <row r="68" customFormat="false" ht="15" hidden="false" customHeight="false" outlineLevel="0" collapsed="false">
      <c r="A68" s="5" t="n">
        <f aca="false">RANDBETWEEN(2,164)</f>
        <v>68</v>
      </c>
      <c r="B68" s="5" t="n">
        <f aca="false" t="array" ref="B68:B68">INDEX(Data_DBD!$B:$B,$A68)</f>
        <v>44</v>
      </c>
      <c r="C68" s="5" t="n">
        <f aca="false" t="array" ref="C68:C68">INDEX(Data_DBD!$C:$C,$A68)</f>
        <v>5</v>
      </c>
      <c r="D68" s="5" t="n">
        <f aca="false" t="array" ref="D68:D68">INDEX(Data_DBD!$D:$D,$A68)</f>
        <v>10</v>
      </c>
      <c r="E68" s="5" t="n">
        <f aca="false" t="array" ref="E68:E68">INDEX(Data_DBD!$E:$E,$A68)</f>
        <v>0</v>
      </c>
      <c r="F68" s="5" t="str">
        <f aca="false" t="array" ref="F68:F68">INDEX(Data_DBD!$F:$F,$A68)</f>
        <v>Rendah</v>
      </c>
      <c r="H68" s="5" t="n">
        <v>131</v>
      </c>
      <c r="I68" s="5" t="n">
        <v>10</v>
      </c>
      <c r="J68" s="5" t="n">
        <v>2</v>
      </c>
      <c r="K68" s="5" t="n">
        <v>33</v>
      </c>
      <c r="L68" s="5" t="n">
        <v>0</v>
      </c>
      <c r="M68" s="5" t="s">
        <v>115</v>
      </c>
    </row>
    <row r="69" customFormat="false" ht="15" hidden="false" customHeight="false" outlineLevel="0" collapsed="false">
      <c r="A69" s="5" t="n">
        <f aca="false">RANDBETWEEN(2,164)</f>
        <v>11</v>
      </c>
      <c r="B69" s="5" t="n">
        <f aca="false" t="array" ref="B69:B69">INDEX(Data_DBD!$B:$B,$A69)</f>
        <v>24</v>
      </c>
      <c r="C69" s="5" t="n">
        <f aca="false" t="array" ref="C69:C69">INDEX(Data_DBD!$C:$C,$A69)</f>
        <v>5</v>
      </c>
      <c r="D69" s="5" t="n">
        <f aca="false" t="array" ref="D69:D69">INDEX(Data_DBD!$D:$D,$A69)</f>
        <v>12</v>
      </c>
      <c r="E69" s="5" t="n">
        <f aca="false" t="array" ref="E69:E69">INDEX(Data_DBD!$E:$E,$A69)</f>
        <v>1</v>
      </c>
      <c r="F69" s="5" t="str">
        <f aca="false" t="array" ref="F69:F69">INDEX(Data_DBD!$F:$F,$A69)</f>
        <v>Sedang</v>
      </c>
      <c r="H69" s="5" t="n">
        <v>60</v>
      </c>
      <c r="I69" s="5" t="n">
        <v>68</v>
      </c>
      <c r="J69" s="5" t="n">
        <v>4</v>
      </c>
      <c r="K69" s="5" t="n">
        <v>15</v>
      </c>
      <c r="L69" s="5" t="n">
        <v>0</v>
      </c>
      <c r="M69" s="5" t="s">
        <v>7</v>
      </c>
    </row>
    <row r="70" customFormat="false" ht="15" hidden="false" customHeight="false" outlineLevel="0" collapsed="false">
      <c r="A70" s="5" t="n">
        <f aca="false">RANDBETWEEN(2,164)</f>
        <v>141</v>
      </c>
      <c r="B70" s="5" t="n">
        <f aca="false" t="array" ref="B70:B70">INDEX(Data_DBD!$B:$B,$A70)</f>
        <v>36</v>
      </c>
      <c r="C70" s="5" t="n">
        <f aca="false" t="array" ref="C70:C70">INDEX(Data_DBD!$C:$C,$A70)</f>
        <v>2</v>
      </c>
      <c r="D70" s="5" t="n">
        <f aca="false" t="array" ref="D70:D70">INDEX(Data_DBD!$D:$D,$A70)</f>
        <v>21</v>
      </c>
      <c r="E70" s="5" t="n">
        <f aca="false" t="array" ref="E70:E70">INDEX(Data_DBD!$E:$E,$A70)</f>
        <v>0</v>
      </c>
      <c r="F70" s="5" t="str">
        <f aca="false" t="array" ref="F70:F70">INDEX(Data_DBD!$F:$F,$A70)</f>
        <v>Tinggi</v>
      </c>
      <c r="H70" s="5" t="n">
        <v>131</v>
      </c>
      <c r="I70" s="5" t="n">
        <v>10</v>
      </c>
      <c r="J70" s="5" t="n">
        <v>2</v>
      </c>
      <c r="K70" s="5" t="n">
        <v>33</v>
      </c>
      <c r="L70" s="5" t="n">
        <v>0</v>
      </c>
      <c r="M70" s="5" t="s">
        <v>115</v>
      </c>
    </row>
    <row r="71" customFormat="false" ht="15" hidden="false" customHeight="false" outlineLevel="0" collapsed="false">
      <c r="A71" s="5" t="n">
        <f aca="false">RANDBETWEEN(2,164)</f>
        <v>71</v>
      </c>
      <c r="B71" s="5" t="n">
        <f aca="false" t="array" ref="B71:B71">INDEX(Data_DBD!$B:$B,$A71)</f>
        <v>84</v>
      </c>
      <c r="C71" s="5" t="n">
        <f aca="false" t="array" ref="C71:C71">INDEX(Data_DBD!$C:$C,$A71)</f>
        <v>3</v>
      </c>
      <c r="D71" s="5" t="n">
        <f aca="false" t="array" ref="D71:D71">INDEX(Data_DBD!$D:$D,$A71)</f>
        <v>10</v>
      </c>
      <c r="E71" s="5" t="n">
        <f aca="false" t="array" ref="E71:E71">INDEX(Data_DBD!$E:$E,$A71)</f>
        <v>0</v>
      </c>
      <c r="F71" s="5" t="str">
        <f aca="false" t="array" ref="F71:F71">INDEX(Data_DBD!$F:$F,$A71)</f>
        <v>Rendah</v>
      </c>
      <c r="H71" s="5" t="n">
        <v>86</v>
      </c>
      <c r="I71" s="5" t="n">
        <v>23</v>
      </c>
      <c r="J71" s="5" t="n">
        <v>3</v>
      </c>
      <c r="K71" s="5" t="n">
        <v>13</v>
      </c>
      <c r="L71" s="5" t="n">
        <v>0</v>
      </c>
      <c r="M71" s="5" t="s">
        <v>7</v>
      </c>
    </row>
    <row r="72" customFormat="false" ht="15" hidden="false" customHeight="false" outlineLevel="0" collapsed="false">
      <c r="A72" s="5" t="n">
        <f aca="false">RANDBETWEEN(2,164)</f>
        <v>107</v>
      </c>
      <c r="B72" s="5" t="n">
        <f aca="false" t="array" ref="B72:B72">INDEX(Data_DBD!$B:$B,$A72)</f>
        <v>48</v>
      </c>
      <c r="C72" s="5" t="n">
        <f aca="false" t="array" ref="C72:C72">INDEX(Data_DBD!$C:$C,$A72)</f>
        <v>5</v>
      </c>
      <c r="D72" s="5" t="n">
        <f aca="false" t="array" ref="D72:D72">INDEX(Data_DBD!$D:$D,$A72)</f>
        <v>18</v>
      </c>
      <c r="E72" s="5" t="n">
        <f aca="false" t="array" ref="E72:E72">INDEX(Data_DBD!$E:$E,$A72)</f>
        <v>0</v>
      </c>
      <c r="F72" s="5" t="str">
        <f aca="false" t="array" ref="F72:F72">INDEX(Data_DBD!$F:$F,$A72)</f>
        <v>Sedang</v>
      </c>
      <c r="H72" s="5" t="n">
        <v>73</v>
      </c>
      <c r="I72" s="5" t="n">
        <v>15</v>
      </c>
      <c r="J72" s="5" t="n">
        <v>3</v>
      </c>
      <c r="K72" s="5" t="n">
        <v>10</v>
      </c>
      <c r="L72" s="5" t="n">
        <v>1</v>
      </c>
      <c r="M72" s="5" t="s">
        <v>20</v>
      </c>
    </row>
    <row r="73" customFormat="false" ht="15" hidden="false" customHeight="false" outlineLevel="0" collapsed="false">
      <c r="A73" s="5" t="n">
        <f aca="false">RANDBETWEEN(2,164)</f>
        <v>151</v>
      </c>
      <c r="B73" s="5" t="n">
        <f aca="false" t="array" ref="B73:B73">INDEX(Data_DBD!$B:$B,$A73)</f>
        <v>24</v>
      </c>
      <c r="C73" s="5" t="n">
        <f aca="false" t="array" ref="C73:C73">INDEX(Data_DBD!$C:$C,$A73)</f>
        <v>3</v>
      </c>
      <c r="D73" s="5" t="n">
        <f aca="false" t="array" ref="D73:D73">INDEX(Data_DBD!$D:$D,$A73)</f>
        <v>21</v>
      </c>
      <c r="E73" s="5" t="n">
        <f aca="false" t="array" ref="E73:E73">INDEX(Data_DBD!$E:$E,$A73)</f>
        <v>0</v>
      </c>
      <c r="F73" s="5" t="str">
        <f aca="false" t="array" ref="F73:F73">INDEX(Data_DBD!$F:$F,$A73)</f>
        <v>Tinggi</v>
      </c>
      <c r="H73" s="5" t="n">
        <v>36</v>
      </c>
      <c r="I73" s="5" t="n">
        <v>27</v>
      </c>
      <c r="J73" s="5" t="n">
        <v>1</v>
      </c>
      <c r="K73" s="5" t="n">
        <v>4</v>
      </c>
      <c r="L73" s="5" t="n">
        <v>1</v>
      </c>
      <c r="M73" s="5" t="s">
        <v>20</v>
      </c>
    </row>
    <row r="74" customFormat="false" ht="15" hidden="false" customHeight="false" outlineLevel="0" collapsed="false">
      <c r="A74" s="5" t="n">
        <f aca="false">RANDBETWEEN(2,164)</f>
        <v>38</v>
      </c>
      <c r="B74" s="5" t="n">
        <f aca="false" t="array" ref="B74:B74">INDEX(Data_DBD!$B:$B,$A74)</f>
        <v>52</v>
      </c>
      <c r="C74" s="5" t="n">
        <f aca="false" t="array" ref="C74:C74">INDEX(Data_DBD!$C:$C,$A74)</f>
        <v>3</v>
      </c>
      <c r="D74" s="5" t="n">
        <f aca="false" t="array" ref="D74:D74">INDEX(Data_DBD!$D:$D,$A74)</f>
        <v>4</v>
      </c>
      <c r="E74" s="5" t="n">
        <f aca="false" t="array" ref="E74:E74">INDEX(Data_DBD!$E:$E,$A74)</f>
        <v>1</v>
      </c>
      <c r="F74" s="5" t="str">
        <f aca="false" t="array" ref="F74:F74">INDEX(Data_DBD!$F:$F,$A74)</f>
        <v>Rendah</v>
      </c>
      <c r="H74" s="5" t="n">
        <v>149</v>
      </c>
      <c r="I74" s="5" t="n">
        <v>19</v>
      </c>
      <c r="J74" s="5" t="n">
        <v>5</v>
      </c>
      <c r="K74" s="5" t="n">
        <v>21</v>
      </c>
      <c r="L74" s="5" t="n">
        <v>0</v>
      </c>
      <c r="M74" s="5" t="s">
        <v>115</v>
      </c>
    </row>
    <row r="75" customFormat="false" ht="15" hidden="false" customHeight="false" outlineLevel="0" collapsed="false">
      <c r="A75" s="5" t="n">
        <f aca="false">RANDBETWEEN(2,164)</f>
        <v>155</v>
      </c>
      <c r="B75" s="5" t="n">
        <f aca="false" t="array" ref="B75:B75">INDEX(Data_DBD!$B:$B,$A75)</f>
        <v>19</v>
      </c>
      <c r="C75" s="5" t="n">
        <f aca="false" t="array" ref="C75:C75">INDEX(Data_DBD!$C:$C,$A75)</f>
        <v>5</v>
      </c>
      <c r="D75" s="5" t="n">
        <f aca="false" t="array" ref="D75:D75">INDEX(Data_DBD!$D:$D,$A75)</f>
        <v>21</v>
      </c>
      <c r="E75" s="5" t="n">
        <f aca="false" t="array" ref="E75:E75">INDEX(Data_DBD!$E:$E,$A75)</f>
        <v>1</v>
      </c>
      <c r="F75" s="5" t="str">
        <f aca="false" t="array" ref="F75:F75">INDEX(Data_DBD!$F:$F,$A75)</f>
        <v>Tinggi</v>
      </c>
      <c r="H75" s="5" t="n">
        <v>164</v>
      </c>
      <c r="I75" s="5" t="n">
        <v>10</v>
      </c>
      <c r="J75" s="5" t="n">
        <v>6</v>
      </c>
      <c r="K75" s="5" t="n">
        <v>3</v>
      </c>
      <c r="L75" s="5" t="n">
        <v>0</v>
      </c>
      <c r="M75" s="5" t="s">
        <v>20</v>
      </c>
    </row>
    <row r="76" customFormat="false" ht="15" hidden="false" customHeight="false" outlineLevel="0" collapsed="false">
      <c r="A76" s="5" t="n">
        <f aca="false">RANDBETWEEN(2,164)</f>
        <v>156</v>
      </c>
      <c r="B76" s="5" t="n">
        <f aca="false" t="array" ref="B76:B76">INDEX(Data_DBD!$B:$B,$A76)</f>
        <v>5</v>
      </c>
      <c r="C76" s="5" t="n">
        <f aca="false" t="array" ref="C76:C76">INDEX(Data_DBD!$C:$C,$A76)</f>
        <v>2</v>
      </c>
      <c r="D76" s="5" t="n">
        <f aca="false" t="array" ref="D76:D76">INDEX(Data_DBD!$D:$D,$A76)</f>
        <v>21</v>
      </c>
      <c r="E76" s="5" t="n">
        <f aca="false" t="array" ref="E76:E76">INDEX(Data_DBD!$E:$E,$A76)</f>
        <v>0</v>
      </c>
      <c r="F76" s="5" t="str">
        <f aca="false" t="array" ref="F76:F76">INDEX(Data_DBD!$F:$F,$A76)</f>
        <v>Tinggi</v>
      </c>
      <c r="H76" s="5" t="n">
        <v>32</v>
      </c>
      <c r="I76" s="5" t="n">
        <v>54</v>
      </c>
      <c r="J76" s="5" t="n">
        <v>4</v>
      </c>
      <c r="K76" s="5" t="n">
        <v>14</v>
      </c>
      <c r="L76" s="5" t="n">
        <v>0</v>
      </c>
      <c r="M76" s="5" t="s">
        <v>7</v>
      </c>
    </row>
    <row r="77" customFormat="false" ht="15" hidden="false" customHeight="false" outlineLevel="0" collapsed="false">
      <c r="A77" s="5" t="n">
        <f aca="false">RANDBETWEEN(2,164)</f>
        <v>162</v>
      </c>
      <c r="B77" s="5" t="n">
        <f aca="false" t="array" ref="B77:B77">INDEX(Data_DBD!$B:$B,$A77)</f>
        <v>22</v>
      </c>
      <c r="C77" s="5" t="n">
        <f aca="false" t="array" ref="C77:C77">INDEX(Data_DBD!$C:$C,$A77)</f>
        <v>3</v>
      </c>
      <c r="D77" s="5" t="n">
        <f aca="false" t="array" ref="D77:D77">INDEX(Data_DBD!$D:$D,$A77)</f>
        <v>3</v>
      </c>
      <c r="E77" s="5" t="n">
        <f aca="false" t="array" ref="E77:E77">INDEX(Data_DBD!$E:$E,$A77)</f>
        <v>1</v>
      </c>
      <c r="F77" s="5" t="str">
        <f aca="false" t="array" ref="F77:F77">INDEX(Data_DBD!$F:$F,$A77)</f>
        <v>Rendah</v>
      </c>
      <c r="H77" s="5" t="n">
        <v>138</v>
      </c>
      <c r="I77" s="5" t="n">
        <v>13</v>
      </c>
      <c r="J77" s="5" t="n">
        <v>3</v>
      </c>
      <c r="K77" s="5" t="n">
        <v>33</v>
      </c>
      <c r="L77" s="5" t="n">
        <v>1</v>
      </c>
      <c r="M77" s="5" t="s">
        <v>115</v>
      </c>
    </row>
    <row r="78" customFormat="false" ht="15" hidden="false" customHeight="false" outlineLevel="0" collapsed="false">
      <c r="A78" s="5" t="n">
        <f aca="false">RANDBETWEEN(2,164)</f>
        <v>54</v>
      </c>
      <c r="B78" s="5" t="n">
        <f aca="false" t="array" ref="B78:B78">INDEX(Data_DBD!$B:$B,$A78)</f>
        <v>7</v>
      </c>
      <c r="C78" s="5" t="n">
        <f aca="false" t="array" ref="C78:C78">INDEX(Data_DBD!$C:$C,$A78)</f>
        <v>3</v>
      </c>
      <c r="D78" s="5" t="n">
        <f aca="false" t="array" ref="D78:D78">INDEX(Data_DBD!$D:$D,$A78)</f>
        <v>15</v>
      </c>
      <c r="E78" s="5" t="n">
        <f aca="false" t="array" ref="E78:E78">INDEX(Data_DBD!$E:$E,$A78)</f>
        <v>0</v>
      </c>
      <c r="F78" s="5" t="str">
        <f aca="false" t="array" ref="F78:F78">INDEX(Data_DBD!$F:$F,$A78)</f>
        <v>Sedang</v>
      </c>
      <c r="H78" s="5" t="n">
        <v>105</v>
      </c>
      <c r="I78" s="5" t="n">
        <v>61</v>
      </c>
      <c r="J78" s="5" t="n">
        <v>3</v>
      </c>
      <c r="K78" s="5" t="n">
        <v>18</v>
      </c>
      <c r="L78" s="5" t="n">
        <v>1</v>
      </c>
      <c r="M78" s="5" t="s">
        <v>7</v>
      </c>
    </row>
    <row r="79" customFormat="false" ht="15" hidden="false" customHeight="false" outlineLevel="0" collapsed="false">
      <c r="A79" s="5" t="n">
        <f aca="false">RANDBETWEEN(2,164)</f>
        <v>154</v>
      </c>
      <c r="B79" s="5" t="n">
        <f aca="false" t="array" ref="B79:B79">INDEX(Data_DBD!$B:$B,$A79)</f>
        <v>18</v>
      </c>
      <c r="C79" s="5" t="n">
        <f aca="false" t="array" ref="C79:C79">INDEX(Data_DBD!$C:$C,$A79)</f>
        <v>5</v>
      </c>
      <c r="D79" s="5" t="n">
        <f aca="false" t="array" ref="D79:D79">INDEX(Data_DBD!$D:$D,$A79)</f>
        <v>21</v>
      </c>
      <c r="E79" s="5" t="n">
        <f aca="false" t="array" ref="E79:E79">INDEX(Data_DBD!$E:$E,$A79)</f>
        <v>1</v>
      </c>
      <c r="F79" s="5" t="str">
        <f aca="false" t="array" ref="F79:F79">INDEX(Data_DBD!$F:$F,$A79)</f>
        <v>Tinggi</v>
      </c>
      <c r="H79" s="5" t="n">
        <v>76</v>
      </c>
      <c r="I79" s="5" t="n">
        <v>70</v>
      </c>
      <c r="J79" s="5" t="n">
        <v>2</v>
      </c>
      <c r="K79" s="5" t="n">
        <v>10</v>
      </c>
      <c r="L79" s="5" t="n">
        <v>0</v>
      </c>
      <c r="M79" s="5" t="s">
        <v>20</v>
      </c>
    </row>
    <row r="80" customFormat="false" ht="15" hidden="false" customHeight="false" outlineLevel="0" collapsed="false">
      <c r="A80" s="5" t="n">
        <f aca="false">RANDBETWEEN(2,164)</f>
        <v>3</v>
      </c>
      <c r="B80" s="5" t="n">
        <f aca="false" t="array" ref="B80:B80">INDEX(Data_DBD!$B:$B,$A80)</f>
        <v>43</v>
      </c>
      <c r="C80" s="5" t="n">
        <f aca="false" t="array" ref="C80:C80">INDEX(Data_DBD!$C:$C,$A80)</f>
        <v>3</v>
      </c>
      <c r="D80" s="5" t="n">
        <f aca="false" t="array" ref="D80:D80">INDEX(Data_DBD!$D:$D,$A80)</f>
        <v>12</v>
      </c>
      <c r="E80" s="5" t="n">
        <f aca="false" t="array" ref="E80:E80">INDEX(Data_DBD!$E:$E,$A80)</f>
        <v>1</v>
      </c>
      <c r="F80" s="5" t="str">
        <f aca="false" t="array" ref="F80:F80">INDEX(Data_DBD!$F:$F,$A80)</f>
        <v>Sedang</v>
      </c>
      <c r="H80" s="5" t="n">
        <v>129</v>
      </c>
      <c r="I80" s="5" t="n">
        <v>4</v>
      </c>
      <c r="J80" s="5" t="n">
        <v>3</v>
      </c>
      <c r="K80" s="5" t="n">
        <v>33</v>
      </c>
      <c r="L80" s="5" t="n">
        <v>0</v>
      </c>
      <c r="M80" s="5" t="s">
        <v>115</v>
      </c>
    </row>
    <row r="81" customFormat="false" ht="15" hidden="false" customHeight="false" outlineLevel="0" collapsed="false">
      <c r="A81" s="5" t="n">
        <f aca="false">RANDBETWEEN(2,164)</f>
        <v>98</v>
      </c>
      <c r="B81" s="5" t="n">
        <f aca="false" t="array" ref="B81:B81">INDEX(Data_DBD!$B:$B,$A81)</f>
        <v>16</v>
      </c>
      <c r="C81" s="5" t="n">
        <f aca="false" t="array" ref="C81:C81">INDEX(Data_DBD!$C:$C,$A81)</f>
        <v>2</v>
      </c>
      <c r="D81" s="5" t="n">
        <f aca="false" t="array" ref="D81:D81">INDEX(Data_DBD!$D:$D,$A81)</f>
        <v>18</v>
      </c>
      <c r="E81" s="5" t="n">
        <f aca="false" t="array" ref="E81:E81">INDEX(Data_DBD!$E:$E,$A81)</f>
        <v>1</v>
      </c>
      <c r="F81" s="5" t="str">
        <f aca="false" t="array" ref="F81:F81">INDEX(Data_DBD!$F:$F,$A81)</f>
        <v>Sedang</v>
      </c>
      <c r="H81" s="5" t="n">
        <v>156</v>
      </c>
      <c r="I81" s="5" t="n">
        <v>5</v>
      </c>
      <c r="J81" s="5" t="n">
        <v>2</v>
      </c>
      <c r="K81" s="5" t="n">
        <v>21</v>
      </c>
      <c r="L81" s="5" t="n">
        <v>0</v>
      </c>
      <c r="M81" s="5" t="s">
        <v>115</v>
      </c>
    </row>
    <row r="82" customFormat="false" ht="15" hidden="false" customHeight="false" outlineLevel="0" collapsed="false">
      <c r="A82" s="5" t="n">
        <f aca="false">RANDBETWEEN(2,164)</f>
        <v>118</v>
      </c>
      <c r="B82" s="5" t="n">
        <f aca="false" t="array" ref="B82:B82">INDEX(Data_DBD!$B:$B,$A82)</f>
        <v>67</v>
      </c>
      <c r="C82" s="5" t="n">
        <f aca="false" t="array" ref="C82:C82">INDEX(Data_DBD!$C:$C,$A82)</f>
        <v>4</v>
      </c>
      <c r="D82" s="5" t="n">
        <f aca="false" t="array" ref="D82:D82">INDEX(Data_DBD!$D:$D,$A82)</f>
        <v>33</v>
      </c>
      <c r="E82" s="5" t="n">
        <f aca="false" t="array" ref="E82:E82">INDEX(Data_DBD!$E:$E,$A82)</f>
        <v>1</v>
      </c>
      <c r="F82" s="5" t="str">
        <f aca="false" t="array" ref="F82:F82">INDEX(Data_DBD!$F:$F,$A82)</f>
        <v>Tinggi</v>
      </c>
      <c r="H82" s="5" t="n">
        <v>135</v>
      </c>
      <c r="I82" s="5" t="n">
        <v>10</v>
      </c>
      <c r="J82" s="5" t="n">
        <v>2</v>
      </c>
      <c r="K82" s="5" t="n">
        <v>33</v>
      </c>
      <c r="L82" s="5" t="n">
        <v>0</v>
      </c>
      <c r="M82" s="5" t="s">
        <v>115</v>
      </c>
    </row>
    <row r="83" customFormat="false" ht="15" hidden="false" customHeight="false" outlineLevel="0" collapsed="false">
      <c r="A83" s="5" t="n">
        <f aca="false">RANDBETWEEN(2,164)</f>
        <v>51</v>
      </c>
      <c r="B83" s="5" t="n">
        <f aca="false" t="array" ref="B83:B83">INDEX(Data_DBD!$B:$B,$A83)</f>
        <v>48</v>
      </c>
      <c r="C83" s="5" t="n">
        <f aca="false" t="array" ref="C83:C83">INDEX(Data_DBD!$C:$C,$A83)</f>
        <v>4</v>
      </c>
      <c r="D83" s="5" t="n">
        <f aca="false" t="array" ref="D83:D83">INDEX(Data_DBD!$D:$D,$A83)</f>
        <v>13</v>
      </c>
      <c r="E83" s="5" t="n">
        <f aca="false" t="array" ref="E83:E83">INDEX(Data_DBD!$E:$E,$A83)</f>
        <v>0</v>
      </c>
      <c r="F83" s="5" t="str">
        <f aca="false" t="array" ref="F83:F83">INDEX(Data_DBD!$F:$F,$A83)</f>
        <v>Sedang</v>
      </c>
      <c r="H83" s="5" t="n">
        <v>161</v>
      </c>
      <c r="I83" s="5" t="n">
        <v>12</v>
      </c>
      <c r="J83" s="5" t="n">
        <v>3</v>
      </c>
      <c r="K83" s="5" t="n">
        <v>21</v>
      </c>
      <c r="L83" s="5" t="n">
        <v>1</v>
      </c>
      <c r="M83" s="5" t="s">
        <v>115</v>
      </c>
    </row>
    <row r="84" customFormat="false" ht="15" hidden="false" customHeight="false" outlineLevel="0" collapsed="false">
      <c r="A84" s="5" t="n">
        <f aca="false">RANDBETWEEN(2,164)</f>
        <v>16</v>
      </c>
      <c r="B84" s="5" t="n">
        <f aca="false" t="array" ref="B84:B84">INDEX(Data_DBD!$B:$B,$A84)</f>
        <v>66</v>
      </c>
      <c r="C84" s="5" t="n">
        <f aca="false" t="array" ref="C84:C84">INDEX(Data_DBD!$C:$C,$A84)</f>
        <v>5</v>
      </c>
      <c r="D84" s="5" t="n">
        <f aca="false" t="array" ref="D84:D84">INDEX(Data_DBD!$D:$D,$A84)</f>
        <v>7</v>
      </c>
      <c r="E84" s="5" t="n">
        <f aca="false" t="array" ref="E84:E84">INDEX(Data_DBD!$E:$E,$A84)</f>
        <v>1</v>
      </c>
      <c r="F84" s="5" t="str">
        <f aca="false" t="array" ref="F84:F84">INDEX(Data_DBD!$F:$F,$A84)</f>
        <v>Rendah</v>
      </c>
      <c r="H84" s="5" t="n">
        <v>46</v>
      </c>
      <c r="I84" s="5" t="n">
        <v>62</v>
      </c>
      <c r="J84" s="5" t="n">
        <v>2</v>
      </c>
      <c r="K84" s="5" t="n">
        <v>13</v>
      </c>
      <c r="L84" s="5" t="n">
        <v>0</v>
      </c>
      <c r="M84" s="5" t="s">
        <v>7</v>
      </c>
    </row>
    <row r="85" customFormat="false" ht="15" hidden="false" customHeight="false" outlineLevel="0" collapsed="false">
      <c r="A85" s="5" t="n">
        <f aca="false">RANDBETWEEN(2,164)</f>
        <v>72</v>
      </c>
      <c r="B85" s="5" t="n">
        <f aca="false" t="array" ref="B85:B85">INDEX(Data_DBD!$B:$B,$A85)</f>
        <v>3</v>
      </c>
      <c r="C85" s="5" t="n">
        <f aca="false" t="array" ref="C85:C85">INDEX(Data_DBD!$C:$C,$A85)</f>
        <v>5</v>
      </c>
      <c r="D85" s="5" t="n">
        <f aca="false" t="array" ref="D85:D85">INDEX(Data_DBD!$D:$D,$A85)</f>
        <v>10</v>
      </c>
      <c r="E85" s="5" t="n">
        <f aca="false" t="array" ref="E85:E85">INDEX(Data_DBD!$E:$E,$A85)</f>
        <v>1</v>
      </c>
      <c r="F85" s="5" t="str">
        <f aca="false" t="array" ref="F85:F85">INDEX(Data_DBD!$F:$F,$A85)</f>
        <v>Rendah</v>
      </c>
      <c r="H85" s="5" t="n">
        <v>98</v>
      </c>
      <c r="I85" s="5" t="n">
        <v>16</v>
      </c>
      <c r="J85" s="5" t="n">
        <v>2</v>
      </c>
      <c r="K85" s="5" t="n">
        <v>18</v>
      </c>
      <c r="L85" s="5" t="n">
        <v>1</v>
      </c>
      <c r="M85" s="5" t="s">
        <v>7</v>
      </c>
    </row>
    <row r="86" customFormat="false" ht="15" hidden="false" customHeight="false" outlineLevel="0" collapsed="false">
      <c r="A86" s="5" t="n">
        <f aca="false">RANDBETWEEN(2,164)</f>
        <v>158</v>
      </c>
      <c r="B86" s="5" t="n">
        <f aca="false" t="array" ref="B86:B86">INDEX(Data_DBD!$B:$B,$A86)</f>
        <v>5</v>
      </c>
      <c r="C86" s="5" t="n">
        <f aca="false" t="array" ref="C86:C86">INDEX(Data_DBD!$C:$C,$A86)</f>
        <v>2</v>
      </c>
      <c r="D86" s="5" t="n">
        <f aca="false" t="array" ref="D86:D86">INDEX(Data_DBD!$D:$D,$A86)</f>
        <v>21</v>
      </c>
      <c r="E86" s="5" t="n">
        <f aca="false" t="array" ref="E86:E86">INDEX(Data_DBD!$E:$E,$A86)</f>
        <v>0</v>
      </c>
      <c r="F86" s="5" t="str">
        <f aca="false" t="array" ref="F86:F86">INDEX(Data_DBD!$F:$F,$A86)</f>
        <v>Tinggi</v>
      </c>
      <c r="H86" s="5" t="n">
        <v>64</v>
      </c>
      <c r="I86" s="5" t="n">
        <v>35</v>
      </c>
      <c r="J86" s="5" t="n">
        <v>1</v>
      </c>
      <c r="K86" s="5" t="n">
        <v>15</v>
      </c>
      <c r="L86" s="5" t="n">
        <v>0</v>
      </c>
      <c r="M86" s="5" t="s">
        <v>7</v>
      </c>
    </row>
    <row r="87" customFormat="false" ht="15" hidden="false" customHeight="false" outlineLevel="0" collapsed="false">
      <c r="A87" s="5" t="n">
        <f aca="false">RANDBETWEEN(2,164)</f>
        <v>153</v>
      </c>
      <c r="B87" s="5" t="n">
        <f aca="false" t="array" ref="B87:B87">INDEX(Data_DBD!$B:$B,$A87)</f>
        <v>73</v>
      </c>
      <c r="C87" s="5" t="n">
        <f aca="false" t="array" ref="C87:C87">INDEX(Data_DBD!$C:$C,$A87)</f>
        <v>7</v>
      </c>
      <c r="D87" s="5" t="n">
        <f aca="false" t="array" ref="D87:D87">INDEX(Data_DBD!$D:$D,$A87)</f>
        <v>21</v>
      </c>
      <c r="E87" s="5" t="n">
        <f aca="false" t="array" ref="E87:E87">INDEX(Data_DBD!$E:$E,$A87)</f>
        <v>1</v>
      </c>
      <c r="F87" s="5" t="str">
        <f aca="false" t="array" ref="F87:F87">INDEX(Data_DBD!$F:$F,$A87)</f>
        <v>Tinggi</v>
      </c>
      <c r="H87" s="5" t="n">
        <v>36</v>
      </c>
      <c r="I87" s="5" t="n">
        <v>27</v>
      </c>
      <c r="J87" s="5" t="n">
        <v>1</v>
      </c>
      <c r="K87" s="5" t="n">
        <v>4</v>
      </c>
      <c r="L87" s="5" t="n">
        <v>1</v>
      </c>
      <c r="M87" s="5" t="s">
        <v>20</v>
      </c>
    </row>
    <row r="88" customFormat="false" ht="15" hidden="false" customHeight="false" outlineLevel="0" collapsed="false">
      <c r="A88" s="5" t="n">
        <f aca="false">RANDBETWEEN(2,164)</f>
        <v>108</v>
      </c>
      <c r="B88" s="5" t="n">
        <f aca="false" t="array" ref="B88:B88">INDEX(Data_DBD!$B:$B,$A88)</f>
        <v>69</v>
      </c>
      <c r="C88" s="5" t="n">
        <f aca="false" t="array" ref="C88:C88">INDEX(Data_DBD!$C:$C,$A88)</f>
        <v>7</v>
      </c>
      <c r="D88" s="5" t="n">
        <f aca="false" t="array" ref="D88:D88">INDEX(Data_DBD!$D:$D,$A88)</f>
        <v>33</v>
      </c>
      <c r="E88" s="5" t="n">
        <f aca="false" t="array" ref="E88:E88">INDEX(Data_DBD!$E:$E,$A88)</f>
        <v>1</v>
      </c>
      <c r="F88" s="5" t="str">
        <f aca="false" t="array" ref="F88:F88">INDEX(Data_DBD!$F:$F,$A88)</f>
        <v>Tinggi</v>
      </c>
      <c r="H88" s="5" t="n">
        <v>100</v>
      </c>
      <c r="I88" s="5" t="n">
        <v>19</v>
      </c>
      <c r="J88" s="5" t="n">
        <v>6</v>
      </c>
      <c r="K88" s="5" t="n">
        <v>18</v>
      </c>
      <c r="L88" s="5" t="n">
        <v>0</v>
      </c>
      <c r="M88" s="5" t="s">
        <v>7</v>
      </c>
    </row>
    <row r="89" customFormat="false" ht="15" hidden="false" customHeight="false" outlineLevel="0" collapsed="false">
      <c r="A89" s="5" t="n">
        <f aca="false">RANDBETWEEN(2,164)</f>
        <v>51</v>
      </c>
      <c r="B89" s="5" t="n">
        <f aca="false" t="array" ref="B89:B89">INDEX(Data_DBD!$B:$B,$A89)</f>
        <v>48</v>
      </c>
      <c r="C89" s="5" t="n">
        <f aca="false" t="array" ref="C89:C89">INDEX(Data_DBD!$C:$C,$A89)</f>
        <v>4</v>
      </c>
      <c r="D89" s="5" t="n">
        <f aca="false" t="array" ref="D89:D89">INDEX(Data_DBD!$D:$D,$A89)</f>
        <v>13</v>
      </c>
      <c r="E89" s="5" t="n">
        <f aca="false" t="array" ref="E89:E89">INDEX(Data_DBD!$E:$E,$A89)</f>
        <v>0</v>
      </c>
      <c r="F89" s="5" t="str">
        <f aca="false" t="array" ref="F89:F89">INDEX(Data_DBD!$F:$F,$A89)</f>
        <v>Sedang</v>
      </c>
      <c r="H89" s="5" t="n">
        <v>40</v>
      </c>
      <c r="I89" s="5" t="n">
        <v>65</v>
      </c>
      <c r="J89" s="5" t="n">
        <v>3</v>
      </c>
      <c r="K89" s="5" t="n">
        <v>13</v>
      </c>
      <c r="L89" s="5" t="n">
        <v>1</v>
      </c>
      <c r="M89" s="5" t="s">
        <v>7</v>
      </c>
    </row>
    <row r="90" customFormat="false" ht="15" hidden="false" customHeight="false" outlineLevel="0" collapsed="false">
      <c r="A90" s="5" t="n">
        <f aca="false">RANDBETWEEN(2,164)</f>
        <v>61</v>
      </c>
      <c r="B90" s="5" t="n">
        <f aca="false" t="array" ref="B90:B90">INDEX(Data_DBD!$B:$B,$A90)</f>
        <v>29</v>
      </c>
      <c r="C90" s="5" t="n">
        <f aca="false" t="array" ref="C90:C90">INDEX(Data_DBD!$C:$C,$A90)</f>
        <v>3</v>
      </c>
      <c r="D90" s="5" t="n">
        <f aca="false" t="array" ref="D90:D90">INDEX(Data_DBD!$D:$D,$A90)</f>
        <v>15</v>
      </c>
      <c r="E90" s="5" t="n">
        <f aca="false" t="array" ref="E90:E90">INDEX(Data_DBD!$E:$E,$A90)</f>
        <v>1</v>
      </c>
      <c r="F90" s="5" t="str">
        <f aca="false" t="array" ref="F90:F90">INDEX(Data_DBD!$F:$F,$A90)</f>
        <v>Sedang</v>
      </c>
      <c r="H90" s="5" t="n">
        <v>17</v>
      </c>
      <c r="I90" s="5" t="n">
        <v>2</v>
      </c>
      <c r="J90" s="5" t="n">
        <v>3</v>
      </c>
      <c r="K90" s="5" t="n">
        <v>7</v>
      </c>
      <c r="L90" s="5" t="n">
        <v>0</v>
      </c>
      <c r="M90" s="5" t="s">
        <v>20</v>
      </c>
    </row>
    <row r="91" customFormat="false" ht="15" hidden="false" customHeight="false" outlineLevel="0" collapsed="false">
      <c r="A91" s="5" t="n">
        <f aca="false">RANDBETWEEN(2,164)</f>
        <v>33</v>
      </c>
      <c r="B91" s="5" t="n">
        <f aca="false" t="array" ref="B91:B91">INDEX(Data_DBD!$B:$B,$A91)</f>
        <v>19</v>
      </c>
      <c r="C91" s="5" t="n">
        <f aca="false" t="array" ref="C91:C91">INDEX(Data_DBD!$C:$C,$A91)</f>
        <v>4</v>
      </c>
      <c r="D91" s="5" t="n">
        <f aca="false" t="array" ref="D91:D91">INDEX(Data_DBD!$D:$D,$A91)</f>
        <v>14</v>
      </c>
      <c r="E91" s="5" t="n">
        <f aca="false" t="array" ref="E91:E91">INDEX(Data_DBD!$E:$E,$A91)</f>
        <v>1</v>
      </c>
      <c r="F91" s="5" t="str">
        <f aca="false" t="array" ref="F91:F91">INDEX(Data_DBD!$F:$F,$A91)</f>
        <v>Sedang</v>
      </c>
      <c r="H91" s="5" t="n">
        <v>85</v>
      </c>
      <c r="I91" s="5" t="n">
        <v>27</v>
      </c>
      <c r="J91" s="5" t="n">
        <v>9</v>
      </c>
      <c r="K91" s="5" t="n">
        <v>13</v>
      </c>
      <c r="L91" s="5" t="n">
        <v>0</v>
      </c>
      <c r="M91" s="5" t="s">
        <v>7</v>
      </c>
    </row>
    <row r="92" customFormat="false" ht="15" hidden="false" customHeight="false" outlineLevel="0" collapsed="false">
      <c r="A92" s="5" t="n">
        <f aca="false">RANDBETWEEN(2,164)</f>
        <v>84</v>
      </c>
      <c r="B92" s="5" t="n">
        <f aca="false" t="array" ref="B92:B92">INDEX(Data_DBD!$B:$B,$A92)</f>
        <v>42</v>
      </c>
      <c r="C92" s="5" t="n">
        <f aca="false" t="array" ref="C92:C92">INDEX(Data_DBD!$C:$C,$A92)</f>
        <v>4</v>
      </c>
      <c r="D92" s="5" t="n">
        <f aca="false" t="array" ref="D92:D92">INDEX(Data_DBD!$D:$D,$A92)</f>
        <v>13</v>
      </c>
      <c r="E92" s="5" t="n">
        <f aca="false" t="array" ref="E92:E92">INDEX(Data_DBD!$E:$E,$A92)</f>
        <v>1</v>
      </c>
      <c r="F92" s="5" t="str">
        <f aca="false" t="array" ref="F92:F92">INDEX(Data_DBD!$F:$F,$A92)</f>
        <v>Sedang</v>
      </c>
      <c r="H92" s="5" t="n">
        <v>88</v>
      </c>
      <c r="I92" s="5" t="n">
        <v>20</v>
      </c>
      <c r="J92" s="5" t="n">
        <v>4</v>
      </c>
      <c r="K92" s="5" t="n">
        <v>13</v>
      </c>
      <c r="L92" s="5" t="n">
        <v>1</v>
      </c>
      <c r="M92" s="5" t="s">
        <v>7</v>
      </c>
    </row>
    <row r="93" customFormat="false" ht="15" hidden="false" customHeight="false" outlineLevel="0" collapsed="false">
      <c r="A93" s="5" t="n">
        <f aca="false">RANDBETWEEN(2,164)</f>
        <v>12</v>
      </c>
      <c r="B93" s="5" t="n">
        <f aca="false" t="array" ref="B93:B93">INDEX(Data_DBD!$B:$B,$A93)</f>
        <v>23</v>
      </c>
      <c r="C93" s="5" t="n">
        <f aca="false" t="array" ref="C93:C93">INDEX(Data_DBD!$C:$C,$A93)</f>
        <v>3</v>
      </c>
      <c r="D93" s="5" t="n">
        <f aca="false" t="array" ref="D93:D93">INDEX(Data_DBD!$D:$D,$A93)</f>
        <v>12</v>
      </c>
      <c r="E93" s="5" t="n">
        <f aca="false" t="array" ref="E93:E93">INDEX(Data_DBD!$E:$E,$A93)</f>
        <v>0</v>
      </c>
      <c r="F93" s="5" t="str">
        <f aca="false" t="array" ref="F93:F93">INDEX(Data_DBD!$F:$F,$A93)</f>
        <v>Sedang</v>
      </c>
      <c r="H93" s="5" t="n">
        <v>154</v>
      </c>
      <c r="I93" s="5" t="n">
        <v>18</v>
      </c>
      <c r="J93" s="5" t="n">
        <v>5</v>
      </c>
      <c r="K93" s="5" t="n">
        <v>21</v>
      </c>
      <c r="L93" s="5" t="n">
        <v>1</v>
      </c>
      <c r="M93" s="5" t="s">
        <v>115</v>
      </c>
    </row>
    <row r="94" customFormat="false" ht="15" hidden="false" customHeight="false" outlineLevel="0" collapsed="false">
      <c r="A94" s="5" t="n">
        <f aca="false">RANDBETWEEN(2,164)</f>
        <v>47</v>
      </c>
      <c r="B94" s="5" t="n">
        <f aca="false" t="array" ref="B94:B94">INDEX(Data_DBD!$B:$B,$A94)</f>
        <v>19</v>
      </c>
      <c r="C94" s="5" t="n">
        <f aca="false" t="array" ref="C94:C94">INDEX(Data_DBD!$C:$C,$A94)</f>
        <v>2</v>
      </c>
      <c r="D94" s="5" t="n">
        <f aca="false" t="array" ref="D94:D94">INDEX(Data_DBD!$D:$D,$A94)</f>
        <v>13</v>
      </c>
      <c r="E94" s="5" t="n">
        <f aca="false" t="array" ref="E94:E94">INDEX(Data_DBD!$E:$E,$A94)</f>
        <v>0</v>
      </c>
      <c r="F94" s="5" t="str">
        <f aca="false" t="array" ref="F94:F94">INDEX(Data_DBD!$F:$F,$A94)</f>
        <v>Sedang</v>
      </c>
      <c r="H94" s="5" t="n">
        <v>64</v>
      </c>
      <c r="I94" s="5" t="n">
        <v>35</v>
      </c>
      <c r="J94" s="5" t="n">
        <v>1</v>
      </c>
      <c r="K94" s="5" t="n">
        <v>15</v>
      </c>
      <c r="L94" s="5" t="n">
        <v>0</v>
      </c>
      <c r="M94" s="5" t="s">
        <v>7</v>
      </c>
    </row>
    <row r="95" customFormat="false" ht="15" hidden="false" customHeight="false" outlineLevel="0" collapsed="false">
      <c r="A95" s="5" t="n">
        <f aca="false">RANDBETWEEN(2,164)</f>
        <v>119</v>
      </c>
      <c r="B95" s="5" t="n">
        <f aca="false" t="array" ref="B95:B95">INDEX(Data_DBD!$B:$B,$A95)</f>
        <v>30</v>
      </c>
      <c r="C95" s="5" t="n">
        <f aca="false" t="array" ref="C95:C95">INDEX(Data_DBD!$C:$C,$A95)</f>
        <v>7</v>
      </c>
      <c r="D95" s="5" t="n">
        <f aca="false" t="array" ref="D95:D95">INDEX(Data_DBD!$D:$D,$A95)</f>
        <v>33</v>
      </c>
      <c r="E95" s="5" t="n">
        <f aca="false" t="array" ref="E95:E95">INDEX(Data_DBD!$E:$E,$A95)</f>
        <v>0</v>
      </c>
      <c r="F95" s="5" t="str">
        <f aca="false" t="array" ref="F95:F95">INDEX(Data_DBD!$F:$F,$A95)</f>
        <v>Tinggi</v>
      </c>
      <c r="H95" s="5" t="n">
        <v>127</v>
      </c>
      <c r="I95" s="5" t="n">
        <v>21</v>
      </c>
      <c r="J95" s="5" t="n">
        <v>2</v>
      </c>
      <c r="K95" s="5" t="n">
        <v>33</v>
      </c>
      <c r="L95" s="5" t="n">
        <v>0</v>
      </c>
      <c r="M95" s="5" t="s">
        <v>115</v>
      </c>
    </row>
    <row r="96" customFormat="false" ht="15" hidden="false" customHeight="false" outlineLevel="0" collapsed="false">
      <c r="A96" s="5" t="n">
        <f aca="false">RANDBETWEEN(2,164)</f>
        <v>142</v>
      </c>
      <c r="B96" s="5" t="n">
        <f aca="false" t="array" ref="B96:B96">INDEX(Data_DBD!$B:$B,$A96)</f>
        <v>39</v>
      </c>
      <c r="C96" s="5" t="n">
        <f aca="false" t="array" ref="C96:C96">INDEX(Data_DBD!$C:$C,$A96)</f>
        <v>2</v>
      </c>
      <c r="D96" s="5" t="n">
        <f aca="false" t="array" ref="D96:D96">INDEX(Data_DBD!$D:$D,$A96)</f>
        <v>21</v>
      </c>
      <c r="E96" s="5" t="n">
        <f aca="false" t="array" ref="E96:E96">INDEX(Data_DBD!$E:$E,$A96)</f>
        <v>1</v>
      </c>
      <c r="F96" s="5" t="str">
        <f aca="false" t="array" ref="F96:F96">INDEX(Data_DBD!$F:$F,$A96)</f>
        <v>Tinggi</v>
      </c>
      <c r="H96" s="5" t="n">
        <v>126</v>
      </c>
      <c r="I96" s="5" t="n">
        <v>51</v>
      </c>
      <c r="J96" s="5" t="n">
        <v>3</v>
      </c>
      <c r="K96" s="5" t="n">
        <v>33</v>
      </c>
      <c r="L96" s="5" t="n">
        <v>1</v>
      </c>
      <c r="M96" s="5" t="s">
        <v>115</v>
      </c>
    </row>
    <row r="97" customFormat="false" ht="15" hidden="false" customHeight="false" outlineLevel="0" collapsed="false">
      <c r="A97" s="5" t="n">
        <f aca="false">RANDBETWEEN(2,164)</f>
        <v>18</v>
      </c>
      <c r="B97" s="5" t="n">
        <f aca="false" t="array" ref="B97:B97">INDEX(Data_DBD!$B:$B,$A97)</f>
        <v>49</v>
      </c>
      <c r="C97" s="5" t="n">
        <f aca="false" t="array" ref="C97:C97">INDEX(Data_DBD!$C:$C,$A97)</f>
        <v>4</v>
      </c>
      <c r="D97" s="5" t="n">
        <f aca="false" t="array" ref="D97:D97">INDEX(Data_DBD!$D:$D,$A97)</f>
        <v>7</v>
      </c>
      <c r="E97" s="5" t="n">
        <f aca="false" t="array" ref="E97:E97">INDEX(Data_DBD!$E:$E,$A97)</f>
        <v>1</v>
      </c>
      <c r="F97" s="5" t="str">
        <f aca="false" t="array" ref="F97:F97">INDEX(Data_DBD!$F:$F,$A97)</f>
        <v>Rendah</v>
      </c>
      <c r="H97" s="5" t="n">
        <v>116</v>
      </c>
      <c r="I97" s="5" t="n">
        <v>32</v>
      </c>
      <c r="J97" s="5" t="n">
        <v>4</v>
      </c>
      <c r="K97" s="5" t="n">
        <v>33</v>
      </c>
      <c r="L97" s="5" t="n">
        <v>1</v>
      </c>
      <c r="M97" s="5" t="s">
        <v>115</v>
      </c>
    </row>
    <row r="98" customFormat="false" ht="15" hidden="false" customHeight="false" outlineLevel="0" collapsed="false">
      <c r="A98" s="5" t="n">
        <f aca="false">RANDBETWEEN(2,164)</f>
        <v>76</v>
      </c>
      <c r="B98" s="5" t="n">
        <f aca="false" t="array" ref="B98:B98">INDEX(Data_DBD!$B:$B,$A98)</f>
        <v>70</v>
      </c>
      <c r="C98" s="5" t="n">
        <f aca="false" t="array" ref="C98:C98">INDEX(Data_DBD!$C:$C,$A98)</f>
        <v>2</v>
      </c>
      <c r="D98" s="5" t="n">
        <f aca="false" t="array" ref="D98:D98">INDEX(Data_DBD!$D:$D,$A98)</f>
        <v>10</v>
      </c>
      <c r="E98" s="5" t="n">
        <f aca="false" t="array" ref="E98:E98">INDEX(Data_DBD!$E:$E,$A98)</f>
        <v>0</v>
      </c>
      <c r="F98" s="5" t="str">
        <f aca="false" t="array" ref="F98:F98">INDEX(Data_DBD!$F:$F,$A98)</f>
        <v>Rendah</v>
      </c>
      <c r="H98" s="5" t="n">
        <v>144</v>
      </c>
      <c r="I98" s="5" t="n">
        <v>61</v>
      </c>
      <c r="J98" s="5" t="n">
        <v>4</v>
      </c>
      <c r="K98" s="5" t="n">
        <v>21</v>
      </c>
      <c r="L98" s="5" t="n">
        <v>1</v>
      </c>
      <c r="M98" s="5" t="s">
        <v>115</v>
      </c>
    </row>
    <row r="99" customFormat="false" ht="15" hidden="false" customHeight="false" outlineLevel="0" collapsed="false">
      <c r="A99" s="5" t="n">
        <f aca="false">RANDBETWEEN(2,164)</f>
        <v>122</v>
      </c>
      <c r="B99" s="5" t="n">
        <f aca="false" t="array" ref="B99:B99">INDEX(Data_DBD!$B:$B,$A99)</f>
        <v>28</v>
      </c>
      <c r="C99" s="5" t="n">
        <f aca="false" t="array" ref="C99:C99">INDEX(Data_DBD!$C:$C,$A99)</f>
        <v>3</v>
      </c>
      <c r="D99" s="5" t="n">
        <f aca="false" t="array" ref="D99:D99">INDEX(Data_DBD!$D:$D,$A99)</f>
        <v>33</v>
      </c>
      <c r="E99" s="5" t="n">
        <f aca="false" t="array" ref="E99:E99">INDEX(Data_DBD!$E:$E,$A99)</f>
        <v>1</v>
      </c>
      <c r="F99" s="5" t="str">
        <f aca="false" t="array" ref="F99:F99">INDEX(Data_DBD!$F:$F,$A99)</f>
        <v>Tinggi</v>
      </c>
      <c r="H99" s="5" t="n">
        <v>17</v>
      </c>
      <c r="I99" s="5" t="n">
        <v>2</v>
      </c>
      <c r="J99" s="5" t="n">
        <v>3</v>
      </c>
      <c r="K99" s="5" t="n">
        <v>7</v>
      </c>
      <c r="L99" s="5" t="n">
        <v>0</v>
      </c>
      <c r="M99" s="5" t="s">
        <v>20</v>
      </c>
    </row>
    <row r="100" customFormat="false" ht="15" hidden="false" customHeight="false" outlineLevel="0" collapsed="false">
      <c r="A100" s="5" t="n">
        <f aca="false">RANDBETWEEN(2,164)</f>
        <v>73</v>
      </c>
      <c r="B100" s="5" t="n">
        <f aca="false" t="array" ref="B100:B100">INDEX(Data_DBD!$B:$B,$A100)</f>
        <v>15</v>
      </c>
      <c r="C100" s="5" t="n">
        <f aca="false" t="array" ref="C100:C100">INDEX(Data_DBD!$C:$C,$A100)</f>
        <v>3</v>
      </c>
      <c r="D100" s="5" t="n">
        <f aca="false" t="array" ref="D100:D100">INDEX(Data_DBD!$D:$D,$A100)</f>
        <v>10</v>
      </c>
      <c r="E100" s="5" t="n">
        <f aca="false" t="array" ref="E100:E100">INDEX(Data_DBD!$E:$E,$A100)</f>
        <v>1</v>
      </c>
      <c r="F100" s="5" t="str">
        <f aca="false" t="array" ref="F100:F100">INDEX(Data_DBD!$F:$F,$A100)</f>
        <v>Rendah</v>
      </c>
      <c r="H100" s="5" t="n">
        <v>64</v>
      </c>
      <c r="I100" s="5" t="n">
        <v>35</v>
      </c>
      <c r="J100" s="5" t="n">
        <v>1</v>
      </c>
      <c r="K100" s="5" t="n">
        <v>15</v>
      </c>
      <c r="L100" s="5" t="n">
        <v>0</v>
      </c>
      <c r="M100" s="5" t="s">
        <v>7</v>
      </c>
    </row>
    <row r="101" customFormat="false" ht="15" hidden="false" customHeight="false" outlineLevel="0" collapsed="false">
      <c r="A101" s="5" t="n">
        <f aca="false">RANDBETWEEN(2,164)</f>
        <v>128</v>
      </c>
      <c r="B101" s="5" t="n">
        <f aca="false" t="array" ref="B101:B101">INDEX(Data_DBD!$B:$B,$A101)</f>
        <v>38</v>
      </c>
      <c r="C101" s="5" t="n">
        <f aca="false" t="array" ref="C101:C101">INDEX(Data_DBD!$C:$C,$A101)</f>
        <v>2</v>
      </c>
      <c r="D101" s="5" t="n">
        <f aca="false" t="array" ref="D101:D101">INDEX(Data_DBD!$D:$D,$A101)</f>
        <v>33</v>
      </c>
      <c r="E101" s="5" t="n">
        <f aca="false" t="array" ref="E101:E101">INDEX(Data_DBD!$E:$E,$A101)</f>
        <v>0</v>
      </c>
      <c r="F101" s="5" t="str">
        <f aca="false" t="array" ref="F101:F101">INDEX(Data_DBD!$F:$F,$A101)</f>
        <v>Tinggi</v>
      </c>
      <c r="H101" s="5" t="n">
        <v>38</v>
      </c>
      <c r="I101" s="5" t="n">
        <v>52</v>
      </c>
      <c r="J101" s="5" t="n">
        <v>3</v>
      </c>
      <c r="K101" s="5" t="n">
        <v>4</v>
      </c>
      <c r="L101" s="5" t="n">
        <v>1</v>
      </c>
      <c r="M101" s="5" t="s">
        <v>20</v>
      </c>
    </row>
    <row r="102" customFormat="false" ht="15" hidden="false" customHeight="false" outlineLevel="0" collapsed="false">
      <c r="A102" s="5" t="n">
        <f aca="false">RANDBETWEEN(2,164)</f>
        <v>101</v>
      </c>
      <c r="B102" s="5" t="n">
        <f aca="false" t="array" ref="B102:B102">INDEX(Data_DBD!$B:$B,$A102)</f>
        <v>42</v>
      </c>
      <c r="C102" s="5" t="n">
        <f aca="false" t="array" ref="C102:C102">INDEX(Data_DBD!$C:$C,$A102)</f>
        <v>5</v>
      </c>
      <c r="D102" s="5" t="n">
        <f aca="false" t="array" ref="D102:D102">INDEX(Data_DBD!$D:$D,$A102)</f>
        <v>18</v>
      </c>
      <c r="E102" s="5" t="n">
        <f aca="false" t="array" ref="E102:E102">INDEX(Data_DBD!$E:$E,$A102)</f>
        <v>0</v>
      </c>
      <c r="F102" s="5" t="str">
        <f aca="false" t="array" ref="F102:F102">INDEX(Data_DBD!$F:$F,$A102)</f>
        <v>Sedang</v>
      </c>
      <c r="H102" s="5" t="n">
        <v>66</v>
      </c>
      <c r="I102" s="5" t="n">
        <v>21</v>
      </c>
      <c r="J102" s="5" t="n">
        <v>5</v>
      </c>
      <c r="K102" s="5" t="n">
        <v>15</v>
      </c>
      <c r="L102" s="5" t="n">
        <v>1</v>
      </c>
      <c r="M102" s="5" t="s">
        <v>7</v>
      </c>
    </row>
    <row r="103" customFormat="false" ht="15" hidden="false" customHeight="false" outlineLevel="0" collapsed="false">
      <c r="A103" s="5" t="n">
        <f aca="false">RANDBETWEEN(2,164)</f>
        <v>150</v>
      </c>
      <c r="B103" s="5" t="n">
        <f aca="false" t="array" ref="B103:B103">INDEX(Data_DBD!$B:$B,$A103)</f>
        <v>61</v>
      </c>
      <c r="C103" s="5" t="n">
        <f aca="false" t="array" ref="C103:C103">INDEX(Data_DBD!$C:$C,$A103)</f>
        <v>5</v>
      </c>
      <c r="D103" s="5" t="n">
        <f aca="false" t="array" ref="D103:D103">INDEX(Data_DBD!$D:$D,$A103)</f>
        <v>21</v>
      </c>
      <c r="E103" s="5" t="n">
        <f aca="false" t="array" ref="E103:E103">INDEX(Data_DBD!$E:$E,$A103)</f>
        <v>1</v>
      </c>
      <c r="F103" s="5" t="str">
        <f aca="false" t="array" ref="F103:F103">INDEX(Data_DBD!$F:$F,$A103)</f>
        <v>Tinggi</v>
      </c>
      <c r="H103" s="5" t="n">
        <v>162</v>
      </c>
      <c r="I103" s="5" t="n">
        <v>22</v>
      </c>
      <c r="J103" s="5" t="n">
        <v>3</v>
      </c>
      <c r="K103" s="5" t="n">
        <v>3</v>
      </c>
      <c r="L103" s="5" t="n">
        <v>1</v>
      </c>
      <c r="M103" s="5" t="s">
        <v>20</v>
      </c>
    </row>
    <row r="104" customFormat="false" ht="15" hidden="false" customHeight="false" outlineLevel="0" collapsed="false">
      <c r="A104" s="5" t="n">
        <f aca="false">RANDBETWEEN(2,164)</f>
        <v>24</v>
      </c>
      <c r="B104" s="5" t="n">
        <f aca="false" t="array" ref="B104:B104">INDEX(Data_DBD!$B:$B,$A104)</f>
        <v>60</v>
      </c>
      <c r="C104" s="5" t="n">
        <f aca="false" t="array" ref="C104:C104">INDEX(Data_DBD!$C:$C,$A104)</f>
        <v>4</v>
      </c>
      <c r="D104" s="5" t="n">
        <f aca="false" t="array" ref="D104:D104">INDEX(Data_DBD!$D:$D,$A104)</f>
        <v>14</v>
      </c>
      <c r="E104" s="5" t="n">
        <f aca="false" t="array" ref="E104:E104">INDEX(Data_DBD!$E:$E,$A104)</f>
        <v>0</v>
      </c>
      <c r="F104" s="5" t="str">
        <f aca="false" t="array" ref="F104:F104">INDEX(Data_DBD!$F:$F,$A104)</f>
        <v>Sedang</v>
      </c>
      <c r="H104" s="5" t="n">
        <v>89</v>
      </c>
      <c r="I104" s="5" t="n">
        <v>32</v>
      </c>
      <c r="J104" s="5" t="n">
        <v>4</v>
      </c>
      <c r="K104" s="5" t="n">
        <v>13</v>
      </c>
      <c r="L104" s="5" t="n">
        <v>0</v>
      </c>
      <c r="M104" s="5" t="s">
        <v>7</v>
      </c>
    </row>
    <row r="105" customFormat="false" ht="15" hidden="false" customHeight="false" outlineLevel="0" collapsed="false">
      <c r="A105" s="5" t="n">
        <f aca="false">RANDBETWEEN(2,164)</f>
        <v>79</v>
      </c>
      <c r="B105" s="5" t="n">
        <f aca="false" t="array" ref="B105:B105">INDEX(Data_DBD!$B:$B,$A105)</f>
        <v>29</v>
      </c>
      <c r="C105" s="5" t="n">
        <f aca="false" t="array" ref="C105:C105">INDEX(Data_DBD!$C:$C,$A105)</f>
        <v>3</v>
      </c>
      <c r="D105" s="5" t="n">
        <f aca="false" t="array" ref="D105:D105">INDEX(Data_DBD!$D:$D,$A105)</f>
        <v>13</v>
      </c>
      <c r="E105" s="5" t="n">
        <f aca="false" t="array" ref="E105:E105">INDEX(Data_DBD!$E:$E,$A105)</f>
        <v>0</v>
      </c>
      <c r="F105" s="5" t="str">
        <f aca="false" t="array" ref="F105:F105">INDEX(Data_DBD!$F:$F,$A105)</f>
        <v>Sedang</v>
      </c>
      <c r="H105" s="5" t="n">
        <v>104</v>
      </c>
      <c r="I105" s="5" t="n">
        <v>37</v>
      </c>
      <c r="J105" s="5" t="n">
        <v>4</v>
      </c>
      <c r="K105" s="5" t="n">
        <v>18</v>
      </c>
      <c r="L105" s="5" t="n">
        <v>1</v>
      </c>
      <c r="M105" s="5" t="s">
        <v>7</v>
      </c>
    </row>
    <row r="106" customFormat="false" ht="15" hidden="false" customHeight="false" outlineLevel="0" collapsed="false">
      <c r="A106" s="5" t="n">
        <f aca="false">RANDBETWEEN(2,164)</f>
        <v>18</v>
      </c>
      <c r="B106" s="5" t="n">
        <f aca="false" t="array" ref="B106:B106">INDEX(Data_DBD!$B:$B,$A106)</f>
        <v>49</v>
      </c>
      <c r="C106" s="5" t="n">
        <f aca="false" t="array" ref="C106:C106">INDEX(Data_DBD!$C:$C,$A106)</f>
        <v>4</v>
      </c>
      <c r="D106" s="5" t="n">
        <f aca="false" t="array" ref="D106:D106">INDEX(Data_DBD!$D:$D,$A106)</f>
        <v>7</v>
      </c>
      <c r="E106" s="5" t="n">
        <f aca="false" t="array" ref="E106:E106">INDEX(Data_DBD!$E:$E,$A106)</f>
        <v>1</v>
      </c>
      <c r="F106" s="5" t="str">
        <f aca="false" t="array" ref="F106:F106">INDEX(Data_DBD!$F:$F,$A106)</f>
        <v>Rendah</v>
      </c>
      <c r="H106" s="5" t="n">
        <v>42</v>
      </c>
      <c r="I106" s="5" t="n">
        <v>21</v>
      </c>
      <c r="J106" s="5" t="n">
        <v>5</v>
      </c>
      <c r="K106" s="5" t="n">
        <v>13</v>
      </c>
      <c r="L106" s="5" t="n">
        <v>1</v>
      </c>
      <c r="M106" s="5" t="s">
        <v>7</v>
      </c>
    </row>
    <row r="107" customFormat="false" ht="15" hidden="false" customHeight="false" outlineLevel="0" collapsed="false">
      <c r="A107" s="5" t="n">
        <f aca="false">RANDBETWEEN(2,164)</f>
        <v>79</v>
      </c>
      <c r="B107" s="5" t="n">
        <f aca="false" t="array" ref="B107:B107">INDEX(Data_DBD!$B:$B,$A107)</f>
        <v>29</v>
      </c>
      <c r="C107" s="5" t="n">
        <f aca="false" t="array" ref="C107:C107">INDEX(Data_DBD!$C:$C,$A107)</f>
        <v>3</v>
      </c>
      <c r="D107" s="5" t="n">
        <f aca="false" t="array" ref="D107:D107">INDEX(Data_DBD!$D:$D,$A107)</f>
        <v>13</v>
      </c>
      <c r="E107" s="5" t="n">
        <f aca="false" t="array" ref="E107:E107">INDEX(Data_DBD!$E:$E,$A107)</f>
        <v>0</v>
      </c>
      <c r="F107" s="5" t="str">
        <f aca="false" t="array" ref="F107:F107">INDEX(Data_DBD!$F:$F,$A107)</f>
        <v>Sedang</v>
      </c>
      <c r="H107" s="5" t="n">
        <v>128</v>
      </c>
      <c r="I107" s="5" t="n">
        <v>38</v>
      </c>
      <c r="J107" s="5" t="n">
        <v>2</v>
      </c>
      <c r="K107" s="5" t="n">
        <v>33</v>
      </c>
      <c r="L107" s="5" t="n">
        <v>0</v>
      </c>
      <c r="M107" s="5" t="s">
        <v>115</v>
      </c>
    </row>
    <row r="108" customFormat="false" ht="15" hidden="false" customHeight="false" outlineLevel="0" collapsed="false">
      <c r="A108" s="5" t="n">
        <f aca="false">RANDBETWEEN(2,164)</f>
        <v>142</v>
      </c>
      <c r="B108" s="5" t="n">
        <f aca="false" t="array" ref="B108:B108">INDEX(Data_DBD!$B:$B,$A108)</f>
        <v>39</v>
      </c>
      <c r="C108" s="5" t="n">
        <f aca="false" t="array" ref="C108:C108">INDEX(Data_DBD!$C:$C,$A108)</f>
        <v>2</v>
      </c>
      <c r="D108" s="5" t="n">
        <f aca="false" t="array" ref="D108:D108">INDEX(Data_DBD!$D:$D,$A108)</f>
        <v>21</v>
      </c>
      <c r="E108" s="5" t="n">
        <f aca="false" t="array" ref="E108:E108">INDEX(Data_DBD!$E:$E,$A108)</f>
        <v>1</v>
      </c>
      <c r="F108" s="5" t="str">
        <f aca="false" t="array" ref="F108:F108">INDEX(Data_DBD!$F:$F,$A108)</f>
        <v>Tinggi</v>
      </c>
      <c r="H108" s="5" t="n">
        <v>161</v>
      </c>
      <c r="I108" s="5" t="n">
        <v>12</v>
      </c>
      <c r="J108" s="5" t="n">
        <v>3</v>
      </c>
      <c r="K108" s="5" t="n">
        <v>21</v>
      </c>
      <c r="L108" s="5" t="n">
        <v>1</v>
      </c>
      <c r="M108" s="5" t="s">
        <v>115</v>
      </c>
    </row>
    <row r="109" customFormat="false" ht="15" hidden="false" customHeight="false" outlineLevel="0" collapsed="false">
      <c r="A109" s="5" t="n">
        <f aca="false">RANDBETWEEN(2,164)</f>
        <v>70</v>
      </c>
      <c r="B109" s="5" t="n">
        <f aca="false" t="array" ref="B109:B109">INDEX(Data_DBD!$B:$B,$A109)</f>
        <v>26</v>
      </c>
      <c r="C109" s="5" t="n">
        <f aca="false" t="array" ref="C109:C109">INDEX(Data_DBD!$C:$C,$A109)</f>
        <v>3</v>
      </c>
      <c r="D109" s="5" t="n">
        <f aca="false" t="array" ref="D109:D109">INDEX(Data_DBD!$D:$D,$A109)</f>
        <v>10</v>
      </c>
      <c r="E109" s="5" t="n">
        <f aca="false" t="array" ref="E109:E109">INDEX(Data_DBD!$E:$E,$A109)</f>
        <v>1</v>
      </c>
      <c r="F109" s="5" t="str">
        <f aca="false" t="array" ref="F109:F109">INDEX(Data_DBD!$F:$F,$A109)</f>
        <v>Rendah</v>
      </c>
      <c r="H109" s="5" t="n">
        <v>102</v>
      </c>
      <c r="I109" s="5" t="n">
        <v>41</v>
      </c>
      <c r="J109" s="5" t="n">
        <v>4</v>
      </c>
      <c r="K109" s="5" t="n">
        <v>18</v>
      </c>
      <c r="L109" s="5" t="n">
        <v>0</v>
      </c>
      <c r="M109" s="5" t="s">
        <v>7</v>
      </c>
    </row>
    <row r="110" customFormat="false" ht="15" hidden="false" customHeight="false" outlineLevel="0" collapsed="false">
      <c r="A110" s="5" t="n">
        <f aca="false">RANDBETWEEN(2,164)</f>
        <v>87</v>
      </c>
      <c r="B110" s="5" t="n">
        <f aca="false" t="array" ref="B110:B110">INDEX(Data_DBD!$B:$B,$A110)</f>
        <v>21</v>
      </c>
      <c r="C110" s="5" t="n">
        <f aca="false" t="array" ref="C110:C110">INDEX(Data_DBD!$C:$C,$A110)</f>
        <v>3</v>
      </c>
      <c r="D110" s="5" t="n">
        <f aca="false" t="array" ref="D110:D110">INDEX(Data_DBD!$D:$D,$A110)</f>
        <v>13</v>
      </c>
      <c r="E110" s="5" t="n">
        <f aca="false" t="array" ref="E110:E110">INDEX(Data_DBD!$E:$E,$A110)</f>
        <v>0</v>
      </c>
      <c r="F110" s="5" t="str">
        <f aca="false" t="array" ref="F110:F110">INDEX(Data_DBD!$F:$F,$A110)</f>
        <v>Sedang</v>
      </c>
      <c r="H110" s="5" t="n">
        <v>15</v>
      </c>
      <c r="I110" s="5" t="n">
        <v>21</v>
      </c>
      <c r="J110" s="5" t="n">
        <v>2</v>
      </c>
      <c r="K110" s="5" t="n">
        <v>7</v>
      </c>
      <c r="L110" s="5" t="n">
        <v>0</v>
      </c>
      <c r="M110" s="5" t="s">
        <v>20</v>
      </c>
    </row>
    <row r="111" customFormat="false" ht="15" hidden="false" customHeight="false" outlineLevel="0" collapsed="false">
      <c r="A111" s="5" t="n">
        <f aca="false">RANDBETWEEN(2,164)</f>
        <v>151</v>
      </c>
      <c r="B111" s="5" t="n">
        <f aca="false" t="array" ref="B111:B111">INDEX(Data_DBD!$B:$B,$A111)</f>
        <v>24</v>
      </c>
      <c r="C111" s="5" t="n">
        <f aca="false" t="array" ref="C111:C111">INDEX(Data_DBD!$C:$C,$A111)</f>
        <v>3</v>
      </c>
      <c r="D111" s="5" t="n">
        <f aca="false" t="array" ref="D111:D111">INDEX(Data_DBD!$D:$D,$A111)</f>
        <v>21</v>
      </c>
      <c r="E111" s="5" t="n">
        <f aca="false" t="array" ref="E111:E111">INDEX(Data_DBD!$E:$E,$A111)</f>
        <v>0</v>
      </c>
      <c r="F111" s="5" t="str">
        <f aca="false" t="array" ref="F111:F111">INDEX(Data_DBD!$F:$F,$A111)</f>
        <v>Tinggi</v>
      </c>
      <c r="H111" s="5" t="n">
        <v>154</v>
      </c>
      <c r="I111" s="5" t="n">
        <v>18</v>
      </c>
      <c r="J111" s="5" t="n">
        <v>5</v>
      </c>
      <c r="K111" s="5" t="n">
        <v>21</v>
      </c>
      <c r="L111" s="5" t="n">
        <v>1</v>
      </c>
      <c r="M111" s="5" t="s">
        <v>115</v>
      </c>
    </row>
    <row r="112" customFormat="false" ht="15" hidden="false" customHeight="false" outlineLevel="0" collapsed="false">
      <c r="A112" s="5" t="n">
        <f aca="false">RANDBETWEEN(2,164)</f>
        <v>60</v>
      </c>
      <c r="B112" s="5" t="n">
        <f aca="false" t="array" ref="B112:B112">INDEX(Data_DBD!$B:$B,$A112)</f>
        <v>68</v>
      </c>
      <c r="C112" s="5" t="n">
        <f aca="false" t="array" ref="C112:C112">INDEX(Data_DBD!$C:$C,$A112)</f>
        <v>4</v>
      </c>
      <c r="D112" s="5" t="n">
        <f aca="false" t="array" ref="D112:D112">INDEX(Data_DBD!$D:$D,$A112)</f>
        <v>15</v>
      </c>
      <c r="E112" s="5" t="n">
        <f aca="false" t="array" ref="E112:E112">INDEX(Data_DBD!$E:$E,$A112)</f>
        <v>0</v>
      </c>
      <c r="F112" s="5" t="str">
        <f aca="false" t="array" ref="F112:F112">INDEX(Data_DBD!$F:$F,$A112)</f>
        <v>Sedang</v>
      </c>
      <c r="H112" s="5" t="n">
        <v>64</v>
      </c>
      <c r="I112" s="5" t="n">
        <v>35</v>
      </c>
      <c r="J112" s="5" t="n">
        <v>1</v>
      </c>
      <c r="K112" s="5" t="n">
        <v>15</v>
      </c>
      <c r="L112" s="5" t="n">
        <v>0</v>
      </c>
      <c r="M112" s="5" t="s">
        <v>7</v>
      </c>
    </row>
    <row r="113" customFormat="false" ht="15" hidden="false" customHeight="false" outlineLevel="0" collapsed="false">
      <c r="A113" s="5" t="n">
        <f aca="false">RANDBETWEEN(2,164)</f>
        <v>27</v>
      </c>
      <c r="B113" s="5" t="n">
        <f aca="false" t="array" ref="B113:B113">INDEX(Data_DBD!$B:$B,$A113)</f>
        <v>37</v>
      </c>
      <c r="C113" s="5" t="n">
        <f aca="false" t="array" ref="C113:C113">INDEX(Data_DBD!$C:$C,$A113)</f>
        <v>4</v>
      </c>
      <c r="D113" s="5" t="n">
        <f aca="false" t="array" ref="D113:D113">INDEX(Data_DBD!$D:$D,$A113)</f>
        <v>14</v>
      </c>
      <c r="E113" s="5" t="n">
        <f aca="false" t="array" ref="E113:E113">INDEX(Data_DBD!$E:$E,$A113)</f>
        <v>1</v>
      </c>
      <c r="F113" s="5" t="str">
        <f aca="false" t="array" ref="F113:F113">INDEX(Data_DBD!$F:$F,$A113)</f>
        <v>Sedang</v>
      </c>
      <c r="H113" s="5" t="n">
        <v>27</v>
      </c>
      <c r="I113" s="5" t="n">
        <v>37</v>
      </c>
      <c r="J113" s="5" t="n">
        <v>4</v>
      </c>
      <c r="K113" s="5" t="n">
        <v>14</v>
      </c>
      <c r="L113" s="5" t="n">
        <v>1</v>
      </c>
      <c r="M113" s="5" t="s">
        <v>7</v>
      </c>
    </row>
    <row r="114" customFormat="false" ht="15" hidden="false" customHeight="false" outlineLevel="0" collapsed="false">
      <c r="A114" s="5" t="n">
        <f aca="false">RANDBETWEEN(2,164)</f>
        <v>83</v>
      </c>
      <c r="B114" s="5" t="n">
        <f aca="false" t="array" ref="B114:B114">INDEX(Data_DBD!$B:$B,$A114)</f>
        <v>50</v>
      </c>
      <c r="C114" s="5" t="n">
        <f aca="false" t="array" ref="C114:C114">INDEX(Data_DBD!$C:$C,$A114)</f>
        <v>3</v>
      </c>
      <c r="D114" s="5" t="n">
        <f aca="false" t="array" ref="D114:D114">INDEX(Data_DBD!$D:$D,$A114)</f>
        <v>13</v>
      </c>
      <c r="E114" s="5" t="n">
        <f aca="false" t="array" ref="E114:E114">INDEX(Data_DBD!$E:$E,$A114)</f>
        <v>0</v>
      </c>
      <c r="F114" s="5" t="str">
        <f aca="false" t="array" ref="F114:F114">INDEX(Data_DBD!$F:$F,$A114)</f>
        <v>Sedang</v>
      </c>
      <c r="H114" s="5" t="n">
        <v>84</v>
      </c>
      <c r="I114" s="5" t="n">
        <v>42</v>
      </c>
      <c r="J114" s="5" t="n">
        <v>4</v>
      </c>
      <c r="K114" s="5" t="n">
        <v>13</v>
      </c>
      <c r="L114" s="5" t="n">
        <v>1</v>
      </c>
      <c r="M114" s="5" t="s">
        <v>7</v>
      </c>
    </row>
    <row r="115" customFormat="false" ht="15" hidden="false" customHeight="false" outlineLevel="0" collapsed="false">
      <c r="A115" s="5" t="n">
        <f aca="false">RANDBETWEEN(2,164)</f>
        <v>94</v>
      </c>
      <c r="B115" s="5" t="n">
        <f aca="false" t="array" ref="B115:B115">INDEX(Data_DBD!$B:$B,$A115)</f>
        <v>12</v>
      </c>
      <c r="C115" s="5" t="n">
        <f aca="false" t="array" ref="C115:C115">INDEX(Data_DBD!$C:$C,$A115)</f>
        <v>4</v>
      </c>
      <c r="D115" s="5" t="n">
        <f aca="false" t="array" ref="D115:D115">INDEX(Data_DBD!$D:$D,$A115)</f>
        <v>18</v>
      </c>
      <c r="E115" s="5" t="n">
        <f aca="false" t="array" ref="E115:E115">INDEX(Data_DBD!$E:$E,$A115)</f>
        <v>0</v>
      </c>
      <c r="F115" s="5" t="str">
        <f aca="false" t="array" ref="F115:F115">INDEX(Data_DBD!$F:$F,$A115)</f>
        <v>Sedang</v>
      </c>
      <c r="H115" s="5" t="n">
        <v>35</v>
      </c>
      <c r="I115" s="5" t="n">
        <v>40</v>
      </c>
      <c r="J115" s="5" t="n">
        <v>3</v>
      </c>
      <c r="K115" s="5" t="n">
        <v>4</v>
      </c>
      <c r="L115" s="5" t="n">
        <v>1</v>
      </c>
      <c r="M115" s="5" t="s">
        <v>20</v>
      </c>
    </row>
    <row r="116" customFormat="false" ht="15" hidden="false" customHeight="false" outlineLevel="0" collapsed="false">
      <c r="A116" s="5" t="n">
        <f aca="false">RANDBETWEEN(2,164)</f>
        <v>85</v>
      </c>
      <c r="B116" s="5" t="n">
        <f aca="false" t="array" ref="B116:B116">INDEX(Data_DBD!$B:$B,$A116)</f>
        <v>27</v>
      </c>
      <c r="C116" s="5" t="n">
        <f aca="false" t="array" ref="C116:C116">INDEX(Data_DBD!$C:$C,$A116)</f>
        <v>9</v>
      </c>
      <c r="D116" s="5" t="n">
        <f aca="false" t="array" ref="D116:D116">INDEX(Data_DBD!$D:$D,$A116)</f>
        <v>13</v>
      </c>
      <c r="E116" s="5" t="n">
        <f aca="false" t="array" ref="E116:E116">INDEX(Data_DBD!$E:$E,$A116)</f>
        <v>0</v>
      </c>
      <c r="F116" s="5" t="str">
        <f aca="false" t="array" ref="F116:F116">INDEX(Data_DBD!$F:$F,$A116)</f>
        <v>Sedang</v>
      </c>
      <c r="H116" s="5" t="n">
        <v>78</v>
      </c>
      <c r="I116" s="5" t="n">
        <v>6</v>
      </c>
      <c r="J116" s="5" t="n">
        <v>3</v>
      </c>
      <c r="K116" s="5" t="n">
        <v>13</v>
      </c>
      <c r="L116" s="5" t="n">
        <v>0</v>
      </c>
      <c r="M116" s="5" t="s">
        <v>7</v>
      </c>
    </row>
    <row r="117" customFormat="false" ht="15" hidden="false" customHeight="false" outlineLevel="0" collapsed="false">
      <c r="A117" s="5" t="n">
        <f aca="false">RANDBETWEEN(2,164)</f>
        <v>148</v>
      </c>
      <c r="B117" s="5" t="n">
        <f aca="false" t="array" ref="B117:B117">INDEX(Data_DBD!$B:$B,$A117)</f>
        <v>55</v>
      </c>
      <c r="C117" s="5" t="n">
        <f aca="false" t="array" ref="C117:C117">INDEX(Data_DBD!$C:$C,$A117)</f>
        <v>3</v>
      </c>
      <c r="D117" s="5" t="n">
        <f aca="false" t="array" ref="D117:D117">INDEX(Data_DBD!$D:$D,$A117)</f>
        <v>21</v>
      </c>
      <c r="E117" s="5" t="n">
        <f aca="false" t="array" ref="E117:E117">INDEX(Data_DBD!$E:$E,$A117)</f>
        <v>1</v>
      </c>
      <c r="F117" s="5" t="str">
        <f aca="false" t="array" ref="F117:F117">INDEX(Data_DBD!$F:$F,$A117)</f>
        <v>Tinggi</v>
      </c>
      <c r="H117" s="5" t="n">
        <v>28</v>
      </c>
      <c r="I117" s="5" t="n">
        <v>22</v>
      </c>
      <c r="J117" s="5" t="n">
        <v>2</v>
      </c>
      <c r="K117" s="5" t="n">
        <v>14</v>
      </c>
      <c r="L117" s="5" t="n">
        <v>1</v>
      </c>
      <c r="M117" s="5" t="s">
        <v>7</v>
      </c>
    </row>
    <row r="118" customFormat="false" ht="15" hidden="false" customHeight="false" outlineLevel="0" collapsed="false">
      <c r="A118" s="5" t="n">
        <f aca="false">RANDBETWEEN(2,164)</f>
        <v>60</v>
      </c>
      <c r="B118" s="5" t="n">
        <f aca="false" t="array" ref="B118:B118">INDEX(Data_DBD!$B:$B,$A118)</f>
        <v>68</v>
      </c>
      <c r="C118" s="5" t="n">
        <f aca="false" t="array" ref="C118:C118">INDEX(Data_DBD!$C:$C,$A118)</f>
        <v>4</v>
      </c>
      <c r="D118" s="5" t="n">
        <f aca="false" t="array" ref="D118:D118">INDEX(Data_DBD!$D:$D,$A118)</f>
        <v>15</v>
      </c>
      <c r="E118" s="5" t="n">
        <f aca="false" t="array" ref="E118:E118">INDEX(Data_DBD!$E:$E,$A118)</f>
        <v>0</v>
      </c>
      <c r="F118" s="5" t="str">
        <f aca="false" t="array" ref="F118:F118">INDEX(Data_DBD!$F:$F,$A118)</f>
        <v>Sedang</v>
      </c>
      <c r="H118" s="5" t="n">
        <v>100</v>
      </c>
      <c r="I118" s="5" t="n">
        <v>19</v>
      </c>
      <c r="J118" s="5" t="n">
        <v>6</v>
      </c>
      <c r="K118" s="5" t="n">
        <v>18</v>
      </c>
      <c r="L118" s="5" t="n">
        <v>0</v>
      </c>
      <c r="M118" s="5" t="s">
        <v>7</v>
      </c>
    </row>
    <row r="119" customFormat="false" ht="15" hidden="false" customHeight="false" outlineLevel="0" collapsed="false">
      <c r="A119" s="5" t="n">
        <f aca="false">RANDBETWEEN(2,164)</f>
        <v>21</v>
      </c>
      <c r="B119" s="5" t="n">
        <f aca="false" t="array" ref="B119:B119">INDEX(Data_DBD!$B:$B,$A119)</f>
        <v>10</v>
      </c>
      <c r="C119" s="5" t="n">
        <f aca="false" t="array" ref="C119:C119">INDEX(Data_DBD!$C:$C,$A119)</f>
        <v>5</v>
      </c>
      <c r="D119" s="5" t="n">
        <f aca="false" t="array" ref="D119:D119">INDEX(Data_DBD!$D:$D,$A119)</f>
        <v>14</v>
      </c>
      <c r="E119" s="5" t="n">
        <f aca="false" t="array" ref="E119:E119">INDEX(Data_DBD!$E:$E,$A119)</f>
        <v>1</v>
      </c>
      <c r="F119" s="5" t="str">
        <f aca="false" t="array" ref="F119:F119">INDEX(Data_DBD!$F:$F,$A119)</f>
        <v>Sedang</v>
      </c>
      <c r="H119" s="5" t="n">
        <v>13</v>
      </c>
      <c r="I119" s="5" t="n">
        <v>47</v>
      </c>
      <c r="J119" s="5" t="n">
        <v>2</v>
      </c>
      <c r="K119" s="5" t="n">
        <v>12</v>
      </c>
      <c r="L119" s="5" t="n">
        <v>0</v>
      </c>
      <c r="M119" s="5" t="s">
        <v>7</v>
      </c>
    </row>
    <row r="120" customFormat="false" ht="15" hidden="false" customHeight="false" outlineLevel="0" collapsed="false">
      <c r="A120" s="5" t="n">
        <f aca="false">RANDBETWEEN(2,164)</f>
        <v>140</v>
      </c>
      <c r="B120" s="5" t="n">
        <f aca="false" t="array" ref="B120:B120">INDEX(Data_DBD!$B:$B,$A120)</f>
        <v>74</v>
      </c>
      <c r="C120" s="5" t="n">
        <f aca="false" t="array" ref="C120:C120">INDEX(Data_DBD!$C:$C,$A120)</f>
        <v>5</v>
      </c>
      <c r="D120" s="5" t="n">
        <f aca="false" t="array" ref="D120:D120">INDEX(Data_DBD!$D:$D,$A120)</f>
        <v>21</v>
      </c>
      <c r="E120" s="5" t="n">
        <f aca="false" t="array" ref="E120:E120">INDEX(Data_DBD!$E:$E,$A120)</f>
        <v>1</v>
      </c>
      <c r="F120" s="5" t="str">
        <f aca="false" t="array" ref="F120:F120">INDEX(Data_DBD!$F:$F,$A120)</f>
        <v>Tinggi</v>
      </c>
      <c r="H120" s="5" t="n">
        <v>159</v>
      </c>
      <c r="I120" s="5" t="n">
        <v>17</v>
      </c>
      <c r="J120" s="5" t="n">
        <v>2</v>
      </c>
      <c r="K120" s="5" t="n">
        <v>21</v>
      </c>
      <c r="L120" s="5" t="n">
        <v>0</v>
      </c>
      <c r="M120" s="5" t="s">
        <v>115</v>
      </c>
    </row>
    <row r="121" customFormat="false" ht="15" hidden="false" customHeight="false" outlineLevel="0" collapsed="false">
      <c r="A121" s="5" t="n">
        <f aca="false">RANDBETWEEN(2,164)</f>
        <v>85</v>
      </c>
      <c r="B121" s="5" t="n">
        <f aca="false" t="array" ref="B121:B121">INDEX(Data_DBD!$B:$B,$A121)</f>
        <v>27</v>
      </c>
      <c r="C121" s="5" t="n">
        <f aca="false" t="array" ref="C121:C121">INDEX(Data_DBD!$C:$C,$A121)</f>
        <v>9</v>
      </c>
      <c r="D121" s="5" t="n">
        <f aca="false" t="array" ref="D121:D121">INDEX(Data_DBD!$D:$D,$A121)</f>
        <v>13</v>
      </c>
      <c r="E121" s="5" t="n">
        <f aca="false" t="array" ref="E121:E121">INDEX(Data_DBD!$E:$E,$A121)</f>
        <v>0</v>
      </c>
      <c r="F121" s="5" t="str">
        <f aca="false" t="array" ref="F121:F121">INDEX(Data_DBD!$F:$F,$A121)</f>
        <v>Sedang</v>
      </c>
      <c r="H121" s="5" t="n">
        <v>116</v>
      </c>
      <c r="I121" s="5" t="n">
        <v>32</v>
      </c>
      <c r="J121" s="5" t="n">
        <v>4</v>
      </c>
      <c r="K121" s="5" t="n">
        <v>33</v>
      </c>
      <c r="L121" s="5" t="n">
        <v>1</v>
      </c>
      <c r="M121" s="5" t="s">
        <v>115</v>
      </c>
    </row>
    <row r="122" customFormat="false" ht="15" hidden="false" customHeight="false" outlineLevel="0" collapsed="false">
      <c r="A122" s="5" t="n">
        <f aca="false">RANDBETWEEN(2,164)</f>
        <v>102</v>
      </c>
      <c r="B122" s="5" t="n">
        <f aca="false" t="array" ref="B122:B122">INDEX(Data_DBD!$B:$B,$A122)</f>
        <v>41</v>
      </c>
      <c r="C122" s="5" t="n">
        <f aca="false" t="array" ref="C122:C122">INDEX(Data_DBD!$C:$C,$A122)</f>
        <v>4</v>
      </c>
      <c r="D122" s="5" t="n">
        <f aca="false" t="array" ref="D122:D122">INDEX(Data_DBD!$D:$D,$A122)</f>
        <v>18</v>
      </c>
      <c r="E122" s="5" t="n">
        <f aca="false" t="array" ref="E122:E122">INDEX(Data_DBD!$E:$E,$A122)</f>
        <v>0</v>
      </c>
      <c r="F122" s="5" t="str">
        <f aca="false" t="array" ref="F122:F122">INDEX(Data_DBD!$F:$F,$A122)</f>
        <v>Sedang</v>
      </c>
      <c r="H122" s="5" t="n">
        <v>86</v>
      </c>
      <c r="I122" s="5" t="n">
        <v>23</v>
      </c>
      <c r="J122" s="5" t="n">
        <v>3</v>
      </c>
      <c r="K122" s="5" t="n">
        <v>13</v>
      </c>
      <c r="L122" s="5" t="n">
        <v>0</v>
      </c>
      <c r="M122" s="5" t="s">
        <v>7</v>
      </c>
    </row>
    <row r="123" customFormat="false" ht="15" hidden="false" customHeight="false" outlineLevel="0" collapsed="false">
      <c r="A123" s="5" t="n">
        <f aca="false">RANDBETWEEN(2,164)</f>
        <v>76</v>
      </c>
      <c r="B123" s="5" t="n">
        <f aca="false" t="array" ref="B123:B123">INDEX(Data_DBD!$B:$B,$A123)</f>
        <v>70</v>
      </c>
      <c r="C123" s="5" t="n">
        <f aca="false" t="array" ref="C123:C123">INDEX(Data_DBD!$C:$C,$A123)</f>
        <v>2</v>
      </c>
      <c r="D123" s="5" t="n">
        <f aca="false" t="array" ref="D123:D123">INDEX(Data_DBD!$D:$D,$A123)</f>
        <v>10</v>
      </c>
      <c r="E123" s="5" t="n">
        <f aca="false" t="array" ref="E123:E123">INDEX(Data_DBD!$E:$E,$A123)</f>
        <v>0</v>
      </c>
      <c r="F123" s="5" t="str">
        <f aca="false" t="array" ref="F123:F123">INDEX(Data_DBD!$F:$F,$A123)</f>
        <v>Rendah</v>
      </c>
      <c r="H123" s="5" t="n">
        <v>52</v>
      </c>
      <c r="I123" s="5" t="n">
        <v>59</v>
      </c>
      <c r="J123" s="5" t="n">
        <v>4</v>
      </c>
      <c r="K123" s="5" t="n">
        <v>15</v>
      </c>
      <c r="L123" s="5" t="n">
        <v>1</v>
      </c>
      <c r="M123" s="5" t="s">
        <v>7</v>
      </c>
    </row>
    <row r="124" customFormat="false" ht="15" hidden="false" customHeight="false" outlineLevel="0" collapsed="false">
      <c r="A124" s="5" t="n">
        <f aca="false">RANDBETWEEN(2,164)</f>
        <v>98</v>
      </c>
      <c r="B124" s="5" t="n">
        <f aca="false" t="array" ref="B124:B124">INDEX(Data_DBD!$B:$B,$A124)</f>
        <v>16</v>
      </c>
      <c r="C124" s="5" t="n">
        <f aca="false" t="array" ref="C124:C124">INDEX(Data_DBD!$C:$C,$A124)</f>
        <v>2</v>
      </c>
      <c r="D124" s="5" t="n">
        <f aca="false" t="array" ref="D124:D124">INDEX(Data_DBD!$D:$D,$A124)</f>
        <v>18</v>
      </c>
      <c r="E124" s="5" t="n">
        <f aca="false" t="array" ref="E124:E124">INDEX(Data_DBD!$E:$E,$A124)</f>
        <v>1</v>
      </c>
      <c r="F124" s="5" t="str">
        <f aca="false" t="array" ref="F124:F124">INDEX(Data_DBD!$F:$F,$A124)</f>
        <v>Sedang</v>
      </c>
      <c r="H124" s="5" t="n">
        <v>91</v>
      </c>
      <c r="I124" s="5" t="n">
        <v>35</v>
      </c>
      <c r="J124" s="5" t="n">
        <v>1</v>
      </c>
      <c r="K124" s="5" t="n">
        <v>18</v>
      </c>
      <c r="L124" s="5" t="n">
        <v>1</v>
      </c>
      <c r="M124" s="5" t="s">
        <v>7</v>
      </c>
    </row>
    <row r="125" customFormat="false" ht="15" hidden="false" customHeight="false" outlineLevel="0" collapsed="false">
      <c r="A125" s="5" t="n">
        <f aca="false">RANDBETWEEN(2,164)</f>
        <v>81</v>
      </c>
      <c r="B125" s="5" t="n">
        <f aca="false" t="array" ref="B125:B125">INDEX(Data_DBD!$B:$B,$A125)</f>
        <v>23</v>
      </c>
      <c r="C125" s="5" t="n">
        <f aca="false" t="array" ref="C125:C125">INDEX(Data_DBD!$C:$C,$A125)</f>
        <v>5</v>
      </c>
      <c r="D125" s="5" t="n">
        <f aca="false" t="array" ref="D125:D125">INDEX(Data_DBD!$D:$D,$A125)</f>
        <v>13</v>
      </c>
      <c r="E125" s="5" t="n">
        <f aca="false" t="array" ref="E125:E125">INDEX(Data_DBD!$E:$E,$A125)</f>
        <v>1</v>
      </c>
      <c r="F125" s="5" t="str">
        <f aca="false" t="array" ref="F125:F125">INDEX(Data_DBD!$F:$F,$A125)</f>
        <v>Sedang</v>
      </c>
      <c r="H125" s="5" t="n">
        <v>47</v>
      </c>
      <c r="I125" s="5" t="n">
        <v>19</v>
      </c>
      <c r="J125" s="5" t="n">
        <v>2</v>
      </c>
      <c r="K125" s="5" t="n">
        <v>13</v>
      </c>
      <c r="L125" s="5" t="n">
        <v>0</v>
      </c>
      <c r="M125" s="5" t="s">
        <v>7</v>
      </c>
    </row>
    <row r="126" customFormat="false" ht="15" hidden="false" customHeight="false" outlineLevel="0" collapsed="false">
      <c r="A126" s="5" t="n">
        <f aca="false">RANDBETWEEN(2,164)</f>
        <v>159</v>
      </c>
      <c r="B126" s="5" t="n">
        <f aca="false" t="array" ref="B126:B126">INDEX(Data_DBD!$B:$B,$A126)</f>
        <v>17</v>
      </c>
      <c r="C126" s="5" t="n">
        <f aca="false" t="array" ref="C126:C126">INDEX(Data_DBD!$C:$C,$A126)</f>
        <v>2</v>
      </c>
      <c r="D126" s="5" t="n">
        <f aca="false" t="array" ref="D126:D126">INDEX(Data_DBD!$D:$D,$A126)</f>
        <v>21</v>
      </c>
      <c r="E126" s="5" t="n">
        <f aca="false" t="array" ref="E126:E126">INDEX(Data_DBD!$E:$E,$A126)</f>
        <v>0</v>
      </c>
      <c r="F126" s="5" t="str">
        <f aca="false" t="array" ref="F126:F126">INDEX(Data_DBD!$F:$F,$A126)</f>
        <v>Tinggi</v>
      </c>
      <c r="H126" s="5" t="n">
        <v>56</v>
      </c>
      <c r="I126" s="5" t="n">
        <v>4</v>
      </c>
      <c r="J126" s="5" t="n">
        <v>3</v>
      </c>
      <c r="K126" s="5" t="n">
        <v>15</v>
      </c>
      <c r="L126" s="5" t="n">
        <v>0</v>
      </c>
      <c r="M126" s="5" t="s">
        <v>7</v>
      </c>
    </row>
    <row r="127" customFormat="false" ht="15" hidden="false" customHeight="false" outlineLevel="0" collapsed="false">
      <c r="A127" s="5" t="n">
        <f aca="false">RANDBETWEEN(2,164)</f>
        <v>118</v>
      </c>
      <c r="B127" s="5" t="n">
        <f aca="false" t="array" ref="B127:B127">INDEX(Data_DBD!$B:$B,$A127)</f>
        <v>67</v>
      </c>
      <c r="C127" s="5" t="n">
        <f aca="false" t="array" ref="C127:C127">INDEX(Data_DBD!$C:$C,$A127)</f>
        <v>4</v>
      </c>
      <c r="D127" s="5" t="n">
        <f aca="false" t="array" ref="D127:D127">INDEX(Data_DBD!$D:$D,$A127)</f>
        <v>33</v>
      </c>
      <c r="E127" s="5" t="n">
        <f aca="false" t="array" ref="E127:E127">INDEX(Data_DBD!$E:$E,$A127)</f>
        <v>1</v>
      </c>
      <c r="F127" s="5" t="str">
        <f aca="false" t="array" ref="F127:F127">INDEX(Data_DBD!$F:$F,$A127)</f>
        <v>Tinggi</v>
      </c>
      <c r="H127" s="5" t="n">
        <v>97</v>
      </c>
      <c r="I127" s="5" t="n">
        <v>16</v>
      </c>
      <c r="J127" s="5" t="n">
        <v>2</v>
      </c>
      <c r="K127" s="5" t="n">
        <v>18</v>
      </c>
      <c r="L127" s="5" t="n">
        <v>1</v>
      </c>
      <c r="M127" s="5" t="s">
        <v>7</v>
      </c>
    </row>
    <row r="128" customFormat="false" ht="15" hidden="false" customHeight="false" outlineLevel="0" collapsed="false">
      <c r="A128" s="5" t="n">
        <f aca="false">RANDBETWEEN(2,164)</f>
        <v>11</v>
      </c>
      <c r="B128" s="5" t="n">
        <f aca="false" t="array" ref="B128:B128">INDEX(Data_DBD!$B:$B,$A128)</f>
        <v>24</v>
      </c>
      <c r="C128" s="5" t="n">
        <f aca="false" t="array" ref="C128:C128">INDEX(Data_DBD!$C:$C,$A128)</f>
        <v>5</v>
      </c>
      <c r="D128" s="5" t="n">
        <f aca="false" t="array" ref="D128:D128">INDEX(Data_DBD!$D:$D,$A128)</f>
        <v>12</v>
      </c>
      <c r="E128" s="5" t="n">
        <f aca="false" t="array" ref="E128:E128">INDEX(Data_DBD!$E:$E,$A128)</f>
        <v>1</v>
      </c>
      <c r="F128" s="5" t="str">
        <f aca="false" t="array" ref="F128:F128">INDEX(Data_DBD!$F:$F,$A128)</f>
        <v>Sedang</v>
      </c>
      <c r="H128" s="5" t="n">
        <v>96</v>
      </c>
      <c r="I128" s="5" t="n">
        <v>56</v>
      </c>
      <c r="J128" s="5" t="n">
        <v>4</v>
      </c>
      <c r="K128" s="5" t="n">
        <v>18</v>
      </c>
      <c r="L128" s="5" t="n">
        <v>0</v>
      </c>
      <c r="M128" s="5" t="s">
        <v>7</v>
      </c>
    </row>
    <row r="129" customFormat="false" ht="15" hidden="false" customHeight="false" outlineLevel="0" collapsed="false">
      <c r="A129" s="5" t="n">
        <f aca="false">RANDBETWEEN(2,164)</f>
        <v>85</v>
      </c>
      <c r="B129" s="5" t="n">
        <f aca="false" t="array" ref="B129:B129">INDEX(Data_DBD!$B:$B,$A129)</f>
        <v>27</v>
      </c>
      <c r="C129" s="5" t="n">
        <f aca="false" t="array" ref="C129:C129">INDEX(Data_DBD!$C:$C,$A129)</f>
        <v>9</v>
      </c>
      <c r="D129" s="5" t="n">
        <f aca="false" t="array" ref="D129:D129">INDEX(Data_DBD!$D:$D,$A129)</f>
        <v>13</v>
      </c>
      <c r="E129" s="5" t="n">
        <f aca="false" t="array" ref="E129:E129">INDEX(Data_DBD!$E:$E,$A129)</f>
        <v>0</v>
      </c>
      <c r="F129" s="5" t="str">
        <f aca="false" t="array" ref="F129:F129">INDEX(Data_DBD!$F:$F,$A129)</f>
        <v>Sedang</v>
      </c>
      <c r="H129" s="5" t="n">
        <v>20</v>
      </c>
      <c r="I129" s="5" t="n">
        <v>15</v>
      </c>
      <c r="J129" s="5" t="n">
        <v>5</v>
      </c>
      <c r="K129" s="5" t="n">
        <v>7</v>
      </c>
      <c r="L129" s="5" t="n">
        <v>0</v>
      </c>
      <c r="M129" s="5" t="s">
        <v>20</v>
      </c>
    </row>
    <row r="130" customFormat="false" ht="15" hidden="false" customHeight="false" outlineLevel="0" collapsed="false">
      <c r="A130" s="5" t="n">
        <f aca="false">RANDBETWEEN(2,164)</f>
        <v>141</v>
      </c>
      <c r="B130" s="5" t="n">
        <f aca="false" t="array" ref="B130:B130">INDEX(Data_DBD!$B:$B,$A130)</f>
        <v>36</v>
      </c>
      <c r="C130" s="5" t="n">
        <f aca="false" t="array" ref="C130:C130">INDEX(Data_DBD!$C:$C,$A130)</f>
        <v>2</v>
      </c>
      <c r="D130" s="5" t="n">
        <f aca="false" t="array" ref="D130:D130">INDEX(Data_DBD!$D:$D,$A130)</f>
        <v>21</v>
      </c>
      <c r="E130" s="5" t="n">
        <f aca="false" t="array" ref="E130:E130">INDEX(Data_DBD!$E:$E,$A130)</f>
        <v>0</v>
      </c>
      <c r="F130" s="5" t="str">
        <f aca="false" t="array" ref="F130:F130">INDEX(Data_DBD!$F:$F,$A130)</f>
        <v>Tinggi</v>
      </c>
      <c r="H130" s="5" t="n">
        <v>119</v>
      </c>
      <c r="I130" s="5" t="n">
        <v>30</v>
      </c>
      <c r="J130" s="5" t="n">
        <v>7</v>
      </c>
      <c r="K130" s="5" t="n">
        <v>33</v>
      </c>
      <c r="L130" s="5" t="n">
        <v>0</v>
      </c>
      <c r="M130" s="5" t="s">
        <v>115</v>
      </c>
    </row>
    <row r="131" customFormat="false" ht="15" hidden="false" customHeight="false" outlineLevel="0" collapsed="false">
      <c r="A131" s="5" t="n">
        <f aca="false">RANDBETWEEN(2,164)</f>
        <v>80</v>
      </c>
      <c r="B131" s="5" t="n">
        <f aca="false" t="array" ref="B131:B131">INDEX(Data_DBD!$B:$B,$A131)</f>
        <v>27</v>
      </c>
      <c r="C131" s="5" t="n">
        <f aca="false" t="array" ref="C131:C131">INDEX(Data_DBD!$C:$C,$A131)</f>
        <v>3</v>
      </c>
      <c r="D131" s="5" t="n">
        <f aca="false" t="array" ref="D131:D131">INDEX(Data_DBD!$D:$D,$A131)</f>
        <v>13</v>
      </c>
      <c r="E131" s="5" t="n">
        <f aca="false" t="array" ref="E131:E131">INDEX(Data_DBD!$E:$E,$A131)</f>
        <v>1</v>
      </c>
      <c r="F131" s="5" t="str">
        <f aca="false" t="array" ref="F131:F131">INDEX(Data_DBD!$F:$F,$A131)</f>
        <v>Sedang</v>
      </c>
      <c r="H131" s="5" t="n">
        <v>58</v>
      </c>
      <c r="I131" s="5" t="n">
        <v>17</v>
      </c>
      <c r="J131" s="5" t="n">
        <v>3</v>
      </c>
      <c r="K131" s="5" t="n">
        <v>15</v>
      </c>
      <c r="L131" s="5" t="n">
        <v>0</v>
      </c>
      <c r="M131" s="5" t="s">
        <v>7</v>
      </c>
    </row>
    <row r="132" customFormat="false" ht="15" hidden="false" customHeight="false" outlineLevel="0" collapsed="false">
      <c r="A132" s="5" t="n">
        <f aca="false">RANDBETWEEN(2,164)</f>
        <v>5</v>
      </c>
      <c r="B132" s="5" t="n">
        <f aca="false" t="array" ref="B132:B132">INDEX(Data_DBD!$B:$B,$A132)</f>
        <v>18</v>
      </c>
      <c r="C132" s="5" t="n">
        <f aca="false" t="array" ref="C132:C132">INDEX(Data_DBD!$C:$C,$A132)</f>
        <v>2</v>
      </c>
      <c r="D132" s="5" t="n">
        <f aca="false" t="array" ref="D132:D132">INDEX(Data_DBD!$D:$D,$A132)</f>
        <v>12</v>
      </c>
      <c r="E132" s="5" t="n">
        <f aca="false" t="array" ref="E132:E132">INDEX(Data_DBD!$E:$E,$A132)</f>
        <v>1</v>
      </c>
      <c r="F132" s="5" t="str">
        <f aca="false" t="array" ref="F132:F132">INDEX(Data_DBD!$F:$F,$A132)</f>
        <v>Sedang</v>
      </c>
      <c r="H132" s="5" t="n">
        <v>138</v>
      </c>
      <c r="I132" s="5" t="n">
        <v>13</v>
      </c>
      <c r="J132" s="5" t="n">
        <v>3</v>
      </c>
      <c r="K132" s="5" t="n">
        <v>33</v>
      </c>
      <c r="L132" s="5" t="n">
        <v>1</v>
      </c>
      <c r="M132" s="5" t="s">
        <v>115</v>
      </c>
    </row>
    <row r="133" customFormat="false" ht="15" hidden="false" customHeight="false" outlineLevel="0" collapsed="false">
      <c r="A133" s="5" t="n">
        <f aca="false">RANDBETWEEN(2,164)</f>
        <v>47</v>
      </c>
      <c r="B133" s="5" t="n">
        <f aca="false" t="array" ref="B133:B133">INDEX(Data_DBD!$B:$B,$A133)</f>
        <v>19</v>
      </c>
      <c r="C133" s="5" t="n">
        <f aca="false" t="array" ref="C133:C133">INDEX(Data_DBD!$C:$C,$A133)</f>
        <v>2</v>
      </c>
      <c r="D133" s="5" t="n">
        <f aca="false" t="array" ref="D133:D133">INDEX(Data_DBD!$D:$D,$A133)</f>
        <v>13</v>
      </c>
      <c r="E133" s="5" t="n">
        <f aca="false" t="array" ref="E133:E133">INDEX(Data_DBD!$E:$E,$A133)</f>
        <v>0</v>
      </c>
      <c r="F133" s="5" t="str">
        <f aca="false" t="array" ref="F133:F133">INDEX(Data_DBD!$F:$F,$A133)</f>
        <v>Sedang</v>
      </c>
      <c r="H133" s="5" t="n">
        <v>5</v>
      </c>
      <c r="I133" s="5" t="n">
        <v>18</v>
      </c>
      <c r="J133" s="5" t="n">
        <v>2</v>
      </c>
      <c r="K133" s="5" t="n">
        <v>12</v>
      </c>
      <c r="L133" s="5" t="n">
        <v>1</v>
      </c>
      <c r="M133" s="5" t="s">
        <v>7</v>
      </c>
    </row>
    <row r="134" customFormat="false" ht="15" hidden="false" customHeight="false" outlineLevel="0" collapsed="false">
      <c r="A134" s="5" t="n">
        <f aca="false">RANDBETWEEN(2,164)</f>
        <v>150</v>
      </c>
      <c r="B134" s="5" t="n">
        <f aca="false" t="array" ref="B134:B134">INDEX(Data_DBD!$B:$B,$A134)</f>
        <v>61</v>
      </c>
      <c r="C134" s="5" t="n">
        <f aca="false" t="array" ref="C134:C134">INDEX(Data_DBD!$C:$C,$A134)</f>
        <v>5</v>
      </c>
      <c r="D134" s="5" t="n">
        <f aca="false" t="array" ref="D134:D134">INDEX(Data_DBD!$D:$D,$A134)</f>
        <v>21</v>
      </c>
      <c r="E134" s="5" t="n">
        <f aca="false" t="array" ref="E134:E134">INDEX(Data_DBD!$E:$E,$A134)</f>
        <v>1</v>
      </c>
      <c r="F134" s="5" t="str">
        <f aca="false" t="array" ref="F134:F134">INDEX(Data_DBD!$F:$F,$A134)</f>
        <v>Tinggi</v>
      </c>
      <c r="H134" s="5" t="n">
        <v>36</v>
      </c>
      <c r="I134" s="5" t="n">
        <v>27</v>
      </c>
      <c r="J134" s="5" t="n">
        <v>1</v>
      </c>
      <c r="K134" s="5" t="n">
        <v>4</v>
      </c>
      <c r="L134" s="5" t="n">
        <v>1</v>
      </c>
      <c r="M134" s="5" t="s">
        <v>20</v>
      </c>
    </row>
    <row r="135" customFormat="false" ht="15" hidden="false" customHeight="false" outlineLevel="0" collapsed="false">
      <c r="A135" s="5" t="n">
        <f aca="false">RANDBETWEEN(2,164)</f>
        <v>107</v>
      </c>
      <c r="B135" s="5" t="n">
        <f aca="false" t="array" ref="B135:B135">INDEX(Data_DBD!$B:$B,$A135)</f>
        <v>48</v>
      </c>
      <c r="C135" s="5" t="n">
        <f aca="false" t="array" ref="C135:C135">INDEX(Data_DBD!$C:$C,$A135)</f>
        <v>5</v>
      </c>
      <c r="D135" s="5" t="n">
        <f aca="false" t="array" ref="D135:D135">INDEX(Data_DBD!$D:$D,$A135)</f>
        <v>18</v>
      </c>
      <c r="E135" s="5" t="n">
        <f aca="false" t="array" ref="E135:E135">INDEX(Data_DBD!$E:$E,$A135)</f>
        <v>0</v>
      </c>
      <c r="F135" s="5" t="str">
        <f aca="false" t="array" ref="F135:F135">INDEX(Data_DBD!$F:$F,$A135)</f>
        <v>Sedang</v>
      </c>
      <c r="H135" s="5" t="n">
        <v>11</v>
      </c>
      <c r="I135" s="5" t="n">
        <v>24</v>
      </c>
      <c r="J135" s="5" t="n">
        <v>5</v>
      </c>
      <c r="K135" s="5" t="n">
        <v>12</v>
      </c>
      <c r="L135" s="5" t="n">
        <v>1</v>
      </c>
      <c r="M135" s="5" t="s">
        <v>7</v>
      </c>
    </row>
    <row r="136" customFormat="false" ht="15" hidden="false" customHeight="false" outlineLevel="0" collapsed="false">
      <c r="A136" s="5" t="n">
        <f aca="false">RANDBETWEEN(2,164)</f>
        <v>91</v>
      </c>
      <c r="B136" s="5" t="n">
        <f aca="false" t="array" ref="B136:B136">INDEX(Data_DBD!$B:$B,$A136)</f>
        <v>35</v>
      </c>
      <c r="C136" s="5" t="n">
        <f aca="false" t="array" ref="C136:C136">INDEX(Data_DBD!$C:$C,$A136)</f>
        <v>1</v>
      </c>
      <c r="D136" s="5" t="n">
        <f aca="false" t="array" ref="D136:D136">INDEX(Data_DBD!$D:$D,$A136)</f>
        <v>18</v>
      </c>
      <c r="E136" s="5" t="n">
        <f aca="false" t="array" ref="E136:E136">INDEX(Data_DBD!$E:$E,$A136)</f>
        <v>1</v>
      </c>
      <c r="F136" s="5" t="str">
        <f aca="false" t="array" ref="F136:F136">INDEX(Data_DBD!$F:$F,$A136)</f>
        <v>Sedang</v>
      </c>
      <c r="H136" s="5" t="n">
        <v>11</v>
      </c>
      <c r="I136" s="5" t="n">
        <v>24</v>
      </c>
      <c r="J136" s="5" t="n">
        <v>5</v>
      </c>
      <c r="K136" s="5" t="n">
        <v>12</v>
      </c>
      <c r="L136" s="5" t="n">
        <v>1</v>
      </c>
      <c r="M136" s="5" t="s">
        <v>7</v>
      </c>
    </row>
    <row r="137" customFormat="false" ht="15" hidden="false" customHeight="false" outlineLevel="0" collapsed="false">
      <c r="A137" s="5" t="n">
        <f aca="false">RANDBETWEEN(2,164)</f>
        <v>71</v>
      </c>
      <c r="B137" s="5" t="n">
        <f aca="false" t="array" ref="B137:B137">INDEX(Data_DBD!$B:$B,$A137)</f>
        <v>84</v>
      </c>
      <c r="C137" s="5" t="n">
        <f aca="false" t="array" ref="C137:C137">INDEX(Data_DBD!$C:$C,$A137)</f>
        <v>3</v>
      </c>
      <c r="D137" s="5" t="n">
        <f aca="false" t="array" ref="D137:D137">INDEX(Data_DBD!$D:$D,$A137)</f>
        <v>10</v>
      </c>
      <c r="E137" s="5" t="n">
        <f aca="false" t="array" ref="E137:E137">INDEX(Data_DBD!$E:$E,$A137)</f>
        <v>0</v>
      </c>
      <c r="F137" s="5" t="str">
        <f aca="false" t="array" ref="F137:F137">INDEX(Data_DBD!$F:$F,$A137)</f>
        <v>Rendah</v>
      </c>
      <c r="H137" s="5" t="n">
        <v>113</v>
      </c>
      <c r="I137" s="5" t="n">
        <v>69</v>
      </c>
      <c r="J137" s="5" t="n">
        <v>1</v>
      </c>
      <c r="K137" s="5" t="n">
        <v>33</v>
      </c>
      <c r="L137" s="5" t="n">
        <v>1</v>
      </c>
      <c r="M137" s="5" t="s">
        <v>115</v>
      </c>
    </row>
    <row r="138" customFormat="false" ht="15" hidden="false" customHeight="false" outlineLevel="0" collapsed="false">
      <c r="A138" s="5" t="n">
        <f aca="false">RANDBETWEEN(2,164)</f>
        <v>34</v>
      </c>
      <c r="B138" s="5" t="n">
        <f aca="false" t="array" ref="B138:B138">INDEX(Data_DBD!$B:$B,$A138)</f>
        <v>55</v>
      </c>
      <c r="C138" s="5" t="n">
        <f aca="false" t="array" ref="C138:C138">INDEX(Data_DBD!$C:$C,$A138)</f>
        <v>3</v>
      </c>
      <c r="D138" s="5" t="n">
        <f aca="false" t="array" ref="D138:D138">INDEX(Data_DBD!$D:$D,$A138)</f>
        <v>14</v>
      </c>
      <c r="E138" s="5" t="n">
        <f aca="false" t="array" ref="E138:E138">INDEX(Data_DBD!$E:$E,$A138)</f>
        <v>0</v>
      </c>
      <c r="F138" s="5" t="str">
        <f aca="false" t="array" ref="F138:F138">INDEX(Data_DBD!$F:$F,$A138)</f>
        <v>Sedang</v>
      </c>
      <c r="H138" s="5" t="n">
        <v>57</v>
      </c>
      <c r="I138" s="5" t="n">
        <v>2</v>
      </c>
      <c r="J138" s="5" t="n">
        <v>2</v>
      </c>
      <c r="K138" s="5" t="n">
        <v>15</v>
      </c>
      <c r="L138" s="5" t="n">
        <v>1</v>
      </c>
      <c r="M138" s="5" t="s">
        <v>7</v>
      </c>
    </row>
    <row r="139" customFormat="false" ht="15" hidden="false" customHeight="false" outlineLevel="0" collapsed="false">
      <c r="A139" s="5" t="n">
        <f aca="false">RANDBETWEEN(2,164)</f>
        <v>63</v>
      </c>
      <c r="B139" s="5" t="n">
        <f aca="false" t="array" ref="B139:B139">INDEX(Data_DBD!$B:$B,$A139)</f>
        <v>25</v>
      </c>
      <c r="C139" s="5" t="n">
        <f aca="false" t="array" ref="C139:C139">INDEX(Data_DBD!$C:$C,$A139)</f>
        <v>3</v>
      </c>
      <c r="D139" s="5" t="n">
        <f aca="false" t="array" ref="D139:D139">INDEX(Data_DBD!$D:$D,$A139)</f>
        <v>15</v>
      </c>
      <c r="E139" s="5" t="n">
        <f aca="false" t="array" ref="E139:E139">INDEX(Data_DBD!$E:$E,$A139)</f>
        <v>0</v>
      </c>
      <c r="F139" s="5" t="str">
        <f aca="false" t="array" ref="F139:F139">INDEX(Data_DBD!$F:$F,$A139)</f>
        <v>Sedang</v>
      </c>
      <c r="H139" s="5" t="n">
        <v>162</v>
      </c>
      <c r="I139" s="5" t="n">
        <v>22</v>
      </c>
      <c r="J139" s="5" t="n">
        <v>3</v>
      </c>
      <c r="K139" s="5" t="n">
        <v>3</v>
      </c>
      <c r="L139" s="5" t="n">
        <v>1</v>
      </c>
      <c r="M139" s="5" t="s">
        <v>20</v>
      </c>
    </row>
    <row r="140" customFormat="false" ht="15" hidden="false" customHeight="false" outlineLevel="0" collapsed="false">
      <c r="A140" s="5" t="n">
        <f aca="false">RANDBETWEEN(2,164)</f>
        <v>97</v>
      </c>
      <c r="B140" s="5" t="n">
        <f aca="false" t="array" ref="B140:B140">INDEX(Data_DBD!$B:$B,$A140)</f>
        <v>16</v>
      </c>
      <c r="C140" s="5" t="n">
        <f aca="false" t="array" ref="C140:C140">INDEX(Data_DBD!$C:$C,$A140)</f>
        <v>2</v>
      </c>
      <c r="D140" s="5" t="n">
        <f aca="false" t="array" ref="D140:D140">INDEX(Data_DBD!$D:$D,$A140)</f>
        <v>18</v>
      </c>
      <c r="E140" s="5" t="n">
        <f aca="false" t="array" ref="E140:E140">INDEX(Data_DBD!$E:$E,$A140)</f>
        <v>1</v>
      </c>
      <c r="F140" s="5" t="str">
        <f aca="false" t="array" ref="F140:F140">INDEX(Data_DBD!$F:$F,$A140)</f>
        <v>Sedang</v>
      </c>
      <c r="H140" s="5" t="n">
        <v>92</v>
      </c>
      <c r="I140" s="5" t="n">
        <v>55</v>
      </c>
      <c r="J140" s="5" t="n">
        <v>7</v>
      </c>
      <c r="K140" s="5" t="n">
        <v>18</v>
      </c>
      <c r="L140" s="5" t="n">
        <v>0</v>
      </c>
      <c r="M140" s="5" t="s">
        <v>7</v>
      </c>
    </row>
    <row r="141" customFormat="false" ht="15" hidden="false" customHeight="false" outlineLevel="0" collapsed="false">
      <c r="A141" s="5" t="n">
        <f aca="false">RANDBETWEEN(2,164)</f>
        <v>73</v>
      </c>
      <c r="B141" s="5" t="n">
        <f aca="false" t="array" ref="B141:B141">INDEX(Data_DBD!$B:$B,$A141)</f>
        <v>15</v>
      </c>
      <c r="C141" s="5" t="n">
        <f aca="false" t="array" ref="C141:C141">INDEX(Data_DBD!$C:$C,$A141)</f>
        <v>3</v>
      </c>
      <c r="D141" s="5" t="n">
        <f aca="false" t="array" ref="D141:D141">INDEX(Data_DBD!$D:$D,$A141)</f>
        <v>10</v>
      </c>
      <c r="E141" s="5" t="n">
        <f aca="false" t="array" ref="E141:E141">INDEX(Data_DBD!$E:$E,$A141)</f>
        <v>1</v>
      </c>
      <c r="F141" s="5" t="str">
        <f aca="false" t="array" ref="F141:F141">INDEX(Data_DBD!$F:$F,$A141)</f>
        <v>Rendah</v>
      </c>
      <c r="H141" s="5" t="n">
        <v>89</v>
      </c>
      <c r="I141" s="5" t="n">
        <v>32</v>
      </c>
      <c r="J141" s="5" t="n">
        <v>4</v>
      </c>
      <c r="K141" s="5" t="n">
        <v>13</v>
      </c>
      <c r="L141" s="5" t="n">
        <v>0</v>
      </c>
      <c r="M141" s="5" t="s">
        <v>7</v>
      </c>
    </row>
    <row r="142" customFormat="false" ht="15" hidden="false" customHeight="false" outlineLevel="0" collapsed="false">
      <c r="A142" s="5" t="n">
        <f aca="false">RANDBETWEEN(2,164)</f>
        <v>119</v>
      </c>
      <c r="B142" s="5" t="n">
        <f aca="false" t="array" ref="B142:B142">INDEX(Data_DBD!$B:$B,$A142)</f>
        <v>30</v>
      </c>
      <c r="C142" s="5" t="n">
        <f aca="false" t="array" ref="C142:C142">INDEX(Data_DBD!$C:$C,$A142)</f>
        <v>7</v>
      </c>
      <c r="D142" s="5" t="n">
        <f aca="false" t="array" ref="D142:D142">INDEX(Data_DBD!$D:$D,$A142)</f>
        <v>33</v>
      </c>
      <c r="E142" s="5" t="n">
        <f aca="false" t="array" ref="E142:E142">INDEX(Data_DBD!$E:$E,$A142)</f>
        <v>0</v>
      </c>
      <c r="F142" s="5" t="str">
        <f aca="false" t="array" ref="F142:F142">INDEX(Data_DBD!$F:$F,$A142)</f>
        <v>Tinggi</v>
      </c>
      <c r="H142" s="5" t="n">
        <v>133</v>
      </c>
      <c r="I142" s="5" t="n">
        <v>6</v>
      </c>
      <c r="J142" s="5" t="n">
        <v>4</v>
      </c>
      <c r="K142" s="5" t="n">
        <v>33</v>
      </c>
      <c r="L142" s="5" t="n">
        <v>0</v>
      </c>
      <c r="M142" s="5" t="s">
        <v>115</v>
      </c>
    </row>
    <row r="143" customFormat="false" ht="15" hidden="false" customHeight="false" outlineLevel="0" collapsed="false">
      <c r="A143" s="5" t="n">
        <f aca="false">RANDBETWEEN(2,164)</f>
        <v>149</v>
      </c>
      <c r="B143" s="5" t="n">
        <f aca="false" t="array" ref="B143:B143">INDEX(Data_DBD!$B:$B,$A143)</f>
        <v>19</v>
      </c>
      <c r="C143" s="5" t="n">
        <f aca="false" t="array" ref="C143:C143">INDEX(Data_DBD!$C:$C,$A143)</f>
        <v>5</v>
      </c>
      <c r="D143" s="5" t="n">
        <f aca="false" t="array" ref="D143:D143">INDEX(Data_DBD!$D:$D,$A143)</f>
        <v>21</v>
      </c>
      <c r="E143" s="5" t="n">
        <f aca="false" t="array" ref="E143:E143">INDEX(Data_DBD!$E:$E,$A143)</f>
        <v>0</v>
      </c>
      <c r="F143" s="5" t="str">
        <f aca="false" t="array" ref="F143:F143">INDEX(Data_DBD!$F:$F,$A143)</f>
        <v>Tinggi</v>
      </c>
      <c r="H143" s="5" t="n">
        <v>136</v>
      </c>
      <c r="I143" s="5" t="n">
        <v>6</v>
      </c>
      <c r="J143" s="5" t="n">
        <v>2</v>
      </c>
      <c r="K143" s="5" t="n">
        <v>33</v>
      </c>
      <c r="L143" s="5" t="n">
        <v>0</v>
      </c>
      <c r="M143" s="5" t="s">
        <v>115</v>
      </c>
    </row>
    <row r="144" customFormat="false" ht="15" hidden="false" customHeight="false" outlineLevel="0" collapsed="false">
      <c r="A144" s="5" t="n">
        <f aca="false">RANDBETWEEN(2,164)</f>
        <v>77</v>
      </c>
      <c r="B144" s="5" t="n">
        <f aca="false" t="array" ref="B144:B144">INDEX(Data_DBD!$B:$B,$A144)</f>
        <v>16</v>
      </c>
      <c r="C144" s="5" t="n">
        <f aca="false" t="array" ref="C144:C144">INDEX(Data_DBD!$C:$C,$A144)</f>
        <v>4</v>
      </c>
      <c r="D144" s="5" t="n">
        <f aca="false" t="array" ref="D144:D144">INDEX(Data_DBD!$D:$D,$A144)</f>
        <v>13</v>
      </c>
      <c r="E144" s="5" t="n">
        <f aca="false" t="array" ref="E144:E144">INDEX(Data_DBD!$E:$E,$A144)</f>
        <v>1</v>
      </c>
      <c r="F144" s="5" t="str">
        <f aca="false" t="array" ref="F144:F144">INDEX(Data_DBD!$F:$F,$A144)</f>
        <v>Sedang</v>
      </c>
      <c r="H144" s="5" t="n">
        <v>76</v>
      </c>
      <c r="I144" s="5" t="n">
        <v>70</v>
      </c>
      <c r="J144" s="5" t="n">
        <v>2</v>
      </c>
      <c r="K144" s="5" t="n">
        <v>10</v>
      </c>
      <c r="L144" s="5" t="n">
        <v>0</v>
      </c>
      <c r="M144" s="5" t="s">
        <v>20</v>
      </c>
    </row>
    <row r="145" customFormat="false" ht="15" hidden="false" customHeight="false" outlineLevel="0" collapsed="false">
      <c r="A145" s="5" t="n">
        <f aca="false">RANDBETWEEN(2,164)</f>
        <v>116</v>
      </c>
      <c r="B145" s="5" t="n">
        <f aca="false" t="array" ref="B145:B145">INDEX(Data_DBD!$B:$B,$A145)</f>
        <v>32</v>
      </c>
      <c r="C145" s="5" t="n">
        <f aca="false" t="array" ref="C145:C145">INDEX(Data_DBD!$C:$C,$A145)</f>
        <v>4</v>
      </c>
      <c r="D145" s="5" t="n">
        <f aca="false" t="array" ref="D145:D145">INDEX(Data_DBD!$D:$D,$A145)</f>
        <v>33</v>
      </c>
      <c r="E145" s="5" t="n">
        <f aca="false" t="array" ref="E145:E145">INDEX(Data_DBD!$E:$E,$A145)</f>
        <v>1</v>
      </c>
      <c r="F145" s="5" t="str">
        <f aca="false" t="array" ref="F145:F145">INDEX(Data_DBD!$F:$F,$A145)</f>
        <v>Tinggi</v>
      </c>
      <c r="H145" s="5" t="n">
        <v>116</v>
      </c>
      <c r="I145" s="5" t="n">
        <v>32</v>
      </c>
      <c r="J145" s="5" t="n">
        <v>4</v>
      </c>
      <c r="K145" s="5" t="n">
        <v>33</v>
      </c>
      <c r="L145" s="5" t="n">
        <v>1</v>
      </c>
      <c r="M145" s="5" t="s">
        <v>115</v>
      </c>
    </row>
    <row r="146" customFormat="false" ht="15" hidden="false" customHeight="false" outlineLevel="0" collapsed="false">
      <c r="A146" s="5" t="n">
        <f aca="false">RANDBETWEEN(2,164)</f>
        <v>86</v>
      </c>
      <c r="B146" s="5" t="n">
        <f aca="false" t="array" ref="B146:B146">INDEX(Data_DBD!$B:$B,$A146)</f>
        <v>23</v>
      </c>
      <c r="C146" s="5" t="n">
        <f aca="false" t="array" ref="C146:C146">INDEX(Data_DBD!$C:$C,$A146)</f>
        <v>3</v>
      </c>
      <c r="D146" s="5" t="n">
        <f aca="false" t="array" ref="D146:D146">INDEX(Data_DBD!$D:$D,$A146)</f>
        <v>13</v>
      </c>
      <c r="E146" s="5" t="n">
        <f aca="false" t="array" ref="E146:E146">INDEX(Data_DBD!$E:$E,$A146)</f>
        <v>0</v>
      </c>
      <c r="F146" s="5" t="str">
        <f aca="false" t="array" ref="F146:F146">INDEX(Data_DBD!$F:$F,$A146)</f>
        <v>Sedang</v>
      </c>
      <c r="H146" s="5" t="n">
        <v>25</v>
      </c>
      <c r="I146" s="5" t="n">
        <v>81</v>
      </c>
      <c r="J146" s="5" t="n">
        <v>5</v>
      </c>
      <c r="K146" s="5" t="n">
        <v>14</v>
      </c>
      <c r="L146" s="5" t="n">
        <v>0</v>
      </c>
      <c r="M146" s="5" t="s">
        <v>7</v>
      </c>
    </row>
    <row r="147" customFormat="false" ht="15" hidden="false" customHeight="false" outlineLevel="0" collapsed="false">
      <c r="A147" s="5" t="n">
        <f aca="false">RANDBETWEEN(2,164)</f>
        <v>161</v>
      </c>
      <c r="B147" s="5" t="n">
        <f aca="false" t="array" ref="B147:B147">INDEX(Data_DBD!$B:$B,$A147)</f>
        <v>12</v>
      </c>
      <c r="C147" s="5" t="n">
        <f aca="false" t="array" ref="C147:C147">INDEX(Data_DBD!$C:$C,$A147)</f>
        <v>3</v>
      </c>
      <c r="D147" s="5" t="n">
        <f aca="false" t="array" ref="D147:D147">INDEX(Data_DBD!$D:$D,$A147)</f>
        <v>21</v>
      </c>
      <c r="E147" s="5" t="n">
        <f aca="false" t="array" ref="E147:E147">INDEX(Data_DBD!$E:$E,$A147)</f>
        <v>1</v>
      </c>
      <c r="F147" s="5" t="str">
        <f aca="false" t="array" ref="F147:F147">INDEX(Data_DBD!$F:$F,$A147)</f>
        <v>Tinggi</v>
      </c>
      <c r="H147" s="5" t="n">
        <v>155</v>
      </c>
      <c r="I147" s="5" t="n">
        <v>19</v>
      </c>
      <c r="J147" s="5" t="n">
        <v>5</v>
      </c>
      <c r="K147" s="5" t="n">
        <v>21</v>
      </c>
      <c r="L147" s="5" t="n">
        <v>1</v>
      </c>
      <c r="M147" s="5" t="s">
        <v>115</v>
      </c>
    </row>
    <row r="148" customFormat="false" ht="15" hidden="false" customHeight="false" outlineLevel="0" collapsed="false">
      <c r="A148" s="5" t="n">
        <f aca="false">RANDBETWEEN(2,164)</f>
        <v>33</v>
      </c>
      <c r="B148" s="5" t="n">
        <f aca="false" t="array" ref="B148:B148">INDEX(Data_DBD!$B:$B,$A148)</f>
        <v>19</v>
      </c>
      <c r="C148" s="5" t="n">
        <f aca="false" t="array" ref="C148:C148">INDEX(Data_DBD!$C:$C,$A148)</f>
        <v>4</v>
      </c>
      <c r="D148" s="5" t="n">
        <f aca="false" t="array" ref="D148:D148">INDEX(Data_DBD!$D:$D,$A148)</f>
        <v>14</v>
      </c>
      <c r="E148" s="5" t="n">
        <f aca="false" t="array" ref="E148:E148">INDEX(Data_DBD!$E:$E,$A148)</f>
        <v>1</v>
      </c>
      <c r="F148" s="5" t="str">
        <f aca="false" t="array" ref="F148:F148">INDEX(Data_DBD!$F:$F,$A148)</f>
        <v>Sedang</v>
      </c>
      <c r="H148" s="5" t="n">
        <v>46</v>
      </c>
      <c r="I148" s="5" t="n">
        <v>62</v>
      </c>
      <c r="J148" s="5" t="n">
        <v>2</v>
      </c>
      <c r="K148" s="5" t="n">
        <v>13</v>
      </c>
      <c r="L148" s="5" t="n">
        <v>0</v>
      </c>
      <c r="M148" s="5" t="s">
        <v>7</v>
      </c>
    </row>
    <row r="149" customFormat="false" ht="15" hidden="false" customHeight="false" outlineLevel="0" collapsed="false">
      <c r="A149" s="5" t="n">
        <f aca="false">RANDBETWEEN(2,164)</f>
        <v>34</v>
      </c>
      <c r="B149" s="5" t="n">
        <f aca="false" t="array" ref="B149:B149">INDEX(Data_DBD!$B:$B,$A149)</f>
        <v>55</v>
      </c>
      <c r="C149" s="5" t="n">
        <f aca="false" t="array" ref="C149:C149">INDEX(Data_DBD!$C:$C,$A149)</f>
        <v>3</v>
      </c>
      <c r="D149" s="5" t="n">
        <f aca="false" t="array" ref="D149:D149">INDEX(Data_DBD!$D:$D,$A149)</f>
        <v>14</v>
      </c>
      <c r="E149" s="5" t="n">
        <f aca="false" t="array" ref="E149:E149">INDEX(Data_DBD!$E:$E,$A149)</f>
        <v>0</v>
      </c>
      <c r="F149" s="5" t="str">
        <f aca="false" t="array" ref="F149:F149">INDEX(Data_DBD!$F:$F,$A149)</f>
        <v>Sedang</v>
      </c>
      <c r="H149" s="5" t="n">
        <v>124</v>
      </c>
      <c r="I149" s="5" t="n">
        <v>24</v>
      </c>
      <c r="J149" s="5" t="n">
        <v>3</v>
      </c>
      <c r="K149" s="5" t="n">
        <v>33</v>
      </c>
      <c r="L149" s="5" t="n">
        <v>1</v>
      </c>
      <c r="M149" s="5" t="s">
        <v>115</v>
      </c>
    </row>
    <row r="150" customFormat="false" ht="15" hidden="false" customHeight="false" outlineLevel="0" collapsed="false">
      <c r="A150" s="5" t="n">
        <f aca="false">RANDBETWEEN(2,164)</f>
        <v>82</v>
      </c>
      <c r="B150" s="5" t="n">
        <f aca="false" t="array" ref="B150:B150">INDEX(Data_DBD!$B:$B,$A150)</f>
        <v>28</v>
      </c>
      <c r="C150" s="5" t="n">
        <f aca="false" t="array" ref="C150:C150">INDEX(Data_DBD!$C:$C,$A150)</f>
        <v>3</v>
      </c>
      <c r="D150" s="5" t="n">
        <f aca="false" t="array" ref="D150:D150">INDEX(Data_DBD!$D:$D,$A150)</f>
        <v>13</v>
      </c>
      <c r="E150" s="5" t="n">
        <f aca="false" t="array" ref="E150:E150">INDEX(Data_DBD!$E:$E,$A150)</f>
        <v>1</v>
      </c>
      <c r="F150" s="5" t="str">
        <f aca="false" t="array" ref="F150:F150">INDEX(Data_DBD!$F:$F,$A150)</f>
        <v>Sedang</v>
      </c>
      <c r="H150" s="5" t="n">
        <v>91</v>
      </c>
      <c r="I150" s="5" t="n">
        <v>35</v>
      </c>
      <c r="J150" s="5" t="n">
        <v>1</v>
      </c>
      <c r="K150" s="5" t="n">
        <v>18</v>
      </c>
      <c r="L150" s="5" t="n">
        <v>1</v>
      </c>
      <c r="M150" s="5" t="s">
        <v>7</v>
      </c>
    </row>
    <row r="151" customFormat="false" ht="15" hidden="false" customHeight="false" outlineLevel="0" collapsed="false">
      <c r="A151" s="5" t="n">
        <f aca="false">RANDBETWEEN(2,164)</f>
        <v>33</v>
      </c>
      <c r="B151" s="5" t="n">
        <f aca="false" t="array" ref="B151:B151">INDEX(Data_DBD!$B:$B,$A151)</f>
        <v>19</v>
      </c>
      <c r="C151" s="5" t="n">
        <f aca="false" t="array" ref="C151:C151">INDEX(Data_DBD!$C:$C,$A151)</f>
        <v>4</v>
      </c>
      <c r="D151" s="5" t="n">
        <f aca="false" t="array" ref="D151:D151">INDEX(Data_DBD!$D:$D,$A151)</f>
        <v>14</v>
      </c>
      <c r="E151" s="5" t="n">
        <f aca="false" t="array" ref="E151:E151">INDEX(Data_DBD!$E:$E,$A151)</f>
        <v>1</v>
      </c>
      <c r="F151" s="5" t="str">
        <f aca="false" t="array" ref="F151:F151">INDEX(Data_DBD!$F:$F,$A151)</f>
        <v>Sedang</v>
      </c>
      <c r="H151" s="5" t="n">
        <v>159</v>
      </c>
      <c r="I151" s="5" t="n">
        <v>17</v>
      </c>
      <c r="J151" s="5" t="n">
        <v>2</v>
      </c>
      <c r="K151" s="5" t="n">
        <v>21</v>
      </c>
      <c r="L151" s="5" t="n">
        <v>0</v>
      </c>
      <c r="M151" s="5" t="s">
        <v>115</v>
      </c>
    </row>
    <row r="152" customFormat="false" ht="15" hidden="false" customHeight="false" outlineLevel="0" collapsed="false">
      <c r="A152" s="5" t="n">
        <f aca="false">RANDBETWEEN(2,164)</f>
        <v>138</v>
      </c>
      <c r="B152" s="5" t="n">
        <f aca="false" t="array" ref="B152:B152">INDEX(Data_DBD!$B:$B,$A152)</f>
        <v>13</v>
      </c>
      <c r="C152" s="5" t="n">
        <f aca="false" t="array" ref="C152:C152">INDEX(Data_DBD!$C:$C,$A152)</f>
        <v>3</v>
      </c>
      <c r="D152" s="5" t="n">
        <f aca="false" t="array" ref="D152:D152">INDEX(Data_DBD!$D:$D,$A152)</f>
        <v>33</v>
      </c>
      <c r="E152" s="5" t="n">
        <f aca="false" t="array" ref="E152:E152">INDEX(Data_DBD!$E:$E,$A152)</f>
        <v>1</v>
      </c>
      <c r="F152" s="5" t="str">
        <f aca="false" t="array" ref="F152:F152">INDEX(Data_DBD!$F:$F,$A152)</f>
        <v>Tinggi</v>
      </c>
      <c r="H152" s="5" t="n">
        <v>96</v>
      </c>
      <c r="I152" s="5" t="n">
        <v>56</v>
      </c>
      <c r="J152" s="5" t="n">
        <v>4</v>
      </c>
      <c r="K152" s="5" t="n">
        <v>18</v>
      </c>
      <c r="L152" s="5" t="n">
        <v>0</v>
      </c>
      <c r="M152" s="5" t="s">
        <v>7</v>
      </c>
    </row>
    <row r="153" customFormat="false" ht="15" hidden="false" customHeight="false" outlineLevel="0" collapsed="false">
      <c r="A153" s="5" t="n">
        <f aca="false">RANDBETWEEN(2,164)</f>
        <v>39</v>
      </c>
      <c r="B153" s="5" t="n">
        <f aca="false" t="array" ref="B153:B153">INDEX(Data_DBD!$B:$B,$A153)</f>
        <v>12</v>
      </c>
      <c r="C153" s="5" t="n">
        <f aca="false" t="array" ref="C153:C153">INDEX(Data_DBD!$C:$C,$A153)</f>
        <v>5</v>
      </c>
      <c r="D153" s="5" t="n">
        <f aca="false" t="array" ref="D153:D153">INDEX(Data_DBD!$D:$D,$A153)</f>
        <v>13</v>
      </c>
      <c r="E153" s="5" t="n">
        <f aca="false" t="array" ref="E153:E153">INDEX(Data_DBD!$E:$E,$A153)</f>
        <v>1</v>
      </c>
      <c r="F153" s="5" t="str">
        <f aca="false" t="array" ref="F153:F153">INDEX(Data_DBD!$F:$F,$A153)</f>
        <v>Sedang</v>
      </c>
      <c r="H153" s="5" t="n">
        <v>4</v>
      </c>
      <c r="I153" s="5" t="n">
        <v>23</v>
      </c>
      <c r="J153" s="5" t="n">
        <v>5</v>
      </c>
      <c r="K153" s="5" t="n">
        <v>12</v>
      </c>
      <c r="L153" s="5" t="n">
        <v>0</v>
      </c>
      <c r="M153" s="5" t="s">
        <v>7</v>
      </c>
    </row>
    <row r="154" customFormat="false" ht="15.75" hidden="false" customHeight="true" outlineLevel="0" collapsed="false">
      <c r="A154" s="5" t="n">
        <f aca="false">RANDBETWEEN(2,164)</f>
        <v>93</v>
      </c>
      <c r="B154" s="5" t="n">
        <f aca="false" t="array" ref="B154:B154">INDEX(Data_DBD!$B:$B,$A154)</f>
        <v>65</v>
      </c>
      <c r="C154" s="5" t="n">
        <f aca="false" t="array" ref="C154:C154">INDEX(Data_DBD!$C:$C,$A154)</f>
        <v>4</v>
      </c>
      <c r="D154" s="5" t="n">
        <f aca="false" t="array" ref="D154:D154">INDEX(Data_DBD!$D:$D,$A154)</f>
        <v>18</v>
      </c>
      <c r="E154" s="5" t="n">
        <f aca="false" t="array" ref="E154:E154">INDEX(Data_DBD!$E:$E,$A154)</f>
        <v>0</v>
      </c>
      <c r="F154" s="5" t="str">
        <f aca="false" t="array" ref="F154:F154">INDEX(Data_DBD!$F:$F,$A154)</f>
        <v>Sedang</v>
      </c>
      <c r="H154" s="5" t="n">
        <v>88</v>
      </c>
      <c r="I154" s="5" t="n">
        <v>20</v>
      </c>
      <c r="J154" s="5" t="n">
        <v>4</v>
      </c>
      <c r="K154" s="5" t="n">
        <v>13</v>
      </c>
      <c r="L154" s="5" t="n">
        <v>1</v>
      </c>
      <c r="M154" s="5" t="s">
        <v>7</v>
      </c>
      <c r="U154" s="7" t="s">
        <v>256</v>
      </c>
    </row>
    <row r="155" customFormat="false" ht="15.75" hidden="false" customHeight="true" outlineLevel="0" collapsed="false">
      <c r="A155" s="5" t="n">
        <f aca="false">RANDBETWEEN(2,164)</f>
        <v>62</v>
      </c>
      <c r="B155" s="5" t="n">
        <f aca="false" t="array" ref="B155:B155">INDEX(Data_DBD!$B:$B,$A155)</f>
        <v>43</v>
      </c>
      <c r="C155" s="5" t="n">
        <f aca="false" t="array" ref="C155:C155">INDEX(Data_DBD!$C:$C,$A155)</f>
        <v>4</v>
      </c>
      <c r="D155" s="5" t="n">
        <f aca="false" t="array" ref="D155:D155">INDEX(Data_DBD!$D:$D,$A155)</f>
        <v>15</v>
      </c>
      <c r="E155" s="5" t="n">
        <f aca="false" t="array" ref="E155:E155">INDEX(Data_DBD!$E:$E,$A155)</f>
        <v>1</v>
      </c>
      <c r="F155" s="5" t="str">
        <f aca="false" t="array" ref="F155:F155">INDEX(Data_DBD!$F:$F,$A155)</f>
        <v>Sedang</v>
      </c>
      <c r="H155" s="5" t="n">
        <v>11</v>
      </c>
      <c r="I155" s="5" t="n">
        <v>24</v>
      </c>
      <c r="J155" s="5" t="n">
        <v>5</v>
      </c>
      <c r="K155" s="5" t="n">
        <v>12</v>
      </c>
      <c r="L155" s="5" t="n">
        <v>1</v>
      </c>
      <c r="M155" s="5" t="s">
        <v>7</v>
      </c>
      <c r="U155" s="8" t="s">
        <v>177</v>
      </c>
    </row>
    <row r="156" customFormat="false" ht="15.75" hidden="false" customHeight="true" outlineLevel="0" collapsed="false">
      <c r="A156" s="5" t="n">
        <f aca="false">RANDBETWEEN(2,164)</f>
        <v>88</v>
      </c>
      <c r="B156" s="5" t="n">
        <f aca="false" t="array" ref="B156:B156">INDEX(Data_DBD!$B:$B,$A156)</f>
        <v>20</v>
      </c>
      <c r="C156" s="5" t="n">
        <f aca="false" t="array" ref="C156:C156">INDEX(Data_DBD!$C:$C,$A156)</f>
        <v>4</v>
      </c>
      <c r="D156" s="5" t="n">
        <f aca="false" t="array" ref="D156:D156">INDEX(Data_DBD!$D:$D,$A156)</f>
        <v>13</v>
      </c>
      <c r="E156" s="5" t="n">
        <f aca="false" t="array" ref="E156:E156">INDEX(Data_DBD!$E:$E,$A156)</f>
        <v>1</v>
      </c>
      <c r="F156" s="5" t="str">
        <f aca="false" t="array" ref="F156:F156">INDEX(Data_DBD!$F:$F,$A156)</f>
        <v>Sedang</v>
      </c>
      <c r="H156" s="5" t="n">
        <v>114</v>
      </c>
      <c r="I156" s="5" t="n">
        <v>14</v>
      </c>
      <c r="J156" s="5" t="n">
        <v>2</v>
      </c>
      <c r="K156" s="5" t="n">
        <v>33</v>
      </c>
      <c r="L156" s="5" t="n">
        <v>1</v>
      </c>
      <c r="M156" s="5" t="s">
        <v>115</v>
      </c>
      <c r="U156" s="9" t="s">
        <v>257</v>
      </c>
    </row>
    <row r="157" customFormat="false" ht="15.75" hidden="false" customHeight="true" outlineLevel="0" collapsed="false">
      <c r="A157" s="5" t="n">
        <f aca="false">RANDBETWEEN(2,164)</f>
        <v>24</v>
      </c>
      <c r="B157" s="5" t="n">
        <f aca="false" t="array" ref="B157:B157">INDEX(Data_DBD!$B:$B,$A157)</f>
        <v>60</v>
      </c>
      <c r="C157" s="5" t="n">
        <f aca="false" t="array" ref="C157:C157">INDEX(Data_DBD!$C:$C,$A157)</f>
        <v>4</v>
      </c>
      <c r="D157" s="5" t="n">
        <f aca="false" t="array" ref="D157:D157">INDEX(Data_DBD!$D:$D,$A157)</f>
        <v>14</v>
      </c>
      <c r="E157" s="5" t="n">
        <f aca="false" t="array" ref="E157:E157">INDEX(Data_DBD!$E:$E,$A157)</f>
        <v>0</v>
      </c>
      <c r="F157" s="5" t="str">
        <f aca="false" t="array" ref="F157:F157">INDEX(Data_DBD!$F:$F,$A157)</f>
        <v>Sedang</v>
      </c>
      <c r="H157" s="5" t="n">
        <v>87</v>
      </c>
      <c r="I157" s="5" t="n">
        <v>21</v>
      </c>
      <c r="J157" s="5" t="n">
        <v>3</v>
      </c>
      <c r="K157" s="5" t="n">
        <v>13</v>
      </c>
      <c r="L157" s="5" t="n">
        <v>0</v>
      </c>
      <c r="M157" s="5" t="s">
        <v>7</v>
      </c>
      <c r="U157" s="9" t="s">
        <v>228</v>
      </c>
    </row>
    <row r="158" customFormat="false" ht="15.75" hidden="false" customHeight="true" outlineLevel="0" collapsed="false">
      <c r="A158" s="5" t="n">
        <f aca="false">RANDBETWEEN(2,164)</f>
        <v>95</v>
      </c>
      <c r="B158" s="5" t="n">
        <f aca="false" t="array" ref="B158:B158">INDEX(Data_DBD!$B:$B,$A158)</f>
        <v>11</v>
      </c>
      <c r="C158" s="5" t="n">
        <f aca="false" t="array" ref="C158:C158">INDEX(Data_DBD!$C:$C,$A158)</f>
        <v>3</v>
      </c>
      <c r="D158" s="5" t="n">
        <f aca="false" t="array" ref="D158:D158">INDEX(Data_DBD!$D:$D,$A158)</f>
        <v>18</v>
      </c>
      <c r="E158" s="5" t="n">
        <f aca="false" t="array" ref="E158:E158">INDEX(Data_DBD!$E:$E,$A158)</f>
        <v>1</v>
      </c>
      <c r="F158" s="5" t="str">
        <f aca="false" t="array" ref="F158:F158">INDEX(Data_DBD!$F:$F,$A158)</f>
        <v>Sedang</v>
      </c>
      <c r="H158" s="5" t="n">
        <v>103</v>
      </c>
      <c r="I158" s="5" t="n">
        <v>22</v>
      </c>
      <c r="J158" s="5" t="n">
        <v>5</v>
      </c>
      <c r="K158" s="5" t="n">
        <v>18</v>
      </c>
      <c r="L158" s="5" t="n">
        <v>0</v>
      </c>
      <c r="M158" s="5" t="s">
        <v>7</v>
      </c>
      <c r="U158" s="8" t="s">
        <v>180</v>
      </c>
    </row>
    <row r="159" customFormat="false" ht="15.75" hidden="false" customHeight="true" outlineLevel="0" collapsed="false">
      <c r="A159" s="5" t="n">
        <f aca="false">RANDBETWEEN(2,164)</f>
        <v>30</v>
      </c>
      <c r="B159" s="5" t="n">
        <f aca="false" t="array" ref="B159:B159">INDEX(Data_DBD!$B:$B,$A159)</f>
        <v>3</v>
      </c>
      <c r="C159" s="5" t="n">
        <f aca="false" t="array" ref="C159:C159">INDEX(Data_DBD!$C:$C,$A159)</f>
        <v>2</v>
      </c>
      <c r="D159" s="5" t="n">
        <f aca="false" t="array" ref="D159:D159">INDEX(Data_DBD!$D:$D,$A159)</f>
        <v>14</v>
      </c>
      <c r="E159" s="5" t="n">
        <f aca="false" t="array" ref="E159:E159">INDEX(Data_DBD!$E:$E,$A159)</f>
        <v>1</v>
      </c>
      <c r="F159" s="5" t="str">
        <f aca="false" t="array" ref="F159:F159">INDEX(Data_DBD!$F:$F,$A159)</f>
        <v>Sedang</v>
      </c>
      <c r="H159" s="5" t="n">
        <v>156</v>
      </c>
      <c r="I159" s="5" t="n">
        <v>5</v>
      </c>
      <c r="J159" s="5" t="n">
        <v>2</v>
      </c>
      <c r="K159" s="5" t="n">
        <v>21</v>
      </c>
      <c r="L159" s="5" t="n">
        <v>0</v>
      </c>
      <c r="M159" s="5" t="s">
        <v>115</v>
      </c>
      <c r="U159" s="9" t="s">
        <v>258</v>
      </c>
    </row>
    <row r="160" customFormat="false" ht="15.75" hidden="false" customHeight="true" outlineLevel="0" collapsed="false">
      <c r="A160" s="5" t="n">
        <f aca="false">RANDBETWEEN(2,164)</f>
        <v>133</v>
      </c>
      <c r="B160" s="5" t="n">
        <f aca="false" t="array" ref="B160:B160">INDEX(Data_DBD!$B:$B,$A160)</f>
        <v>6</v>
      </c>
      <c r="C160" s="5" t="n">
        <f aca="false" t="array" ref="C160:C160">INDEX(Data_DBD!$C:$C,$A160)</f>
        <v>4</v>
      </c>
      <c r="D160" s="5" t="n">
        <f aca="false" t="array" ref="D160:D160">INDEX(Data_DBD!$D:$D,$A160)</f>
        <v>33</v>
      </c>
      <c r="E160" s="5" t="n">
        <f aca="false" t="array" ref="E160:E160">INDEX(Data_DBD!$E:$E,$A160)</f>
        <v>0</v>
      </c>
      <c r="F160" s="5" t="str">
        <f aca="false" t="array" ref="F160:F160">INDEX(Data_DBD!$F:$F,$A160)</f>
        <v>Tinggi</v>
      </c>
      <c r="H160" s="5" t="n">
        <v>143</v>
      </c>
      <c r="I160" s="5" t="n">
        <v>20</v>
      </c>
      <c r="J160" s="5" t="n">
        <v>4</v>
      </c>
      <c r="K160" s="5" t="n">
        <v>21</v>
      </c>
      <c r="L160" s="5" t="n">
        <v>1</v>
      </c>
      <c r="M160" s="5" t="s">
        <v>115</v>
      </c>
      <c r="U160" s="9" t="s">
        <v>230</v>
      </c>
    </row>
    <row r="161" customFormat="false" ht="15.75" hidden="false" customHeight="true" outlineLevel="0" collapsed="false">
      <c r="A161" s="5" t="n">
        <f aca="false">RANDBETWEEN(2,164)</f>
        <v>89</v>
      </c>
      <c r="B161" s="5" t="n">
        <f aca="false" t="array" ref="B161:B161">INDEX(Data_DBD!$B:$B,$A161)</f>
        <v>32</v>
      </c>
      <c r="C161" s="5" t="n">
        <f aca="false" t="array" ref="C161:C161">INDEX(Data_DBD!$C:$C,$A161)</f>
        <v>4</v>
      </c>
      <c r="D161" s="5" t="n">
        <f aca="false" t="array" ref="D161:D161">INDEX(Data_DBD!$D:$D,$A161)</f>
        <v>13</v>
      </c>
      <c r="E161" s="5" t="n">
        <f aca="false" t="array" ref="E161:E161">INDEX(Data_DBD!$E:$E,$A161)</f>
        <v>0</v>
      </c>
      <c r="F161" s="5" t="str">
        <f aca="false" t="array" ref="F161:F161">INDEX(Data_DBD!$F:$F,$A161)</f>
        <v>Sedang</v>
      </c>
      <c r="H161" s="5" t="n">
        <v>43</v>
      </c>
      <c r="I161" s="5" t="n">
        <v>15</v>
      </c>
      <c r="J161" s="5" t="n">
        <v>4</v>
      </c>
      <c r="K161" s="5" t="n">
        <v>13</v>
      </c>
      <c r="L161" s="5" t="n">
        <v>0</v>
      </c>
      <c r="M161" s="5" t="s">
        <v>7</v>
      </c>
      <c r="U161" s="8" t="s">
        <v>183</v>
      </c>
    </row>
    <row r="162" customFormat="false" ht="15.75" hidden="false" customHeight="true" outlineLevel="0" collapsed="false">
      <c r="A162" s="5" t="n">
        <f aca="false">RANDBETWEEN(2,164)</f>
        <v>148</v>
      </c>
      <c r="B162" s="5" t="n">
        <f aca="false" t="array" ref="B162:B162">INDEX(Data_DBD!$B:$B,$A162)</f>
        <v>55</v>
      </c>
      <c r="C162" s="5" t="n">
        <f aca="false" t="array" ref="C162:C162">INDEX(Data_DBD!$C:$C,$A162)</f>
        <v>3</v>
      </c>
      <c r="D162" s="5" t="n">
        <f aca="false" t="array" ref="D162:D162">INDEX(Data_DBD!$D:$D,$A162)</f>
        <v>21</v>
      </c>
      <c r="E162" s="5" t="n">
        <f aca="false" t="array" ref="E162:E162">INDEX(Data_DBD!$E:$E,$A162)</f>
        <v>1</v>
      </c>
      <c r="F162" s="5" t="str">
        <f aca="false" t="array" ref="F162:F162">INDEX(Data_DBD!$F:$F,$A162)</f>
        <v>Tinggi</v>
      </c>
      <c r="H162" s="5" t="n">
        <v>95</v>
      </c>
      <c r="I162" s="5" t="n">
        <v>11</v>
      </c>
      <c r="J162" s="5" t="n">
        <v>3</v>
      </c>
      <c r="K162" s="5" t="n">
        <v>18</v>
      </c>
      <c r="L162" s="5" t="n">
        <v>1</v>
      </c>
      <c r="M162" s="5" t="s">
        <v>7</v>
      </c>
      <c r="U162" s="9" t="s">
        <v>259</v>
      </c>
    </row>
    <row r="163" customFormat="false" ht="15" hidden="false" customHeight="false" outlineLevel="0" collapsed="false">
      <c r="A163" s="5" t="n">
        <f aca="false">RANDBETWEEN(2,164)</f>
        <v>2</v>
      </c>
      <c r="B163" s="5" t="n">
        <f aca="false" t="array" ref="B163:B163">INDEX(Data_DBD!$B:$B,$A163)</f>
        <v>34</v>
      </c>
      <c r="C163" s="5" t="n">
        <f aca="false" t="array" ref="C163:C163">INDEX(Data_DBD!$C:$C,$A163)</f>
        <v>3</v>
      </c>
      <c r="D163" s="5" t="n">
        <f aca="false" t="array" ref="D163:D163">INDEX(Data_DBD!$D:$D,$A163)</f>
        <v>12</v>
      </c>
      <c r="E163" s="5" t="n">
        <f aca="false" t="array" ref="E163:E163">INDEX(Data_DBD!$E:$E,$A163)</f>
        <v>0</v>
      </c>
      <c r="F163" s="5" t="str">
        <f aca="false" t="array" ref="F163:F163">INDEX(Data_DBD!$F:$F,$A163)</f>
        <v>Sedang</v>
      </c>
      <c r="H163" s="5" t="n">
        <v>114</v>
      </c>
      <c r="I163" s="5" t="n">
        <v>14</v>
      </c>
      <c r="J163" s="5" t="n">
        <v>2</v>
      </c>
      <c r="K163" s="5" t="n">
        <v>33</v>
      </c>
      <c r="L163" s="5" t="n">
        <v>1</v>
      </c>
      <c r="M163" s="5" t="s">
        <v>115</v>
      </c>
    </row>
    <row r="164" customFormat="false" ht="15" hidden="false" customHeight="false" outlineLevel="0" collapsed="false">
      <c r="A164" s="5" t="n">
        <f aca="false">RANDBETWEEN(2,164)</f>
        <v>11</v>
      </c>
      <c r="B164" s="5" t="n">
        <f aca="false" t="array" ref="B164:B164">INDEX(Data_DBD!$B:$B,$A164)</f>
        <v>24</v>
      </c>
      <c r="C164" s="5" t="n">
        <f aca="false" t="array" ref="C164:C164">INDEX(Data_DBD!$C:$C,$A164)</f>
        <v>5</v>
      </c>
      <c r="D164" s="5" t="n">
        <f aca="false" t="array" ref="D164:D164">INDEX(Data_DBD!$D:$D,$A164)</f>
        <v>12</v>
      </c>
      <c r="E164" s="5" t="n">
        <f aca="false" t="array" ref="E164:E164">INDEX(Data_DBD!$E:$E,$A164)</f>
        <v>1</v>
      </c>
      <c r="F164" s="5" t="str">
        <f aca="false" t="array" ref="F164:F164">INDEX(Data_DBD!$F:$F,$A164)</f>
        <v>Sedang</v>
      </c>
      <c r="H164" s="5" t="n">
        <v>151</v>
      </c>
      <c r="I164" s="5" t="n">
        <v>24</v>
      </c>
      <c r="J164" s="5" t="n">
        <v>3</v>
      </c>
      <c r="K164" s="5" t="n">
        <v>21</v>
      </c>
      <c r="L164" s="5" t="n">
        <v>0</v>
      </c>
      <c r="M164" s="5" t="s">
        <v>115</v>
      </c>
    </row>
    <row r="165" customFormat="false" ht="15" hidden="false" customHeight="false" outlineLevel="0" collapsed="false">
      <c r="I165" s="0" t="n">
        <f aca="false">AVERAGE(I2:I164)</f>
        <v>30.1042944785276</v>
      </c>
      <c r="J165" s="0" t="n">
        <f aca="false">AVERAGE(J2:J164)</f>
        <v>3.50306748466258</v>
      </c>
      <c r="K165" s="0" t="n">
        <f aca="false">AVERAGE(K2:K164)</f>
        <v>17.7055214723926</v>
      </c>
      <c r="L165" s="0" t="n">
        <f aca="false">AVERAGE(L2:L164)</f>
        <v>0.484662576687117</v>
      </c>
    </row>
    <row r="166" customFormat="false" ht="15" hidden="false" customHeight="false" outlineLevel="0" collapsed="false">
      <c r="B166" s="0" t="n">
        <v>66</v>
      </c>
    </row>
    <row r="168" customFormat="false" ht="15" hidden="false" customHeight="false" outlineLevel="0" collapsed="false">
      <c r="E168" s="11" t="s">
        <v>185</v>
      </c>
      <c r="J168" s="11" t="s">
        <v>186</v>
      </c>
      <c r="O168" s="11" t="s">
        <v>187</v>
      </c>
      <c r="T168" s="11" t="s">
        <v>188</v>
      </c>
    </row>
    <row r="169" customFormat="false" ht="15" hidden="false" customHeight="false" outlineLevel="0" collapsed="false">
      <c r="E169" s="5" t="s">
        <v>1</v>
      </c>
      <c r="F169" s="5" t="n">
        <f aca="false">AVERAGEIF($I$2:$I$164,"&lt;="&amp;$I$165)</f>
        <v>16.82</v>
      </c>
      <c r="G169" s="5" t="n">
        <f aca="false">AVERAGEIF($I$2:$I$164,"&gt;"&amp;$I$165)</f>
        <v>51.1904761904762</v>
      </c>
      <c r="J169" s="5" t="s">
        <v>189</v>
      </c>
      <c r="K169" s="5" t="n">
        <f aca="false">AVERAGEIF($J$2:$J$164,"&lt;="&amp;$J$165)</f>
        <v>2.37647058823529</v>
      </c>
      <c r="L169" s="5" t="n">
        <f aca="false">AVERAGEIF($J$2:$J$164,"&gt;"&amp;$J$165)</f>
        <v>4.73076923076923</v>
      </c>
      <c r="O169" s="5" t="s">
        <v>190</v>
      </c>
      <c r="P169" s="5" t="n">
        <f aca="false">AVERAGEIF($K$2:$K$164,"&lt;="&amp;$K$165)</f>
        <v>11.3152173913043</v>
      </c>
      <c r="Q169" s="5" t="n">
        <f aca="false">AVERAGEIF($K$2:$K$164,"&gt;"&amp;$K$165)</f>
        <v>25.9859154929577</v>
      </c>
      <c r="T169" s="5" t="s">
        <v>191</v>
      </c>
      <c r="U169" s="5" t="n">
        <f aca="false">AVERAGEIF($L$2:$L$164,"&lt;="&amp;$L$165)</f>
        <v>0</v>
      </c>
      <c r="V169" s="5" t="n">
        <f aca="false">AVERAGEIF($L$2:$L$164,"&gt;"&amp;$L$165)</f>
        <v>1</v>
      </c>
    </row>
    <row r="170" customFormat="false" ht="15" hidden="false" customHeight="false" outlineLevel="0" collapsed="false">
      <c r="E170" s="5" t="str">
        <f aca="false" t="array" ref="E170:E332">IF($I$2:$I$164&lt;$F$169,"kiri",IF($I$2:$I$164&lt;$G$169,"tengah","kanan"))</f>
        <v>kanan</v>
      </c>
      <c r="F170" s="5" t="s">
        <v>260</v>
      </c>
      <c r="G170" s="5"/>
      <c r="J170" s="5" t="str">
        <f aca="false" t="array" ref="J170:J332">IF($J$2:$J$164&lt;$K$169,"kiri",IF($J$2:$J$164&lt;$L$169,"tengah","kanan"))</f>
        <v>kiri</v>
      </c>
      <c r="K170" s="5" t="s">
        <v>261</v>
      </c>
      <c r="L170" s="5"/>
      <c r="O170" s="5" t="str">
        <f aca="false" t="array" ref="O170:O332">IF($K$2:$K$164&lt;$P$169,"kiri",IF($K$2:$K$164&lt;$Q$169,"tengah","kanan"))</f>
        <v>kiri</v>
      </c>
      <c r="P170" s="5" t="s">
        <v>262</v>
      </c>
      <c r="Q170" s="5"/>
      <c r="T170" s="5" t="str">
        <f aca="false" t="array" ref="T170:T332">IF($L$2:$L$164&lt;$U$169,"kiri",IF($L$2:$L$164&lt;$V$169,"tengah","kanan"))</f>
        <v>tengah</v>
      </c>
      <c r="U170" s="5" t="s">
        <v>195</v>
      </c>
      <c r="V170" s="5"/>
    </row>
    <row r="171" customFormat="false" ht="15" hidden="false" customHeight="false" outlineLevel="0" collapsed="false">
      <c r="E171" s="5" t="str">
        <v>tengah</v>
      </c>
      <c r="F171" s="5" t="n">
        <f aca="false">COUNTIFS($E$170:$E$332,"Kanan",$M$2:$M$164,"Tinggi")</f>
        <v>6</v>
      </c>
      <c r="G171" s="5" t="n">
        <f aca="false">F171/30</f>
        <v>0.2</v>
      </c>
      <c r="J171" s="5" t="str">
        <v>tengah</v>
      </c>
      <c r="K171" s="5" t="n">
        <f aca="false">COUNTIFS($J$170:$J$332,"Kanan",$M$2:$M$164,"Tinggi")</f>
        <v>9</v>
      </c>
      <c r="L171" s="5" t="n">
        <f aca="false">K171/35</f>
        <v>0.257142857142857</v>
      </c>
      <c r="O171" s="5" t="str">
        <v>kanan</v>
      </c>
      <c r="P171" s="5" t="n">
        <f aca="false">COUNTIFS($O$170:$O$332,"Kanan",$M$2:$M$164,"Tinggi")</f>
        <v>34</v>
      </c>
      <c r="Q171" s="5" t="n">
        <f aca="false">P171/34</f>
        <v>1</v>
      </c>
      <c r="T171" s="5" t="str">
        <v>tengah</v>
      </c>
      <c r="U171" s="5" t="n">
        <f aca="false">COUNTIFS($T$170:$T$332,"Kanan",$M$2:$M$164,"Tinggi")</f>
        <v>30</v>
      </c>
      <c r="V171" s="5" t="n">
        <f aca="false">U171/79</f>
        <v>0.379746835443038</v>
      </c>
    </row>
    <row r="172" customFormat="false" ht="15" hidden="false" customHeight="false" outlineLevel="0" collapsed="false">
      <c r="E172" s="5" t="str">
        <v>tengah</v>
      </c>
      <c r="F172" s="5" t="n">
        <f aca="false">COUNTIFS($E$170:$E$332,"Kanan",$M$2:$M$164,"Sedang")</f>
        <v>17</v>
      </c>
      <c r="G172" s="5" t="n">
        <f aca="false">F172/30</f>
        <v>0.566666666666667</v>
      </c>
      <c r="J172" s="5" t="str">
        <v>tengah</v>
      </c>
      <c r="K172" s="5" t="n">
        <f aca="false">COUNTIFS($J$170:$J$332,"Kanan",$M$2:$M$164,"Sedang")</f>
        <v>23</v>
      </c>
      <c r="L172" s="5" t="n">
        <f aca="false">K172/35</f>
        <v>0.657142857142857</v>
      </c>
      <c r="O172" s="5" t="str">
        <v>kanan</v>
      </c>
      <c r="P172" s="5" t="n">
        <f aca="false">COUNTIFS($O$170:$O$332,"Kanan",$M$2:$M$164,"Sedang")</f>
        <v>0</v>
      </c>
      <c r="Q172" s="5" t="n">
        <f aca="false">P172/27</f>
        <v>0</v>
      </c>
      <c r="T172" s="5" t="str">
        <v>kanan</v>
      </c>
      <c r="U172" s="5" t="n">
        <f aca="false">COUNTIFS($T$170:$T$332,"Kanan",$M$2:$M$164,"Sedang")</f>
        <v>34</v>
      </c>
      <c r="V172" s="5" t="n">
        <f aca="false">U172/79</f>
        <v>0.430379746835443</v>
      </c>
    </row>
    <row r="173" customFormat="false" ht="15" hidden="false" customHeight="false" outlineLevel="0" collapsed="false">
      <c r="E173" s="5" t="str">
        <v>kanan</v>
      </c>
      <c r="F173" s="5" t="n">
        <f aca="false">COUNTIFS($E$170:$E$332,"Kanan",$M$2:$M$164,"Rendah")</f>
        <v>7</v>
      </c>
      <c r="G173" s="5" t="n">
        <f aca="false">F173/30</f>
        <v>0.233333333333333</v>
      </c>
      <c r="J173" s="5" t="str">
        <v>kanan</v>
      </c>
      <c r="K173" s="5" t="n">
        <f aca="false">COUNTIFS($J$170:$J$332,"Kanan",$M$2:$M$164,"Rendah")</f>
        <v>3</v>
      </c>
      <c r="L173" s="5" t="n">
        <f aca="false">K173/35</f>
        <v>0.0857142857142857</v>
      </c>
      <c r="O173" s="5" t="str">
        <v>tengah</v>
      </c>
      <c r="P173" s="5" t="n">
        <f aca="false">COUNTIFS($O$170:$O$332,"Kanan",$M$2:$M$164,"Rendah")</f>
        <v>0</v>
      </c>
      <c r="Q173" s="5" t="n">
        <f aca="false">P173/27</f>
        <v>0</v>
      </c>
      <c r="T173" s="5" t="str">
        <v>kanan</v>
      </c>
      <c r="U173" s="5" t="n">
        <f aca="false">COUNTIFS($T$170:$T$332,"Kanan",$M$2:$M$164,"Rendah")</f>
        <v>15</v>
      </c>
      <c r="V173" s="5" t="n">
        <f aca="false">U173/79</f>
        <v>0.189873417721519</v>
      </c>
    </row>
    <row r="174" customFormat="false" ht="15" hidden="false" customHeight="false" outlineLevel="0" collapsed="false">
      <c r="E174" s="5" t="str">
        <v>kiri</v>
      </c>
      <c r="F174" s="5" t="s">
        <v>196</v>
      </c>
      <c r="G174" s="5" t="n">
        <f aca="false">-(IFERROR(G171*LOG(G171,2),0)+IFERROR(G172*LOG(G172,2),0)+IFERROR(G173*LOG(G173,2),0))</f>
        <v>1.41861967027565</v>
      </c>
      <c r="J174" s="5" t="str">
        <v>tengah</v>
      </c>
      <c r="K174" s="5" t="s">
        <v>196</v>
      </c>
      <c r="L174" s="5" t="n">
        <f aca="false">-(IFERROR(L171*LOG(L171,2),0)+IFERROR(L172*LOG(L172,2),0)+IFERROR(L173*LOG(L173,2),0))</f>
        <v>1.20567908824624</v>
      </c>
      <c r="O174" s="5" t="str">
        <v>kiri</v>
      </c>
      <c r="P174" s="5" t="s">
        <v>196</v>
      </c>
      <c r="Q174" s="5" t="n">
        <f aca="false">-(IFERROR(Q171*LOG(Q171,2),0)+IFERROR(Q172*LOG(Q172,2),0)+IFERROR(Q173*LOG(Q173,2),0))</f>
        <v>-0</v>
      </c>
      <c r="T174" s="5" t="str">
        <v>kanan</v>
      </c>
      <c r="U174" s="5" t="s">
        <v>196</v>
      </c>
      <c r="V174" s="5" t="n">
        <f aca="false">-(IFERROR(V171*LOG(V171,2),0)+IFERROR(V172*LOG(V172,2),0)+IFERROR(V173*LOG(V173,2),0))</f>
        <v>1.50904893292527</v>
      </c>
    </row>
    <row r="175" customFormat="false" ht="15" hidden="false" customHeight="false" outlineLevel="0" collapsed="false">
      <c r="E175" s="5" t="str">
        <v>tengah</v>
      </c>
      <c r="F175" s="5"/>
      <c r="G175" s="5" t="n">
        <f aca="false">SUM(F171:F173)/163</f>
        <v>0.184049079754601</v>
      </c>
      <c r="J175" s="5" t="str">
        <v>tengah</v>
      </c>
      <c r="K175" s="5"/>
      <c r="L175" s="5" t="n">
        <f aca="false">SUM(K171:K173)/163</f>
        <v>0.214723926380368</v>
      </c>
      <c r="O175" s="5" t="str">
        <v>kanan</v>
      </c>
      <c r="P175" s="5"/>
      <c r="Q175" s="5" t="n">
        <f aca="false">SUM(P171:P173)/163</f>
        <v>0.208588957055215</v>
      </c>
      <c r="T175" s="5" t="str">
        <v>tengah</v>
      </c>
      <c r="U175" s="5"/>
      <c r="V175" s="5" t="n">
        <f aca="false">SUM(U171:U173)/163</f>
        <v>0.484662576687117</v>
      </c>
    </row>
    <row r="176" customFormat="false" ht="15" hidden="false" customHeight="false" outlineLevel="0" collapsed="false">
      <c r="E176" s="5" t="str">
        <v>tengah</v>
      </c>
      <c r="F176" s="5"/>
      <c r="G176" s="12" t="n">
        <f aca="false">G174*G175</f>
        <v>0.26109564483601</v>
      </c>
      <c r="J176" s="5" t="str">
        <v>kanan</v>
      </c>
      <c r="K176" s="5"/>
      <c r="L176" s="12" t="n">
        <f aca="false">L174*L175</f>
        <v>0.258888147782934</v>
      </c>
      <c r="O176" s="5" t="str">
        <v>kanan</v>
      </c>
      <c r="P176" s="5"/>
      <c r="Q176" s="12" t="n">
        <f aca="false">Q174*Q175</f>
        <v>-0</v>
      </c>
      <c r="T176" s="5" t="str">
        <v>tengah</v>
      </c>
      <c r="U176" s="5"/>
      <c r="V176" s="12" t="n">
        <f aca="false">V174*V175</f>
        <v>0.731379544178505</v>
      </c>
    </row>
    <row r="177" customFormat="false" ht="15" hidden="false" customHeight="false" outlineLevel="0" collapsed="false">
      <c r="E177" s="5" t="str">
        <v>tengah</v>
      </c>
      <c r="F177" s="5"/>
      <c r="G177" s="5"/>
      <c r="J177" s="5" t="str">
        <v>kanan</v>
      </c>
      <c r="K177" s="5"/>
      <c r="L177" s="5"/>
      <c r="O177" s="5" t="str">
        <v>tengah</v>
      </c>
      <c r="P177" s="5"/>
      <c r="Q177" s="5"/>
      <c r="T177" s="5" t="str">
        <v>kanan</v>
      </c>
      <c r="U177" s="5"/>
      <c r="V177" s="5"/>
    </row>
    <row r="178" customFormat="false" ht="15" hidden="false" customHeight="false" outlineLevel="0" collapsed="false">
      <c r="E178" s="5" t="str">
        <v>tengah</v>
      </c>
      <c r="F178" s="5"/>
      <c r="G178" s="5"/>
      <c r="J178" s="5" t="str">
        <v>tengah</v>
      </c>
      <c r="K178" s="5"/>
      <c r="L178" s="5"/>
      <c r="O178" s="5" t="str">
        <v>kanan</v>
      </c>
      <c r="P178" s="5"/>
      <c r="Q178" s="5"/>
      <c r="T178" s="5" t="str">
        <v>tengah</v>
      </c>
      <c r="U178" s="5"/>
      <c r="V178" s="5"/>
    </row>
    <row r="179" customFormat="false" ht="15" hidden="false" customHeight="false" outlineLevel="0" collapsed="false">
      <c r="E179" s="5" t="str">
        <v>kiri</v>
      </c>
      <c r="F179" s="5" t="s">
        <v>263</v>
      </c>
      <c r="G179" s="5"/>
      <c r="J179" s="5" t="str">
        <v>kanan</v>
      </c>
      <c r="K179" s="5" t="s">
        <v>264</v>
      </c>
      <c r="L179" s="5"/>
      <c r="O179" s="5" t="str">
        <v>tengah</v>
      </c>
      <c r="P179" s="5" t="s">
        <v>265</v>
      </c>
      <c r="Q179" s="5"/>
      <c r="T179" s="5" t="str">
        <v>kanan</v>
      </c>
      <c r="U179" s="5" t="s">
        <v>200</v>
      </c>
      <c r="V179" s="5"/>
    </row>
    <row r="180" customFormat="false" ht="15" hidden="false" customHeight="false" outlineLevel="0" collapsed="false">
      <c r="E180" s="5" t="str">
        <v>tengah</v>
      </c>
      <c r="F180" s="5" t="n">
        <f aca="false">COUNTIFS($E$170:$E$332,"Kiri",$M$2:$M$164,"Tinggi")</f>
        <v>18</v>
      </c>
      <c r="G180" s="5" t="n">
        <f aca="false">F180/43</f>
        <v>0.418604651162791</v>
      </c>
      <c r="J180" s="5" t="str">
        <v>tengah</v>
      </c>
      <c r="K180" s="5" t="n">
        <f aca="false">COUNTIFS($J$170:$J$332,"Kiri",$M$2:$M$164,"Tinggi")</f>
        <v>15</v>
      </c>
      <c r="L180" s="5" t="n">
        <f aca="false">K180/42</f>
        <v>0.357142857142857</v>
      </c>
      <c r="O180" s="5" t="str">
        <v>tengah</v>
      </c>
      <c r="P180" s="5" t="n">
        <f aca="false">COUNTIFS($O$170:$O$332,"Kiri",$M$2:$M$164,"Tinggi")</f>
        <v>0</v>
      </c>
      <c r="Q180" s="5" t="n">
        <f aca="false">P180/57</f>
        <v>0</v>
      </c>
      <c r="T180" s="5" t="str">
        <v>kanan</v>
      </c>
      <c r="U180" s="5" t="n">
        <f aca="false">COUNTIFS($T$170:$T$332,"Kiri",$M$2:$M$164,"Tinggi")</f>
        <v>0</v>
      </c>
      <c r="V180" s="5" t="n">
        <f aca="false">U180/78</f>
        <v>0</v>
      </c>
    </row>
    <row r="181" customFormat="false" ht="15" hidden="false" customHeight="false" outlineLevel="0" collapsed="false">
      <c r="E181" s="5" t="str">
        <v>kiri</v>
      </c>
      <c r="F181" s="5" t="n">
        <f aca="false">COUNTIFS($E$170:$E$332,"Kiri",$M$2:$M$164,"Sedang")</f>
        <v>15</v>
      </c>
      <c r="G181" s="5" t="n">
        <f aca="false">F181/43</f>
        <v>0.348837209302326</v>
      </c>
      <c r="J181" s="5" t="str">
        <v>tengah</v>
      </c>
      <c r="K181" s="5" t="n">
        <f aca="false">COUNTIFS($J$170:$J$332,"Kiri",$M$2:$M$164,"Sedang")</f>
        <v>18</v>
      </c>
      <c r="L181" s="5" t="n">
        <f aca="false">K181/42</f>
        <v>0.428571428571429</v>
      </c>
      <c r="O181" s="5" t="str">
        <v>kanan</v>
      </c>
      <c r="P181" s="5" t="n">
        <f aca="false">COUNTIFS($O$170:$O$332,"Kiri",$M$2:$M$164,"Sedang")</f>
        <v>0</v>
      </c>
      <c r="Q181" s="5" t="n">
        <f aca="false">P181/28</f>
        <v>0</v>
      </c>
      <c r="T181" s="5" t="str">
        <v>tengah</v>
      </c>
      <c r="U181" s="5" t="n">
        <f aca="false">COUNTIFS($T$170:$T$332,"Kiri",$M$2:$M$164,"Sedang")</f>
        <v>0</v>
      </c>
      <c r="V181" s="5" t="n">
        <f aca="false">U181/78</f>
        <v>0</v>
      </c>
    </row>
    <row r="182" customFormat="false" ht="15" hidden="false" customHeight="false" outlineLevel="0" collapsed="false">
      <c r="E182" s="5" t="str">
        <v>tengah</v>
      </c>
      <c r="F182" s="5" t="n">
        <f aca="false">COUNTIFS($E$170:$E$332,"Kiri",$M$2:$M$164,"Rendah")</f>
        <v>10</v>
      </c>
      <c r="G182" s="5" t="n">
        <f aca="false">F182/43</f>
        <v>0.232558139534884</v>
      </c>
      <c r="J182" s="5" t="str">
        <v>tengah</v>
      </c>
      <c r="K182" s="5" t="n">
        <f aca="false">COUNTIFS($J$170:$J$332,"Kiri",$M$2:$M$164,"Rendah")</f>
        <v>9</v>
      </c>
      <c r="L182" s="5" t="n">
        <f aca="false">K182/42</f>
        <v>0.214285714285714</v>
      </c>
      <c r="O182" s="5" t="str">
        <v>tengah</v>
      </c>
      <c r="P182" s="5" t="n">
        <f aca="false">COUNTIFS($O$170:$O$332,"Kiri",$M$2:$M$164,"Rendah")</f>
        <v>28</v>
      </c>
      <c r="Q182" s="5" t="n">
        <f aca="false">P182/28</f>
        <v>1</v>
      </c>
      <c r="T182" s="5" t="str">
        <v>tengah</v>
      </c>
      <c r="U182" s="5" t="n">
        <f aca="false">COUNTIFS($T$170:$T$332,"Kiri",$M$2:$M$164,"Rendah")</f>
        <v>0</v>
      </c>
      <c r="V182" s="5" t="n">
        <f aca="false">U182/78</f>
        <v>0</v>
      </c>
    </row>
    <row r="183" customFormat="false" ht="15" hidden="false" customHeight="false" outlineLevel="0" collapsed="false">
      <c r="E183" s="5" t="str">
        <v>tengah</v>
      </c>
      <c r="F183" s="5" t="s">
        <v>196</v>
      </c>
      <c r="G183" s="5" t="n">
        <f aca="false">-(IFERROR(G180*LOG(G180,2),0)+IFERROR(G181*LOG(G181,2),0)+IFERROR(G182*LOG(G182,2),0))</f>
        <v>1.5453045242611</v>
      </c>
      <c r="J183" s="5" t="str">
        <v>tengah</v>
      </c>
      <c r="K183" s="5" t="s">
        <v>196</v>
      </c>
      <c r="L183" s="5" t="n">
        <f aca="false">-(IFERROR(L180*LOG(L180,2),0)+IFERROR(L181*LOG(L181,2),0)+IFERROR(L182*LOG(L182,2),0))</f>
        <v>1.53061899484852</v>
      </c>
      <c r="O183" s="5" t="str">
        <v>tengah</v>
      </c>
      <c r="P183" s="5" t="s">
        <v>196</v>
      </c>
      <c r="Q183" s="5" t="n">
        <f aca="false">-(IFERROR(Q180*LOG(Q180,2),0)+IFERROR(Q181*LOG(Q181,2),0)+IFERROR(Q182*LOG(Q182,2),0))</f>
        <v>-0</v>
      </c>
      <c r="T183" s="5" t="str">
        <v>tengah</v>
      </c>
      <c r="U183" s="5" t="s">
        <v>196</v>
      </c>
      <c r="V183" s="5" t="n">
        <f aca="false">-(IFERROR(V180*LOG(V180,2),0)+IFERROR(V181*LOG(V181,2),0)+IFERROR(V182*LOG(V182,2),0))</f>
        <v>-0</v>
      </c>
    </row>
    <row r="184" customFormat="false" ht="15" hidden="false" customHeight="false" outlineLevel="0" collapsed="false">
      <c r="E184" s="5" t="str">
        <v>kiri</v>
      </c>
      <c r="F184" s="5"/>
      <c r="G184" s="5" t="n">
        <f aca="false">SUM(F180:F182)/163</f>
        <v>0.263803680981595</v>
      </c>
      <c r="J184" s="5" t="str">
        <v>kiri</v>
      </c>
      <c r="K184" s="5"/>
      <c r="L184" s="5" t="n">
        <f aca="false">SUM(K180:K182)/163</f>
        <v>0.257668711656442</v>
      </c>
      <c r="O184" s="5" t="str">
        <v>kanan</v>
      </c>
      <c r="P184" s="5"/>
      <c r="Q184" s="5" t="n">
        <f aca="false">SUM(P180:P182)/163</f>
        <v>0.171779141104294</v>
      </c>
      <c r="T184" s="5" t="str">
        <v>kanan</v>
      </c>
      <c r="U184" s="5"/>
      <c r="V184" s="5" t="n">
        <f aca="false">SUM(U180:U182)/163</f>
        <v>0</v>
      </c>
    </row>
    <row r="185" customFormat="false" ht="15" hidden="false" customHeight="false" outlineLevel="0" collapsed="false">
      <c r="E185" s="5" t="str">
        <v>tengah</v>
      </c>
      <c r="F185" s="5"/>
      <c r="G185" s="12" t="n">
        <f aca="false">G183*G184</f>
        <v>0.40765702173759</v>
      </c>
      <c r="J185" s="5" t="str">
        <v>tengah</v>
      </c>
      <c r="K185" s="5"/>
      <c r="L185" s="12" t="n">
        <f aca="false">L183*L184</f>
        <v>0.394392624439495</v>
      </c>
      <c r="O185" s="5" t="str">
        <v>tengah</v>
      </c>
      <c r="P185" s="5"/>
      <c r="Q185" s="12" t="n">
        <f aca="false">Q183*Q184</f>
        <v>-0</v>
      </c>
      <c r="T185" s="5" t="str">
        <v>tengah</v>
      </c>
      <c r="U185" s="5"/>
      <c r="V185" s="12" t="n">
        <f aca="false">V183*V184</f>
        <v>-0</v>
      </c>
    </row>
    <row r="186" customFormat="false" ht="15" hidden="false" customHeight="false" outlineLevel="0" collapsed="false">
      <c r="E186" s="5" t="str">
        <v>kanan</v>
      </c>
      <c r="F186" s="5"/>
      <c r="G186" s="5"/>
      <c r="J186" s="5" t="str">
        <v>tengah</v>
      </c>
      <c r="K186" s="5"/>
      <c r="L186" s="5"/>
      <c r="O186" s="5" t="str">
        <v>tengah</v>
      </c>
      <c r="P186" s="5"/>
      <c r="Q186" s="5"/>
      <c r="T186" s="5" t="str">
        <v>tengah</v>
      </c>
      <c r="U186" s="5"/>
      <c r="V186" s="5"/>
    </row>
    <row r="187" customFormat="false" ht="15" hidden="false" customHeight="false" outlineLevel="0" collapsed="false">
      <c r="E187" s="5" t="str">
        <v>tengah</v>
      </c>
      <c r="F187" s="5"/>
      <c r="G187" s="5"/>
      <c r="J187" s="5" t="str">
        <v>kanan</v>
      </c>
      <c r="K187" s="5"/>
      <c r="L187" s="5"/>
      <c r="O187" s="5" t="str">
        <v>tengah</v>
      </c>
      <c r="P187" s="5"/>
      <c r="Q187" s="5"/>
      <c r="T187" s="5" t="str">
        <v>tengah</v>
      </c>
      <c r="U187" s="5"/>
      <c r="V187" s="5"/>
    </row>
    <row r="188" customFormat="false" ht="15" hidden="false" customHeight="false" outlineLevel="0" collapsed="false">
      <c r="E188" s="5" t="str">
        <v>kanan</v>
      </c>
      <c r="F188" s="5" t="s">
        <v>201</v>
      </c>
      <c r="G188" s="5"/>
      <c r="J188" s="5" t="str">
        <v>kanan</v>
      </c>
      <c r="K188" s="5" t="s">
        <v>201</v>
      </c>
      <c r="L188" s="5"/>
      <c r="O188" s="5" t="str">
        <v>tengah</v>
      </c>
      <c r="P188" s="5" t="s">
        <v>201</v>
      </c>
      <c r="Q188" s="5"/>
      <c r="T188" s="5" t="str">
        <v>kanan</v>
      </c>
      <c r="U188" s="5" t="s">
        <v>201</v>
      </c>
      <c r="V188" s="5"/>
    </row>
    <row r="189" customFormat="false" ht="15" hidden="false" customHeight="false" outlineLevel="0" collapsed="false">
      <c r="E189" s="5" t="str">
        <v>tengah</v>
      </c>
      <c r="F189" s="5" t="n">
        <f aca="false">COUNTIFS($E$170:$E$332,"Tengah",$M$2:$M$164,"Tinggi")</f>
        <v>29</v>
      </c>
      <c r="G189" s="5" t="n">
        <f aca="false">F189/90</f>
        <v>0.322222222222222</v>
      </c>
      <c r="J189" s="5" t="str">
        <v>tengah</v>
      </c>
      <c r="K189" s="5" t="n">
        <f aca="false">COUNTIFS($J$170:$J$332,"Tengah",$M$2:$M$164,"Tinggi")</f>
        <v>29</v>
      </c>
      <c r="L189" s="5" t="n">
        <f aca="false">K189/86</f>
        <v>0.337209302325581</v>
      </c>
      <c r="O189" s="5" t="str">
        <v>tengah</v>
      </c>
      <c r="P189" s="5" t="n">
        <f aca="false">COUNTIFS($O$170:$O$332,"Tengah",$M$2:$M$164,"Tinggi")</f>
        <v>19</v>
      </c>
      <c r="Q189" s="5" t="n">
        <f aca="false">P189/101</f>
        <v>0.188118811881188</v>
      </c>
      <c r="T189" s="5" t="str">
        <v>tengah</v>
      </c>
      <c r="U189" s="5" t="n">
        <f aca="false">COUNTIFS($T$170:$T$332,"Tengah",$M$2:$M$164,"Tinggi")</f>
        <v>23</v>
      </c>
      <c r="V189" s="5" t="n">
        <f aca="false">U189/84</f>
        <v>0.273809523809524</v>
      </c>
    </row>
    <row r="190" customFormat="false" ht="15" hidden="false" customHeight="false" outlineLevel="0" collapsed="false">
      <c r="E190" s="5" t="str">
        <v>kiri</v>
      </c>
      <c r="F190" s="5" t="n">
        <f aca="false">COUNTIFS($E$170:$E$332,"Tengah",$M$2:$M$164,"Sedang")</f>
        <v>50</v>
      </c>
      <c r="G190" s="5" t="n">
        <f aca="false">F190/90</f>
        <v>0.555555555555556</v>
      </c>
      <c r="J190" s="5" t="str">
        <v>tengah</v>
      </c>
      <c r="K190" s="5" t="n">
        <f aca="false">COUNTIFS($J$170:$J$332,"Tengah",$M$2:$M$164,"Sedang")</f>
        <v>41</v>
      </c>
      <c r="L190" s="5" t="n">
        <f aca="false">K190/86</f>
        <v>0.476744186046512</v>
      </c>
      <c r="O190" s="5" t="str">
        <v>kanan</v>
      </c>
      <c r="P190" s="5" t="n">
        <f aca="false">COUNTIFS($O$170:$O$332,"Tengah",$M$2:$M$164,"Sedang")</f>
        <v>82</v>
      </c>
      <c r="Q190" s="5" t="n">
        <f aca="false">P190/101</f>
        <v>0.811881188118812</v>
      </c>
      <c r="T190" s="5" t="str">
        <v>kanan</v>
      </c>
      <c r="U190" s="5" t="n">
        <f aca="false">COUNTIFS($T$170:$T$332,"Tengah",$M$2:$M$164,"Sedang")</f>
        <v>48</v>
      </c>
      <c r="V190" s="5" t="n">
        <f aca="false">U190/84</f>
        <v>0.571428571428571</v>
      </c>
    </row>
    <row r="191" customFormat="false" ht="15" hidden="false" customHeight="false" outlineLevel="0" collapsed="false">
      <c r="E191" s="5" t="str">
        <v>tengah</v>
      </c>
      <c r="F191" s="5" t="n">
        <f aca="false">COUNTIFS($E$170:$E$332,"Tengah",$M$2:$M$164,"Rendah")</f>
        <v>11</v>
      </c>
      <c r="G191" s="5" t="n">
        <f aca="false">F191/90</f>
        <v>0.122222222222222</v>
      </c>
      <c r="J191" s="5" t="str">
        <v>tengah</v>
      </c>
      <c r="K191" s="5" t="n">
        <f aca="false">COUNTIFS($J$170:$J$332,"Tengah",$M$2:$M$164,"Rendah")</f>
        <v>16</v>
      </c>
      <c r="L191" s="5" t="n">
        <f aca="false">K191/86</f>
        <v>0.186046511627907</v>
      </c>
      <c r="O191" s="5" t="str">
        <v>tengah</v>
      </c>
      <c r="P191" s="5" t="n">
        <f aca="false">COUNTIFS($O$170:$O$332,"Tengah",$M$2:$M$164,"Rendah")</f>
        <v>0</v>
      </c>
      <c r="Q191" s="5" t="n">
        <f aca="false">P191/101</f>
        <v>0</v>
      </c>
      <c r="T191" s="5" t="str">
        <v>tengah</v>
      </c>
      <c r="U191" s="5" t="n">
        <f aca="false">COUNTIFS($T$170:$T$332,"Tengah",$M$2:$M$164,"Rendah")</f>
        <v>13</v>
      </c>
      <c r="V191" s="5" t="n">
        <f aca="false">U191/84</f>
        <v>0.154761904761905</v>
      </c>
    </row>
    <row r="192" customFormat="false" ht="15" hidden="false" customHeight="false" outlineLevel="0" collapsed="false">
      <c r="E192" s="5" t="str">
        <v>tengah</v>
      </c>
      <c r="F192" s="5" t="s">
        <v>196</v>
      </c>
      <c r="G192" s="5" t="n">
        <f aca="false">-(IFERROR(G189*LOG(G189,2),0)+IFERROR(G190*LOG(G190,2),0)+IFERROR(G191*LOG(G191,2),0))</f>
        <v>1.36820858352472</v>
      </c>
      <c r="J192" s="5" t="str">
        <v>kiri</v>
      </c>
      <c r="K192" s="5" t="s">
        <v>196</v>
      </c>
      <c r="L192" s="5" t="n">
        <f aca="false">-(IFERROR(L189*LOG(L189,2),0)+IFERROR(L190*LOG(L190,2),0)+IFERROR(L191*LOG(L191,2),0))</f>
        <v>1.48974055646906</v>
      </c>
      <c r="O192" s="5" t="str">
        <v>tengah</v>
      </c>
      <c r="P192" s="5" t="s">
        <v>196</v>
      </c>
      <c r="Q192" s="5" t="n">
        <f aca="false">-(IFERROR(Q189*LOG(Q189,2),0)+IFERROR(Q190*LOG(Q190,2),0)+IFERROR(Q191*LOG(Q191,2),0))</f>
        <v>0.697519530928914</v>
      </c>
      <c r="T192" s="5" t="str">
        <v>kanan</v>
      </c>
      <c r="U192" s="5" t="s">
        <v>196</v>
      </c>
      <c r="V192" s="5" t="n">
        <f aca="false">-(IFERROR(V189*LOG(V189,2),0)+IFERROR(V190*LOG(V190,2),0)+IFERROR(V191*LOG(V191,2),0))</f>
        <v>1.38962883516256</v>
      </c>
    </row>
    <row r="193" customFormat="false" ht="15" hidden="false" customHeight="false" outlineLevel="0" collapsed="false">
      <c r="E193" s="5" t="str">
        <v>tengah</v>
      </c>
      <c r="F193" s="5"/>
      <c r="G193" s="5" t="n">
        <f aca="false">SUM(F189:F191)/163</f>
        <v>0.552147239263804</v>
      </c>
      <c r="J193" s="5" t="str">
        <v>tengah</v>
      </c>
      <c r="K193" s="5"/>
      <c r="L193" s="5" t="n">
        <f aca="false">SUM(K189:K191)/163</f>
        <v>0.52760736196319</v>
      </c>
      <c r="O193" s="5" t="str">
        <v>kanan</v>
      </c>
      <c r="P193" s="5"/>
      <c r="Q193" s="5" t="n">
        <f aca="false">SUM(P189:P191)/163</f>
        <v>0.619631901840491</v>
      </c>
      <c r="T193" s="5" t="str">
        <v>kanan</v>
      </c>
      <c r="U193" s="5"/>
      <c r="V193" s="5" t="n">
        <f aca="false">SUM(U189:U191)/163</f>
        <v>0.515337423312884</v>
      </c>
    </row>
    <row r="194" customFormat="false" ht="15" hidden="false" customHeight="false" outlineLevel="0" collapsed="false">
      <c r="E194" s="5" t="str">
        <v>tengah</v>
      </c>
      <c r="F194" s="5"/>
      <c r="G194" s="12" t="n">
        <f aca="false">G192*G193</f>
        <v>0.755452592130212</v>
      </c>
      <c r="J194" s="5" t="str">
        <v>tengah</v>
      </c>
      <c r="K194" s="5"/>
      <c r="L194" s="12" t="n">
        <f aca="false">L192*L193</f>
        <v>0.785998085008217</v>
      </c>
      <c r="O194" s="5" t="str">
        <v>tengah</v>
      </c>
      <c r="P194" s="5"/>
      <c r="Q194" s="12" t="n">
        <f aca="false">Q192*Q193</f>
        <v>0.43220535352037</v>
      </c>
      <c r="T194" s="5" t="str">
        <v>kanan</v>
      </c>
      <c r="U194" s="5"/>
      <c r="V194" s="12" t="n">
        <f aca="false">V192*V193</f>
        <v>0.716127743273957</v>
      </c>
    </row>
    <row r="195" customFormat="false" ht="15" hidden="false" customHeight="false" outlineLevel="0" collapsed="false">
      <c r="E195" s="5" t="str">
        <v>tengah</v>
      </c>
      <c r="F195" s="5"/>
      <c r="G195" s="5"/>
      <c r="J195" s="5" t="str">
        <v>kanan</v>
      </c>
      <c r="K195" s="5"/>
      <c r="L195" s="5"/>
      <c r="O195" s="5" t="str">
        <v>tengah</v>
      </c>
      <c r="P195" s="5"/>
      <c r="Q195" s="5"/>
      <c r="T195" s="5" t="str">
        <v>kanan</v>
      </c>
      <c r="U195" s="5"/>
      <c r="V195" s="5"/>
    </row>
    <row r="196" customFormat="false" ht="15" hidden="false" customHeight="false" outlineLevel="0" collapsed="false">
      <c r="E196" s="5" t="str">
        <v>tengah</v>
      </c>
      <c r="F196" s="5" t="s">
        <v>202</v>
      </c>
      <c r="G196" s="5"/>
      <c r="J196" s="5" t="str">
        <v>tengah</v>
      </c>
      <c r="K196" s="5" t="s">
        <v>202</v>
      </c>
      <c r="L196" s="5"/>
      <c r="O196" s="5" t="str">
        <v>kiri</v>
      </c>
      <c r="P196" s="5" t="s">
        <v>202</v>
      </c>
      <c r="Q196" s="5"/>
      <c r="T196" s="5" t="str">
        <v>kanan</v>
      </c>
      <c r="U196" s="5" t="s">
        <v>202</v>
      </c>
      <c r="V196" s="5"/>
    </row>
    <row r="197" customFormat="false" ht="15" hidden="false" customHeight="false" outlineLevel="0" collapsed="false">
      <c r="E197" s="5" t="str">
        <v>tengah</v>
      </c>
      <c r="F197" s="13" t="n">
        <f aca="false">P5-(G176+G185+G194)</f>
        <v>0.0379892373177844</v>
      </c>
      <c r="G197" s="5"/>
      <c r="J197" s="5" t="str">
        <v>tengah</v>
      </c>
      <c r="K197" s="13" t="n">
        <f aca="false">P5-(L176+L185+L194)</f>
        <v>0.0229156387909506</v>
      </c>
      <c r="L197" s="5"/>
      <c r="O197" s="5" t="str">
        <v>kanan</v>
      </c>
      <c r="P197" s="13" t="n">
        <f aca="false">P5-(Q176+Q185+Q194)</f>
        <v>1.02998914250123</v>
      </c>
      <c r="Q197" s="5"/>
      <c r="T197" s="5" t="str">
        <v>kanan</v>
      </c>
      <c r="U197" s="13" t="n">
        <f aca="false">P5-(V176+V185+V194)</f>
        <v>0.0146872085691356</v>
      </c>
      <c r="V197" s="5"/>
    </row>
    <row r="198" customFormat="false" ht="15" hidden="false" customHeight="false" outlineLevel="0" collapsed="false">
      <c r="E198" s="5" t="str">
        <v>kanan</v>
      </c>
      <c r="F198" s="5"/>
      <c r="G198" s="5"/>
      <c r="J198" s="5" t="str">
        <v>kanan</v>
      </c>
      <c r="K198" s="5"/>
      <c r="L198" s="5"/>
      <c r="O198" s="5" t="str">
        <v>tengah</v>
      </c>
      <c r="P198" s="5"/>
      <c r="Q198" s="5"/>
      <c r="T198" s="5" t="str">
        <v>tengah</v>
      </c>
      <c r="U198" s="5"/>
      <c r="V198" s="5"/>
    </row>
    <row r="199" customFormat="false" ht="15" hidden="false" customHeight="false" outlineLevel="0" collapsed="false">
      <c r="E199" s="5" t="str">
        <v>kiri</v>
      </c>
      <c r="F199" s="5"/>
      <c r="G199" s="5"/>
      <c r="J199" s="5" t="str">
        <v>kiri</v>
      </c>
      <c r="K199" s="5"/>
      <c r="L199" s="5"/>
      <c r="O199" s="5" t="str">
        <v>tengah</v>
      </c>
      <c r="P199" s="5"/>
      <c r="Q199" s="5"/>
      <c r="T199" s="5" t="str">
        <v>tengah</v>
      </c>
      <c r="U199" s="5"/>
      <c r="V199" s="5"/>
    </row>
    <row r="200" customFormat="false" ht="15" hidden="false" customHeight="false" outlineLevel="0" collapsed="false">
      <c r="E200" s="5" t="str">
        <v>kanan</v>
      </c>
      <c r="F200" s="5"/>
      <c r="G200" s="5"/>
      <c r="J200" s="5" t="str">
        <v>tengah</v>
      </c>
      <c r="K200" s="5"/>
      <c r="L200" s="5"/>
      <c r="O200" s="5" t="str">
        <v>tengah</v>
      </c>
      <c r="P200" s="5"/>
      <c r="Q200" s="5"/>
      <c r="T200" s="5" t="str">
        <v>kanan</v>
      </c>
      <c r="U200" s="5"/>
      <c r="V200" s="5"/>
    </row>
    <row r="201" customFormat="false" ht="15" hidden="false" customHeight="false" outlineLevel="0" collapsed="false">
      <c r="E201" s="5" t="str">
        <v>kiri</v>
      </c>
      <c r="F201" s="5"/>
      <c r="G201" s="5"/>
      <c r="J201" s="5" t="str">
        <v>tengah</v>
      </c>
      <c r="K201" s="5"/>
      <c r="L201" s="5"/>
      <c r="O201" s="5" t="str">
        <v>tengah</v>
      </c>
      <c r="P201" s="5"/>
      <c r="Q201" s="5"/>
      <c r="T201" s="5" t="str">
        <v>tengah</v>
      </c>
      <c r="U201" s="5"/>
      <c r="V201" s="5"/>
    </row>
    <row r="202" customFormat="false" ht="15" hidden="false" customHeight="false" outlineLevel="0" collapsed="false">
      <c r="E202" s="5" t="str">
        <v>kiri</v>
      </c>
      <c r="F202" s="5"/>
      <c r="G202" s="5"/>
      <c r="J202" s="5" t="str">
        <v>tengah</v>
      </c>
      <c r="K202" s="5"/>
      <c r="L202" s="5"/>
      <c r="O202" s="5" t="str">
        <v>kiri</v>
      </c>
      <c r="P202" s="5"/>
      <c r="Q202" s="5"/>
      <c r="T202" s="5" t="str">
        <v>tengah</v>
      </c>
      <c r="U202" s="5"/>
      <c r="V202" s="5"/>
    </row>
    <row r="203" customFormat="false" ht="15" hidden="false" customHeight="false" outlineLevel="0" collapsed="false">
      <c r="E203" s="5" t="str">
        <v>kiri</v>
      </c>
      <c r="F203" s="5"/>
      <c r="G203" s="5"/>
      <c r="J203" s="5" t="str">
        <v>kanan</v>
      </c>
      <c r="K203" s="5"/>
      <c r="L203" s="5"/>
      <c r="O203" s="5" t="str">
        <v>tengah</v>
      </c>
      <c r="P203" s="5"/>
      <c r="Q203" s="5"/>
      <c r="T203" s="5" t="str">
        <v>kanan</v>
      </c>
      <c r="U203" s="5"/>
      <c r="V203" s="5"/>
    </row>
    <row r="204" customFormat="false" ht="15" hidden="false" customHeight="false" outlineLevel="0" collapsed="false">
      <c r="E204" s="5" t="str">
        <v>kanan</v>
      </c>
      <c r="F204" s="5"/>
      <c r="G204" s="5"/>
      <c r="J204" s="5" t="str">
        <v>kiri</v>
      </c>
      <c r="K204" s="5"/>
      <c r="L204" s="5"/>
      <c r="O204" s="5" t="str">
        <v>kiri</v>
      </c>
      <c r="P204" s="5"/>
      <c r="Q204" s="5"/>
      <c r="T204" s="5" t="str">
        <v>tengah</v>
      </c>
      <c r="U204" s="5"/>
      <c r="V204" s="5"/>
    </row>
    <row r="205" customFormat="false" ht="15" hidden="false" customHeight="false" outlineLevel="0" collapsed="false">
      <c r="E205" s="5" t="str">
        <v>tengah</v>
      </c>
      <c r="F205" s="5"/>
      <c r="G205" s="5"/>
      <c r="J205" s="5" t="str">
        <v>kiri</v>
      </c>
      <c r="K205" s="5"/>
      <c r="L205" s="5"/>
      <c r="O205" s="5" t="str">
        <v>kiri</v>
      </c>
      <c r="P205" s="5"/>
      <c r="Q205" s="5"/>
      <c r="T205" s="5" t="str">
        <v>kanan</v>
      </c>
      <c r="U205" s="5"/>
      <c r="V205" s="5"/>
    </row>
    <row r="206" customFormat="false" ht="15" hidden="false" customHeight="false" outlineLevel="0" collapsed="false">
      <c r="E206" s="5" t="str">
        <v>kiri</v>
      </c>
      <c r="F206" s="5"/>
      <c r="G206" s="5"/>
      <c r="J206" s="5" t="str">
        <v>kanan</v>
      </c>
      <c r="K206" s="5"/>
      <c r="L206" s="5"/>
      <c r="O206" s="5" t="str">
        <v>tengah</v>
      </c>
      <c r="P206" s="5"/>
      <c r="Q206" s="5"/>
      <c r="T206" s="5" t="str">
        <v>kanan</v>
      </c>
      <c r="U206" s="5"/>
      <c r="V206" s="5"/>
    </row>
    <row r="207" customFormat="false" ht="15" hidden="false" customHeight="false" outlineLevel="0" collapsed="false">
      <c r="E207" s="5" t="str">
        <v>kanan</v>
      </c>
      <c r="F207" s="5"/>
      <c r="G207" s="5"/>
      <c r="J207" s="5" t="str">
        <v>tengah</v>
      </c>
      <c r="K207" s="5"/>
      <c r="L207" s="5"/>
      <c r="O207" s="5" t="str">
        <v>kiri</v>
      </c>
      <c r="P207" s="5"/>
      <c r="Q207" s="5"/>
      <c r="T207" s="5" t="str">
        <v>tengah</v>
      </c>
      <c r="U207" s="5"/>
      <c r="V207" s="5"/>
    </row>
    <row r="208" customFormat="false" ht="15" hidden="false" customHeight="false" outlineLevel="0" collapsed="false">
      <c r="E208" s="5" t="str">
        <v>tengah</v>
      </c>
      <c r="F208" s="5"/>
      <c r="G208" s="5"/>
      <c r="J208" s="5" t="str">
        <v>tengah</v>
      </c>
      <c r="K208" s="5"/>
      <c r="L208" s="5"/>
      <c r="O208" s="5" t="str">
        <v>tengah</v>
      </c>
      <c r="P208" s="5"/>
      <c r="Q208" s="5"/>
      <c r="T208" s="5" t="str">
        <v>kanan</v>
      </c>
      <c r="U208" s="5"/>
      <c r="V208" s="5"/>
    </row>
    <row r="209" customFormat="false" ht="15" hidden="false" customHeight="false" outlineLevel="0" collapsed="false">
      <c r="E209" s="5" t="str">
        <v>tengah</v>
      </c>
      <c r="F209" s="5"/>
      <c r="G209" s="5"/>
      <c r="J209" s="5" t="str">
        <v>tengah</v>
      </c>
      <c r="K209" s="5"/>
      <c r="L209" s="5"/>
      <c r="O209" s="5" t="str">
        <v>tengah</v>
      </c>
      <c r="P209" s="5"/>
      <c r="Q209" s="5"/>
      <c r="T209" s="5" t="str">
        <v>tengah</v>
      </c>
      <c r="U209" s="5"/>
      <c r="V209" s="5"/>
    </row>
    <row r="210" customFormat="false" ht="15" hidden="false" customHeight="false" outlineLevel="0" collapsed="false">
      <c r="E210" s="5" t="str">
        <v>tengah</v>
      </c>
      <c r="F210" s="5"/>
      <c r="G210" s="5"/>
      <c r="J210" s="5" t="str">
        <v>tengah</v>
      </c>
      <c r="K210" s="5"/>
      <c r="L210" s="5"/>
      <c r="O210" s="5" t="str">
        <v>tengah</v>
      </c>
      <c r="P210" s="5"/>
      <c r="Q210" s="5"/>
      <c r="T210" s="5" t="str">
        <v>kanan</v>
      </c>
      <c r="U210" s="5"/>
      <c r="V210" s="5"/>
    </row>
    <row r="211" customFormat="false" ht="15" hidden="false" customHeight="false" outlineLevel="0" collapsed="false">
      <c r="E211" s="5" t="str">
        <v>tengah</v>
      </c>
      <c r="F211" s="5"/>
      <c r="G211" s="5"/>
      <c r="J211" s="5" t="str">
        <v>tengah</v>
      </c>
      <c r="K211" s="5"/>
      <c r="L211" s="5"/>
      <c r="O211" s="5" t="str">
        <v>kanan</v>
      </c>
      <c r="P211" s="5"/>
      <c r="Q211" s="5"/>
      <c r="T211" s="5" t="str">
        <v>kanan</v>
      </c>
      <c r="U211" s="5"/>
      <c r="V211" s="5"/>
    </row>
    <row r="212" customFormat="false" ht="15" hidden="false" customHeight="false" outlineLevel="0" collapsed="false">
      <c r="E212" s="5" t="str">
        <v>kiri</v>
      </c>
      <c r="F212" s="5"/>
      <c r="G212" s="5"/>
      <c r="J212" s="5" t="str">
        <v>tengah</v>
      </c>
      <c r="K212" s="5"/>
      <c r="L212" s="5"/>
      <c r="O212" s="5" t="str">
        <v>kiri</v>
      </c>
      <c r="P212" s="5"/>
      <c r="Q212" s="5"/>
      <c r="T212" s="5" t="str">
        <v>tengah</v>
      </c>
      <c r="U212" s="5"/>
      <c r="V212" s="5"/>
    </row>
    <row r="213" customFormat="false" ht="15" hidden="false" customHeight="false" outlineLevel="0" collapsed="false">
      <c r="E213" s="5" t="str">
        <v>tengah</v>
      </c>
      <c r="F213" s="5"/>
      <c r="G213" s="5"/>
      <c r="J213" s="5" t="str">
        <v>tengah</v>
      </c>
      <c r="K213" s="5"/>
      <c r="L213" s="5"/>
      <c r="O213" s="5" t="str">
        <v>tengah</v>
      </c>
      <c r="P213" s="5"/>
      <c r="Q213" s="5"/>
      <c r="T213" s="5" t="str">
        <v>kanan</v>
      </c>
      <c r="U213" s="5"/>
      <c r="V213" s="5"/>
    </row>
    <row r="214" customFormat="false" ht="15" hidden="false" customHeight="false" outlineLevel="0" collapsed="false">
      <c r="E214" s="5" t="str">
        <v>kiri</v>
      </c>
      <c r="F214" s="5"/>
      <c r="G214" s="5"/>
      <c r="J214" s="5" t="str">
        <v>tengah</v>
      </c>
      <c r="K214" s="5"/>
      <c r="L214" s="5"/>
      <c r="O214" s="5" t="str">
        <v>tengah</v>
      </c>
      <c r="P214" s="5"/>
      <c r="Q214" s="5"/>
      <c r="T214" s="5" t="str">
        <v>tengah</v>
      </c>
      <c r="U214" s="5"/>
      <c r="V214" s="5"/>
    </row>
    <row r="215" customFormat="false" ht="15" hidden="false" customHeight="false" outlineLevel="0" collapsed="false">
      <c r="E215" s="5" t="str">
        <v>tengah</v>
      </c>
      <c r="F215" s="5"/>
      <c r="G215" s="5"/>
      <c r="J215" s="5" t="str">
        <v>tengah</v>
      </c>
      <c r="K215" s="5"/>
      <c r="L215" s="5"/>
      <c r="O215" s="5" t="str">
        <v>kiri</v>
      </c>
      <c r="P215" s="5"/>
      <c r="Q215" s="5"/>
      <c r="T215" s="5" t="str">
        <v>kanan</v>
      </c>
      <c r="U215" s="5"/>
      <c r="V215" s="5"/>
    </row>
    <row r="216" customFormat="false" ht="15" hidden="false" customHeight="false" outlineLevel="0" collapsed="false">
      <c r="E216" s="5" t="str">
        <v>tengah</v>
      </c>
      <c r="F216" s="5"/>
      <c r="G216" s="5"/>
      <c r="J216" s="5" t="str">
        <v>tengah</v>
      </c>
      <c r="K216" s="5"/>
      <c r="L216" s="5"/>
      <c r="O216" s="5" t="str">
        <v>tengah</v>
      </c>
      <c r="P216" s="5"/>
      <c r="Q216" s="5"/>
      <c r="T216" s="5" t="str">
        <v>tengah</v>
      </c>
      <c r="U216" s="5"/>
      <c r="V216" s="5"/>
    </row>
    <row r="217" customFormat="false" ht="15" hidden="false" customHeight="false" outlineLevel="0" collapsed="false">
      <c r="E217" s="5" t="str">
        <v>tengah</v>
      </c>
      <c r="F217" s="5"/>
      <c r="G217" s="5"/>
      <c r="J217" s="5" t="str">
        <v>tengah</v>
      </c>
      <c r="K217" s="5"/>
      <c r="L217" s="5"/>
      <c r="O217" s="5" t="str">
        <v>kanan</v>
      </c>
      <c r="P217" s="5"/>
      <c r="Q217" s="5"/>
      <c r="T217" s="5" t="str">
        <v>kanan</v>
      </c>
      <c r="U217" s="5"/>
      <c r="V217" s="5"/>
    </row>
    <row r="218" customFormat="false" ht="15" hidden="false" customHeight="false" outlineLevel="0" collapsed="false">
      <c r="E218" s="5" t="str">
        <v>kiri</v>
      </c>
      <c r="F218" s="5"/>
      <c r="G218" s="5"/>
      <c r="J218" s="5" t="str">
        <v>kiri</v>
      </c>
      <c r="K218" s="5"/>
      <c r="L218" s="5"/>
      <c r="O218" s="5" t="str">
        <v>tengah</v>
      </c>
      <c r="P218" s="5"/>
      <c r="Q218" s="5"/>
      <c r="T218" s="5" t="str">
        <v>tengah</v>
      </c>
      <c r="U218" s="5"/>
      <c r="V218" s="5"/>
    </row>
    <row r="219" customFormat="false" ht="15" hidden="false" customHeight="false" outlineLevel="0" collapsed="false">
      <c r="E219" s="5" t="str">
        <v>kanan</v>
      </c>
      <c r="F219" s="5"/>
      <c r="G219" s="5"/>
      <c r="J219" s="5" t="str">
        <v>kanan</v>
      </c>
      <c r="K219" s="5"/>
      <c r="L219" s="5"/>
      <c r="O219" s="5" t="str">
        <v>tengah</v>
      </c>
      <c r="P219" s="5"/>
      <c r="Q219" s="5"/>
      <c r="T219" s="5" t="str">
        <v>tengah</v>
      </c>
      <c r="U219" s="5"/>
      <c r="V219" s="5"/>
    </row>
    <row r="220" customFormat="false" ht="15" hidden="false" customHeight="false" outlineLevel="0" collapsed="false">
      <c r="E220" s="5" t="str">
        <v>kanan</v>
      </c>
      <c r="F220" s="5"/>
      <c r="G220" s="5"/>
      <c r="J220" s="5" t="str">
        <v>kanan</v>
      </c>
      <c r="K220" s="5"/>
      <c r="L220" s="5"/>
      <c r="O220" s="5" t="str">
        <v>tengah</v>
      </c>
      <c r="P220" s="5"/>
      <c r="Q220" s="5"/>
      <c r="T220" s="5" t="str">
        <v>tengah</v>
      </c>
      <c r="U220" s="5"/>
      <c r="V220" s="5"/>
    </row>
    <row r="221" customFormat="false" ht="15" hidden="false" customHeight="false" outlineLevel="0" collapsed="false">
      <c r="E221" s="5" t="str">
        <v>tengah</v>
      </c>
      <c r="F221" s="5"/>
      <c r="G221" s="5"/>
      <c r="J221" s="5" t="str">
        <v>kanan</v>
      </c>
      <c r="K221" s="5"/>
      <c r="L221" s="5"/>
      <c r="O221" s="5" t="str">
        <v>tengah</v>
      </c>
      <c r="P221" s="5"/>
      <c r="Q221" s="5"/>
      <c r="T221" s="5" t="str">
        <v>tengah</v>
      </c>
      <c r="U221" s="5"/>
      <c r="V221" s="5"/>
    </row>
    <row r="222" customFormat="false" ht="15" hidden="false" customHeight="false" outlineLevel="0" collapsed="false">
      <c r="E222" s="5" t="str">
        <v>kiri</v>
      </c>
      <c r="F222" s="5"/>
      <c r="G222" s="5"/>
      <c r="J222" s="5" t="str">
        <v>tengah</v>
      </c>
      <c r="K222" s="5"/>
      <c r="L222" s="5"/>
      <c r="O222" s="5" t="str">
        <v>kiri</v>
      </c>
      <c r="P222" s="5"/>
      <c r="Q222" s="5"/>
      <c r="T222" s="5" t="str">
        <v>kanan</v>
      </c>
      <c r="U222" s="5"/>
      <c r="V222" s="5"/>
    </row>
    <row r="223" customFormat="false" ht="15" hidden="false" customHeight="false" outlineLevel="0" collapsed="false">
      <c r="E223" s="5" t="str">
        <v>kiri</v>
      </c>
      <c r="F223" s="5"/>
      <c r="G223" s="5"/>
      <c r="J223" s="5" t="str">
        <v>tengah</v>
      </c>
      <c r="K223" s="5"/>
      <c r="L223" s="5"/>
      <c r="O223" s="5" t="str">
        <v>tengah</v>
      </c>
      <c r="P223" s="5"/>
      <c r="Q223" s="5"/>
      <c r="T223" s="5" t="str">
        <v>tengah</v>
      </c>
      <c r="U223" s="5"/>
      <c r="V223" s="5"/>
    </row>
    <row r="224" customFormat="false" ht="15" hidden="false" customHeight="false" outlineLevel="0" collapsed="false">
      <c r="E224" s="5" t="str">
        <v>kanan</v>
      </c>
      <c r="F224" s="5"/>
      <c r="G224" s="5"/>
      <c r="J224" s="5" t="str">
        <v>kanan</v>
      </c>
      <c r="K224" s="5"/>
      <c r="L224" s="5"/>
      <c r="O224" s="5" t="str">
        <v>tengah</v>
      </c>
      <c r="P224" s="5"/>
      <c r="Q224" s="5"/>
      <c r="T224" s="5" t="str">
        <v>tengah</v>
      </c>
      <c r="U224" s="5"/>
      <c r="V224" s="5"/>
    </row>
    <row r="225" customFormat="false" ht="15" hidden="false" customHeight="false" outlineLevel="0" collapsed="false">
      <c r="E225" s="5" t="str">
        <v>kiri</v>
      </c>
      <c r="F225" s="5"/>
      <c r="G225" s="5"/>
      <c r="J225" s="5" t="str">
        <v>kiri</v>
      </c>
      <c r="K225" s="5"/>
      <c r="L225" s="5"/>
      <c r="O225" s="5" t="str">
        <v>tengah</v>
      </c>
      <c r="P225" s="5"/>
      <c r="Q225" s="5"/>
      <c r="T225" s="5" t="str">
        <v>kanan</v>
      </c>
      <c r="U225" s="5"/>
      <c r="V225" s="5"/>
    </row>
    <row r="226" customFormat="false" ht="15" hidden="false" customHeight="false" outlineLevel="0" collapsed="false">
      <c r="E226" s="5" t="str">
        <v>tengah</v>
      </c>
      <c r="F226" s="5"/>
      <c r="G226" s="5"/>
      <c r="J226" s="5" t="str">
        <v>tengah</v>
      </c>
      <c r="K226" s="5"/>
      <c r="L226" s="5"/>
      <c r="O226" s="5" t="str">
        <v>tengah</v>
      </c>
      <c r="P226" s="5"/>
      <c r="Q226" s="5"/>
      <c r="T226" s="5" t="str">
        <v>kanan</v>
      </c>
      <c r="U226" s="5"/>
      <c r="V226" s="5"/>
    </row>
    <row r="227" customFormat="false" ht="15" hidden="false" customHeight="false" outlineLevel="0" collapsed="false">
      <c r="E227" s="5" t="str">
        <v>tengah</v>
      </c>
      <c r="F227" s="5"/>
      <c r="G227" s="5"/>
      <c r="J227" s="5" t="str">
        <v>tengah</v>
      </c>
      <c r="K227" s="5"/>
      <c r="L227" s="5"/>
      <c r="O227" s="5" t="str">
        <v>tengah</v>
      </c>
      <c r="P227" s="5"/>
      <c r="Q227" s="5"/>
      <c r="T227" s="5" t="str">
        <v>tengah</v>
      </c>
      <c r="U227" s="5"/>
      <c r="V227" s="5"/>
    </row>
    <row r="228" customFormat="false" ht="15" hidden="false" customHeight="false" outlineLevel="0" collapsed="false">
      <c r="E228" s="5" t="str">
        <v>tengah</v>
      </c>
      <c r="F228" s="5"/>
      <c r="G228" s="5"/>
      <c r="J228" s="5" t="str">
        <v>tengah</v>
      </c>
      <c r="K228" s="5"/>
      <c r="L228" s="5"/>
      <c r="O228" s="5" t="str">
        <v>kiri</v>
      </c>
      <c r="P228" s="5"/>
      <c r="Q228" s="5"/>
      <c r="T228" s="5" t="str">
        <v>kanan</v>
      </c>
      <c r="U228" s="5"/>
      <c r="V228" s="5"/>
    </row>
    <row r="229" customFormat="false" ht="15" hidden="false" customHeight="false" outlineLevel="0" collapsed="false">
      <c r="E229" s="5" t="str">
        <v>kanan</v>
      </c>
      <c r="F229" s="5"/>
      <c r="G229" s="5"/>
      <c r="J229" s="5" t="str">
        <v>tengah</v>
      </c>
      <c r="K229" s="5"/>
      <c r="L229" s="5"/>
      <c r="O229" s="5" t="str">
        <v>kiri</v>
      </c>
      <c r="P229" s="5"/>
      <c r="Q229" s="5"/>
      <c r="T229" s="5" t="str">
        <v>kanan</v>
      </c>
      <c r="U229" s="5"/>
      <c r="V229" s="5"/>
    </row>
    <row r="230" customFormat="false" ht="15" hidden="false" customHeight="false" outlineLevel="0" collapsed="false">
      <c r="E230" s="5" t="str">
        <v>tengah</v>
      </c>
      <c r="F230" s="5"/>
      <c r="G230" s="5"/>
      <c r="J230" s="5" t="str">
        <v>tengah</v>
      </c>
      <c r="K230" s="5"/>
      <c r="L230" s="5"/>
      <c r="O230" s="5" t="str">
        <v>kanan</v>
      </c>
      <c r="P230" s="5"/>
      <c r="Q230" s="5"/>
      <c r="T230" s="5" t="str">
        <v>tengah</v>
      </c>
      <c r="U230" s="5"/>
      <c r="V230" s="5"/>
    </row>
    <row r="231" customFormat="false" ht="15" hidden="false" customHeight="false" outlineLevel="0" collapsed="false">
      <c r="E231" s="5" t="str">
        <v>tengah</v>
      </c>
      <c r="F231" s="5"/>
      <c r="G231" s="5"/>
      <c r="J231" s="5" t="str">
        <v>tengah</v>
      </c>
      <c r="K231" s="5"/>
      <c r="L231" s="5"/>
      <c r="O231" s="5" t="str">
        <v>tengah</v>
      </c>
      <c r="P231" s="5"/>
      <c r="Q231" s="5"/>
      <c r="T231" s="5" t="str">
        <v>tengah</v>
      </c>
      <c r="U231" s="5"/>
      <c r="V231" s="5"/>
    </row>
    <row r="232" customFormat="false" ht="15" hidden="false" customHeight="false" outlineLevel="0" collapsed="false">
      <c r="E232" s="5" t="str">
        <v>kiri</v>
      </c>
      <c r="F232" s="5"/>
      <c r="G232" s="5"/>
      <c r="J232" s="5" t="str">
        <v>kanan</v>
      </c>
      <c r="K232" s="5"/>
      <c r="L232" s="5"/>
      <c r="O232" s="5" t="str">
        <v>kiri</v>
      </c>
      <c r="P232" s="5"/>
      <c r="Q232" s="5"/>
      <c r="T232" s="5" t="str">
        <v>tengah</v>
      </c>
      <c r="U232" s="5"/>
      <c r="V232" s="5"/>
    </row>
    <row r="233" customFormat="false" ht="15" hidden="false" customHeight="false" outlineLevel="0" collapsed="false">
      <c r="E233" s="5" t="str">
        <v>kanan</v>
      </c>
      <c r="F233" s="5"/>
      <c r="G233" s="5"/>
      <c r="J233" s="5" t="str">
        <v>kanan</v>
      </c>
      <c r="K233" s="5"/>
      <c r="L233" s="5"/>
      <c r="O233" s="5" t="str">
        <v>tengah</v>
      </c>
      <c r="P233" s="5"/>
      <c r="Q233" s="5"/>
      <c r="T233" s="5" t="str">
        <v>kanan</v>
      </c>
      <c r="U233" s="5"/>
      <c r="V233" s="5"/>
    </row>
    <row r="234" customFormat="false" ht="15" hidden="false" customHeight="false" outlineLevel="0" collapsed="false">
      <c r="E234" s="5" t="str">
        <v>kanan</v>
      </c>
      <c r="F234" s="5"/>
      <c r="G234" s="5"/>
      <c r="J234" s="5" t="str">
        <v>tengah</v>
      </c>
      <c r="K234" s="5"/>
      <c r="L234" s="5"/>
      <c r="O234" s="5" t="str">
        <v>kanan</v>
      </c>
      <c r="P234" s="5"/>
      <c r="Q234" s="5"/>
      <c r="T234" s="5" t="str">
        <v>kanan</v>
      </c>
      <c r="U234" s="5"/>
      <c r="V234" s="5"/>
    </row>
    <row r="235" customFormat="false" ht="15" hidden="false" customHeight="false" outlineLevel="0" collapsed="false">
      <c r="E235" s="5" t="str">
        <v>tengah</v>
      </c>
      <c r="F235" s="5"/>
      <c r="G235" s="5"/>
      <c r="J235" s="5" t="str">
        <v>tengah</v>
      </c>
      <c r="K235" s="5"/>
      <c r="L235" s="5"/>
      <c r="O235" s="5" t="str">
        <v>kanan</v>
      </c>
      <c r="P235" s="5"/>
      <c r="Q235" s="5"/>
      <c r="T235" s="5" t="str">
        <v>kanan</v>
      </c>
      <c r="U235" s="5"/>
      <c r="V235" s="5"/>
    </row>
    <row r="236" customFormat="false" ht="15" hidden="false" customHeight="false" outlineLevel="0" collapsed="false">
      <c r="E236" s="5" t="str">
        <v>kiri</v>
      </c>
      <c r="F236" s="5"/>
      <c r="G236" s="5"/>
      <c r="J236" s="5" t="str">
        <v>kiri</v>
      </c>
      <c r="K236" s="5"/>
      <c r="L236" s="5"/>
      <c r="O236" s="5" t="str">
        <v>kanan</v>
      </c>
      <c r="P236" s="5"/>
      <c r="Q236" s="5"/>
      <c r="T236" s="5" t="str">
        <v>tengah</v>
      </c>
      <c r="U236" s="5"/>
      <c r="V236" s="5"/>
    </row>
    <row r="237" customFormat="false" ht="15" hidden="false" customHeight="false" outlineLevel="0" collapsed="false">
      <c r="E237" s="5" t="str">
        <v>kanan</v>
      </c>
      <c r="F237" s="5"/>
      <c r="G237" s="5"/>
      <c r="J237" s="5" t="str">
        <v>tengah</v>
      </c>
      <c r="K237" s="5"/>
      <c r="L237" s="5"/>
      <c r="O237" s="5" t="str">
        <v>tengah</v>
      </c>
      <c r="P237" s="5"/>
      <c r="Q237" s="5"/>
      <c r="T237" s="5" t="str">
        <v>tengah</v>
      </c>
      <c r="U237" s="5"/>
      <c r="V237" s="5"/>
    </row>
    <row r="238" customFormat="false" ht="15" hidden="false" customHeight="false" outlineLevel="0" collapsed="false">
      <c r="E238" s="5" t="str">
        <v>kiri</v>
      </c>
      <c r="F238" s="5"/>
      <c r="G238" s="5"/>
      <c r="J238" s="5" t="str">
        <v>kiri</v>
      </c>
      <c r="K238" s="5"/>
      <c r="L238" s="5"/>
      <c r="O238" s="5" t="str">
        <v>kanan</v>
      </c>
      <c r="P238" s="5"/>
      <c r="Q238" s="5"/>
      <c r="T238" s="5" t="str">
        <v>tengah</v>
      </c>
      <c r="U238" s="5"/>
      <c r="V238" s="5"/>
    </row>
    <row r="239" customFormat="false" ht="15" hidden="false" customHeight="false" outlineLevel="0" collapsed="false">
      <c r="E239" s="5" t="str">
        <v>tengah</v>
      </c>
      <c r="F239" s="5"/>
      <c r="G239" s="5"/>
      <c r="J239" s="5" t="str">
        <v>tengah</v>
      </c>
      <c r="K239" s="5"/>
      <c r="L239" s="5"/>
      <c r="O239" s="5" t="str">
        <v>tengah</v>
      </c>
      <c r="P239" s="5"/>
      <c r="Q239" s="5"/>
      <c r="T239" s="5" t="str">
        <v>tengah</v>
      </c>
      <c r="U239" s="5"/>
      <c r="V239" s="5"/>
    </row>
    <row r="240" customFormat="false" ht="15" hidden="false" customHeight="false" outlineLevel="0" collapsed="false">
      <c r="E240" s="5" t="str">
        <v>kiri</v>
      </c>
      <c r="F240" s="5"/>
      <c r="G240" s="5"/>
      <c r="J240" s="5" t="str">
        <v>tengah</v>
      </c>
      <c r="K240" s="5"/>
      <c r="L240" s="5"/>
      <c r="O240" s="5" t="str">
        <v>kiri</v>
      </c>
      <c r="P240" s="5"/>
      <c r="Q240" s="5"/>
      <c r="T240" s="5" t="str">
        <v>kanan</v>
      </c>
      <c r="U240" s="5"/>
      <c r="V240" s="5"/>
    </row>
    <row r="241" customFormat="false" ht="15" hidden="false" customHeight="false" outlineLevel="0" collapsed="false">
      <c r="E241" s="5" t="str">
        <v>tengah</v>
      </c>
      <c r="F241" s="5"/>
      <c r="G241" s="5"/>
      <c r="J241" s="5" t="str">
        <v>kiri</v>
      </c>
      <c r="K241" s="5"/>
      <c r="L241" s="5"/>
      <c r="O241" s="5" t="str">
        <v>kiri</v>
      </c>
      <c r="P241" s="5"/>
      <c r="Q241" s="5"/>
      <c r="T241" s="5" t="str">
        <v>kanan</v>
      </c>
      <c r="U241" s="5"/>
      <c r="V241" s="5"/>
    </row>
    <row r="242" customFormat="false" ht="15" hidden="false" customHeight="false" outlineLevel="0" collapsed="false">
      <c r="E242" s="5" t="str">
        <v>tengah</v>
      </c>
      <c r="F242" s="5"/>
      <c r="G242" s="5"/>
      <c r="J242" s="5" t="str">
        <v>kanan</v>
      </c>
      <c r="K242" s="5"/>
      <c r="L242" s="5"/>
      <c r="O242" s="5" t="str">
        <v>tengah</v>
      </c>
      <c r="P242" s="5"/>
      <c r="Q242" s="5"/>
      <c r="T242" s="5" t="str">
        <v>tengah</v>
      </c>
      <c r="U242" s="5"/>
      <c r="V242" s="5"/>
    </row>
    <row r="243" customFormat="false" ht="15" hidden="false" customHeight="false" outlineLevel="0" collapsed="false">
      <c r="E243" s="5" t="str">
        <v>kiri</v>
      </c>
      <c r="F243" s="5"/>
      <c r="G243" s="5"/>
      <c r="J243" s="5" t="str">
        <v>kanan</v>
      </c>
      <c r="K243" s="5"/>
      <c r="L243" s="5"/>
      <c r="O243" s="5" t="str">
        <v>kiri</v>
      </c>
      <c r="P243" s="5"/>
      <c r="Q243" s="5"/>
      <c r="T243" s="5" t="str">
        <v>tengah</v>
      </c>
      <c r="U243" s="5"/>
      <c r="V243" s="5"/>
    </row>
    <row r="244" customFormat="false" ht="15" hidden="false" customHeight="false" outlineLevel="0" collapsed="false">
      <c r="E244" s="5" t="str">
        <v>kanan</v>
      </c>
      <c r="F244" s="5"/>
      <c r="G244" s="5"/>
      <c r="J244" s="5" t="str">
        <v>tengah</v>
      </c>
      <c r="K244" s="5"/>
      <c r="L244" s="5"/>
      <c r="O244" s="5" t="str">
        <v>tengah</v>
      </c>
      <c r="P244" s="5"/>
      <c r="Q244" s="5"/>
      <c r="T244" s="5" t="str">
        <v>tengah</v>
      </c>
      <c r="U244" s="5"/>
      <c r="V244" s="5"/>
    </row>
    <row r="245" customFormat="false" ht="15" hidden="false" customHeight="false" outlineLevel="0" collapsed="false">
      <c r="E245" s="5" t="str">
        <v>kiri</v>
      </c>
      <c r="F245" s="5"/>
      <c r="G245" s="5"/>
      <c r="J245" s="5" t="str">
        <v>tengah</v>
      </c>
      <c r="K245" s="5"/>
      <c r="L245" s="5"/>
      <c r="O245" s="5" t="str">
        <v>kanan</v>
      </c>
      <c r="P245" s="5"/>
      <c r="Q245" s="5"/>
      <c r="T245" s="5" t="str">
        <v>kanan</v>
      </c>
      <c r="U245" s="5"/>
      <c r="V245" s="5"/>
    </row>
    <row r="246" customFormat="false" ht="15" hidden="false" customHeight="false" outlineLevel="0" collapsed="false">
      <c r="E246" s="5" t="str">
        <v>kanan</v>
      </c>
      <c r="F246" s="5"/>
      <c r="G246" s="5"/>
      <c r="J246" s="5" t="str">
        <v>tengah</v>
      </c>
      <c r="K246" s="5"/>
      <c r="L246" s="5"/>
      <c r="O246" s="5" t="str">
        <v>tengah</v>
      </c>
      <c r="P246" s="5"/>
      <c r="Q246" s="5"/>
      <c r="T246" s="5" t="str">
        <v>kanan</v>
      </c>
      <c r="U246" s="5"/>
      <c r="V246" s="5"/>
    </row>
    <row r="247" customFormat="false" ht="15" hidden="false" customHeight="false" outlineLevel="0" collapsed="false">
      <c r="E247" s="5" t="str">
        <v>kanan</v>
      </c>
      <c r="F247" s="5"/>
      <c r="G247" s="5"/>
      <c r="J247" s="5" t="str">
        <v>kiri</v>
      </c>
      <c r="K247" s="5"/>
      <c r="L247" s="5"/>
      <c r="O247" s="5" t="str">
        <v>kiri</v>
      </c>
      <c r="P247" s="5"/>
      <c r="Q247" s="5"/>
      <c r="T247" s="5" t="str">
        <v>tengah</v>
      </c>
      <c r="U247" s="5"/>
      <c r="V247" s="5"/>
    </row>
    <row r="248" customFormat="false" ht="15" hidden="false" customHeight="false" outlineLevel="0" collapsed="false">
      <c r="E248" s="5" t="str">
        <v>kiri</v>
      </c>
      <c r="F248" s="5"/>
      <c r="G248" s="5"/>
      <c r="J248" s="5" t="str">
        <v>tengah</v>
      </c>
      <c r="K248" s="5"/>
      <c r="L248" s="5"/>
      <c r="O248" s="5" t="str">
        <v>kanan</v>
      </c>
      <c r="P248" s="5"/>
      <c r="Q248" s="5"/>
      <c r="T248" s="5" t="str">
        <v>tengah</v>
      </c>
      <c r="U248" s="5"/>
      <c r="V248" s="5"/>
    </row>
    <row r="249" customFormat="false" ht="15" hidden="false" customHeight="false" outlineLevel="0" collapsed="false">
      <c r="E249" s="5" t="str">
        <v>kiri</v>
      </c>
      <c r="F249" s="5"/>
      <c r="G249" s="5"/>
      <c r="J249" s="5" t="str">
        <v>kiri</v>
      </c>
      <c r="K249" s="5"/>
      <c r="L249" s="5"/>
      <c r="O249" s="5" t="str">
        <v>tengah</v>
      </c>
      <c r="P249" s="5"/>
      <c r="Q249" s="5"/>
      <c r="T249" s="5" t="str">
        <v>tengah</v>
      </c>
      <c r="U249" s="5"/>
      <c r="V249" s="5"/>
    </row>
    <row r="250" customFormat="false" ht="15" hidden="false" customHeight="false" outlineLevel="0" collapsed="false">
      <c r="E250" s="5" t="str">
        <v>kiri</v>
      </c>
      <c r="F250" s="5"/>
      <c r="G250" s="5"/>
      <c r="J250" s="5" t="str">
        <v>kiri</v>
      </c>
      <c r="K250" s="5"/>
      <c r="L250" s="5"/>
      <c r="O250" s="5" t="str">
        <v>kanan</v>
      </c>
      <c r="P250" s="5"/>
      <c r="Q250" s="5"/>
      <c r="T250" s="5" t="str">
        <v>tengah</v>
      </c>
      <c r="U250" s="5"/>
      <c r="V250" s="5"/>
    </row>
    <row r="251" customFormat="false" ht="15" hidden="false" customHeight="false" outlineLevel="0" collapsed="false">
      <c r="E251" s="5" t="str">
        <v>kiri</v>
      </c>
      <c r="F251" s="5"/>
      <c r="G251" s="5"/>
      <c r="J251" s="5" t="str">
        <v>tengah</v>
      </c>
      <c r="K251" s="5"/>
      <c r="L251" s="5"/>
      <c r="O251" s="5" t="str">
        <v>tengah</v>
      </c>
      <c r="P251" s="5"/>
      <c r="Q251" s="5"/>
      <c r="T251" s="5" t="str">
        <v>kanan</v>
      </c>
      <c r="U251" s="5"/>
      <c r="V251" s="5"/>
    </row>
    <row r="252" customFormat="false" ht="15" hidden="false" customHeight="false" outlineLevel="0" collapsed="false">
      <c r="E252" s="5" t="str">
        <v>kanan</v>
      </c>
      <c r="F252" s="5"/>
      <c r="G252" s="5"/>
      <c r="J252" s="5" t="str">
        <v>kiri</v>
      </c>
      <c r="K252" s="5"/>
      <c r="L252" s="5"/>
      <c r="O252" s="5" t="str">
        <v>tengah</v>
      </c>
      <c r="P252" s="5"/>
      <c r="Q252" s="5"/>
      <c r="T252" s="5" t="str">
        <v>tengah</v>
      </c>
      <c r="U252" s="5"/>
      <c r="V252" s="5"/>
    </row>
    <row r="253" customFormat="false" ht="15" hidden="false" customHeight="false" outlineLevel="0" collapsed="false">
      <c r="E253" s="5" t="str">
        <v>kiri</v>
      </c>
      <c r="F253" s="5"/>
      <c r="G253" s="5"/>
      <c r="J253" s="5" t="str">
        <v>kiri</v>
      </c>
      <c r="K253" s="5"/>
      <c r="L253" s="5"/>
      <c r="O253" s="5" t="str">
        <v>tengah</v>
      </c>
      <c r="P253" s="5"/>
      <c r="Q253" s="5"/>
      <c r="T253" s="5" t="str">
        <v>kanan</v>
      </c>
      <c r="U253" s="5"/>
      <c r="V253" s="5"/>
    </row>
    <row r="254" customFormat="false" ht="15" hidden="false" customHeight="false" outlineLevel="0" collapsed="false">
      <c r="E254" s="5" t="str">
        <v>tengah</v>
      </c>
      <c r="F254" s="5"/>
      <c r="G254" s="5"/>
      <c r="J254" s="5" t="str">
        <v>kiri</v>
      </c>
      <c r="K254" s="5"/>
      <c r="L254" s="5"/>
      <c r="O254" s="5" t="str">
        <v>tengah</v>
      </c>
      <c r="P254" s="5"/>
      <c r="Q254" s="5"/>
      <c r="T254" s="5" t="str">
        <v>tengah</v>
      </c>
      <c r="U254" s="5"/>
      <c r="V254" s="5"/>
    </row>
    <row r="255" customFormat="false" ht="15" hidden="false" customHeight="false" outlineLevel="0" collapsed="false">
      <c r="E255" s="5" t="str">
        <v>tengah</v>
      </c>
      <c r="F255" s="5"/>
      <c r="G255" s="5"/>
      <c r="J255" s="5" t="str">
        <v>kiri</v>
      </c>
      <c r="K255" s="5"/>
      <c r="L255" s="5"/>
      <c r="O255" s="5" t="str">
        <v>kiri</v>
      </c>
      <c r="P255" s="5"/>
      <c r="Q255" s="5"/>
      <c r="T255" s="5" t="str">
        <v>kanan</v>
      </c>
      <c r="U255" s="5"/>
      <c r="V255" s="5"/>
    </row>
    <row r="256" customFormat="false" ht="15" hidden="false" customHeight="false" outlineLevel="0" collapsed="false">
      <c r="E256" s="5" t="str">
        <v>tengah</v>
      </c>
      <c r="F256" s="5"/>
      <c r="G256" s="5"/>
      <c r="J256" s="5" t="str">
        <v>kanan</v>
      </c>
      <c r="K256" s="5"/>
      <c r="L256" s="5"/>
      <c r="O256" s="5" t="str">
        <v>tengah</v>
      </c>
      <c r="P256" s="5"/>
      <c r="Q256" s="5"/>
      <c r="T256" s="5" t="str">
        <v>tengah</v>
      </c>
      <c r="U256" s="5"/>
      <c r="V256" s="5"/>
    </row>
    <row r="257" customFormat="false" ht="15" hidden="false" customHeight="false" outlineLevel="0" collapsed="false">
      <c r="E257" s="5" t="str">
        <v>kanan</v>
      </c>
      <c r="F257" s="5"/>
      <c r="G257" s="5"/>
      <c r="J257" s="5" t="str">
        <v>tengah</v>
      </c>
      <c r="K257" s="5"/>
      <c r="L257" s="5"/>
      <c r="O257" s="5" t="str">
        <v>tengah</v>
      </c>
      <c r="P257" s="5"/>
      <c r="Q257" s="5"/>
      <c r="T257" s="5" t="str">
        <v>kanan</v>
      </c>
      <c r="U257" s="5"/>
      <c r="V257" s="5"/>
    </row>
    <row r="258" customFormat="false" ht="15" hidden="false" customHeight="false" outlineLevel="0" collapsed="false">
      <c r="E258" s="5" t="str">
        <v>kiri</v>
      </c>
      <c r="F258" s="5"/>
      <c r="G258" s="5"/>
      <c r="J258" s="5" t="str">
        <v>tengah</v>
      </c>
      <c r="K258" s="5"/>
      <c r="L258" s="5"/>
      <c r="O258" s="5" t="str">
        <v>kiri</v>
      </c>
      <c r="P258" s="5"/>
      <c r="Q258" s="5"/>
      <c r="T258" s="5" t="str">
        <v>tengah</v>
      </c>
      <c r="U258" s="5"/>
      <c r="V258" s="5"/>
    </row>
    <row r="259" customFormat="false" ht="15" hidden="false" customHeight="false" outlineLevel="0" collapsed="false">
      <c r="E259" s="5" t="str">
        <v>tengah</v>
      </c>
      <c r="F259" s="5"/>
      <c r="G259" s="5"/>
      <c r="J259" s="5" t="str">
        <v>kanan</v>
      </c>
      <c r="K259" s="5"/>
      <c r="L259" s="5"/>
      <c r="O259" s="5" t="str">
        <v>tengah</v>
      </c>
      <c r="P259" s="5"/>
      <c r="Q259" s="5"/>
      <c r="T259" s="5" t="str">
        <v>tengah</v>
      </c>
      <c r="U259" s="5"/>
      <c r="V259" s="5"/>
    </row>
    <row r="260" customFormat="false" ht="15" hidden="false" customHeight="false" outlineLevel="0" collapsed="false">
      <c r="E260" s="5" t="str">
        <v>tengah</v>
      </c>
      <c r="F260" s="5"/>
      <c r="G260" s="5"/>
      <c r="J260" s="5" t="str">
        <v>tengah</v>
      </c>
      <c r="K260" s="5"/>
      <c r="L260" s="5"/>
      <c r="O260" s="5" t="str">
        <v>tengah</v>
      </c>
      <c r="P260" s="5"/>
      <c r="Q260" s="5"/>
      <c r="T260" s="5" t="str">
        <v>kanan</v>
      </c>
      <c r="U260" s="5"/>
      <c r="V260" s="5"/>
    </row>
    <row r="261" customFormat="false" ht="15" hidden="false" customHeight="false" outlineLevel="0" collapsed="false">
      <c r="E261" s="5" t="str">
        <v>tengah</v>
      </c>
      <c r="F261" s="5"/>
      <c r="G261" s="5"/>
      <c r="J261" s="5" t="str">
        <v>kanan</v>
      </c>
      <c r="K261" s="5"/>
      <c r="L261" s="5"/>
      <c r="O261" s="5" t="str">
        <v>tengah</v>
      </c>
      <c r="P261" s="5"/>
      <c r="Q261" s="5"/>
      <c r="T261" s="5" t="str">
        <v>kanan</v>
      </c>
      <c r="U261" s="5"/>
      <c r="V261" s="5"/>
    </row>
    <row r="262" customFormat="false" ht="15" hidden="false" customHeight="false" outlineLevel="0" collapsed="false">
      <c r="E262" s="5" t="str">
        <v>tengah</v>
      </c>
      <c r="F262" s="5"/>
      <c r="G262" s="5"/>
      <c r="J262" s="5" t="str">
        <v>kiri</v>
      </c>
      <c r="K262" s="5"/>
      <c r="L262" s="5"/>
      <c r="O262" s="5" t="str">
        <v>tengah</v>
      </c>
      <c r="P262" s="5"/>
      <c r="Q262" s="5"/>
      <c r="T262" s="5" t="str">
        <v>tengah</v>
      </c>
      <c r="U262" s="5"/>
      <c r="V262" s="5"/>
    </row>
    <row r="263" customFormat="false" ht="15" hidden="false" customHeight="false" outlineLevel="0" collapsed="false">
      <c r="E263" s="5" t="str">
        <v>tengah</v>
      </c>
      <c r="F263" s="5"/>
      <c r="G263" s="5"/>
      <c r="J263" s="5" t="str">
        <v>kiri</v>
      </c>
      <c r="K263" s="5"/>
      <c r="L263" s="5"/>
      <c r="O263" s="5" t="str">
        <v>kanan</v>
      </c>
      <c r="P263" s="5"/>
      <c r="Q263" s="5"/>
      <c r="T263" s="5" t="str">
        <v>tengah</v>
      </c>
      <c r="U263" s="5"/>
      <c r="V263" s="5"/>
    </row>
    <row r="264" customFormat="false" ht="15" hidden="false" customHeight="false" outlineLevel="0" collapsed="false">
      <c r="E264" s="5" t="str">
        <v>tengah</v>
      </c>
      <c r="F264" s="5"/>
      <c r="G264" s="5"/>
      <c r="J264" s="5" t="str">
        <v>tengah</v>
      </c>
      <c r="K264" s="5"/>
      <c r="L264" s="5"/>
      <c r="O264" s="5" t="str">
        <v>kanan</v>
      </c>
      <c r="P264" s="5"/>
      <c r="Q264" s="5"/>
      <c r="T264" s="5" t="str">
        <v>kanan</v>
      </c>
      <c r="U264" s="5"/>
      <c r="V264" s="5"/>
    </row>
    <row r="265" customFormat="false" ht="15" hidden="false" customHeight="false" outlineLevel="0" collapsed="false">
      <c r="E265" s="5" t="str">
        <v>tengah</v>
      </c>
      <c r="F265" s="5"/>
      <c r="G265" s="5"/>
      <c r="J265" s="5" t="str">
        <v>tengah</v>
      </c>
      <c r="K265" s="5"/>
      <c r="L265" s="5"/>
      <c r="O265" s="5" t="str">
        <v>kanan</v>
      </c>
      <c r="P265" s="5"/>
      <c r="Q265" s="5"/>
      <c r="T265" s="5" t="str">
        <v>kanan</v>
      </c>
      <c r="U265" s="5"/>
      <c r="V265" s="5"/>
    </row>
    <row r="266" customFormat="false" ht="15" hidden="false" customHeight="false" outlineLevel="0" collapsed="false">
      <c r="E266" s="5" t="str">
        <v>kanan</v>
      </c>
      <c r="F266" s="5"/>
      <c r="G266" s="5"/>
      <c r="J266" s="5" t="str">
        <v>tengah</v>
      </c>
      <c r="K266" s="5"/>
      <c r="L266" s="5"/>
      <c r="O266" s="5" t="str">
        <v>tengah</v>
      </c>
      <c r="P266" s="5"/>
      <c r="Q266" s="5"/>
      <c r="T266" s="5" t="str">
        <v>kanan</v>
      </c>
      <c r="U266" s="5"/>
      <c r="V266" s="5"/>
    </row>
    <row r="267" customFormat="false" ht="15" hidden="false" customHeight="false" outlineLevel="0" collapsed="false">
      <c r="E267" s="5" t="str">
        <v>kiri</v>
      </c>
      <c r="F267" s="5"/>
      <c r="G267" s="5"/>
      <c r="J267" s="5" t="str">
        <v>tengah</v>
      </c>
      <c r="K267" s="5"/>
      <c r="L267" s="5"/>
      <c r="O267" s="5" t="str">
        <v>kiri</v>
      </c>
      <c r="P267" s="5"/>
      <c r="Q267" s="5"/>
      <c r="T267" s="5" t="str">
        <v>tengah</v>
      </c>
      <c r="U267" s="5"/>
      <c r="V267" s="5"/>
    </row>
    <row r="268" customFormat="false" ht="15" hidden="false" customHeight="false" outlineLevel="0" collapsed="false">
      <c r="E268" s="5" t="str">
        <v>tengah</v>
      </c>
      <c r="F268" s="5"/>
      <c r="G268" s="5"/>
      <c r="J268" s="5" t="str">
        <v>kiri</v>
      </c>
      <c r="K268" s="5"/>
      <c r="L268" s="5"/>
      <c r="O268" s="5" t="str">
        <v>tengah</v>
      </c>
      <c r="P268" s="5"/>
      <c r="Q268" s="5"/>
      <c r="T268" s="5" t="str">
        <v>tengah</v>
      </c>
      <c r="U268" s="5"/>
      <c r="V268" s="5"/>
    </row>
    <row r="269" customFormat="false" ht="15" hidden="false" customHeight="false" outlineLevel="0" collapsed="false">
      <c r="E269" s="5" t="str">
        <v>kanan</v>
      </c>
      <c r="F269" s="5"/>
      <c r="G269" s="5"/>
      <c r="J269" s="5" t="str">
        <v>tengah</v>
      </c>
      <c r="K269" s="5"/>
      <c r="L269" s="5"/>
      <c r="O269" s="5" t="str">
        <v>kiri</v>
      </c>
      <c r="P269" s="5"/>
      <c r="Q269" s="5"/>
      <c r="T269" s="5" t="str">
        <v>kanan</v>
      </c>
      <c r="U269" s="5"/>
      <c r="V269" s="5"/>
    </row>
    <row r="270" customFormat="false" ht="15" hidden="false" customHeight="false" outlineLevel="0" collapsed="false">
      <c r="E270" s="5" t="str">
        <v>tengah</v>
      </c>
      <c r="F270" s="5"/>
      <c r="G270" s="5"/>
      <c r="J270" s="5" t="str">
        <v>kanan</v>
      </c>
      <c r="K270" s="5"/>
      <c r="L270" s="5"/>
      <c r="O270" s="5" t="str">
        <v>tengah</v>
      </c>
      <c r="P270" s="5"/>
      <c r="Q270" s="5"/>
      <c r="T270" s="5" t="str">
        <v>kanan</v>
      </c>
      <c r="U270" s="5"/>
      <c r="V270" s="5"/>
    </row>
    <row r="271" customFormat="false" ht="15" hidden="false" customHeight="false" outlineLevel="0" collapsed="false">
      <c r="E271" s="5" t="str">
        <v>tengah</v>
      </c>
      <c r="F271" s="5"/>
      <c r="G271" s="5"/>
      <c r="J271" s="5" t="str">
        <v>tengah</v>
      </c>
      <c r="K271" s="5"/>
      <c r="L271" s="5"/>
      <c r="O271" s="5" t="str">
        <v>kiri</v>
      </c>
      <c r="P271" s="5"/>
      <c r="Q271" s="5"/>
      <c r="T271" s="5" t="str">
        <v>kanan</v>
      </c>
      <c r="U271" s="5"/>
      <c r="V271" s="5"/>
    </row>
    <row r="272" customFormat="false" ht="15" hidden="false" customHeight="false" outlineLevel="0" collapsed="false">
      <c r="E272" s="5" t="str">
        <v>tengah</v>
      </c>
      <c r="F272" s="5"/>
      <c r="G272" s="5"/>
      <c r="J272" s="5" t="str">
        <v>tengah</v>
      </c>
      <c r="K272" s="5"/>
      <c r="L272" s="5"/>
      <c r="O272" s="5" t="str">
        <v>tengah</v>
      </c>
      <c r="P272" s="5"/>
      <c r="Q272" s="5"/>
      <c r="T272" s="5" t="str">
        <v>tengah</v>
      </c>
      <c r="U272" s="5"/>
      <c r="V272" s="5"/>
    </row>
    <row r="273" customFormat="false" ht="15" hidden="false" customHeight="false" outlineLevel="0" collapsed="false">
      <c r="E273" s="5" t="str">
        <v>tengah</v>
      </c>
      <c r="F273" s="5"/>
      <c r="G273" s="5"/>
      <c r="J273" s="5" t="str">
        <v>tengah</v>
      </c>
      <c r="K273" s="5"/>
      <c r="L273" s="5"/>
      <c r="O273" s="5" t="str">
        <v>tengah</v>
      </c>
      <c r="P273" s="5"/>
      <c r="Q273" s="5"/>
      <c r="T273" s="5" t="str">
        <v>kanan</v>
      </c>
      <c r="U273" s="5"/>
      <c r="V273" s="5"/>
    </row>
    <row r="274" customFormat="false" ht="15" hidden="false" customHeight="false" outlineLevel="0" collapsed="false">
      <c r="E274" s="5" t="str">
        <v>tengah</v>
      </c>
      <c r="F274" s="5"/>
      <c r="G274" s="5"/>
      <c r="J274" s="5" t="str">
        <v>kanan</v>
      </c>
      <c r="K274" s="5"/>
      <c r="L274" s="5"/>
      <c r="O274" s="5" t="str">
        <v>tengah</v>
      </c>
      <c r="P274" s="5"/>
      <c r="Q274" s="5"/>
      <c r="T274" s="5" t="str">
        <v>kanan</v>
      </c>
      <c r="U274" s="5"/>
      <c r="V274" s="5"/>
    </row>
    <row r="275" customFormat="false" ht="15" hidden="false" customHeight="false" outlineLevel="0" collapsed="false">
      <c r="E275" s="5" t="str">
        <v>tengah</v>
      </c>
      <c r="F275" s="5"/>
      <c r="G275" s="5"/>
      <c r="J275" s="5" t="str">
        <v>kiri</v>
      </c>
      <c r="K275" s="5"/>
      <c r="L275" s="5"/>
      <c r="O275" s="5" t="str">
        <v>kanan</v>
      </c>
      <c r="P275" s="5"/>
      <c r="Q275" s="5"/>
      <c r="T275" s="5" t="str">
        <v>tengah</v>
      </c>
      <c r="U275" s="5"/>
      <c r="V275" s="5"/>
    </row>
    <row r="276" customFormat="false" ht="15" hidden="false" customHeight="false" outlineLevel="0" collapsed="false">
      <c r="E276" s="5" t="str">
        <v>kiri</v>
      </c>
      <c r="F276" s="5"/>
      <c r="G276" s="5"/>
      <c r="J276" s="5" t="str">
        <v>tengah</v>
      </c>
      <c r="K276" s="5"/>
      <c r="L276" s="5"/>
      <c r="O276" s="5" t="str">
        <v>tengah</v>
      </c>
      <c r="P276" s="5"/>
      <c r="Q276" s="5"/>
      <c r="T276" s="5" t="str">
        <v>kanan</v>
      </c>
      <c r="U276" s="5"/>
      <c r="V276" s="5"/>
    </row>
    <row r="277" customFormat="false" ht="15" hidden="false" customHeight="false" outlineLevel="0" collapsed="false">
      <c r="E277" s="5" t="str">
        <v>tengah</v>
      </c>
      <c r="F277" s="5"/>
      <c r="G277" s="5"/>
      <c r="J277" s="5" t="str">
        <v>tengah</v>
      </c>
      <c r="K277" s="5"/>
      <c r="L277" s="5"/>
      <c r="O277" s="5" t="str">
        <v>tengah</v>
      </c>
      <c r="P277" s="5"/>
      <c r="Q277" s="5"/>
      <c r="T277" s="5" t="str">
        <v>tengah</v>
      </c>
      <c r="U277" s="5"/>
      <c r="V277" s="5"/>
    </row>
    <row r="278" customFormat="false" ht="15" hidden="false" customHeight="false" outlineLevel="0" collapsed="false">
      <c r="E278" s="5" t="str">
        <v>tengah</v>
      </c>
      <c r="F278" s="5"/>
      <c r="G278" s="5"/>
      <c r="J278" s="5" t="str">
        <v>kiri</v>
      </c>
      <c r="K278" s="5"/>
      <c r="L278" s="5"/>
      <c r="O278" s="5" t="str">
        <v>kiri</v>
      </c>
      <c r="P278" s="5"/>
      <c r="Q278" s="5"/>
      <c r="T278" s="5" t="str">
        <v>tengah</v>
      </c>
      <c r="U278" s="5"/>
      <c r="V278" s="5"/>
    </row>
    <row r="279" customFormat="false" ht="15" hidden="false" customHeight="false" outlineLevel="0" collapsed="false">
      <c r="E279" s="5" t="str">
        <v>tengah</v>
      </c>
      <c r="F279" s="5"/>
      <c r="G279" s="5"/>
      <c r="J279" s="5" t="str">
        <v>kanan</v>
      </c>
      <c r="K279" s="5"/>
      <c r="L279" s="5"/>
      <c r="O279" s="5" t="str">
        <v>tengah</v>
      </c>
      <c r="P279" s="5"/>
      <c r="Q279" s="5"/>
      <c r="T279" s="5" t="str">
        <v>kanan</v>
      </c>
      <c r="U279" s="5"/>
      <c r="V279" s="5"/>
    </row>
    <row r="280" customFormat="false" ht="15" hidden="false" customHeight="false" outlineLevel="0" collapsed="false">
      <c r="E280" s="5" t="str">
        <v>tengah</v>
      </c>
      <c r="F280" s="5"/>
      <c r="G280" s="5"/>
      <c r="J280" s="5" t="str">
        <v>kiri</v>
      </c>
      <c r="K280" s="5"/>
      <c r="L280" s="5"/>
      <c r="O280" s="5" t="str">
        <v>tengah</v>
      </c>
      <c r="P280" s="5"/>
      <c r="Q280" s="5"/>
      <c r="T280" s="5" t="str">
        <v>tengah</v>
      </c>
      <c r="U280" s="5"/>
      <c r="V280" s="5"/>
    </row>
    <row r="281" customFormat="false" ht="15" hidden="false" customHeight="false" outlineLevel="0" collapsed="false">
      <c r="E281" s="5" t="str">
        <v>tengah</v>
      </c>
      <c r="F281" s="5"/>
      <c r="G281" s="5"/>
      <c r="J281" s="5" t="str">
        <v>tengah</v>
      </c>
      <c r="K281" s="5"/>
      <c r="L281" s="5"/>
      <c r="O281" s="5" t="str">
        <v>tengah</v>
      </c>
      <c r="P281" s="5"/>
      <c r="Q281" s="5"/>
      <c r="T281" s="5" t="str">
        <v>kanan</v>
      </c>
      <c r="U281" s="5"/>
      <c r="V281" s="5"/>
    </row>
    <row r="282" customFormat="false" ht="15" hidden="false" customHeight="false" outlineLevel="0" collapsed="false">
      <c r="E282" s="5" t="str">
        <v>tengah</v>
      </c>
      <c r="F282" s="5"/>
      <c r="G282" s="5"/>
      <c r="J282" s="5" t="str">
        <v>tengah</v>
      </c>
      <c r="K282" s="5"/>
      <c r="L282" s="5"/>
      <c r="O282" s="5" t="str">
        <v>tengah</v>
      </c>
      <c r="P282" s="5"/>
      <c r="Q282" s="5"/>
      <c r="T282" s="5" t="str">
        <v>kanan</v>
      </c>
      <c r="U282" s="5"/>
      <c r="V282" s="5"/>
    </row>
    <row r="283" customFormat="false" ht="15" hidden="false" customHeight="false" outlineLevel="0" collapsed="false">
      <c r="E283" s="5" t="str">
        <v>tengah</v>
      </c>
      <c r="F283" s="5"/>
      <c r="G283" s="5"/>
      <c r="J283" s="5" t="str">
        <v>tengah</v>
      </c>
      <c r="K283" s="5"/>
      <c r="L283" s="5"/>
      <c r="O283" s="5" t="str">
        <v>kiri</v>
      </c>
      <c r="P283" s="5"/>
      <c r="Q283" s="5"/>
      <c r="T283" s="5" t="str">
        <v>kanan</v>
      </c>
      <c r="U283" s="5"/>
      <c r="V283" s="5"/>
    </row>
    <row r="284" customFormat="false" ht="15" hidden="false" customHeight="false" outlineLevel="0" collapsed="false">
      <c r="E284" s="5" t="str">
        <v>kiri</v>
      </c>
      <c r="F284" s="5"/>
      <c r="G284" s="5"/>
      <c r="J284" s="5" t="str">
        <v>tengah</v>
      </c>
      <c r="K284" s="5"/>
      <c r="L284" s="5"/>
      <c r="O284" s="5" t="str">
        <v>tengah</v>
      </c>
      <c r="P284" s="5"/>
      <c r="Q284" s="5"/>
      <c r="T284" s="5" t="str">
        <v>tengah</v>
      </c>
      <c r="U284" s="5"/>
      <c r="V284" s="5"/>
    </row>
    <row r="285" customFormat="false" ht="15" hidden="false" customHeight="false" outlineLevel="0" collapsed="false">
      <c r="E285" s="5" t="str">
        <v>tengah</v>
      </c>
      <c r="F285" s="5"/>
      <c r="G285" s="5"/>
      <c r="J285" s="5" t="str">
        <v>kiri</v>
      </c>
      <c r="K285" s="5"/>
      <c r="L285" s="5"/>
      <c r="O285" s="5" t="str">
        <v>tengah</v>
      </c>
      <c r="P285" s="5"/>
      <c r="Q285" s="5"/>
      <c r="T285" s="5" t="str">
        <v>kanan</v>
      </c>
      <c r="U285" s="5"/>
      <c r="V285" s="5"/>
    </row>
    <row r="286" customFormat="false" ht="15" hidden="false" customHeight="false" outlineLevel="0" collapsed="false">
      <c r="E286" s="5" t="str">
        <v>tengah</v>
      </c>
      <c r="F286" s="5"/>
      <c r="G286" s="5"/>
      <c r="J286" s="5" t="str">
        <v>kanan</v>
      </c>
      <c r="K286" s="5"/>
      <c r="L286" s="5"/>
      <c r="O286" s="5" t="str">
        <v>tengah</v>
      </c>
      <c r="P286" s="5"/>
      <c r="Q286" s="5"/>
      <c r="T286" s="5" t="str">
        <v>tengah</v>
      </c>
      <c r="U286" s="5"/>
      <c r="V286" s="5"/>
    </row>
    <row r="287" customFormat="false" ht="15" hidden="false" customHeight="false" outlineLevel="0" collapsed="false">
      <c r="E287" s="5" t="str">
        <v>tengah</v>
      </c>
      <c r="F287" s="5"/>
      <c r="G287" s="5"/>
      <c r="J287" s="5" t="str">
        <v>kiri</v>
      </c>
      <c r="K287" s="5"/>
      <c r="L287" s="5"/>
      <c r="O287" s="5" t="str">
        <v>tengah</v>
      </c>
      <c r="P287" s="5"/>
      <c r="Q287" s="5"/>
      <c r="T287" s="5" t="str">
        <v>tengah</v>
      </c>
      <c r="U287" s="5"/>
      <c r="V287" s="5"/>
    </row>
    <row r="288" customFormat="false" ht="15" hidden="false" customHeight="false" outlineLevel="0" collapsed="false">
      <c r="E288" s="5" t="str">
        <v>tengah</v>
      </c>
      <c r="F288" s="5"/>
      <c r="G288" s="5"/>
      <c r="J288" s="5" t="str">
        <v>kiri</v>
      </c>
      <c r="K288" s="5"/>
      <c r="L288" s="5"/>
      <c r="O288" s="5" t="str">
        <v>tengah</v>
      </c>
      <c r="P288" s="5"/>
      <c r="Q288" s="5"/>
      <c r="T288" s="5" t="str">
        <v>tengah</v>
      </c>
      <c r="U288" s="5"/>
      <c r="V288" s="5"/>
    </row>
    <row r="289" customFormat="false" ht="15" hidden="false" customHeight="false" outlineLevel="0" collapsed="false">
      <c r="E289" s="5" t="str">
        <v>tengah</v>
      </c>
      <c r="F289" s="5"/>
      <c r="G289" s="5"/>
      <c r="J289" s="5" t="str">
        <v>tengah</v>
      </c>
      <c r="K289" s="5"/>
      <c r="L289" s="5"/>
      <c r="O289" s="5" t="str">
        <v>kanan</v>
      </c>
      <c r="P289" s="5"/>
      <c r="Q289" s="5"/>
      <c r="T289" s="5" t="str">
        <v>kanan</v>
      </c>
      <c r="U289" s="5"/>
      <c r="V289" s="5"/>
    </row>
    <row r="290" customFormat="false" ht="15" hidden="false" customHeight="false" outlineLevel="0" collapsed="false">
      <c r="E290" s="5" t="str">
        <v>tengah</v>
      </c>
      <c r="F290" s="5"/>
      <c r="G290" s="5"/>
      <c r="J290" s="5" t="str">
        <v>tengah</v>
      </c>
      <c r="K290" s="5"/>
      <c r="L290" s="5"/>
      <c r="O290" s="5" t="str">
        <v>tengah</v>
      </c>
      <c r="P290" s="5"/>
      <c r="Q290" s="5"/>
      <c r="T290" s="5" t="str">
        <v>tengah</v>
      </c>
      <c r="U290" s="5"/>
      <c r="V290" s="5"/>
    </row>
    <row r="291" customFormat="false" ht="15" hidden="false" customHeight="false" outlineLevel="0" collapsed="false">
      <c r="E291" s="5" t="str">
        <v>kanan</v>
      </c>
      <c r="F291" s="5"/>
      <c r="G291" s="5"/>
      <c r="J291" s="5" t="str">
        <v>tengah</v>
      </c>
      <c r="K291" s="5"/>
      <c r="L291" s="5"/>
      <c r="O291" s="5" t="str">
        <v>tengah</v>
      </c>
      <c r="P291" s="5"/>
      <c r="Q291" s="5"/>
      <c r="T291" s="5" t="str">
        <v>kanan</v>
      </c>
      <c r="U291" s="5"/>
      <c r="V291" s="5"/>
    </row>
    <row r="292" customFormat="false" ht="15" hidden="false" customHeight="false" outlineLevel="0" collapsed="false">
      <c r="E292" s="5" t="str">
        <v>tengah</v>
      </c>
      <c r="F292" s="5"/>
      <c r="G292" s="5"/>
      <c r="J292" s="5" t="str">
        <v>kiri</v>
      </c>
      <c r="K292" s="5"/>
      <c r="L292" s="5"/>
      <c r="O292" s="5" t="str">
        <v>tengah</v>
      </c>
      <c r="P292" s="5"/>
      <c r="Q292" s="5"/>
      <c r="T292" s="5" t="str">
        <v>kanan</v>
      </c>
      <c r="U292" s="5"/>
      <c r="V292" s="5"/>
    </row>
    <row r="293" customFormat="false" ht="15" hidden="false" customHeight="false" outlineLevel="0" collapsed="false">
      <c r="E293" s="5" t="str">
        <v>tengah</v>
      </c>
      <c r="F293" s="5"/>
      <c r="G293" s="5"/>
      <c r="J293" s="5" t="str">
        <v>kiri</v>
      </c>
      <c r="K293" s="5"/>
      <c r="L293" s="5"/>
      <c r="O293" s="5" t="str">
        <v>tengah</v>
      </c>
      <c r="P293" s="5"/>
      <c r="Q293" s="5"/>
      <c r="T293" s="5" t="str">
        <v>tengah</v>
      </c>
      <c r="U293" s="5"/>
      <c r="V293" s="5"/>
    </row>
    <row r="294" customFormat="false" ht="15" hidden="false" customHeight="false" outlineLevel="0" collapsed="false">
      <c r="E294" s="5" t="str">
        <v>kiri</v>
      </c>
      <c r="F294" s="5"/>
      <c r="G294" s="5"/>
      <c r="J294" s="5" t="str">
        <v>tengah</v>
      </c>
      <c r="K294" s="5"/>
      <c r="L294" s="5"/>
      <c r="O294" s="5" t="str">
        <v>tengah</v>
      </c>
      <c r="P294" s="5"/>
      <c r="Q294" s="5"/>
      <c r="T294" s="5" t="str">
        <v>tengah</v>
      </c>
      <c r="U294" s="5"/>
      <c r="V294" s="5"/>
    </row>
    <row r="295" customFormat="false" ht="15" hidden="false" customHeight="false" outlineLevel="0" collapsed="false">
      <c r="E295" s="5" t="str">
        <v>kiri</v>
      </c>
      <c r="F295" s="5"/>
      <c r="G295" s="5"/>
      <c r="J295" s="5" t="str">
        <v>kiri</v>
      </c>
      <c r="K295" s="5"/>
      <c r="L295" s="5"/>
      <c r="O295" s="5" t="str">
        <v>tengah</v>
      </c>
      <c r="P295" s="5"/>
      <c r="Q295" s="5"/>
      <c r="T295" s="5" t="str">
        <v>kanan</v>
      </c>
      <c r="U295" s="5"/>
      <c r="V295" s="5"/>
    </row>
    <row r="296" customFormat="false" ht="15" hidden="false" customHeight="false" outlineLevel="0" collapsed="false">
      <c r="E296" s="5" t="str">
        <v>kanan</v>
      </c>
      <c r="F296" s="5"/>
      <c r="G296" s="5"/>
      <c r="J296" s="5" t="str">
        <v>tengah</v>
      </c>
      <c r="K296" s="5"/>
      <c r="L296" s="5"/>
      <c r="O296" s="5" t="str">
        <v>tengah</v>
      </c>
      <c r="P296" s="5"/>
      <c r="Q296" s="5"/>
      <c r="T296" s="5" t="str">
        <v>tengah</v>
      </c>
      <c r="U296" s="5"/>
      <c r="V296" s="5"/>
    </row>
    <row r="297" customFormat="false" ht="15" hidden="false" customHeight="false" outlineLevel="0" collapsed="false">
      <c r="E297" s="5" t="str">
        <v>kiri</v>
      </c>
      <c r="F297" s="5"/>
      <c r="G297" s="5"/>
      <c r="J297" s="5" t="str">
        <v>kanan</v>
      </c>
      <c r="K297" s="5"/>
      <c r="L297" s="5"/>
      <c r="O297" s="5" t="str">
        <v>kiri</v>
      </c>
      <c r="P297" s="5"/>
      <c r="Q297" s="5"/>
      <c r="T297" s="5" t="str">
        <v>tengah</v>
      </c>
      <c r="U297" s="5"/>
      <c r="V297" s="5"/>
    </row>
    <row r="298" customFormat="false" ht="15" hidden="false" customHeight="false" outlineLevel="0" collapsed="false">
      <c r="E298" s="5" t="str">
        <v>tengah</v>
      </c>
      <c r="F298" s="5"/>
      <c r="G298" s="5"/>
      <c r="J298" s="5" t="str">
        <v>kanan</v>
      </c>
      <c r="K298" s="5"/>
      <c r="L298" s="5"/>
      <c r="O298" s="5" t="str">
        <v>kanan</v>
      </c>
      <c r="P298" s="5"/>
      <c r="Q298" s="5"/>
      <c r="T298" s="5" t="str">
        <v>tengah</v>
      </c>
      <c r="U298" s="5"/>
      <c r="V298" s="5"/>
    </row>
    <row r="299" customFormat="false" ht="15" hidden="false" customHeight="false" outlineLevel="0" collapsed="false">
      <c r="E299" s="5" t="str">
        <v>tengah</v>
      </c>
      <c r="F299" s="5"/>
      <c r="G299" s="5"/>
      <c r="J299" s="5" t="str">
        <v>tengah</v>
      </c>
      <c r="K299" s="5"/>
      <c r="L299" s="5"/>
      <c r="O299" s="5" t="str">
        <v>tengah</v>
      </c>
      <c r="P299" s="5"/>
      <c r="Q299" s="5"/>
      <c r="T299" s="5" t="str">
        <v>tengah</v>
      </c>
      <c r="U299" s="5"/>
      <c r="V299" s="5"/>
    </row>
    <row r="300" customFormat="false" ht="15" hidden="false" customHeight="false" outlineLevel="0" collapsed="false">
      <c r="E300" s="5" t="str">
        <v>kiri</v>
      </c>
      <c r="F300" s="5"/>
      <c r="G300" s="5"/>
      <c r="J300" s="5" t="str">
        <v>tengah</v>
      </c>
      <c r="K300" s="5"/>
      <c r="L300" s="5"/>
      <c r="O300" s="5" t="str">
        <v>kanan</v>
      </c>
      <c r="P300" s="5"/>
      <c r="Q300" s="5"/>
      <c r="T300" s="5" t="str">
        <v>kanan</v>
      </c>
      <c r="U300" s="5"/>
      <c r="V300" s="5"/>
    </row>
    <row r="301" customFormat="false" ht="15" hidden="false" customHeight="false" outlineLevel="0" collapsed="false">
      <c r="E301" s="5" t="str">
        <v>tengah</v>
      </c>
      <c r="F301" s="5"/>
      <c r="G301" s="5"/>
      <c r="J301" s="5" t="str">
        <v>kiri</v>
      </c>
      <c r="K301" s="5"/>
      <c r="L301" s="5"/>
      <c r="O301" s="5" t="str">
        <v>tengah</v>
      </c>
      <c r="P301" s="5"/>
      <c r="Q301" s="5"/>
      <c r="T301" s="5" t="str">
        <v>kanan</v>
      </c>
      <c r="U301" s="5"/>
      <c r="V301" s="5"/>
    </row>
    <row r="302" customFormat="false" ht="15" hidden="false" customHeight="false" outlineLevel="0" collapsed="false">
      <c r="E302" s="5" t="str">
        <v>tengah</v>
      </c>
      <c r="F302" s="5"/>
      <c r="G302" s="5"/>
      <c r="J302" s="5" t="str">
        <v>kiri</v>
      </c>
      <c r="K302" s="5"/>
      <c r="L302" s="5"/>
      <c r="O302" s="5" t="str">
        <v>kiri</v>
      </c>
      <c r="P302" s="5"/>
      <c r="Q302" s="5"/>
      <c r="T302" s="5" t="str">
        <v>kanan</v>
      </c>
      <c r="U302" s="5"/>
      <c r="V302" s="5"/>
    </row>
    <row r="303" customFormat="false" ht="15" hidden="false" customHeight="false" outlineLevel="0" collapsed="false">
      <c r="E303" s="5" t="str">
        <v>tengah</v>
      </c>
      <c r="F303" s="5"/>
      <c r="G303" s="5"/>
      <c r="J303" s="5" t="str">
        <v>kanan</v>
      </c>
      <c r="K303" s="5"/>
      <c r="L303" s="5"/>
      <c r="O303" s="5" t="str">
        <v>tengah</v>
      </c>
      <c r="P303" s="5"/>
      <c r="Q303" s="5"/>
      <c r="T303" s="5" t="str">
        <v>kanan</v>
      </c>
      <c r="U303" s="5"/>
      <c r="V303" s="5"/>
    </row>
    <row r="304" customFormat="false" ht="15" hidden="false" customHeight="false" outlineLevel="0" collapsed="false">
      <c r="E304" s="5" t="str">
        <v>tengah</v>
      </c>
      <c r="F304" s="5"/>
      <c r="G304" s="5"/>
      <c r="J304" s="5" t="str">
        <v>kanan</v>
      </c>
      <c r="K304" s="5"/>
      <c r="L304" s="5"/>
      <c r="O304" s="5" t="str">
        <v>tengah</v>
      </c>
      <c r="P304" s="5"/>
      <c r="Q304" s="5"/>
      <c r="T304" s="5" t="str">
        <v>kanan</v>
      </c>
      <c r="U304" s="5"/>
      <c r="V304" s="5"/>
    </row>
    <row r="305" customFormat="false" ht="15" hidden="false" customHeight="false" outlineLevel="0" collapsed="false">
      <c r="E305" s="5" t="str">
        <v>kanan</v>
      </c>
      <c r="F305" s="5"/>
      <c r="G305" s="5"/>
      <c r="J305" s="5" t="str">
        <v>kiri</v>
      </c>
      <c r="K305" s="5"/>
      <c r="L305" s="5"/>
      <c r="O305" s="5" t="str">
        <v>kanan</v>
      </c>
      <c r="P305" s="5"/>
      <c r="Q305" s="5"/>
      <c r="T305" s="5" t="str">
        <v>kanan</v>
      </c>
      <c r="U305" s="5"/>
      <c r="V305" s="5"/>
    </row>
    <row r="306" customFormat="false" ht="15" hidden="false" customHeight="false" outlineLevel="0" collapsed="false">
      <c r="E306" s="5" t="str">
        <v>kiri</v>
      </c>
      <c r="F306" s="5"/>
      <c r="G306" s="5"/>
      <c r="J306" s="5" t="str">
        <v>kiri</v>
      </c>
      <c r="K306" s="5"/>
      <c r="L306" s="5"/>
      <c r="O306" s="5" t="str">
        <v>tengah</v>
      </c>
      <c r="P306" s="5"/>
      <c r="Q306" s="5"/>
      <c r="T306" s="5" t="str">
        <v>kanan</v>
      </c>
      <c r="U306" s="5"/>
      <c r="V306" s="5"/>
    </row>
    <row r="307" customFormat="false" ht="15" hidden="false" customHeight="false" outlineLevel="0" collapsed="false">
      <c r="E307" s="5" t="str">
        <v>tengah</v>
      </c>
      <c r="F307" s="5"/>
      <c r="G307" s="5"/>
      <c r="J307" s="5" t="str">
        <v>tengah</v>
      </c>
      <c r="K307" s="5"/>
      <c r="L307" s="5"/>
      <c r="O307" s="5" t="str">
        <v>kiri</v>
      </c>
      <c r="P307" s="5"/>
      <c r="Q307" s="5"/>
      <c r="T307" s="5" t="str">
        <v>kanan</v>
      </c>
      <c r="U307" s="5"/>
      <c r="V307" s="5"/>
    </row>
    <row r="308" customFormat="false" ht="15" hidden="false" customHeight="false" outlineLevel="0" collapsed="false">
      <c r="E308" s="5" t="str">
        <v>kanan</v>
      </c>
      <c r="F308" s="5"/>
      <c r="G308" s="5"/>
      <c r="J308" s="5" t="str">
        <v>kanan</v>
      </c>
      <c r="K308" s="5"/>
      <c r="L308" s="5"/>
      <c r="O308" s="5" t="str">
        <v>tengah</v>
      </c>
      <c r="P308" s="5"/>
      <c r="Q308" s="5"/>
      <c r="T308" s="5" t="str">
        <v>tengah</v>
      </c>
      <c r="U308" s="5"/>
      <c r="V308" s="5"/>
    </row>
    <row r="309" customFormat="false" ht="15" hidden="false" customHeight="false" outlineLevel="0" collapsed="false">
      <c r="E309" s="5" t="str">
        <v>tengah</v>
      </c>
      <c r="F309" s="5"/>
      <c r="G309" s="5"/>
      <c r="J309" s="5" t="str">
        <v>tengah</v>
      </c>
      <c r="K309" s="5"/>
      <c r="L309" s="5"/>
      <c r="O309" s="5" t="str">
        <v>tengah</v>
      </c>
      <c r="P309" s="5"/>
      <c r="Q309" s="5"/>
      <c r="T309" s="5" t="str">
        <v>tengah</v>
      </c>
      <c r="U309" s="5"/>
      <c r="V309" s="5"/>
    </row>
    <row r="310" customFormat="false" ht="15" hidden="false" customHeight="false" outlineLevel="0" collapsed="false">
      <c r="E310" s="5" t="str">
        <v>kiri</v>
      </c>
      <c r="F310" s="5"/>
      <c r="G310" s="5"/>
      <c r="J310" s="5" t="str">
        <v>tengah</v>
      </c>
      <c r="K310" s="5"/>
      <c r="L310" s="5"/>
      <c r="O310" s="5" t="str">
        <v>kanan</v>
      </c>
      <c r="P310" s="5"/>
      <c r="Q310" s="5"/>
      <c r="T310" s="5" t="str">
        <v>tengah</v>
      </c>
      <c r="U310" s="5"/>
      <c r="V310" s="5"/>
    </row>
    <row r="311" customFormat="false" ht="15" hidden="false" customHeight="false" outlineLevel="0" collapsed="false">
      <c r="E311" s="5" t="str">
        <v>kiri</v>
      </c>
      <c r="F311" s="5"/>
      <c r="G311" s="5"/>
      <c r="J311" s="5" t="str">
        <v>kiri</v>
      </c>
      <c r="K311" s="5"/>
      <c r="L311" s="5"/>
      <c r="O311" s="5" t="str">
        <v>kanan</v>
      </c>
      <c r="P311" s="5"/>
      <c r="Q311" s="5"/>
      <c r="T311" s="5" t="str">
        <v>tengah</v>
      </c>
      <c r="U311" s="5"/>
      <c r="V311" s="5"/>
    </row>
    <row r="312" customFormat="false" ht="15" hidden="false" customHeight="false" outlineLevel="0" collapsed="false">
      <c r="E312" s="5" t="str">
        <v>kanan</v>
      </c>
      <c r="F312" s="5"/>
      <c r="G312" s="5"/>
      <c r="J312" s="5" t="str">
        <v>kiri</v>
      </c>
      <c r="K312" s="5"/>
      <c r="L312" s="5"/>
      <c r="O312" s="5" t="str">
        <v>kiri</v>
      </c>
      <c r="P312" s="5"/>
      <c r="Q312" s="5"/>
      <c r="T312" s="5" t="str">
        <v>tengah</v>
      </c>
      <c r="U312" s="5"/>
      <c r="V312" s="5"/>
    </row>
    <row r="313" customFormat="false" ht="15" hidden="false" customHeight="false" outlineLevel="0" collapsed="false">
      <c r="E313" s="5" t="str">
        <v>tengah</v>
      </c>
      <c r="F313" s="5"/>
      <c r="G313" s="5"/>
      <c r="J313" s="5" t="str">
        <v>tengah</v>
      </c>
      <c r="K313" s="5"/>
      <c r="L313" s="5"/>
      <c r="O313" s="5" t="str">
        <v>kanan</v>
      </c>
      <c r="P313" s="5"/>
      <c r="Q313" s="5"/>
      <c r="T313" s="5" t="str">
        <v>kanan</v>
      </c>
      <c r="U313" s="5"/>
      <c r="V313" s="5"/>
    </row>
    <row r="314" customFormat="false" ht="15" hidden="false" customHeight="false" outlineLevel="0" collapsed="false">
      <c r="E314" s="5" t="str">
        <v>kanan</v>
      </c>
      <c r="F314" s="5"/>
      <c r="G314" s="5"/>
      <c r="J314" s="5" t="str">
        <v>kanan</v>
      </c>
      <c r="K314" s="5"/>
      <c r="L314" s="5"/>
      <c r="O314" s="5" t="str">
        <v>tengah</v>
      </c>
      <c r="P314" s="5"/>
      <c r="Q314" s="5"/>
      <c r="T314" s="5" t="str">
        <v>tengah</v>
      </c>
      <c r="U314" s="5"/>
      <c r="V314" s="5"/>
    </row>
    <row r="315" customFormat="false" ht="15" hidden="false" customHeight="false" outlineLevel="0" collapsed="false">
      <c r="E315" s="5" t="str">
        <v>tengah</v>
      </c>
      <c r="F315" s="5"/>
      <c r="G315" s="5"/>
      <c r="J315" s="5" t="str">
        <v>kanan</v>
      </c>
      <c r="K315" s="5"/>
      <c r="L315" s="5"/>
      <c r="O315" s="5" t="str">
        <v>tengah</v>
      </c>
      <c r="P315" s="5"/>
      <c r="Q315" s="5"/>
      <c r="T315" s="5" t="str">
        <v>kanan</v>
      </c>
      <c r="U315" s="5"/>
      <c r="V315" s="5"/>
    </row>
    <row r="316" customFormat="false" ht="15" hidden="false" customHeight="false" outlineLevel="0" collapsed="false">
      <c r="E316" s="5" t="str">
        <v>kanan</v>
      </c>
      <c r="F316" s="5"/>
      <c r="G316" s="5"/>
      <c r="J316" s="5" t="str">
        <v>kiri</v>
      </c>
      <c r="K316" s="5"/>
      <c r="L316" s="5"/>
      <c r="O316" s="5" t="str">
        <v>tengah</v>
      </c>
      <c r="P316" s="5"/>
      <c r="Q316" s="5"/>
      <c r="T316" s="5" t="str">
        <v>tengah</v>
      </c>
      <c r="U316" s="5"/>
      <c r="V316" s="5"/>
    </row>
    <row r="317" customFormat="false" ht="15" hidden="false" customHeight="false" outlineLevel="0" collapsed="false">
      <c r="E317" s="5" t="str">
        <v>tengah</v>
      </c>
      <c r="F317" s="5"/>
      <c r="G317" s="5"/>
      <c r="J317" s="5" t="str">
        <v>tengah</v>
      </c>
      <c r="K317" s="5"/>
      <c r="L317" s="5"/>
      <c r="O317" s="5" t="str">
        <v>kanan</v>
      </c>
      <c r="P317" s="5"/>
      <c r="Q317" s="5"/>
      <c r="T317" s="5" t="str">
        <v>kanan</v>
      </c>
      <c r="U317" s="5"/>
      <c r="V317" s="5"/>
    </row>
    <row r="318" customFormat="false" ht="15" hidden="false" customHeight="false" outlineLevel="0" collapsed="false">
      <c r="E318" s="5" t="str">
        <v>tengah</v>
      </c>
      <c r="F318" s="5"/>
      <c r="G318" s="5"/>
      <c r="J318" s="5" t="str">
        <v>kiri</v>
      </c>
      <c r="K318" s="5"/>
      <c r="L318" s="5"/>
      <c r="O318" s="5" t="str">
        <v>tengah</v>
      </c>
      <c r="P318" s="5"/>
      <c r="Q318" s="5"/>
      <c r="T318" s="5" t="str">
        <v>kanan</v>
      </c>
      <c r="U318" s="5"/>
      <c r="V318" s="5"/>
    </row>
    <row r="319" customFormat="false" ht="15" hidden="false" customHeight="false" outlineLevel="0" collapsed="false">
      <c r="E319" s="5" t="str">
        <v>tengah</v>
      </c>
      <c r="F319" s="5"/>
      <c r="G319" s="5"/>
      <c r="J319" s="5" t="str">
        <v>kiri</v>
      </c>
      <c r="K319" s="5"/>
      <c r="L319" s="5"/>
      <c r="O319" s="5" t="str">
        <v>tengah</v>
      </c>
      <c r="P319" s="5"/>
      <c r="Q319" s="5"/>
      <c r="T319" s="5" t="str">
        <v>tengah</v>
      </c>
      <c r="U319" s="5"/>
      <c r="V319" s="5"/>
    </row>
    <row r="320" customFormat="false" ht="15" hidden="false" customHeight="false" outlineLevel="0" collapsed="false">
      <c r="E320" s="5" t="str">
        <v>kanan</v>
      </c>
      <c r="F320" s="5"/>
      <c r="G320" s="5"/>
      <c r="J320" s="5" t="str">
        <v>tengah</v>
      </c>
      <c r="K320" s="5"/>
      <c r="L320" s="5"/>
      <c r="O320" s="5" t="str">
        <v>tengah</v>
      </c>
      <c r="P320" s="5"/>
      <c r="Q320" s="5"/>
      <c r="T320" s="5" t="str">
        <v>tengah</v>
      </c>
      <c r="U320" s="5"/>
      <c r="V320" s="5"/>
    </row>
    <row r="321" customFormat="false" ht="15" hidden="false" customHeight="false" outlineLevel="0" collapsed="false">
      <c r="E321" s="5" t="str">
        <v>tengah</v>
      </c>
      <c r="F321" s="5"/>
      <c r="G321" s="5"/>
      <c r="J321" s="5" t="str">
        <v>kanan</v>
      </c>
      <c r="K321" s="5"/>
      <c r="L321" s="5"/>
      <c r="O321" s="5" t="str">
        <v>tengah</v>
      </c>
      <c r="P321" s="5"/>
      <c r="Q321" s="5"/>
      <c r="T321" s="5" t="str">
        <v>tengah</v>
      </c>
      <c r="U321" s="5"/>
      <c r="V321" s="5"/>
    </row>
    <row r="322" customFormat="false" ht="15" hidden="false" customHeight="false" outlineLevel="0" collapsed="false">
      <c r="E322" s="5" t="str">
        <v>tengah</v>
      </c>
      <c r="F322" s="5"/>
      <c r="G322" s="5"/>
      <c r="J322" s="5" t="str">
        <v>tengah</v>
      </c>
      <c r="K322" s="5"/>
      <c r="L322" s="5"/>
      <c r="O322" s="5" t="str">
        <v>tengah</v>
      </c>
      <c r="P322" s="5"/>
      <c r="Q322" s="5"/>
      <c r="T322" s="5" t="str">
        <v>kanan</v>
      </c>
      <c r="U322" s="5"/>
      <c r="V322" s="5"/>
    </row>
    <row r="323" customFormat="false" ht="15" hidden="false" customHeight="false" outlineLevel="0" collapsed="false">
      <c r="E323" s="5" t="str">
        <v>tengah</v>
      </c>
      <c r="F323" s="5"/>
      <c r="G323" s="5"/>
      <c r="J323" s="5" t="str">
        <v>kanan</v>
      </c>
      <c r="K323" s="5"/>
      <c r="L323" s="5"/>
      <c r="O323" s="5" t="str">
        <v>tengah</v>
      </c>
      <c r="P323" s="5"/>
      <c r="Q323" s="5"/>
      <c r="T323" s="5" t="str">
        <v>kanan</v>
      </c>
      <c r="U323" s="5"/>
      <c r="V323" s="5"/>
    </row>
    <row r="324" customFormat="false" ht="15" hidden="false" customHeight="false" outlineLevel="0" collapsed="false">
      <c r="E324" s="5" t="str">
        <v>kiri</v>
      </c>
      <c r="F324" s="5"/>
      <c r="G324" s="5"/>
      <c r="J324" s="5" t="str">
        <v>kiri</v>
      </c>
      <c r="K324" s="5"/>
      <c r="L324" s="5"/>
      <c r="O324" s="5" t="str">
        <v>kanan</v>
      </c>
      <c r="P324" s="5"/>
      <c r="Q324" s="5"/>
      <c r="T324" s="5" t="str">
        <v>kanan</v>
      </c>
      <c r="U324" s="5"/>
      <c r="V324" s="5"/>
    </row>
    <row r="325" customFormat="false" ht="15" hidden="false" customHeight="false" outlineLevel="0" collapsed="false">
      <c r="E325" s="5" t="str">
        <v>tengah</v>
      </c>
      <c r="F325" s="5"/>
      <c r="G325" s="5"/>
      <c r="J325" s="5" t="str">
        <v>tengah</v>
      </c>
      <c r="K325" s="5"/>
      <c r="L325" s="5"/>
      <c r="O325" s="5" t="str">
        <v>tengah</v>
      </c>
      <c r="P325" s="5"/>
      <c r="Q325" s="5"/>
      <c r="T325" s="5" t="str">
        <v>tengah</v>
      </c>
      <c r="U325" s="5"/>
      <c r="V325" s="5"/>
    </row>
    <row r="326" customFormat="false" ht="15" hidden="false" customHeight="false" outlineLevel="0" collapsed="false">
      <c r="E326" s="5" t="str">
        <v>tengah</v>
      </c>
      <c r="F326" s="5"/>
      <c r="G326" s="5"/>
      <c r="J326" s="5" t="str">
        <v>kanan</v>
      </c>
      <c r="K326" s="5"/>
      <c r="L326" s="5"/>
      <c r="O326" s="5" t="str">
        <v>tengah</v>
      </c>
      <c r="P326" s="5"/>
      <c r="Q326" s="5"/>
      <c r="T326" s="5" t="str">
        <v>tengah</v>
      </c>
      <c r="U326" s="5"/>
      <c r="V326" s="5"/>
    </row>
    <row r="327" customFormat="false" ht="15" hidden="false" customHeight="false" outlineLevel="0" collapsed="false">
      <c r="E327" s="5" t="str">
        <v>kiri</v>
      </c>
      <c r="F327" s="5"/>
      <c r="G327" s="5"/>
      <c r="J327" s="5" t="str">
        <v>kiri</v>
      </c>
      <c r="K327" s="5"/>
      <c r="L327" s="5"/>
      <c r="O327" s="5" t="str">
        <v>tengah</v>
      </c>
      <c r="P327" s="5"/>
      <c r="Q327" s="5"/>
      <c r="T327" s="5" t="str">
        <v>tengah</v>
      </c>
      <c r="U327" s="5"/>
      <c r="V327" s="5"/>
    </row>
    <row r="328" customFormat="false" ht="15" hidden="false" customHeight="false" outlineLevel="0" collapsed="false">
      <c r="E328" s="5" t="str">
        <v>tengah</v>
      </c>
      <c r="F328" s="5"/>
      <c r="G328" s="5"/>
      <c r="J328" s="5" t="str">
        <v>tengah</v>
      </c>
      <c r="K328" s="5"/>
      <c r="L328" s="5"/>
      <c r="O328" s="5" t="str">
        <v>tengah</v>
      </c>
      <c r="P328" s="5"/>
      <c r="Q328" s="5"/>
      <c r="T328" s="5" t="str">
        <v>kanan</v>
      </c>
      <c r="U328" s="5"/>
      <c r="V328" s="5"/>
    </row>
    <row r="329" customFormat="false" ht="15" hidden="false" customHeight="false" outlineLevel="0" collapsed="false">
      <c r="E329" s="5" t="str">
        <v>kiri</v>
      </c>
      <c r="F329" s="5"/>
      <c r="G329" s="5"/>
      <c r="J329" s="5" t="str">
        <v>tengah</v>
      </c>
      <c r="K329" s="5"/>
      <c r="L329" s="5"/>
      <c r="O329" s="5" t="str">
        <v>tengah</v>
      </c>
      <c r="P329" s="5"/>
      <c r="Q329" s="5"/>
      <c r="T329" s="5" t="str">
        <v>tengah</v>
      </c>
      <c r="U329" s="5"/>
      <c r="V329" s="5"/>
    </row>
    <row r="330" customFormat="false" ht="15" hidden="false" customHeight="false" outlineLevel="0" collapsed="false">
      <c r="E330" s="5" t="str">
        <v>kiri</v>
      </c>
      <c r="F330" s="5"/>
      <c r="G330" s="5"/>
      <c r="J330" s="5" t="str">
        <v>tengah</v>
      </c>
      <c r="K330" s="5"/>
      <c r="L330" s="5"/>
      <c r="O330" s="5" t="str">
        <v>tengah</v>
      </c>
      <c r="P330" s="5"/>
      <c r="Q330" s="5"/>
      <c r="T330" s="5" t="str">
        <v>kanan</v>
      </c>
      <c r="U330" s="5"/>
      <c r="V330" s="5"/>
    </row>
    <row r="331" customFormat="false" ht="15" hidden="false" customHeight="false" outlineLevel="0" collapsed="false">
      <c r="E331" s="5" t="str">
        <v>kiri</v>
      </c>
      <c r="F331" s="5"/>
      <c r="G331" s="5"/>
      <c r="J331" s="5" t="str">
        <v>kiri</v>
      </c>
      <c r="K331" s="5"/>
      <c r="L331" s="5"/>
      <c r="O331" s="5" t="str">
        <v>kanan</v>
      </c>
      <c r="P331" s="5"/>
      <c r="Q331" s="5"/>
      <c r="T331" s="5" t="str">
        <v>kanan</v>
      </c>
      <c r="U331" s="5"/>
      <c r="V331" s="5"/>
    </row>
    <row r="332" customFormat="false" ht="15" hidden="false" customHeight="false" outlineLevel="0" collapsed="false">
      <c r="E332" s="5" t="str">
        <v>tengah</v>
      </c>
      <c r="F332" s="5"/>
      <c r="G332" s="5"/>
      <c r="J332" s="5" t="str">
        <v>tengah</v>
      </c>
      <c r="K332" s="5"/>
      <c r="L332" s="5"/>
      <c r="O332" s="5" t="str">
        <v>tengah</v>
      </c>
      <c r="P332" s="5"/>
      <c r="Q332" s="5"/>
      <c r="T332" s="5" t="str">
        <v>tengah</v>
      </c>
      <c r="U332" s="5"/>
      <c r="V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32"/>
  <sheetViews>
    <sheetView showFormulas="false" showGridLines="true" showRowColHeaders="true" showZeros="true" rightToLeft="false" tabSelected="false" showOutlineSymbols="true" defaultGridColor="true" view="normal" topLeftCell="L151" colorId="64" zoomScale="93" zoomScaleNormal="93" zoomScalePageLayoutView="100" workbookViewId="0">
      <selection pane="topLeft" activeCell="W157" activeCellId="0" sqref="W157"/>
    </sheetView>
  </sheetViews>
  <sheetFormatPr defaultColWidth="9.00390625" defaultRowHeight="15" customHeight="false" zeroHeight="false" outlineLevelRow="0" outlineLevelCol="0"/>
  <cols>
    <col collapsed="false" customWidth="true" hidden="false" outlineLevel="0" max="3" min="3" style="0" width="15.86"/>
    <col collapsed="false" customWidth="true" hidden="false" outlineLevel="0" max="4" min="4" style="0" width="13.29"/>
    <col collapsed="false" customWidth="true" hidden="false" outlineLevel="0" max="5" min="5" style="0" width="13.86"/>
    <col collapsed="false" customWidth="true" hidden="false" outlineLevel="0" max="6" min="6" style="0" width="12"/>
    <col collapsed="false" customWidth="true" hidden="false" outlineLevel="0" max="9" min="9" style="0" width="18.29"/>
    <col collapsed="false" customWidth="true" hidden="false" outlineLevel="0" max="10" min="10" style="0" width="15.86"/>
    <col collapsed="false" customWidth="true" hidden="false" outlineLevel="0" max="12" min="12" style="0" width="13.86"/>
    <col collapsed="false" customWidth="true" hidden="false" outlineLevel="0" max="13" min="13" style="0" width="14.29"/>
    <col collapsed="false" customWidth="true" hidden="false" outlineLevel="0" max="14" min="14" style="0" width="12.86"/>
    <col collapsed="false" customWidth="true" hidden="false" outlineLevel="0" max="15" min="15" style="0" width="16.86"/>
  </cols>
  <sheetData>
    <row r="1" customFormat="false" ht="15" hidden="false" customHeight="false" outlineLevel="0" collapsed="false">
      <c r="A1" s="4" t="s">
        <v>173</v>
      </c>
      <c r="B1" s="4" t="s">
        <v>1</v>
      </c>
      <c r="C1" s="4" t="s">
        <v>2</v>
      </c>
      <c r="D1" s="4" t="s">
        <v>4</v>
      </c>
      <c r="E1" s="4" t="s">
        <v>5</v>
      </c>
      <c r="H1" s="5" t="s">
        <v>173</v>
      </c>
      <c r="I1" s="5" t="s">
        <v>1</v>
      </c>
      <c r="J1" s="5" t="s">
        <v>2</v>
      </c>
      <c r="K1" s="5" t="s">
        <v>4</v>
      </c>
      <c r="L1" s="5" t="s">
        <v>5</v>
      </c>
      <c r="O1" s="4" t="s">
        <v>174</v>
      </c>
      <c r="P1" s="3"/>
      <c r="Q1" s="3"/>
    </row>
    <row r="2" customFormat="false" ht="15" hidden="false" customHeight="false" outlineLevel="0" collapsed="false">
      <c r="A2" s="5" t="n">
        <f aca="false">RANDBETWEEN(2,164)</f>
        <v>63</v>
      </c>
      <c r="B2" s="5" t="n">
        <f aca="false" t="array" ref="B2:B2">INDEX(Data_DBD!$B:$B,$A2)</f>
        <v>25</v>
      </c>
      <c r="C2" s="5" t="n">
        <f aca="false" t="array" ref="C2:C2">INDEX(Data_DBD!$C:$C,$A2)</f>
        <v>3</v>
      </c>
      <c r="D2" s="5" t="n">
        <f aca="false" t="array" ref="D2:D2">INDEX(Data_DBD!$E:$E,$A2)</f>
        <v>0</v>
      </c>
      <c r="E2" s="5" t="str">
        <f aca="false" t="array" ref="E2:E2">INDEX(Data_DBD!$F:$F,$A2)</f>
        <v>Sedang</v>
      </c>
      <c r="H2" s="5" t="n">
        <v>144</v>
      </c>
      <c r="I2" s="5" t="n">
        <v>61</v>
      </c>
      <c r="J2" s="5" t="n">
        <v>4</v>
      </c>
      <c r="K2" s="5" t="n">
        <v>1</v>
      </c>
      <c r="L2" s="5" t="s">
        <v>115</v>
      </c>
      <c r="O2" s="3" t="s">
        <v>115</v>
      </c>
      <c r="P2" s="3" t="n">
        <f aca="false">COUNTIF(L2:L164,"Tinggi")</f>
        <v>75</v>
      </c>
      <c r="Q2" s="3" t="n">
        <f aca="false">P2/163</f>
        <v>0.460122699386503</v>
      </c>
    </row>
    <row r="3" customFormat="false" ht="15" hidden="false" customHeight="false" outlineLevel="0" collapsed="false">
      <c r="A3" s="5" t="n">
        <f aca="false">RANDBETWEEN(2,164)</f>
        <v>135</v>
      </c>
      <c r="B3" s="5" t="n">
        <f aca="false" t="array" ref="B3:B3">INDEX(Data_DBD!$B:$B,$A3)</f>
        <v>10</v>
      </c>
      <c r="C3" s="5" t="n">
        <f aca="false" t="array" ref="C3:C3">INDEX(Data_DBD!$C:$C,$A3)</f>
        <v>2</v>
      </c>
      <c r="D3" s="5" t="n">
        <f aca="false" t="array" ref="D3:D3">INDEX(Data_DBD!$E:$E,$A3)</f>
        <v>0</v>
      </c>
      <c r="E3" s="5" t="str">
        <f aca="false" t="array" ref="E3:E3">INDEX(Data_DBD!$F:$F,$A3)</f>
        <v>Tinggi</v>
      </c>
      <c r="H3" s="5" t="n">
        <v>2</v>
      </c>
      <c r="I3" s="5" t="n">
        <v>34</v>
      </c>
      <c r="J3" s="5" t="n">
        <v>3</v>
      </c>
      <c r="K3" s="5" t="n">
        <v>0</v>
      </c>
      <c r="L3" s="5" t="s">
        <v>7</v>
      </c>
      <c r="O3" s="3" t="s">
        <v>7</v>
      </c>
      <c r="P3" s="3" t="n">
        <f aca="false">COUNTIF(L2:L164,"Sedang")</f>
        <v>79</v>
      </c>
      <c r="Q3" s="3" t="n">
        <f aca="false">P3/163</f>
        <v>0.484662576687117</v>
      </c>
    </row>
    <row r="4" customFormat="false" ht="15" hidden="false" customHeight="false" outlineLevel="0" collapsed="false">
      <c r="A4" s="5" t="n">
        <f aca="false">RANDBETWEEN(2,164)</f>
        <v>149</v>
      </c>
      <c r="B4" s="5" t="n">
        <f aca="false" t="array" ref="B4:B4">INDEX(Data_DBD!$B:$B,$A4)</f>
        <v>19</v>
      </c>
      <c r="C4" s="5" t="n">
        <f aca="false" t="array" ref="C4:C4">INDEX(Data_DBD!$C:$C,$A4)</f>
        <v>5</v>
      </c>
      <c r="D4" s="5" t="n">
        <f aca="false" t="array" ref="D4:D4">INDEX(Data_DBD!$E:$E,$A4)</f>
        <v>0</v>
      </c>
      <c r="E4" s="5" t="str">
        <f aca="false" t="array" ref="E4:E4">INDEX(Data_DBD!$F:$F,$A4)</f>
        <v>Tinggi</v>
      </c>
      <c r="H4" s="5" t="n">
        <v>150</v>
      </c>
      <c r="I4" s="5" t="n">
        <v>61</v>
      </c>
      <c r="J4" s="5" t="n">
        <v>5</v>
      </c>
      <c r="K4" s="5" t="n">
        <v>1</v>
      </c>
      <c r="L4" s="5" t="s">
        <v>115</v>
      </c>
      <c r="O4" s="3" t="s">
        <v>20</v>
      </c>
      <c r="P4" s="3" t="n">
        <f aca="false">COUNTIF(L2:L164,"Rendah")</f>
        <v>9</v>
      </c>
      <c r="Q4" s="3" t="n">
        <f aca="false">P4/163</f>
        <v>0.0552147239263804</v>
      </c>
    </row>
    <row r="5" customFormat="false" ht="15" hidden="false" customHeight="false" outlineLevel="0" collapsed="false">
      <c r="A5" s="5" t="n">
        <f aca="false">RANDBETWEEN(2,164)</f>
        <v>18</v>
      </c>
      <c r="B5" s="5" t="n">
        <f aca="false" t="array" ref="B5:B5">INDEX(Data_DBD!$B:$B,$A5)</f>
        <v>49</v>
      </c>
      <c r="C5" s="5" t="n">
        <f aca="false" t="array" ref="C5:C5">INDEX(Data_DBD!$C:$C,$A5)</f>
        <v>4</v>
      </c>
      <c r="D5" s="5" t="n">
        <f aca="false" t="array" ref="D5:D5">INDEX(Data_DBD!$E:$E,$A5)</f>
        <v>1</v>
      </c>
      <c r="E5" s="5" t="str">
        <f aca="false" t="array" ref="E5:E5">INDEX(Data_DBD!$F:$F,$A5)</f>
        <v>Rendah</v>
      </c>
      <c r="H5" s="5" t="n">
        <v>22</v>
      </c>
      <c r="I5" s="5" t="n">
        <v>6</v>
      </c>
      <c r="J5" s="5" t="n">
        <v>3</v>
      </c>
      <c r="K5" s="5" t="n">
        <v>0</v>
      </c>
      <c r="L5" s="5" t="s">
        <v>7</v>
      </c>
      <c r="O5" s="6" t="s">
        <v>175</v>
      </c>
      <c r="P5" s="0" t="n">
        <f aca="false">-(IFERROR(Q2*LOG(Q2,2),0)+IFERROR(Q3*LOG(Q3,2),0)+IFERROR(Q4*LOG(Q4,2),0))</f>
        <v>1.25247413026689</v>
      </c>
    </row>
    <row r="6" customFormat="false" ht="15" hidden="false" customHeight="false" outlineLevel="0" collapsed="false">
      <c r="A6" s="5" t="n">
        <f aca="false">RANDBETWEEN(2,164)</f>
        <v>154</v>
      </c>
      <c r="B6" s="5" t="n">
        <f aca="false" t="array" ref="B6:B6">INDEX(Data_DBD!$B:$B,$A6)</f>
        <v>18</v>
      </c>
      <c r="C6" s="5" t="n">
        <f aca="false" t="array" ref="C6:C6">INDEX(Data_DBD!$C:$C,$A6)</f>
        <v>5</v>
      </c>
      <c r="D6" s="5" t="n">
        <f aca="false" t="array" ref="D6:D6">INDEX(Data_DBD!$E:$E,$A6)</f>
        <v>1</v>
      </c>
      <c r="E6" s="5" t="str">
        <f aca="false" t="array" ref="E6:E6">INDEX(Data_DBD!$F:$F,$A6)</f>
        <v>Tinggi</v>
      </c>
      <c r="H6" s="5" t="n">
        <v>27</v>
      </c>
      <c r="I6" s="5" t="n">
        <v>37</v>
      </c>
      <c r="J6" s="5" t="n">
        <v>4</v>
      </c>
      <c r="K6" s="5" t="n">
        <v>1</v>
      </c>
      <c r="L6" s="5" t="s">
        <v>7</v>
      </c>
    </row>
    <row r="7" customFormat="false" ht="15" hidden="false" customHeight="false" outlineLevel="0" collapsed="false">
      <c r="A7" s="5" t="n">
        <f aca="false">RANDBETWEEN(2,164)</f>
        <v>129</v>
      </c>
      <c r="B7" s="5" t="n">
        <f aca="false" t="array" ref="B7:B7">INDEX(Data_DBD!$B:$B,$A7)</f>
        <v>4</v>
      </c>
      <c r="C7" s="5" t="n">
        <f aca="false" t="array" ref="C7:C7">INDEX(Data_DBD!$C:$C,$A7)</f>
        <v>3</v>
      </c>
      <c r="D7" s="5" t="n">
        <f aca="false" t="array" ref="D7:D7">INDEX(Data_DBD!$E:$E,$A7)</f>
        <v>0</v>
      </c>
      <c r="E7" s="5" t="str">
        <f aca="false" t="array" ref="E7:E7">INDEX(Data_DBD!$F:$F,$A7)</f>
        <v>Tinggi</v>
      </c>
      <c r="H7" s="5" t="n">
        <v>41</v>
      </c>
      <c r="I7" s="5" t="n">
        <v>8</v>
      </c>
      <c r="J7" s="5" t="n">
        <v>4</v>
      </c>
      <c r="K7" s="5" t="n">
        <v>0</v>
      </c>
      <c r="L7" s="5" t="s">
        <v>7</v>
      </c>
    </row>
    <row r="8" customFormat="false" ht="15" hidden="false" customHeight="false" outlineLevel="0" collapsed="false">
      <c r="A8" s="5" t="n">
        <f aca="false">RANDBETWEEN(2,164)</f>
        <v>46</v>
      </c>
      <c r="B8" s="5" t="n">
        <f aca="false" t="array" ref="B8:B8">INDEX(Data_DBD!$B:$B,$A8)</f>
        <v>62</v>
      </c>
      <c r="C8" s="5" t="n">
        <f aca="false" t="array" ref="C8:C8">INDEX(Data_DBD!$C:$C,$A8)</f>
        <v>2</v>
      </c>
      <c r="D8" s="5" t="n">
        <f aca="false" t="array" ref="D8:D8">INDEX(Data_DBD!$E:$E,$A8)</f>
        <v>0</v>
      </c>
      <c r="E8" s="5" t="str">
        <f aca="false" t="array" ref="E8:E8">INDEX(Data_DBD!$F:$F,$A8)</f>
        <v>Sedang</v>
      </c>
      <c r="H8" s="5" t="n">
        <v>97</v>
      </c>
      <c r="I8" s="5" t="n">
        <v>16</v>
      </c>
      <c r="J8" s="5" t="n">
        <v>2</v>
      </c>
      <c r="K8" s="5" t="n">
        <v>1</v>
      </c>
      <c r="L8" s="5" t="s">
        <v>115</v>
      </c>
    </row>
    <row r="9" customFormat="false" ht="15" hidden="false" customHeight="false" outlineLevel="0" collapsed="false">
      <c r="A9" s="5" t="n">
        <f aca="false">RANDBETWEEN(2,164)</f>
        <v>141</v>
      </c>
      <c r="B9" s="5" t="n">
        <f aca="false" t="array" ref="B9:B9">INDEX(Data_DBD!$B:$B,$A9)</f>
        <v>36</v>
      </c>
      <c r="C9" s="5" t="n">
        <f aca="false" t="array" ref="C9:C9">INDEX(Data_DBD!$C:$C,$A9)</f>
        <v>2</v>
      </c>
      <c r="D9" s="5" t="n">
        <f aca="false" t="array" ref="D9:D9">INDEX(Data_DBD!$E:$E,$A9)</f>
        <v>0</v>
      </c>
      <c r="E9" s="5" t="str">
        <f aca="false" t="array" ref="E9:E9">INDEX(Data_DBD!$F:$F,$A9)</f>
        <v>Tinggi</v>
      </c>
      <c r="H9" s="5" t="n">
        <v>2</v>
      </c>
      <c r="I9" s="5" t="n">
        <v>34</v>
      </c>
      <c r="J9" s="5" t="n">
        <v>3</v>
      </c>
      <c r="K9" s="5" t="n">
        <v>0</v>
      </c>
      <c r="L9" s="5" t="s">
        <v>7</v>
      </c>
    </row>
    <row r="10" customFormat="false" ht="15" hidden="false" customHeight="false" outlineLevel="0" collapsed="false">
      <c r="A10" s="5" t="n">
        <f aca="false">RANDBETWEEN(2,164)</f>
        <v>97</v>
      </c>
      <c r="B10" s="5" t="n">
        <f aca="false" t="array" ref="B10:B10">INDEX(Data_DBD!$B:$B,$A10)</f>
        <v>16</v>
      </c>
      <c r="C10" s="5" t="n">
        <f aca="false" t="array" ref="C10:C10">INDEX(Data_DBD!$C:$C,$A10)</f>
        <v>2</v>
      </c>
      <c r="D10" s="5" t="n">
        <f aca="false" t="array" ref="D10:D10">INDEX(Data_DBD!$E:$E,$A10)</f>
        <v>1</v>
      </c>
      <c r="E10" s="5" t="str">
        <f aca="false" t="array" ref="E10:E10">INDEX(Data_DBD!$F:$F,$A10)</f>
        <v>Sedang</v>
      </c>
      <c r="H10" s="5" t="n">
        <v>69</v>
      </c>
      <c r="I10" s="5" t="n">
        <v>24</v>
      </c>
      <c r="J10" s="5" t="n">
        <v>4</v>
      </c>
      <c r="K10" s="5" t="n">
        <v>1</v>
      </c>
      <c r="L10" s="5" t="s">
        <v>7</v>
      </c>
    </row>
    <row r="11" customFormat="false" ht="15" hidden="false" customHeight="false" outlineLevel="0" collapsed="false">
      <c r="A11" s="5" t="n">
        <f aca="false">RANDBETWEEN(2,164)</f>
        <v>79</v>
      </c>
      <c r="B11" s="5" t="n">
        <f aca="false" t="array" ref="B11:B11">INDEX(Data_DBD!$B:$B,$A11)</f>
        <v>29</v>
      </c>
      <c r="C11" s="5" t="n">
        <f aca="false" t="array" ref="C11:C11">INDEX(Data_DBD!$C:$C,$A11)</f>
        <v>3</v>
      </c>
      <c r="D11" s="5" t="n">
        <f aca="false" t="array" ref="D11:D11">INDEX(Data_DBD!$E:$E,$A11)</f>
        <v>0</v>
      </c>
      <c r="E11" s="5" t="str">
        <f aca="false" t="array" ref="E11:E11">INDEX(Data_DBD!$F:$F,$A11)</f>
        <v>Sedang</v>
      </c>
      <c r="H11" s="5" t="n">
        <v>111</v>
      </c>
      <c r="I11" s="5" t="n">
        <v>25</v>
      </c>
      <c r="J11" s="5" t="n">
        <v>4</v>
      </c>
      <c r="K11" s="5" t="n">
        <v>0</v>
      </c>
      <c r="L11" s="5" t="s">
        <v>115</v>
      </c>
    </row>
    <row r="12" customFormat="false" ht="15" hidden="false" customHeight="false" outlineLevel="0" collapsed="false">
      <c r="A12" s="5" t="n">
        <f aca="false">RANDBETWEEN(2,164)</f>
        <v>139</v>
      </c>
      <c r="B12" s="5" t="n">
        <f aca="false" t="array" ref="B12:B12">INDEX(Data_DBD!$B:$B,$A12)</f>
        <v>52</v>
      </c>
      <c r="C12" s="5" t="n">
        <f aca="false" t="array" ref="C12:C12">INDEX(Data_DBD!$C:$C,$A12)</f>
        <v>7</v>
      </c>
      <c r="D12" s="5" t="n">
        <f aca="false" t="array" ref="D12:D12">INDEX(Data_DBD!$E:$E,$A12)</f>
        <v>0</v>
      </c>
      <c r="E12" s="5" t="str">
        <f aca="false" t="array" ref="E12:E12">INDEX(Data_DBD!$F:$F,$A12)</f>
        <v>Tinggi</v>
      </c>
      <c r="H12" s="5" t="n">
        <v>93</v>
      </c>
      <c r="I12" s="5" t="n">
        <v>65</v>
      </c>
      <c r="J12" s="5" t="n">
        <v>4</v>
      </c>
      <c r="K12" s="5" t="n">
        <v>0</v>
      </c>
      <c r="L12" s="5" t="s">
        <v>115</v>
      </c>
    </row>
    <row r="13" customFormat="false" ht="15" hidden="false" customHeight="false" outlineLevel="0" collapsed="false">
      <c r="A13" s="5" t="n">
        <f aca="false">RANDBETWEEN(2,164)</f>
        <v>148</v>
      </c>
      <c r="B13" s="5" t="n">
        <f aca="false" t="array" ref="B13:B13">INDEX(Data_DBD!$B:$B,$A13)</f>
        <v>55</v>
      </c>
      <c r="C13" s="5" t="n">
        <f aca="false" t="array" ref="C13:C13">INDEX(Data_DBD!$C:$C,$A13)</f>
        <v>3</v>
      </c>
      <c r="D13" s="5" t="n">
        <f aca="false" t="array" ref="D13:D13">INDEX(Data_DBD!$E:$E,$A13)</f>
        <v>1</v>
      </c>
      <c r="E13" s="5" t="str">
        <f aca="false" t="array" ref="E13:E13">INDEX(Data_DBD!$F:$F,$A13)</f>
        <v>Tinggi</v>
      </c>
      <c r="H13" s="5" t="n">
        <v>91</v>
      </c>
      <c r="I13" s="5" t="n">
        <v>35</v>
      </c>
      <c r="J13" s="5" t="n">
        <v>1</v>
      </c>
      <c r="K13" s="5" t="n">
        <v>1</v>
      </c>
      <c r="L13" s="5" t="s">
        <v>115</v>
      </c>
    </row>
    <row r="14" customFormat="false" ht="15" hidden="false" customHeight="false" outlineLevel="0" collapsed="false">
      <c r="A14" s="5" t="n">
        <f aca="false">RANDBETWEEN(2,164)</f>
        <v>8</v>
      </c>
      <c r="B14" s="5" t="n">
        <f aca="false" t="array" ref="B14:B14">INDEX(Data_DBD!$B:$B,$A14)</f>
        <v>4</v>
      </c>
      <c r="C14" s="5" t="n">
        <f aca="false" t="array" ref="C14:C14">INDEX(Data_DBD!$C:$C,$A14)</f>
        <v>2</v>
      </c>
      <c r="D14" s="5" t="n">
        <f aca="false" t="array" ref="D14:D14">INDEX(Data_DBD!$E:$E,$A14)</f>
        <v>0</v>
      </c>
      <c r="E14" s="5" t="str">
        <f aca="false" t="array" ref="E14:E14">INDEX(Data_DBD!$F:$F,$A14)</f>
        <v>Sedang</v>
      </c>
      <c r="H14" s="5" t="n">
        <v>118</v>
      </c>
      <c r="I14" s="5" t="n">
        <v>67</v>
      </c>
      <c r="J14" s="5" t="n">
        <v>4</v>
      </c>
      <c r="K14" s="5" t="n">
        <v>1</v>
      </c>
      <c r="L14" s="5" t="s">
        <v>115</v>
      </c>
    </row>
    <row r="15" customFormat="false" ht="15" hidden="false" customHeight="false" outlineLevel="0" collapsed="false">
      <c r="A15" s="5" t="n">
        <f aca="false">RANDBETWEEN(2,164)</f>
        <v>97</v>
      </c>
      <c r="B15" s="5" t="n">
        <f aca="false" t="array" ref="B15:B15">INDEX(Data_DBD!$B:$B,$A15)</f>
        <v>16</v>
      </c>
      <c r="C15" s="5" t="n">
        <f aca="false" t="array" ref="C15:C15">INDEX(Data_DBD!$C:$C,$A15)</f>
        <v>2</v>
      </c>
      <c r="D15" s="5" t="n">
        <f aca="false" t="array" ref="D15:D15">INDEX(Data_DBD!$E:$E,$A15)</f>
        <v>1</v>
      </c>
      <c r="E15" s="5" t="str">
        <f aca="false" t="array" ref="E15:E15">INDEX(Data_DBD!$F:$F,$A15)</f>
        <v>Sedang</v>
      </c>
      <c r="H15" s="5" t="n">
        <v>65</v>
      </c>
      <c r="I15" s="5" t="n">
        <v>49</v>
      </c>
      <c r="J15" s="5" t="n">
        <v>3</v>
      </c>
      <c r="K15" s="5" t="n">
        <v>0</v>
      </c>
      <c r="L15" s="5" t="s">
        <v>7</v>
      </c>
    </row>
    <row r="16" customFormat="false" ht="15" hidden="false" customHeight="false" outlineLevel="0" collapsed="false">
      <c r="A16" s="5" t="n">
        <f aca="false">RANDBETWEEN(2,164)</f>
        <v>19</v>
      </c>
      <c r="B16" s="5" t="n">
        <f aca="false" t="array" ref="B16:B16">INDEX(Data_DBD!$B:$B,$A16)</f>
        <v>8</v>
      </c>
      <c r="C16" s="5" t="n">
        <f aca="false" t="array" ref="C16:C16">INDEX(Data_DBD!$C:$C,$A16)</f>
        <v>4</v>
      </c>
      <c r="D16" s="5" t="n">
        <f aca="false" t="array" ref="D16:D16">INDEX(Data_DBD!$E:$E,$A16)</f>
        <v>0</v>
      </c>
      <c r="E16" s="5" t="str">
        <f aca="false" t="array" ref="E16:E16">INDEX(Data_DBD!$F:$F,$A16)</f>
        <v>Rendah</v>
      </c>
      <c r="H16" s="5" t="n">
        <v>93</v>
      </c>
      <c r="I16" s="5" t="n">
        <v>65</v>
      </c>
      <c r="J16" s="5" t="n">
        <v>4</v>
      </c>
      <c r="K16" s="5" t="n">
        <v>0</v>
      </c>
      <c r="L16" s="5" t="s">
        <v>115</v>
      </c>
    </row>
    <row r="17" customFormat="false" ht="15" hidden="false" customHeight="false" outlineLevel="0" collapsed="false">
      <c r="A17" s="5" t="n">
        <f aca="false">RANDBETWEEN(2,164)</f>
        <v>65</v>
      </c>
      <c r="B17" s="5" t="n">
        <f aca="false" t="array" ref="B17:B17">INDEX(Data_DBD!$B:$B,$A17)</f>
        <v>49</v>
      </c>
      <c r="C17" s="5" t="n">
        <f aca="false" t="array" ref="C17:C17">INDEX(Data_DBD!$C:$C,$A17)</f>
        <v>3</v>
      </c>
      <c r="D17" s="5" t="n">
        <f aca="false" t="array" ref="D17:D17">INDEX(Data_DBD!$E:$E,$A17)</f>
        <v>0</v>
      </c>
      <c r="E17" s="5" t="str">
        <f aca="false" t="array" ref="E17:E17">INDEX(Data_DBD!$F:$F,$A17)</f>
        <v>Sedang</v>
      </c>
      <c r="H17" s="5" t="n">
        <v>121</v>
      </c>
      <c r="I17" s="5" t="n">
        <v>82</v>
      </c>
      <c r="J17" s="5" t="n">
        <v>5</v>
      </c>
      <c r="K17" s="5" t="n">
        <v>1</v>
      </c>
      <c r="L17" s="5" t="s">
        <v>115</v>
      </c>
    </row>
    <row r="18" customFormat="false" ht="15" hidden="false" customHeight="false" outlineLevel="0" collapsed="false">
      <c r="A18" s="5" t="n">
        <f aca="false">RANDBETWEEN(2,164)</f>
        <v>113</v>
      </c>
      <c r="B18" s="5" t="n">
        <f aca="false" t="array" ref="B18:B18">INDEX(Data_DBD!$B:$B,$A18)</f>
        <v>69</v>
      </c>
      <c r="C18" s="5" t="n">
        <f aca="false" t="array" ref="C18:C18">INDEX(Data_DBD!$C:$C,$A18)</f>
        <v>1</v>
      </c>
      <c r="D18" s="5" t="n">
        <f aca="false" t="array" ref="D18:D18">INDEX(Data_DBD!$E:$E,$A18)</f>
        <v>1</v>
      </c>
      <c r="E18" s="5" t="str">
        <f aca="false" t="array" ref="E18:E18">INDEX(Data_DBD!$F:$F,$A18)</f>
        <v>Tinggi</v>
      </c>
      <c r="H18" s="5" t="n">
        <v>148</v>
      </c>
      <c r="I18" s="5" t="n">
        <v>55</v>
      </c>
      <c r="J18" s="5" t="n">
        <v>3</v>
      </c>
      <c r="K18" s="5" t="n">
        <v>1</v>
      </c>
      <c r="L18" s="5" t="s">
        <v>115</v>
      </c>
    </row>
    <row r="19" customFormat="false" ht="15" hidden="false" customHeight="false" outlineLevel="0" collapsed="false">
      <c r="A19" s="5" t="n">
        <f aca="false">RANDBETWEEN(2,164)</f>
        <v>94</v>
      </c>
      <c r="B19" s="5" t="n">
        <f aca="false" t="array" ref="B19:B19">INDEX(Data_DBD!$B:$B,$A19)</f>
        <v>12</v>
      </c>
      <c r="C19" s="5" t="n">
        <f aca="false" t="array" ref="C19:C19">INDEX(Data_DBD!$C:$C,$A19)</f>
        <v>4</v>
      </c>
      <c r="D19" s="5" t="n">
        <f aca="false" t="array" ref="D19:D19">INDEX(Data_DBD!$E:$E,$A19)</f>
        <v>0</v>
      </c>
      <c r="E19" s="5" t="str">
        <f aca="false" t="array" ref="E19:E19">INDEX(Data_DBD!$F:$F,$A19)</f>
        <v>Sedang</v>
      </c>
      <c r="H19" s="5" t="n">
        <v>67</v>
      </c>
      <c r="I19" s="5" t="n">
        <v>21</v>
      </c>
      <c r="J19" s="5" t="n">
        <v>3</v>
      </c>
      <c r="K19" s="5" t="n">
        <v>1</v>
      </c>
      <c r="L19" s="5" t="s">
        <v>7</v>
      </c>
    </row>
    <row r="20" customFormat="false" ht="15" hidden="false" customHeight="false" outlineLevel="0" collapsed="false">
      <c r="A20" s="5" t="n">
        <f aca="false">RANDBETWEEN(2,164)</f>
        <v>134</v>
      </c>
      <c r="B20" s="5" t="n">
        <f aca="false" t="array" ref="B20:B20">INDEX(Data_DBD!$B:$B,$A20)</f>
        <v>4</v>
      </c>
      <c r="C20" s="5" t="n">
        <f aca="false" t="array" ref="C20:C20">INDEX(Data_DBD!$C:$C,$A20)</f>
        <v>2</v>
      </c>
      <c r="D20" s="5" t="n">
        <f aca="false" t="array" ref="D20:D20">INDEX(Data_DBD!$E:$E,$A20)</f>
        <v>1</v>
      </c>
      <c r="E20" s="5" t="str">
        <f aca="false" t="array" ref="E20:E20">INDEX(Data_DBD!$F:$F,$A20)</f>
        <v>Tinggi</v>
      </c>
      <c r="H20" s="5" t="n">
        <v>5</v>
      </c>
      <c r="I20" s="5" t="n">
        <v>18</v>
      </c>
      <c r="J20" s="5" t="n">
        <v>2</v>
      </c>
      <c r="K20" s="5" t="n">
        <v>1</v>
      </c>
      <c r="L20" s="5" t="s">
        <v>7</v>
      </c>
    </row>
    <row r="21" customFormat="false" ht="15" hidden="false" customHeight="false" outlineLevel="0" collapsed="false">
      <c r="A21" s="5" t="n">
        <f aca="false">RANDBETWEEN(2,164)</f>
        <v>93</v>
      </c>
      <c r="B21" s="5" t="n">
        <f aca="false" t="array" ref="B21:B21">INDEX(Data_DBD!$B:$B,$A21)</f>
        <v>65</v>
      </c>
      <c r="C21" s="5" t="n">
        <f aca="false" t="array" ref="C21:C21">INDEX(Data_DBD!$C:$C,$A21)</f>
        <v>4</v>
      </c>
      <c r="D21" s="5" t="n">
        <f aca="false" t="array" ref="D21:D21">INDEX(Data_DBD!$E:$E,$A21)</f>
        <v>0</v>
      </c>
      <c r="E21" s="5" t="str">
        <f aca="false" t="array" ref="E21:E21">INDEX(Data_DBD!$F:$F,$A21)</f>
        <v>Sedang</v>
      </c>
      <c r="H21" s="5" t="n">
        <v>45</v>
      </c>
      <c r="I21" s="5" t="n">
        <v>75</v>
      </c>
      <c r="J21" s="5" t="n">
        <v>3</v>
      </c>
      <c r="K21" s="5" t="n">
        <v>1</v>
      </c>
      <c r="L21" s="5" t="s">
        <v>7</v>
      </c>
    </row>
    <row r="22" customFormat="false" ht="15" hidden="false" customHeight="false" outlineLevel="0" collapsed="false">
      <c r="A22" s="5" t="n">
        <f aca="false">RANDBETWEEN(2,164)</f>
        <v>13</v>
      </c>
      <c r="B22" s="5" t="n">
        <f aca="false" t="array" ref="B22:B22">INDEX(Data_DBD!$B:$B,$A22)</f>
        <v>47</v>
      </c>
      <c r="C22" s="5" t="n">
        <f aca="false" t="array" ref="C22:C22">INDEX(Data_DBD!$C:$C,$A22)</f>
        <v>2</v>
      </c>
      <c r="D22" s="5" t="n">
        <f aca="false" t="array" ref="D22:D22">INDEX(Data_DBD!$E:$E,$A22)</f>
        <v>0</v>
      </c>
      <c r="E22" s="5" t="str">
        <f aca="false" t="array" ref="E22:E22">INDEX(Data_DBD!$F:$F,$A22)</f>
        <v>Sedang</v>
      </c>
      <c r="H22" s="5" t="n">
        <v>159</v>
      </c>
      <c r="I22" s="5" t="n">
        <v>17</v>
      </c>
      <c r="J22" s="5" t="n">
        <v>2</v>
      </c>
      <c r="K22" s="5" t="n">
        <v>0</v>
      </c>
      <c r="L22" s="5" t="s">
        <v>115</v>
      </c>
    </row>
    <row r="23" customFormat="false" ht="15" hidden="false" customHeight="false" outlineLevel="0" collapsed="false">
      <c r="A23" s="5" t="n">
        <f aca="false">RANDBETWEEN(2,164)</f>
        <v>145</v>
      </c>
      <c r="B23" s="5" t="n">
        <f aca="false" t="array" ref="B23:B23">INDEX(Data_DBD!$B:$B,$A23)</f>
        <v>28</v>
      </c>
      <c r="C23" s="5" t="n">
        <f aca="false" t="array" ref="C23:C23">INDEX(Data_DBD!$C:$C,$A23)</f>
        <v>4</v>
      </c>
      <c r="D23" s="5" t="n">
        <f aca="false" t="array" ref="D23:D23">INDEX(Data_DBD!$E:$E,$A23)</f>
        <v>1</v>
      </c>
      <c r="E23" s="5" t="str">
        <f aca="false" t="array" ref="E23:E23">INDEX(Data_DBD!$F:$F,$A23)</f>
        <v>Tinggi</v>
      </c>
      <c r="H23" s="5" t="n">
        <v>10</v>
      </c>
      <c r="I23" s="5" t="n">
        <v>18</v>
      </c>
      <c r="J23" s="5" t="n">
        <v>5</v>
      </c>
      <c r="K23" s="5" t="n">
        <v>0</v>
      </c>
      <c r="L23" s="5" t="s">
        <v>7</v>
      </c>
    </row>
    <row r="24" customFormat="false" ht="15" hidden="false" customHeight="false" outlineLevel="0" collapsed="false">
      <c r="A24" s="5" t="n">
        <f aca="false">RANDBETWEEN(2,164)</f>
        <v>79</v>
      </c>
      <c r="B24" s="5" t="n">
        <f aca="false" t="array" ref="B24:B24">INDEX(Data_DBD!$B:$B,$A24)</f>
        <v>29</v>
      </c>
      <c r="C24" s="5" t="n">
        <f aca="false" t="array" ref="C24:C24">INDEX(Data_DBD!$C:$C,$A24)</f>
        <v>3</v>
      </c>
      <c r="D24" s="5" t="n">
        <f aca="false" t="array" ref="D24:D24">INDEX(Data_DBD!$E:$E,$A24)</f>
        <v>0</v>
      </c>
      <c r="E24" s="5" t="str">
        <f aca="false" t="array" ref="E24:E24">INDEX(Data_DBD!$F:$F,$A24)</f>
        <v>Sedang</v>
      </c>
      <c r="H24" s="5" t="n">
        <v>145</v>
      </c>
      <c r="I24" s="5" t="n">
        <v>28</v>
      </c>
      <c r="J24" s="5" t="n">
        <v>4</v>
      </c>
      <c r="K24" s="5" t="n">
        <v>1</v>
      </c>
      <c r="L24" s="5" t="s">
        <v>115</v>
      </c>
    </row>
    <row r="25" customFormat="false" ht="15" hidden="false" customHeight="false" outlineLevel="0" collapsed="false">
      <c r="A25" s="5" t="n">
        <f aca="false">RANDBETWEEN(2,164)</f>
        <v>141</v>
      </c>
      <c r="B25" s="5" t="n">
        <f aca="false" t="array" ref="B25:B25">INDEX(Data_DBD!$B:$B,$A25)</f>
        <v>36</v>
      </c>
      <c r="C25" s="5" t="n">
        <f aca="false" t="array" ref="C25:C25">INDEX(Data_DBD!$C:$C,$A25)</f>
        <v>2</v>
      </c>
      <c r="D25" s="5" t="n">
        <f aca="false" t="array" ref="D25:D25">INDEX(Data_DBD!$E:$E,$A25)</f>
        <v>0</v>
      </c>
      <c r="E25" s="5" t="str">
        <f aca="false" t="array" ref="E25:E25">INDEX(Data_DBD!$F:$F,$A25)</f>
        <v>Tinggi</v>
      </c>
      <c r="H25" s="5" t="n">
        <v>11</v>
      </c>
      <c r="I25" s="5" t="n">
        <v>24</v>
      </c>
      <c r="J25" s="5" t="n">
        <v>5</v>
      </c>
      <c r="K25" s="5" t="n">
        <v>1</v>
      </c>
      <c r="L25" s="5" t="s">
        <v>7</v>
      </c>
    </row>
    <row r="26" customFormat="false" ht="15" hidden="false" customHeight="false" outlineLevel="0" collapsed="false">
      <c r="A26" s="5" t="n">
        <f aca="false">RANDBETWEEN(2,164)</f>
        <v>34</v>
      </c>
      <c r="B26" s="5" t="n">
        <f aca="false" t="array" ref="B26:B26">INDEX(Data_DBD!$B:$B,$A26)</f>
        <v>55</v>
      </c>
      <c r="C26" s="5" t="n">
        <f aca="false" t="array" ref="C26:C26">INDEX(Data_DBD!$C:$C,$A26)</f>
        <v>3</v>
      </c>
      <c r="D26" s="5" t="n">
        <f aca="false" t="array" ref="D26:D26">INDEX(Data_DBD!$E:$E,$A26)</f>
        <v>0</v>
      </c>
      <c r="E26" s="5" t="str">
        <f aca="false" t="array" ref="E26:E26">INDEX(Data_DBD!$F:$F,$A26)</f>
        <v>Sedang</v>
      </c>
      <c r="H26" s="5" t="n">
        <v>126</v>
      </c>
      <c r="I26" s="5" t="n">
        <v>51</v>
      </c>
      <c r="J26" s="5" t="n">
        <v>3</v>
      </c>
      <c r="K26" s="5" t="n">
        <v>1</v>
      </c>
      <c r="L26" s="5" t="s">
        <v>115</v>
      </c>
    </row>
    <row r="27" customFormat="false" ht="15" hidden="false" customHeight="false" outlineLevel="0" collapsed="false">
      <c r="A27" s="5" t="n">
        <f aca="false">RANDBETWEEN(2,164)</f>
        <v>152</v>
      </c>
      <c r="B27" s="5" t="n">
        <f aca="false" t="array" ref="B27:B27">INDEX(Data_DBD!$B:$B,$A27)</f>
        <v>47</v>
      </c>
      <c r="C27" s="5" t="n">
        <f aca="false" t="array" ref="C27:C27">INDEX(Data_DBD!$C:$C,$A27)</f>
        <v>3</v>
      </c>
      <c r="D27" s="5" t="n">
        <f aca="false" t="array" ref="D27:D27">INDEX(Data_DBD!$E:$E,$A27)</f>
        <v>1</v>
      </c>
      <c r="E27" s="5" t="str">
        <f aca="false" t="array" ref="E27:E27">INDEX(Data_DBD!$F:$F,$A27)</f>
        <v>Tinggi</v>
      </c>
      <c r="H27" s="5" t="n">
        <v>157</v>
      </c>
      <c r="I27" s="5" t="n">
        <v>15</v>
      </c>
      <c r="J27" s="5" t="n">
        <v>4</v>
      </c>
      <c r="K27" s="5" t="n">
        <v>1</v>
      </c>
      <c r="L27" s="5" t="s">
        <v>115</v>
      </c>
    </row>
    <row r="28" customFormat="false" ht="15" hidden="false" customHeight="false" outlineLevel="0" collapsed="false">
      <c r="A28" s="5" t="n">
        <f aca="false">RANDBETWEEN(2,164)</f>
        <v>158</v>
      </c>
      <c r="B28" s="5" t="n">
        <f aca="false" t="array" ref="B28:B28">INDEX(Data_DBD!$B:$B,$A28)</f>
        <v>5</v>
      </c>
      <c r="C28" s="5" t="n">
        <f aca="false" t="array" ref="C28:C28">INDEX(Data_DBD!$C:$C,$A28)</f>
        <v>2</v>
      </c>
      <c r="D28" s="5" t="n">
        <f aca="false" t="array" ref="D28:D28">INDEX(Data_DBD!$E:$E,$A28)</f>
        <v>0</v>
      </c>
      <c r="E28" s="5" t="str">
        <f aca="false" t="array" ref="E28:E28">INDEX(Data_DBD!$F:$F,$A28)</f>
        <v>Tinggi</v>
      </c>
      <c r="H28" s="5" t="n">
        <v>158</v>
      </c>
      <c r="I28" s="5" t="n">
        <v>5</v>
      </c>
      <c r="J28" s="5" t="n">
        <v>2</v>
      </c>
      <c r="K28" s="5" t="n">
        <v>0</v>
      </c>
      <c r="L28" s="5" t="s">
        <v>115</v>
      </c>
    </row>
    <row r="29" customFormat="false" ht="15" hidden="false" customHeight="false" outlineLevel="0" collapsed="false">
      <c r="A29" s="5" t="n">
        <f aca="false">RANDBETWEEN(2,164)</f>
        <v>4</v>
      </c>
      <c r="B29" s="5" t="n">
        <f aca="false" t="array" ref="B29:B29">INDEX(Data_DBD!$B:$B,$A29)</f>
        <v>23</v>
      </c>
      <c r="C29" s="5" t="n">
        <f aca="false" t="array" ref="C29:C29">INDEX(Data_DBD!$C:$C,$A29)</f>
        <v>5</v>
      </c>
      <c r="D29" s="5" t="n">
        <f aca="false" t="array" ref="D29:D29">INDEX(Data_DBD!$E:$E,$A29)</f>
        <v>0</v>
      </c>
      <c r="E29" s="5" t="str">
        <f aca="false" t="array" ref="E29:E29">INDEX(Data_DBD!$F:$F,$A29)</f>
        <v>Sedang</v>
      </c>
      <c r="H29" s="5" t="n">
        <v>150</v>
      </c>
      <c r="I29" s="5" t="n">
        <v>61</v>
      </c>
      <c r="J29" s="5" t="n">
        <v>5</v>
      </c>
      <c r="K29" s="5" t="n">
        <v>1</v>
      </c>
      <c r="L29" s="5" t="s">
        <v>115</v>
      </c>
    </row>
    <row r="30" customFormat="false" ht="15" hidden="false" customHeight="false" outlineLevel="0" collapsed="false">
      <c r="A30" s="5" t="n">
        <f aca="false">RANDBETWEEN(2,164)</f>
        <v>5</v>
      </c>
      <c r="B30" s="5" t="n">
        <f aca="false" t="array" ref="B30:B30">INDEX(Data_DBD!$B:$B,$A30)</f>
        <v>18</v>
      </c>
      <c r="C30" s="5" t="n">
        <f aca="false" t="array" ref="C30:C30">INDEX(Data_DBD!$C:$C,$A30)</f>
        <v>2</v>
      </c>
      <c r="D30" s="5" t="n">
        <f aca="false" t="array" ref="D30:D30">INDEX(Data_DBD!$E:$E,$A30)</f>
        <v>1</v>
      </c>
      <c r="E30" s="5" t="str">
        <f aca="false" t="array" ref="E30:E30">INDEX(Data_DBD!$F:$F,$A30)</f>
        <v>Sedang</v>
      </c>
      <c r="H30" s="5" t="n">
        <v>27</v>
      </c>
      <c r="I30" s="5" t="n">
        <v>37</v>
      </c>
      <c r="J30" s="5" t="n">
        <v>4</v>
      </c>
      <c r="K30" s="5" t="n">
        <v>1</v>
      </c>
      <c r="L30" s="5" t="s">
        <v>7</v>
      </c>
    </row>
    <row r="31" customFormat="false" ht="15" hidden="false" customHeight="false" outlineLevel="0" collapsed="false">
      <c r="A31" s="5" t="n">
        <f aca="false">RANDBETWEEN(2,164)</f>
        <v>102</v>
      </c>
      <c r="B31" s="5" t="n">
        <f aca="false" t="array" ref="B31:B31">INDEX(Data_DBD!$B:$B,$A31)</f>
        <v>41</v>
      </c>
      <c r="C31" s="5" t="n">
        <f aca="false" t="array" ref="C31:C31">INDEX(Data_DBD!$C:$C,$A31)</f>
        <v>4</v>
      </c>
      <c r="D31" s="5" t="n">
        <f aca="false" t="array" ref="D31:D31">INDEX(Data_DBD!$E:$E,$A31)</f>
        <v>0</v>
      </c>
      <c r="E31" s="5" t="str">
        <f aca="false" t="array" ref="E31:E31">INDEX(Data_DBD!$F:$F,$A31)</f>
        <v>Sedang</v>
      </c>
      <c r="H31" s="5" t="n">
        <v>145</v>
      </c>
      <c r="I31" s="5" t="n">
        <v>28</v>
      </c>
      <c r="J31" s="5" t="n">
        <v>4</v>
      </c>
      <c r="K31" s="5" t="n">
        <v>1</v>
      </c>
      <c r="L31" s="5" t="s">
        <v>115</v>
      </c>
    </row>
    <row r="32" customFormat="false" ht="15" hidden="false" customHeight="false" outlineLevel="0" collapsed="false">
      <c r="A32" s="5" t="n">
        <f aca="false">RANDBETWEEN(2,164)</f>
        <v>134</v>
      </c>
      <c r="B32" s="5" t="n">
        <f aca="false" t="array" ref="B32:B32">INDEX(Data_DBD!$B:$B,$A32)</f>
        <v>4</v>
      </c>
      <c r="C32" s="5" t="n">
        <f aca="false" t="array" ref="C32:C32">INDEX(Data_DBD!$C:$C,$A32)</f>
        <v>2</v>
      </c>
      <c r="D32" s="5" t="n">
        <f aca="false" t="array" ref="D32:D32">INDEX(Data_DBD!$E:$E,$A32)</f>
        <v>1</v>
      </c>
      <c r="E32" s="5" t="str">
        <f aca="false" t="array" ref="E32:E32">INDEX(Data_DBD!$F:$F,$A32)</f>
        <v>Tinggi</v>
      </c>
      <c r="H32" s="5" t="n">
        <v>104</v>
      </c>
      <c r="I32" s="5" t="n">
        <v>37</v>
      </c>
      <c r="J32" s="5" t="n">
        <v>4</v>
      </c>
      <c r="K32" s="5" t="n">
        <v>1</v>
      </c>
      <c r="L32" s="5" t="s">
        <v>115</v>
      </c>
    </row>
    <row r="33" customFormat="false" ht="15" hidden="false" customHeight="false" outlineLevel="0" collapsed="false">
      <c r="A33" s="5" t="n">
        <f aca="false">RANDBETWEEN(2,164)</f>
        <v>109</v>
      </c>
      <c r="B33" s="5" t="n">
        <f aca="false" t="array" ref="B33:B33">INDEX(Data_DBD!$B:$B,$A33)</f>
        <v>40</v>
      </c>
      <c r="C33" s="5" t="n">
        <f aca="false" t="array" ref="C33:C33">INDEX(Data_DBD!$C:$C,$A33)</f>
        <v>3</v>
      </c>
      <c r="D33" s="5" t="n">
        <f aca="false" t="array" ref="D33:D33">INDEX(Data_DBD!$E:$E,$A33)</f>
        <v>1</v>
      </c>
      <c r="E33" s="5" t="str">
        <f aca="false" t="array" ref="E33:E33">INDEX(Data_DBD!$F:$F,$A33)</f>
        <v>Tinggi</v>
      </c>
      <c r="H33" s="5" t="n">
        <v>53</v>
      </c>
      <c r="I33" s="5" t="n">
        <v>35</v>
      </c>
      <c r="J33" s="5" t="n">
        <v>4</v>
      </c>
      <c r="K33" s="5" t="n">
        <v>1</v>
      </c>
      <c r="L33" s="5" t="s">
        <v>7</v>
      </c>
    </row>
    <row r="34" customFormat="false" ht="15" hidden="false" customHeight="false" outlineLevel="0" collapsed="false">
      <c r="A34" s="5" t="n">
        <f aca="false">RANDBETWEEN(2,164)</f>
        <v>18</v>
      </c>
      <c r="B34" s="5" t="n">
        <f aca="false" t="array" ref="B34:B34">INDEX(Data_DBD!$B:$B,$A34)</f>
        <v>49</v>
      </c>
      <c r="C34" s="5" t="n">
        <f aca="false" t="array" ref="C34:C34">INDEX(Data_DBD!$C:$C,$A34)</f>
        <v>4</v>
      </c>
      <c r="D34" s="5" t="n">
        <f aca="false" t="array" ref="D34:D34">INDEX(Data_DBD!$E:$E,$A34)</f>
        <v>1</v>
      </c>
      <c r="E34" s="5" t="str">
        <f aca="false" t="array" ref="E34:E34">INDEX(Data_DBD!$F:$F,$A34)</f>
        <v>Rendah</v>
      </c>
      <c r="H34" s="5" t="n">
        <v>44</v>
      </c>
      <c r="I34" s="5" t="n">
        <v>28</v>
      </c>
      <c r="J34" s="5" t="n">
        <v>5</v>
      </c>
      <c r="K34" s="5" t="n">
        <v>1</v>
      </c>
      <c r="L34" s="5" t="s">
        <v>7</v>
      </c>
    </row>
    <row r="35" customFormat="false" ht="15" hidden="false" customHeight="false" outlineLevel="0" collapsed="false">
      <c r="A35" s="5" t="n">
        <f aca="false">RANDBETWEEN(2,164)</f>
        <v>103</v>
      </c>
      <c r="B35" s="5" t="n">
        <f aca="false" t="array" ref="B35:B35">INDEX(Data_DBD!$B:$B,$A35)</f>
        <v>22</v>
      </c>
      <c r="C35" s="5" t="n">
        <f aca="false" t="array" ref="C35:C35">INDEX(Data_DBD!$C:$C,$A35)</f>
        <v>5</v>
      </c>
      <c r="D35" s="5" t="n">
        <f aca="false" t="array" ref="D35:D35">INDEX(Data_DBD!$E:$E,$A35)</f>
        <v>0</v>
      </c>
      <c r="E35" s="5" t="str">
        <f aca="false" t="array" ref="E35:E35">INDEX(Data_DBD!$F:$F,$A35)</f>
        <v>Sedang</v>
      </c>
      <c r="H35" s="5" t="n">
        <v>115</v>
      </c>
      <c r="I35" s="5" t="n">
        <v>52</v>
      </c>
      <c r="J35" s="5" t="n">
        <v>3</v>
      </c>
      <c r="K35" s="5" t="n">
        <v>1</v>
      </c>
      <c r="L35" s="5" t="s">
        <v>115</v>
      </c>
    </row>
    <row r="36" customFormat="false" ht="15" hidden="false" customHeight="false" outlineLevel="0" collapsed="false">
      <c r="A36" s="5" t="n">
        <f aca="false">RANDBETWEEN(2,164)</f>
        <v>159</v>
      </c>
      <c r="B36" s="5" t="n">
        <f aca="false" t="array" ref="B36:B36">INDEX(Data_DBD!$B:$B,$A36)</f>
        <v>17</v>
      </c>
      <c r="C36" s="5" t="n">
        <f aca="false" t="array" ref="C36:C36">INDEX(Data_DBD!$C:$C,$A36)</f>
        <v>2</v>
      </c>
      <c r="D36" s="5" t="n">
        <f aca="false" t="array" ref="D36:D36">INDEX(Data_DBD!$E:$E,$A36)</f>
        <v>0</v>
      </c>
      <c r="E36" s="5" t="str">
        <f aca="false" t="array" ref="E36:E36">INDEX(Data_DBD!$F:$F,$A36)</f>
        <v>Tinggi</v>
      </c>
      <c r="H36" s="5" t="n">
        <v>127</v>
      </c>
      <c r="I36" s="5" t="n">
        <v>21</v>
      </c>
      <c r="J36" s="5" t="n">
        <v>2</v>
      </c>
      <c r="K36" s="5" t="n">
        <v>0</v>
      </c>
      <c r="L36" s="5" t="s">
        <v>115</v>
      </c>
    </row>
    <row r="37" customFormat="false" ht="15" hidden="false" customHeight="false" outlineLevel="0" collapsed="false">
      <c r="A37" s="5" t="n">
        <f aca="false">RANDBETWEEN(2,164)</f>
        <v>85</v>
      </c>
      <c r="B37" s="5" t="n">
        <f aca="false" t="array" ref="B37:B37">INDEX(Data_DBD!$B:$B,$A37)</f>
        <v>27</v>
      </c>
      <c r="C37" s="5" t="n">
        <f aca="false" t="array" ref="C37:C37">INDEX(Data_DBD!$C:$C,$A37)</f>
        <v>9</v>
      </c>
      <c r="D37" s="5" t="n">
        <f aca="false" t="array" ref="D37:D37">INDEX(Data_DBD!$E:$E,$A37)</f>
        <v>0</v>
      </c>
      <c r="E37" s="5" t="str">
        <f aca="false" t="array" ref="E37:E37">INDEX(Data_DBD!$F:$F,$A37)</f>
        <v>Sedang</v>
      </c>
      <c r="H37" s="5" t="n">
        <v>68</v>
      </c>
      <c r="I37" s="5" t="n">
        <v>44</v>
      </c>
      <c r="J37" s="5" t="n">
        <v>5</v>
      </c>
      <c r="K37" s="5" t="n">
        <v>0</v>
      </c>
      <c r="L37" s="5" t="s">
        <v>7</v>
      </c>
    </row>
    <row r="38" customFormat="false" ht="15" hidden="false" customHeight="false" outlineLevel="0" collapsed="false">
      <c r="A38" s="5" t="n">
        <f aca="false">RANDBETWEEN(2,164)</f>
        <v>9</v>
      </c>
      <c r="B38" s="5" t="n">
        <f aca="false" t="array" ref="B38:B38">INDEX(Data_DBD!$B:$B,$A38)</f>
        <v>16</v>
      </c>
      <c r="C38" s="5" t="n">
        <f aca="false" t="array" ref="C38:C38">INDEX(Data_DBD!$C:$C,$A38)</f>
        <v>6</v>
      </c>
      <c r="D38" s="5" t="n">
        <f aca="false" t="array" ref="D38:D38">INDEX(Data_DBD!$E:$E,$A38)</f>
        <v>1</v>
      </c>
      <c r="E38" s="5" t="str">
        <f aca="false" t="array" ref="E38:E38">INDEX(Data_DBD!$F:$F,$A38)</f>
        <v>Sedang</v>
      </c>
      <c r="H38" s="5" t="n">
        <v>26</v>
      </c>
      <c r="I38" s="5" t="n">
        <v>75</v>
      </c>
      <c r="J38" s="5" t="n">
        <v>4</v>
      </c>
      <c r="K38" s="5" t="n">
        <v>1</v>
      </c>
      <c r="L38" s="5" t="s">
        <v>7</v>
      </c>
    </row>
    <row r="39" customFormat="false" ht="15" hidden="false" customHeight="false" outlineLevel="0" collapsed="false">
      <c r="A39" s="5" t="n">
        <f aca="false">RANDBETWEEN(2,164)</f>
        <v>86</v>
      </c>
      <c r="B39" s="5" t="n">
        <f aca="false" t="array" ref="B39:B39">INDEX(Data_DBD!$B:$B,$A39)</f>
        <v>23</v>
      </c>
      <c r="C39" s="5" t="n">
        <f aca="false" t="array" ref="C39:C39">INDEX(Data_DBD!$C:$C,$A39)</f>
        <v>3</v>
      </c>
      <c r="D39" s="5" t="n">
        <f aca="false" t="array" ref="D39:D39">INDEX(Data_DBD!$E:$E,$A39)</f>
        <v>0</v>
      </c>
      <c r="E39" s="5" t="str">
        <f aca="false" t="array" ref="E39:E39">INDEX(Data_DBD!$F:$F,$A39)</f>
        <v>Sedang</v>
      </c>
      <c r="H39" s="5" t="n">
        <v>157</v>
      </c>
      <c r="I39" s="5" t="n">
        <v>15</v>
      </c>
      <c r="J39" s="5" t="n">
        <v>4</v>
      </c>
      <c r="K39" s="5" t="n">
        <v>1</v>
      </c>
      <c r="L39" s="5" t="s">
        <v>115</v>
      </c>
    </row>
    <row r="40" customFormat="false" ht="15" hidden="false" customHeight="false" outlineLevel="0" collapsed="false">
      <c r="A40" s="5" t="n">
        <f aca="false">RANDBETWEEN(2,164)</f>
        <v>6</v>
      </c>
      <c r="B40" s="5" t="n">
        <f aca="false" t="array" ref="B40:B40">INDEX(Data_DBD!$B:$B,$A40)</f>
        <v>14</v>
      </c>
      <c r="C40" s="5" t="n">
        <f aca="false" t="array" ref="C40:C40">INDEX(Data_DBD!$C:$C,$A40)</f>
        <v>4</v>
      </c>
      <c r="D40" s="5" t="n">
        <f aca="false" t="array" ref="D40:D40">INDEX(Data_DBD!$E:$E,$A40)</f>
        <v>0</v>
      </c>
      <c r="E40" s="5" t="str">
        <f aca="false" t="array" ref="E40:E40">INDEX(Data_DBD!$F:$F,$A40)</f>
        <v>Sedang</v>
      </c>
      <c r="H40" s="5" t="n">
        <v>10</v>
      </c>
      <c r="I40" s="5" t="n">
        <v>18</v>
      </c>
      <c r="J40" s="5" t="n">
        <v>5</v>
      </c>
      <c r="K40" s="5" t="n">
        <v>0</v>
      </c>
      <c r="L40" s="5" t="s">
        <v>7</v>
      </c>
    </row>
    <row r="41" customFormat="false" ht="15" hidden="false" customHeight="false" outlineLevel="0" collapsed="false">
      <c r="A41" s="5" t="n">
        <f aca="false">RANDBETWEEN(2,164)</f>
        <v>95</v>
      </c>
      <c r="B41" s="5" t="n">
        <f aca="false" t="array" ref="B41:B41">INDEX(Data_DBD!$B:$B,$A41)</f>
        <v>11</v>
      </c>
      <c r="C41" s="5" t="n">
        <f aca="false" t="array" ref="C41:C41">INDEX(Data_DBD!$C:$C,$A41)</f>
        <v>3</v>
      </c>
      <c r="D41" s="5" t="n">
        <f aca="false" t="array" ref="D41:D41">INDEX(Data_DBD!$E:$E,$A41)</f>
        <v>1</v>
      </c>
      <c r="E41" s="5" t="str">
        <f aca="false" t="array" ref="E41:E41">INDEX(Data_DBD!$F:$F,$A41)</f>
        <v>Sedang</v>
      </c>
      <c r="H41" s="5" t="n">
        <v>73</v>
      </c>
      <c r="I41" s="5" t="n">
        <v>15</v>
      </c>
      <c r="J41" s="5" t="n">
        <v>3</v>
      </c>
      <c r="K41" s="5" t="n">
        <v>1</v>
      </c>
      <c r="L41" s="5" t="s">
        <v>7</v>
      </c>
    </row>
    <row r="42" customFormat="false" ht="15" hidden="false" customHeight="false" outlineLevel="0" collapsed="false">
      <c r="A42" s="5" t="n">
        <f aca="false">RANDBETWEEN(2,164)</f>
        <v>71</v>
      </c>
      <c r="B42" s="5" t="n">
        <f aca="false" t="array" ref="B42:B42">INDEX(Data_DBD!$B:$B,$A42)</f>
        <v>84</v>
      </c>
      <c r="C42" s="5" t="n">
        <f aca="false" t="array" ref="C42:C42">INDEX(Data_DBD!$C:$C,$A42)</f>
        <v>3</v>
      </c>
      <c r="D42" s="5" t="n">
        <f aca="false" t="array" ref="D42:D42">INDEX(Data_DBD!$E:$E,$A42)</f>
        <v>0</v>
      </c>
      <c r="E42" s="5" t="str">
        <f aca="false" t="array" ref="E42:E42">INDEX(Data_DBD!$F:$F,$A42)</f>
        <v>Rendah</v>
      </c>
      <c r="H42" s="5" t="n">
        <v>133</v>
      </c>
      <c r="I42" s="5" t="n">
        <v>6</v>
      </c>
      <c r="J42" s="5" t="n">
        <v>4</v>
      </c>
      <c r="K42" s="5" t="n">
        <v>0</v>
      </c>
      <c r="L42" s="5" t="s">
        <v>115</v>
      </c>
    </row>
    <row r="43" customFormat="false" ht="15" hidden="false" customHeight="false" outlineLevel="0" collapsed="false">
      <c r="A43" s="5" t="n">
        <f aca="false">RANDBETWEEN(2,164)</f>
        <v>97</v>
      </c>
      <c r="B43" s="5" t="n">
        <f aca="false" t="array" ref="B43:B43">INDEX(Data_DBD!$B:$B,$A43)</f>
        <v>16</v>
      </c>
      <c r="C43" s="5" t="n">
        <f aca="false" t="array" ref="C43:C43">INDEX(Data_DBD!$C:$C,$A43)</f>
        <v>2</v>
      </c>
      <c r="D43" s="5" t="n">
        <f aca="false" t="array" ref="D43:D43">INDEX(Data_DBD!$E:$E,$A43)</f>
        <v>1</v>
      </c>
      <c r="E43" s="5" t="str">
        <f aca="false" t="array" ref="E43:E43">INDEX(Data_DBD!$F:$F,$A43)</f>
        <v>Sedang</v>
      </c>
      <c r="H43" s="5" t="n">
        <v>79</v>
      </c>
      <c r="I43" s="5" t="n">
        <v>29</v>
      </c>
      <c r="J43" s="5" t="n">
        <v>3</v>
      </c>
      <c r="K43" s="5" t="n">
        <v>0</v>
      </c>
      <c r="L43" s="5" t="s">
        <v>7</v>
      </c>
    </row>
    <row r="44" customFormat="false" ht="15" hidden="false" customHeight="false" outlineLevel="0" collapsed="false">
      <c r="A44" s="5" t="n">
        <f aca="false">RANDBETWEEN(2,164)</f>
        <v>146</v>
      </c>
      <c r="B44" s="5" t="n">
        <f aca="false" t="array" ref="B44:B44">INDEX(Data_DBD!$B:$B,$A44)</f>
        <v>34</v>
      </c>
      <c r="C44" s="5" t="n">
        <f aca="false" t="array" ref="C44:C44">INDEX(Data_DBD!$C:$C,$A44)</f>
        <v>2</v>
      </c>
      <c r="D44" s="5" t="n">
        <f aca="false" t="array" ref="D44:D44">INDEX(Data_DBD!$E:$E,$A44)</f>
        <v>1</v>
      </c>
      <c r="E44" s="5" t="str">
        <f aca="false" t="array" ref="E44:E44">INDEX(Data_DBD!$F:$F,$A44)</f>
        <v>Tinggi</v>
      </c>
      <c r="H44" s="5" t="n">
        <v>61</v>
      </c>
      <c r="I44" s="5" t="n">
        <v>29</v>
      </c>
      <c r="J44" s="5" t="n">
        <v>3</v>
      </c>
      <c r="K44" s="5" t="n">
        <v>1</v>
      </c>
      <c r="L44" s="5" t="s">
        <v>7</v>
      </c>
    </row>
    <row r="45" customFormat="false" ht="15" hidden="false" customHeight="false" outlineLevel="0" collapsed="false">
      <c r="A45" s="5" t="n">
        <f aca="false">RANDBETWEEN(2,164)</f>
        <v>39</v>
      </c>
      <c r="B45" s="5" t="n">
        <f aca="false" t="array" ref="B45:B45">INDEX(Data_DBD!$B:$B,$A45)</f>
        <v>12</v>
      </c>
      <c r="C45" s="5" t="n">
        <f aca="false" t="array" ref="C45:C45">INDEX(Data_DBD!$C:$C,$A45)</f>
        <v>5</v>
      </c>
      <c r="D45" s="5" t="n">
        <f aca="false" t="array" ref="D45:D45">INDEX(Data_DBD!$E:$E,$A45)</f>
        <v>1</v>
      </c>
      <c r="E45" s="5" t="str">
        <f aca="false" t="array" ref="E45:E45">INDEX(Data_DBD!$F:$F,$A45)</f>
        <v>Sedang</v>
      </c>
      <c r="H45" s="5" t="n">
        <v>102</v>
      </c>
      <c r="I45" s="5" t="n">
        <v>41</v>
      </c>
      <c r="J45" s="5" t="n">
        <v>4</v>
      </c>
      <c r="K45" s="5" t="n">
        <v>0</v>
      </c>
      <c r="L45" s="5" t="s">
        <v>115</v>
      </c>
    </row>
    <row r="46" customFormat="false" ht="15" hidden="false" customHeight="false" outlineLevel="0" collapsed="false">
      <c r="A46" s="5" t="n">
        <f aca="false">RANDBETWEEN(2,164)</f>
        <v>91</v>
      </c>
      <c r="B46" s="5" t="n">
        <f aca="false" t="array" ref="B46:B46">INDEX(Data_DBD!$B:$B,$A46)</f>
        <v>35</v>
      </c>
      <c r="C46" s="5" t="n">
        <f aca="false" t="array" ref="C46:C46">INDEX(Data_DBD!$C:$C,$A46)</f>
        <v>1</v>
      </c>
      <c r="D46" s="5" t="n">
        <f aca="false" t="array" ref="D46:D46">INDEX(Data_DBD!$E:$E,$A46)</f>
        <v>1</v>
      </c>
      <c r="E46" s="5" t="str">
        <f aca="false" t="array" ref="E46:E46">INDEX(Data_DBD!$F:$F,$A46)</f>
        <v>Sedang</v>
      </c>
      <c r="H46" s="5" t="n">
        <v>129</v>
      </c>
      <c r="I46" s="5" t="n">
        <v>4</v>
      </c>
      <c r="J46" s="5" t="n">
        <v>3</v>
      </c>
      <c r="K46" s="5" t="n">
        <v>0</v>
      </c>
      <c r="L46" s="5" t="s">
        <v>115</v>
      </c>
    </row>
    <row r="47" customFormat="false" ht="15" hidden="false" customHeight="false" outlineLevel="0" collapsed="false">
      <c r="A47" s="5" t="n">
        <f aca="false">RANDBETWEEN(2,164)</f>
        <v>39</v>
      </c>
      <c r="B47" s="5" t="n">
        <f aca="false" t="array" ref="B47:B47">INDEX(Data_DBD!$B:$B,$A47)</f>
        <v>12</v>
      </c>
      <c r="C47" s="5" t="n">
        <f aca="false" t="array" ref="C47:C47">INDEX(Data_DBD!$C:$C,$A47)</f>
        <v>5</v>
      </c>
      <c r="D47" s="5" t="n">
        <f aca="false" t="array" ref="D47:D47">INDEX(Data_DBD!$E:$E,$A47)</f>
        <v>1</v>
      </c>
      <c r="E47" s="5" t="str">
        <f aca="false" t="array" ref="E47:E47">INDEX(Data_DBD!$F:$F,$A47)</f>
        <v>Sedang</v>
      </c>
      <c r="H47" s="5" t="n">
        <v>120</v>
      </c>
      <c r="I47" s="5" t="n">
        <v>26</v>
      </c>
      <c r="J47" s="5" t="n">
        <v>4</v>
      </c>
      <c r="K47" s="5" t="n">
        <v>1</v>
      </c>
      <c r="L47" s="5" t="s">
        <v>115</v>
      </c>
    </row>
    <row r="48" customFormat="false" ht="15" hidden="false" customHeight="false" outlineLevel="0" collapsed="false">
      <c r="A48" s="5" t="n">
        <f aca="false">RANDBETWEEN(2,164)</f>
        <v>76</v>
      </c>
      <c r="B48" s="5" t="n">
        <f aca="false" t="array" ref="B48:B48">INDEX(Data_DBD!$B:$B,$A48)</f>
        <v>70</v>
      </c>
      <c r="C48" s="5" t="n">
        <f aca="false" t="array" ref="C48:C48">INDEX(Data_DBD!$C:$C,$A48)</f>
        <v>2</v>
      </c>
      <c r="D48" s="5" t="n">
        <f aca="false" t="array" ref="D48:D48">INDEX(Data_DBD!$E:$E,$A48)</f>
        <v>0</v>
      </c>
      <c r="E48" s="5" t="str">
        <f aca="false" t="array" ref="E48:E48">INDEX(Data_DBD!$F:$F,$A48)</f>
        <v>Rendah</v>
      </c>
      <c r="H48" s="5" t="n">
        <v>102</v>
      </c>
      <c r="I48" s="5" t="n">
        <v>41</v>
      </c>
      <c r="J48" s="5" t="n">
        <v>4</v>
      </c>
      <c r="K48" s="5" t="n">
        <v>0</v>
      </c>
      <c r="L48" s="5" t="s">
        <v>115</v>
      </c>
    </row>
    <row r="49" customFormat="false" ht="15" hidden="false" customHeight="false" outlineLevel="0" collapsed="false">
      <c r="A49" s="5" t="n">
        <f aca="false">RANDBETWEEN(2,164)</f>
        <v>109</v>
      </c>
      <c r="B49" s="5" t="n">
        <f aca="false" t="array" ref="B49:B49">INDEX(Data_DBD!$B:$B,$A49)</f>
        <v>40</v>
      </c>
      <c r="C49" s="5" t="n">
        <f aca="false" t="array" ref="C49:C49">INDEX(Data_DBD!$C:$C,$A49)</f>
        <v>3</v>
      </c>
      <c r="D49" s="5" t="n">
        <f aca="false" t="array" ref="D49:D49">INDEX(Data_DBD!$E:$E,$A49)</f>
        <v>1</v>
      </c>
      <c r="E49" s="5" t="str">
        <f aca="false" t="array" ref="E49:E49">INDEX(Data_DBD!$F:$F,$A49)</f>
        <v>Tinggi</v>
      </c>
      <c r="H49" s="5" t="n">
        <v>30</v>
      </c>
      <c r="I49" s="5" t="n">
        <v>3</v>
      </c>
      <c r="J49" s="5" t="n">
        <v>2</v>
      </c>
      <c r="K49" s="5" t="n">
        <v>1</v>
      </c>
      <c r="L49" s="5" t="s">
        <v>7</v>
      </c>
    </row>
    <row r="50" customFormat="false" ht="15" hidden="false" customHeight="false" outlineLevel="0" collapsed="false">
      <c r="A50" s="5" t="n">
        <f aca="false">RANDBETWEEN(2,164)</f>
        <v>147</v>
      </c>
      <c r="B50" s="5" t="n">
        <f aca="false" t="array" ref="B50:B50">INDEX(Data_DBD!$B:$B,$A50)</f>
        <v>66</v>
      </c>
      <c r="C50" s="5" t="n">
        <f aca="false" t="array" ref="C50:C50">INDEX(Data_DBD!$C:$C,$A50)</f>
        <v>10</v>
      </c>
      <c r="D50" s="5" t="n">
        <f aca="false" t="array" ref="D50:D50">INDEX(Data_DBD!$E:$E,$A50)</f>
        <v>1</v>
      </c>
      <c r="E50" s="5" t="str">
        <f aca="false" t="array" ref="E50:E50">INDEX(Data_DBD!$F:$F,$A50)</f>
        <v>Tinggi</v>
      </c>
      <c r="H50" s="5" t="n">
        <v>152</v>
      </c>
      <c r="I50" s="5" t="n">
        <v>47</v>
      </c>
      <c r="J50" s="5" t="n">
        <v>3</v>
      </c>
      <c r="K50" s="5" t="n">
        <v>1</v>
      </c>
      <c r="L50" s="5" t="s">
        <v>115</v>
      </c>
    </row>
    <row r="51" customFormat="false" ht="15" hidden="false" customHeight="false" outlineLevel="0" collapsed="false">
      <c r="A51" s="5" t="n">
        <f aca="false">RANDBETWEEN(2,164)</f>
        <v>52</v>
      </c>
      <c r="B51" s="5" t="n">
        <f aca="false" t="array" ref="B51:B51">INDEX(Data_DBD!$B:$B,$A51)</f>
        <v>59</v>
      </c>
      <c r="C51" s="5" t="n">
        <f aca="false" t="array" ref="C51:C51">INDEX(Data_DBD!$C:$C,$A51)</f>
        <v>4</v>
      </c>
      <c r="D51" s="5" t="n">
        <f aca="false" t="array" ref="D51:D51">INDEX(Data_DBD!$E:$E,$A51)</f>
        <v>1</v>
      </c>
      <c r="E51" s="5" t="str">
        <f aca="false" t="array" ref="E51:E51">INDEX(Data_DBD!$F:$F,$A51)</f>
        <v>Sedang</v>
      </c>
      <c r="H51" s="5" t="n">
        <v>99</v>
      </c>
      <c r="I51" s="5" t="n">
        <v>4</v>
      </c>
      <c r="J51" s="5" t="n">
        <v>2</v>
      </c>
      <c r="K51" s="5" t="n">
        <v>1</v>
      </c>
      <c r="L51" s="5" t="s">
        <v>115</v>
      </c>
    </row>
    <row r="52" customFormat="false" ht="15" hidden="false" customHeight="false" outlineLevel="0" collapsed="false">
      <c r="A52" s="5" t="n">
        <f aca="false">RANDBETWEEN(2,164)</f>
        <v>103</v>
      </c>
      <c r="B52" s="5" t="n">
        <f aca="false" t="array" ref="B52:B52">INDEX(Data_DBD!$B:$B,$A52)</f>
        <v>22</v>
      </c>
      <c r="C52" s="5" t="n">
        <f aca="false" t="array" ref="C52:C52">INDEX(Data_DBD!$C:$C,$A52)</f>
        <v>5</v>
      </c>
      <c r="D52" s="5" t="n">
        <f aca="false" t="array" ref="D52:D52">INDEX(Data_DBD!$E:$E,$A52)</f>
        <v>0</v>
      </c>
      <c r="E52" s="5" t="str">
        <f aca="false" t="array" ref="E52:E52">INDEX(Data_DBD!$F:$F,$A52)</f>
        <v>Sedang</v>
      </c>
      <c r="H52" s="5" t="n">
        <v>136</v>
      </c>
      <c r="I52" s="5" t="n">
        <v>6</v>
      </c>
      <c r="J52" s="5" t="n">
        <v>2</v>
      </c>
      <c r="K52" s="5" t="n">
        <v>0</v>
      </c>
      <c r="L52" s="5" t="s">
        <v>115</v>
      </c>
    </row>
    <row r="53" customFormat="false" ht="15" hidden="false" customHeight="false" outlineLevel="0" collapsed="false">
      <c r="A53" s="5" t="n">
        <f aca="false">RANDBETWEEN(2,164)</f>
        <v>97</v>
      </c>
      <c r="B53" s="5" t="n">
        <f aca="false" t="array" ref="B53:B53">INDEX(Data_DBD!$B:$B,$A53)</f>
        <v>16</v>
      </c>
      <c r="C53" s="5" t="n">
        <f aca="false" t="array" ref="C53:C53">INDEX(Data_DBD!$C:$C,$A53)</f>
        <v>2</v>
      </c>
      <c r="D53" s="5" t="n">
        <f aca="false" t="array" ref="D53:D53">INDEX(Data_DBD!$E:$E,$A53)</f>
        <v>1</v>
      </c>
      <c r="E53" s="5" t="str">
        <f aca="false" t="array" ref="E53:E53">INDEX(Data_DBD!$F:$F,$A53)</f>
        <v>Sedang</v>
      </c>
      <c r="H53" s="5" t="n">
        <v>122</v>
      </c>
      <c r="I53" s="5" t="n">
        <v>28</v>
      </c>
      <c r="J53" s="5" t="n">
        <v>3</v>
      </c>
      <c r="K53" s="5" t="n">
        <v>1</v>
      </c>
      <c r="L53" s="5" t="s">
        <v>115</v>
      </c>
    </row>
    <row r="54" customFormat="false" ht="15" hidden="false" customHeight="false" outlineLevel="0" collapsed="false">
      <c r="A54" s="5" t="n">
        <f aca="false">RANDBETWEEN(2,164)</f>
        <v>157</v>
      </c>
      <c r="B54" s="5" t="n">
        <f aca="false" t="array" ref="B54:B54">INDEX(Data_DBD!$B:$B,$A54)</f>
        <v>15</v>
      </c>
      <c r="C54" s="5" t="n">
        <f aca="false" t="array" ref="C54:C54">INDEX(Data_DBD!$C:$C,$A54)</f>
        <v>4</v>
      </c>
      <c r="D54" s="5" t="n">
        <f aca="false" t="array" ref="D54:D54">INDEX(Data_DBD!$E:$E,$A54)</f>
        <v>1</v>
      </c>
      <c r="E54" s="5" t="str">
        <f aca="false" t="array" ref="E54:E54">INDEX(Data_DBD!$F:$F,$A54)</f>
        <v>Tinggi</v>
      </c>
      <c r="H54" s="5" t="n">
        <v>111</v>
      </c>
      <c r="I54" s="5" t="n">
        <v>25</v>
      </c>
      <c r="J54" s="5" t="n">
        <v>4</v>
      </c>
      <c r="K54" s="5" t="n">
        <v>0</v>
      </c>
      <c r="L54" s="5" t="s">
        <v>115</v>
      </c>
    </row>
    <row r="55" customFormat="false" ht="15" hidden="false" customHeight="false" outlineLevel="0" collapsed="false">
      <c r="A55" s="5" t="n">
        <f aca="false">RANDBETWEEN(2,164)</f>
        <v>45</v>
      </c>
      <c r="B55" s="5" t="n">
        <f aca="false" t="array" ref="B55:B55">INDEX(Data_DBD!$B:$B,$A55)</f>
        <v>75</v>
      </c>
      <c r="C55" s="5" t="n">
        <f aca="false" t="array" ref="C55:C55">INDEX(Data_DBD!$C:$C,$A55)</f>
        <v>3</v>
      </c>
      <c r="D55" s="5" t="n">
        <f aca="false" t="array" ref="D55:D55">INDEX(Data_DBD!$E:$E,$A55)</f>
        <v>1</v>
      </c>
      <c r="E55" s="5" t="str">
        <f aca="false" t="array" ref="E55:E55">INDEX(Data_DBD!$F:$F,$A55)</f>
        <v>Sedang</v>
      </c>
      <c r="H55" s="5" t="n">
        <v>45</v>
      </c>
      <c r="I55" s="5" t="n">
        <v>75</v>
      </c>
      <c r="J55" s="5" t="n">
        <v>3</v>
      </c>
      <c r="K55" s="5" t="n">
        <v>1</v>
      </c>
      <c r="L55" s="5" t="s">
        <v>7</v>
      </c>
    </row>
    <row r="56" customFormat="false" ht="15" hidden="false" customHeight="false" outlineLevel="0" collapsed="false">
      <c r="A56" s="5" t="n">
        <f aca="false">RANDBETWEEN(2,164)</f>
        <v>70</v>
      </c>
      <c r="B56" s="5" t="n">
        <f aca="false" t="array" ref="B56:B56">INDEX(Data_DBD!$B:$B,$A56)</f>
        <v>26</v>
      </c>
      <c r="C56" s="5" t="n">
        <f aca="false" t="array" ref="C56:C56">INDEX(Data_DBD!$C:$C,$A56)</f>
        <v>3</v>
      </c>
      <c r="D56" s="5" t="n">
        <f aca="false" t="array" ref="D56:D56">INDEX(Data_DBD!$E:$E,$A56)</f>
        <v>1</v>
      </c>
      <c r="E56" s="5" t="str">
        <f aca="false" t="array" ref="E56:E56">INDEX(Data_DBD!$F:$F,$A56)</f>
        <v>Rendah</v>
      </c>
      <c r="H56" s="5" t="n">
        <v>87</v>
      </c>
      <c r="I56" s="5" t="n">
        <v>21</v>
      </c>
      <c r="J56" s="5" t="n">
        <v>3</v>
      </c>
      <c r="K56" s="5" t="n">
        <v>0</v>
      </c>
      <c r="L56" s="5" t="s">
        <v>7</v>
      </c>
    </row>
    <row r="57" customFormat="false" ht="15" hidden="false" customHeight="false" outlineLevel="0" collapsed="false">
      <c r="A57" s="5" t="n">
        <f aca="false">RANDBETWEEN(2,164)</f>
        <v>153</v>
      </c>
      <c r="B57" s="5" t="n">
        <f aca="false" t="array" ref="B57:B57">INDEX(Data_DBD!$B:$B,$A57)</f>
        <v>73</v>
      </c>
      <c r="C57" s="5" t="n">
        <f aca="false" t="array" ref="C57:C57">INDEX(Data_DBD!$C:$C,$A57)</f>
        <v>7</v>
      </c>
      <c r="D57" s="5" t="n">
        <f aca="false" t="array" ref="D57:D57">INDEX(Data_DBD!$E:$E,$A57)</f>
        <v>1</v>
      </c>
      <c r="E57" s="5" t="str">
        <f aca="false" t="array" ref="E57:E57">INDEX(Data_DBD!$F:$F,$A57)</f>
        <v>Tinggi</v>
      </c>
      <c r="H57" s="5" t="n">
        <v>63</v>
      </c>
      <c r="I57" s="5" t="n">
        <v>25</v>
      </c>
      <c r="J57" s="5" t="n">
        <v>3</v>
      </c>
      <c r="K57" s="5" t="n">
        <v>0</v>
      </c>
      <c r="L57" s="5" t="s">
        <v>7</v>
      </c>
    </row>
    <row r="58" customFormat="false" ht="15" hidden="false" customHeight="false" outlineLevel="0" collapsed="false">
      <c r="A58" s="5" t="n">
        <f aca="false">RANDBETWEEN(2,164)</f>
        <v>30</v>
      </c>
      <c r="B58" s="5" t="n">
        <f aca="false" t="array" ref="B58:B58">INDEX(Data_DBD!$B:$B,$A58)</f>
        <v>3</v>
      </c>
      <c r="C58" s="5" t="n">
        <f aca="false" t="array" ref="C58:C58">INDEX(Data_DBD!$C:$C,$A58)</f>
        <v>2</v>
      </c>
      <c r="D58" s="5" t="n">
        <f aca="false" t="array" ref="D58:D58">INDEX(Data_DBD!$E:$E,$A58)</f>
        <v>1</v>
      </c>
      <c r="E58" s="5" t="str">
        <f aca="false" t="array" ref="E58:E58">INDEX(Data_DBD!$F:$F,$A58)</f>
        <v>Sedang</v>
      </c>
      <c r="H58" s="5" t="n">
        <v>27</v>
      </c>
      <c r="I58" s="5" t="n">
        <v>37</v>
      </c>
      <c r="J58" s="5" t="n">
        <v>4</v>
      </c>
      <c r="K58" s="5" t="n">
        <v>1</v>
      </c>
      <c r="L58" s="5" t="s">
        <v>7</v>
      </c>
    </row>
    <row r="59" customFormat="false" ht="15" hidden="false" customHeight="false" outlineLevel="0" collapsed="false">
      <c r="A59" s="5" t="n">
        <f aca="false">RANDBETWEEN(2,164)</f>
        <v>4</v>
      </c>
      <c r="B59" s="5" t="n">
        <f aca="false" t="array" ref="B59:B59">INDEX(Data_DBD!$B:$B,$A59)</f>
        <v>23</v>
      </c>
      <c r="C59" s="5" t="n">
        <f aca="false" t="array" ref="C59:C59">INDEX(Data_DBD!$C:$C,$A59)</f>
        <v>5</v>
      </c>
      <c r="D59" s="5" t="n">
        <f aca="false" t="array" ref="D59:D59">INDEX(Data_DBD!$E:$E,$A59)</f>
        <v>0</v>
      </c>
      <c r="E59" s="5" t="str">
        <f aca="false" t="array" ref="E59:E59">INDEX(Data_DBD!$F:$F,$A59)</f>
        <v>Sedang</v>
      </c>
      <c r="H59" s="5" t="n">
        <v>76</v>
      </c>
      <c r="I59" s="5" t="n">
        <v>70</v>
      </c>
      <c r="J59" s="5" t="n">
        <v>2</v>
      </c>
      <c r="K59" s="5" t="n">
        <v>0</v>
      </c>
      <c r="L59" s="5" t="s">
        <v>7</v>
      </c>
    </row>
    <row r="60" customFormat="false" ht="15" hidden="false" customHeight="false" outlineLevel="0" collapsed="false">
      <c r="A60" s="5" t="n">
        <f aca="false">RANDBETWEEN(2,164)</f>
        <v>147</v>
      </c>
      <c r="B60" s="5" t="n">
        <f aca="false" t="array" ref="B60:B60">INDEX(Data_DBD!$B:$B,$A60)</f>
        <v>66</v>
      </c>
      <c r="C60" s="5" t="n">
        <f aca="false" t="array" ref="C60:C60">INDEX(Data_DBD!$C:$C,$A60)</f>
        <v>10</v>
      </c>
      <c r="D60" s="5" t="n">
        <f aca="false" t="array" ref="D60:D60">INDEX(Data_DBD!$E:$E,$A60)</f>
        <v>1</v>
      </c>
      <c r="E60" s="5" t="str">
        <f aca="false" t="array" ref="E60:E60">INDEX(Data_DBD!$F:$F,$A60)</f>
        <v>Tinggi</v>
      </c>
      <c r="H60" s="5" t="n">
        <v>63</v>
      </c>
      <c r="I60" s="5" t="n">
        <v>25</v>
      </c>
      <c r="J60" s="5" t="n">
        <v>3</v>
      </c>
      <c r="K60" s="5" t="n">
        <v>0</v>
      </c>
      <c r="L60" s="5" t="s">
        <v>7</v>
      </c>
    </row>
    <row r="61" customFormat="false" ht="15" hidden="false" customHeight="false" outlineLevel="0" collapsed="false">
      <c r="A61" s="5" t="n">
        <f aca="false">RANDBETWEEN(2,164)</f>
        <v>112</v>
      </c>
      <c r="B61" s="5" t="n">
        <f aca="false" t="array" ref="B61:B61">INDEX(Data_DBD!$B:$B,$A61)</f>
        <v>61</v>
      </c>
      <c r="C61" s="5" t="n">
        <f aca="false" t="array" ref="C61:C61">INDEX(Data_DBD!$C:$C,$A61)</f>
        <v>3</v>
      </c>
      <c r="D61" s="5" t="n">
        <f aca="false" t="array" ref="D61:D61">INDEX(Data_DBD!$E:$E,$A61)</f>
        <v>1</v>
      </c>
      <c r="E61" s="5" t="str">
        <f aca="false" t="array" ref="E61:E61">INDEX(Data_DBD!$F:$F,$A61)</f>
        <v>Tinggi</v>
      </c>
      <c r="H61" s="5" t="n">
        <v>122</v>
      </c>
      <c r="I61" s="5" t="n">
        <v>28</v>
      </c>
      <c r="J61" s="5" t="n">
        <v>3</v>
      </c>
      <c r="K61" s="5" t="n">
        <v>1</v>
      </c>
      <c r="L61" s="5" t="s">
        <v>115</v>
      </c>
    </row>
    <row r="62" customFormat="false" ht="15" hidden="false" customHeight="false" outlineLevel="0" collapsed="false">
      <c r="A62" s="5" t="n">
        <f aca="false">RANDBETWEEN(2,164)</f>
        <v>162</v>
      </c>
      <c r="B62" s="5" t="n">
        <f aca="false" t="array" ref="B62:B62">INDEX(Data_DBD!$B:$B,$A62)</f>
        <v>22</v>
      </c>
      <c r="C62" s="5" t="n">
        <f aca="false" t="array" ref="C62:C62">INDEX(Data_DBD!$C:$C,$A62)</f>
        <v>3</v>
      </c>
      <c r="D62" s="5" t="n">
        <f aca="false" t="array" ref="D62:D62">INDEX(Data_DBD!$E:$E,$A62)</f>
        <v>1</v>
      </c>
      <c r="E62" s="5" t="str">
        <f aca="false" t="array" ref="E62:E62">INDEX(Data_DBD!$F:$F,$A62)</f>
        <v>Rendah</v>
      </c>
      <c r="H62" s="5" t="n">
        <v>7</v>
      </c>
      <c r="I62" s="5" t="n">
        <v>12</v>
      </c>
      <c r="J62" s="5" t="n">
        <v>1</v>
      </c>
      <c r="K62" s="5" t="n">
        <v>1</v>
      </c>
      <c r="L62" s="5" t="s">
        <v>7</v>
      </c>
    </row>
    <row r="63" customFormat="false" ht="15" hidden="false" customHeight="false" outlineLevel="0" collapsed="false">
      <c r="A63" s="5" t="n">
        <f aca="false">RANDBETWEEN(2,164)</f>
        <v>118</v>
      </c>
      <c r="B63" s="5" t="n">
        <f aca="false" t="array" ref="B63:B63">INDEX(Data_DBD!$B:$B,$A63)</f>
        <v>67</v>
      </c>
      <c r="C63" s="5" t="n">
        <f aca="false" t="array" ref="C63:C63">INDEX(Data_DBD!$C:$C,$A63)</f>
        <v>4</v>
      </c>
      <c r="D63" s="5" t="n">
        <f aca="false" t="array" ref="D63:D63">INDEX(Data_DBD!$E:$E,$A63)</f>
        <v>1</v>
      </c>
      <c r="E63" s="5" t="str">
        <f aca="false" t="array" ref="E63:E63">INDEX(Data_DBD!$F:$F,$A63)</f>
        <v>Tinggi</v>
      </c>
      <c r="H63" s="5" t="n">
        <v>157</v>
      </c>
      <c r="I63" s="5" t="n">
        <v>15</v>
      </c>
      <c r="J63" s="5" t="n">
        <v>4</v>
      </c>
      <c r="K63" s="5" t="n">
        <v>1</v>
      </c>
      <c r="L63" s="5" t="s">
        <v>115</v>
      </c>
    </row>
    <row r="64" customFormat="false" ht="15" hidden="false" customHeight="false" outlineLevel="0" collapsed="false">
      <c r="A64" s="5" t="n">
        <f aca="false">RANDBETWEEN(2,164)</f>
        <v>3</v>
      </c>
      <c r="B64" s="5" t="n">
        <f aca="false" t="array" ref="B64:B64">INDEX(Data_DBD!$B:$B,$A64)</f>
        <v>43</v>
      </c>
      <c r="C64" s="5" t="n">
        <f aca="false" t="array" ref="C64:C64">INDEX(Data_DBD!$C:$C,$A64)</f>
        <v>3</v>
      </c>
      <c r="D64" s="5" t="n">
        <f aca="false" t="array" ref="D64:D64">INDEX(Data_DBD!$E:$E,$A64)</f>
        <v>1</v>
      </c>
      <c r="E64" s="5" t="str">
        <f aca="false" t="array" ref="E64:E64">INDEX(Data_DBD!$F:$F,$A64)</f>
        <v>Sedang</v>
      </c>
      <c r="H64" s="5" t="n">
        <v>19</v>
      </c>
      <c r="I64" s="5" t="n">
        <v>8</v>
      </c>
      <c r="J64" s="5" t="n">
        <v>4</v>
      </c>
      <c r="K64" s="5" t="n">
        <v>0</v>
      </c>
      <c r="L64" s="5" t="s">
        <v>20</v>
      </c>
    </row>
    <row r="65" customFormat="false" ht="15" hidden="false" customHeight="false" outlineLevel="0" collapsed="false">
      <c r="A65" s="5" t="n">
        <f aca="false">RANDBETWEEN(2,164)</f>
        <v>142</v>
      </c>
      <c r="B65" s="5" t="n">
        <f aca="false" t="array" ref="B65:B65">INDEX(Data_DBD!$B:$B,$A65)</f>
        <v>39</v>
      </c>
      <c r="C65" s="5" t="n">
        <f aca="false" t="array" ref="C65:C65">INDEX(Data_DBD!$C:$C,$A65)</f>
        <v>2</v>
      </c>
      <c r="D65" s="5" t="n">
        <f aca="false" t="array" ref="D65:D65">INDEX(Data_DBD!$E:$E,$A65)</f>
        <v>1</v>
      </c>
      <c r="E65" s="5" t="str">
        <f aca="false" t="array" ref="E65:E65">INDEX(Data_DBD!$F:$F,$A65)</f>
        <v>Tinggi</v>
      </c>
      <c r="H65" s="5" t="n">
        <v>32</v>
      </c>
      <c r="I65" s="5" t="n">
        <v>54</v>
      </c>
      <c r="J65" s="5" t="n">
        <v>4</v>
      </c>
      <c r="K65" s="5" t="n">
        <v>0</v>
      </c>
      <c r="L65" s="5" t="s">
        <v>7</v>
      </c>
    </row>
    <row r="66" customFormat="false" ht="15" hidden="false" customHeight="false" outlineLevel="0" collapsed="false">
      <c r="A66" s="5" t="n">
        <f aca="false">RANDBETWEEN(2,164)</f>
        <v>159</v>
      </c>
      <c r="B66" s="5" t="n">
        <f aca="false" t="array" ref="B66:B66">INDEX(Data_DBD!$B:$B,$A66)</f>
        <v>17</v>
      </c>
      <c r="C66" s="5" t="n">
        <f aca="false" t="array" ref="C66:C66">INDEX(Data_DBD!$C:$C,$A66)</f>
        <v>2</v>
      </c>
      <c r="D66" s="5" t="n">
        <f aca="false" t="array" ref="D66:D66">INDEX(Data_DBD!$E:$E,$A66)</f>
        <v>0</v>
      </c>
      <c r="E66" s="5" t="str">
        <f aca="false" t="array" ref="E66:E66">INDEX(Data_DBD!$F:$F,$A66)</f>
        <v>Tinggi</v>
      </c>
      <c r="H66" s="5" t="n">
        <v>126</v>
      </c>
      <c r="I66" s="5" t="n">
        <v>51</v>
      </c>
      <c r="J66" s="5" t="n">
        <v>3</v>
      </c>
      <c r="K66" s="5" t="n">
        <v>1</v>
      </c>
      <c r="L66" s="5" t="s">
        <v>115</v>
      </c>
    </row>
    <row r="67" customFormat="false" ht="15" hidden="false" customHeight="false" outlineLevel="0" collapsed="false">
      <c r="A67" s="5" t="n">
        <f aca="false">RANDBETWEEN(2,164)</f>
        <v>163</v>
      </c>
      <c r="B67" s="5" t="n">
        <f aca="false" t="array" ref="B67:B67">INDEX(Data_DBD!$B:$B,$A67)</f>
        <v>34</v>
      </c>
      <c r="C67" s="5" t="n">
        <f aca="false" t="array" ref="C67:C67">INDEX(Data_DBD!$C:$C,$A67)</f>
        <v>4</v>
      </c>
      <c r="D67" s="5" t="n">
        <f aca="false" t="array" ref="D67:D67">INDEX(Data_DBD!$E:$E,$A67)</f>
        <v>1</v>
      </c>
      <c r="E67" s="5" t="str">
        <f aca="false" t="array" ref="E67:E67">INDEX(Data_DBD!$F:$F,$A67)</f>
        <v>Rendah</v>
      </c>
      <c r="H67" s="5" t="n">
        <v>109</v>
      </c>
      <c r="I67" s="5" t="n">
        <v>40</v>
      </c>
      <c r="J67" s="5" t="n">
        <v>3</v>
      </c>
      <c r="K67" s="5" t="n">
        <v>1</v>
      </c>
      <c r="L67" s="5" t="s">
        <v>115</v>
      </c>
    </row>
    <row r="68" customFormat="false" ht="15" hidden="false" customHeight="false" outlineLevel="0" collapsed="false">
      <c r="A68" s="5" t="n">
        <f aca="false">RANDBETWEEN(2,164)</f>
        <v>57</v>
      </c>
      <c r="B68" s="5" t="n">
        <f aca="false" t="array" ref="B68:B68">INDEX(Data_DBD!$B:$B,$A68)</f>
        <v>2</v>
      </c>
      <c r="C68" s="5" t="n">
        <f aca="false" t="array" ref="C68:C68">INDEX(Data_DBD!$C:$C,$A68)</f>
        <v>2</v>
      </c>
      <c r="D68" s="5" t="n">
        <f aca="false" t="array" ref="D68:D68">INDEX(Data_DBD!$E:$E,$A68)</f>
        <v>1</v>
      </c>
      <c r="E68" s="5" t="str">
        <f aca="false" t="array" ref="E68:E68">INDEX(Data_DBD!$F:$F,$A68)</f>
        <v>Sedang</v>
      </c>
      <c r="H68" s="5" t="n">
        <v>79</v>
      </c>
      <c r="I68" s="5" t="n">
        <v>29</v>
      </c>
      <c r="J68" s="5" t="n">
        <v>3</v>
      </c>
      <c r="K68" s="5" t="n">
        <v>0</v>
      </c>
      <c r="L68" s="5" t="s">
        <v>7</v>
      </c>
    </row>
    <row r="69" customFormat="false" ht="15" hidden="false" customHeight="false" outlineLevel="0" collapsed="false">
      <c r="A69" s="5" t="n">
        <f aca="false">RANDBETWEEN(2,164)</f>
        <v>118</v>
      </c>
      <c r="B69" s="5" t="n">
        <f aca="false" t="array" ref="B69:B69">INDEX(Data_DBD!$B:$B,$A69)</f>
        <v>67</v>
      </c>
      <c r="C69" s="5" t="n">
        <f aca="false" t="array" ref="C69:C69">INDEX(Data_DBD!$C:$C,$A69)</f>
        <v>4</v>
      </c>
      <c r="D69" s="5" t="n">
        <f aca="false" t="array" ref="D69:D69">INDEX(Data_DBD!$E:$E,$A69)</f>
        <v>1</v>
      </c>
      <c r="E69" s="5" t="str">
        <f aca="false" t="array" ref="E69:E69">INDEX(Data_DBD!$F:$F,$A69)</f>
        <v>Tinggi</v>
      </c>
      <c r="H69" s="5" t="n">
        <v>144</v>
      </c>
      <c r="I69" s="5" t="n">
        <v>61</v>
      </c>
      <c r="J69" s="5" t="n">
        <v>4</v>
      </c>
      <c r="K69" s="5" t="n">
        <v>1</v>
      </c>
      <c r="L69" s="5" t="s">
        <v>115</v>
      </c>
    </row>
    <row r="70" customFormat="false" ht="15" hidden="false" customHeight="false" outlineLevel="0" collapsed="false">
      <c r="A70" s="5" t="n">
        <f aca="false">RANDBETWEEN(2,164)</f>
        <v>22</v>
      </c>
      <c r="B70" s="5" t="n">
        <f aca="false" t="array" ref="B70:B70">INDEX(Data_DBD!$B:$B,$A70)</f>
        <v>6</v>
      </c>
      <c r="C70" s="5" t="n">
        <f aca="false" t="array" ref="C70:C70">INDEX(Data_DBD!$C:$C,$A70)</f>
        <v>3</v>
      </c>
      <c r="D70" s="5" t="n">
        <f aca="false" t="array" ref="D70:D70">INDEX(Data_DBD!$E:$E,$A70)</f>
        <v>0</v>
      </c>
      <c r="E70" s="5" t="str">
        <f aca="false" t="array" ref="E70:E70">INDEX(Data_DBD!$F:$F,$A70)</f>
        <v>Sedang</v>
      </c>
      <c r="H70" s="5" t="n">
        <v>110</v>
      </c>
      <c r="I70" s="5" t="n">
        <v>42</v>
      </c>
      <c r="J70" s="5" t="n">
        <v>2</v>
      </c>
      <c r="K70" s="5" t="n">
        <v>1</v>
      </c>
      <c r="L70" s="5" t="s">
        <v>115</v>
      </c>
    </row>
    <row r="71" customFormat="false" ht="15" hidden="false" customHeight="false" outlineLevel="0" collapsed="false">
      <c r="A71" s="5" t="n">
        <f aca="false">RANDBETWEEN(2,164)</f>
        <v>104</v>
      </c>
      <c r="B71" s="5" t="n">
        <f aca="false" t="array" ref="B71:B71">INDEX(Data_DBD!$B:$B,$A71)</f>
        <v>37</v>
      </c>
      <c r="C71" s="5" t="n">
        <f aca="false" t="array" ref="C71:C71">INDEX(Data_DBD!$C:$C,$A71)</f>
        <v>4</v>
      </c>
      <c r="D71" s="5" t="n">
        <f aca="false" t="array" ref="D71:D71">INDEX(Data_DBD!$E:$E,$A71)</f>
        <v>1</v>
      </c>
      <c r="E71" s="5" t="str">
        <f aca="false" t="array" ref="E71:E71">INDEX(Data_DBD!$F:$F,$A71)</f>
        <v>Sedang</v>
      </c>
      <c r="H71" s="5" t="n">
        <v>131</v>
      </c>
      <c r="I71" s="5" t="n">
        <v>10</v>
      </c>
      <c r="J71" s="5" t="n">
        <v>2</v>
      </c>
      <c r="K71" s="5" t="n">
        <v>0</v>
      </c>
      <c r="L71" s="5" t="s">
        <v>115</v>
      </c>
    </row>
    <row r="72" customFormat="false" ht="15" hidden="false" customHeight="false" outlineLevel="0" collapsed="false">
      <c r="A72" s="5" t="n">
        <f aca="false">RANDBETWEEN(2,164)</f>
        <v>136</v>
      </c>
      <c r="B72" s="5" t="n">
        <f aca="false" t="array" ref="B72:B72">INDEX(Data_DBD!$B:$B,$A72)</f>
        <v>6</v>
      </c>
      <c r="C72" s="5" t="n">
        <f aca="false" t="array" ref="C72:C72">INDEX(Data_DBD!$C:$C,$A72)</f>
        <v>2</v>
      </c>
      <c r="D72" s="5" t="n">
        <f aca="false" t="array" ref="D72:D72">INDEX(Data_DBD!$E:$E,$A72)</f>
        <v>0</v>
      </c>
      <c r="E72" s="5" t="str">
        <f aca="false" t="array" ref="E72:E72">INDEX(Data_DBD!$F:$F,$A72)</f>
        <v>Tinggi</v>
      </c>
      <c r="H72" s="5" t="n">
        <v>125</v>
      </c>
      <c r="I72" s="5" t="n">
        <v>39</v>
      </c>
      <c r="J72" s="5" t="n">
        <v>4</v>
      </c>
      <c r="K72" s="5" t="n">
        <v>0</v>
      </c>
      <c r="L72" s="5" t="s">
        <v>115</v>
      </c>
    </row>
    <row r="73" customFormat="false" ht="15" hidden="false" customHeight="false" outlineLevel="0" collapsed="false">
      <c r="A73" s="5" t="n">
        <f aca="false">RANDBETWEEN(2,164)</f>
        <v>56</v>
      </c>
      <c r="B73" s="5" t="n">
        <f aca="false" t="array" ref="B73:B73">INDEX(Data_DBD!$B:$B,$A73)</f>
        <v>4</v>
      </c>
      <c r="C73" s="5" t="n">
        <f aca="false" t="array" ref="C73:C73">INDEX(Data_DBD!$C:$C,$A73)</f>
        <v>3</v>
      </c>
      <c r="D73" s="5" t="n">
        <f aca="false" t="array" ref="D73:D73">INDEX(Data_DBD!$E:$E,$A73)</f>
        <v>0</v>
      </c>
      <c r="E73" s="5" t="str">
        <f aca="false" t="array" ref="E73:E73">INDEX(Data_DBD!$F:$F,$A73)</f>
        <v>Sedang</v>
      </c>
      <c r="H73" s="5" t="n">
        <v>88</v>
      </c>
      <c r="I73" s="5" t="n">
        <v>20</v>
      </c>
      <c r="J73" s="5" t="n">
        <v>4</v>
      </c>
      <c r="K73" s="5" t="n">
        <v>1</v>
      </c>
      <c r="L73" s="5" t="s">
        <v>7</v>
      </c>
    </row>
    <row r="74" customFormat="false" ht="15" hidden="false" customHeight="false" outlineLevel="0" collapsed="false">
      <c r="A74" s="5" t="n">
        <f aca="false">RANDBETWEEN(2,164)</f>
        <v>103</v>
      </c>
      <c r="B74" s="5" t="n">
        <f aca="false" t="array" ref="B74:B74">INDEX(Data_DBD!$B:$B,$A74)</f>
        <v>22</v>
      </c>
      <c r="C74" s="5" t="n">
        <f aca="false" t="array" ref="C74:C74">INDEX(Data_DBD!$C:$C,$A74)</f>
        <v>5</v>
      </c>
      <c r="D74" s="5" t="n">
        <f aca="false" t="array" ref="D74:D74">INDEX(Data_DBD!$E:$E,$A74)</f>
        <v>0</v>
      </c>
      <c r="E74" s="5" t="str">
        <f aca="false" t="array" ref="E74:E74">INDEX(Data_DBD!$F:$F,$A74)</f>
        <v>Sedang</v>
      </c>
      <c r="H74" s="5" t="n">
        <v>77</v>
      </c>
      <c r="I74" s="5" t="n">
        <v>16</v>
      </c>
      <c r="J74" s="5" t="n">
        <v>4</v>
      </c>
      <c r="K74" s="5" t="n">
        <v>1</v>
      </c>
      <c r="L74" s="5" t="s">
        <v>7</v>
      </c>
    </row>
    <row r="75" customFormat="false" ht="15" hidden="false" customHeight="false" outlineLevel="0" collapsed="false">
      <c r="A75" s="5" t="n">
        <f aca="false">RANDBETWEEN(2,164)</f>
        <v>37</v>
      </c>
      <c r="B75" s="5" t="n">
        <f aca="false" t="array" ref="B75:B75">INDEX(Data_DBD!$B:$B,$A75)</f>
        <v>28</v>
      </c>
      <c r="C75" s="5" t="n">
        <f aca="false" t="array" ref="C75:C75">INDEX(Data_DBD!$C:$C,$A75)</f>
        <v>4</v>
      </c>
      <c r="D75" s="5" t="n">
        <f aca="false" t="array" ref="D75:D75">INDEX(Data_DBD!$E:$E,$A75)</f>
        <v>1</v>
      </c>
      <c r="E75" s="5" t="str">
        <f aca="false" t="array" ref="E75:E75">INDEX(Data_DBD!$F:$F,$A75)</f>
        <v>Rendah</v>
      </c>
      <c r="H75" s="5" t="n">
        <v>137</v>
      </c>
      <c r="I75" s="5" t="n">
        <v>3</v>
      </c>
      <c r="J75" s="5" t="n">
        <v>1</v>
      </c>
      <c r="K75" s="5" t="n">
        <v>1</v>
      </c>
      <c r="L75" s="5" t="s">
        <v>115</v>
      </c>
    </row>
    <row r="76" customFormat="false" ht="15" hidden="false" customHeight="false" outlineLevel="0" collapsed="false">
      <c r="A76" s="5" t="n">
        <f aca="false">RANDBETWEEN(2,164)</f>
        <v>91</v>
      </c>
      <c r="B76" s="5" t="n">
        <f aca="false" t="array" ref="B76:B76">INDEX(Data_DBD!$B:$B,$A76)</f>
        <v>35</v>
      </c>
      <c r="C76" s="5" t="n">
        <f aca="false" t="array" ref="C76:C76">INDEX(Data_DBD!$C:$C,$A76)</f>
        <v>1</v>
      </c>
      <c r="D76" s="5" t="n">
        <f aca="false" t="array" ref="D76:D76">INDEX(Data_DBD!$E:$E,$A76)</f>
        <v>1</v>
      </c>
      <c r="E76" s="5" t="str">
        <f aca="false" t="array" ref="E76:E76">INDEX(Data_DBD!$F:$F,$A76)</f>
        <v>Sedang</v>
      </c>
      <c r="H76" s="5" t="n">
        <v>10</v>
      </c>
      <c r="I76" s="5" t="n">
        <v>18</v>
      </c>
      <c r="J76" s="5" t="n">
        <v>5</v>
      </c>
      <c r="K76" s="5" t="n">
        <v>0</v>
      </c>
      <c r="L76" s="5" t="s">
        <v>7</v>
      </c>
    </row>
    <row r="77" customFormat="false" ht="15" hidden="false" customHeight="false" outlineLevel="0" collapsed="false">
      <c r="A77" s="5" t="n">
        <f aca="false">RANDBETWEEN(2,164)</f>
        <v>20</v>
      </c>
      <c r="B77" s="5" t="n">
        <f aca="false" t="array" ref="B77:B77">INDEX(Data_DBD!$B:$B,$A77)</f>
        <v>15</v>
      </c>
      <c r="C77" s="5" t="n">
        <f aca="false" t="array" ref="C77:C77">INDEX(Data_DBD!$C:$C,$A77)</f>
        <v>5</v>
      </c>
      <c r="D77" s="5" t="n">
        <f aca="false" t="array" ref="D77:D77">INDEX(Data_DBD!$E:$E,$A77)</f>
        <v>0</v>
      </c>
      <c r="E77" s="5" t="str">
        <f aca="false" t="array" ref="E77:E77">INDEX(Data_DBD!$F:$F,$A77)</f>
        <v>Rendah</v>
      </c>
      <c r="H77" s="5" t="n">
        <v>51</v>
      </c>
      <c r="I77" s="5" t="n">
        <v>48</v>
      </c>
      <c r="J77" s="5" t="n">
        <v>4</v>
      </c>
      <c r="K77" s="5" t="n">
        <v>0</v>
      </c>
      <c r="L77" s="5" t="s">
        <v>7</v>
      </c>
    </row>
    <row r="78" customFormat="false" ht="15" hidden="false" customHeight="false" outlineLevel="0" collapsed="false">
      <c r="A78" s="5" t="n">
        <f aca="false">RANDBETWEEN(2,164)</f>
        <v>67</v>
      </c>
      <c r="B78" s="5" t="n">
        <f aca="false" t="array" ref="B78:B78">INDEX(Data_DBD!$B:$B,$A78)</f>
        <v>21</v>
      </c>
      <c r="C78" s="5" t="n">
        <f aca="false" t="array" ref="C78:C78">INDEX(Data_DBD!$C:$C,$A78)</f>
        <v>3</v>
      </c>
      <c r="D78" s="5" t="n">
        <f aca="false" t="array" ref="D78:D78">INDEX(Data_DBD!$E:$E,$A78)</f>
        <v>1</v>
      </c>
      <c r="E78" s="5" t="str">
        <f aca="false" t="array" ref="E78:E78">INDEX(Data_DBD!$F:$F,$A78)</f>
        <v>Rendah</v>
      </c>
      <c r="H78" s="5" t="n">
        <v>86</v>
      </c>
      <c r="I78" s="5" t="n">
        <v>23</v>
      </c>
      <c r="J78" s="5" t="n">
        <v>3</v>
      </c>
      <c r="K78" s="5" t="n">
        <v>0</v>
      </c>
      <c r="L78" s="5" t="s">
        <v>7</v>
      </c>
    </row>
    <row r="79" customFormat="false" ht="15" hidden="false" customHeight="false" outlineLevel="0" collapsed="false">
      <c r="A79" s="5" t="n">
        <f aca="false">RANDBETWEEN(2,164)</f>
        <v>110</v>
      </c>
      <c r="B79" s="5" t="n">
        <f aca="false" t="array" ref="B79:B79">INDEX(Data_DBD!$B:$B,$A79)</f>
        <v>42</v>
      </c>
      <c r="C79" s="5" t="n">
        <f aca="false" t="array" ref="C79:C79">INDEX(Data_DBD!$C:$C,$A79)</f>
        <v>2</v>
      </c>
      <c r="D79" s="5" t="n">
        <f aca="false" t="array" ref="D79:D79">INDEX(Data_DBD!$E:$E,$A79)</f>
        <v>1</v>
      </c>
      <c r="E79" s="5" t="str">
        <f aca="false" t="array" ref="E79:E79">INDEX(Data_DBD!$F:$F,$A79)</f>
        <v>Tinggi</v>
      </c>
      <c r="H79" s="5" t="n">
        <v>146</v>
      </c>
      <c r="I79" s="5" t="n">
        <v>34</v>
      </c>
      <c r="J79" s="5" t="n">
        <v>2</v>
      </c>
      <c r="K79" s="5" t="n">
        <v>1</v>
      </c>
      <c r="L79" s="5" t="s">
        <v>115</v>
      </c>
    </row>
    <row r="80" customFormat="false" ht="15" hidden="false" customHeight="false" outlineLevel="0" collapsed="false">
      <c r="A80" s="5" t="n">
        <f aca="false">RANDBETWEEN(2,164)</f>
        <v>127</v>
      </c>
      <c r="B80" s="5" t="n">
        <f aca="false" t="array" ref="B80:B80">INDEX(Data_DBD!$B:$B,$A80)</f>
        <v>21</v>
      </c>
      <c r="C80" s="5" t="n">
        <f aca="false" t="array" ref="C80:C80">INDEX(Data_DBD!$C:$C,$A80)</f>
        <v>2</v>
      </c>
      <c r="D80" s="5" t="n">
        <f aca="false" t="array" ref="D80:D80">INDEX(Data_DBD!$E:$E,$A80)</f>
        <v>0</v>
      </c>
      <c r="E80" s="5" t="str">
        <f aca="false" t="array" ref="E80:E80">INDEX(Data_DBD!$F:$F,$A80)</f>
        <v>Tinggi</v>
      </c>
      <c r="H80" s="5" t="n">
        <v>15</v>
      </c>
      <c r="I80" s="5" t="n">
        <v>21</v>
      </c>
      <c r="J80" s="5" t="n">
        <v>2</v>
      </c>
      <c r="K80" s="5" t="n">
        <v>0</v>
      </c>
      <c r="L80" s="5" t="s">
        <v>20</v>
      </c>
    </row>
    <row r="81" customFormat="false" ht="15" hidden="false" customHeight="false" outlineLevel="0" collapsed="false">
      <c r="A81" s="5" t="n">
        <f aca="false">RANDBETWEEN(2,164)</f>
        <v>120</v>
      </c>
      <c r="B81" s="5" t="n">
        <f aca="false" t="array" ref="B81:B81">INDEX(Data_DBD!$B:$B,$A81)</f>
        <v>26</v>
      </c>
      <c r="C81" s="5" t="n">
        <f aca="false" t="array" ref="C81:C81">INDEX(Data_DBD!$C:$C,$A81)</f>
        <v>4</v>
      </c>
      <c r="D81" s="5" t="n">
        <f aca="false" t="array" ref="D81:D81">INDEX(Data_DBD!$E:$E,$A81)</f>
        <v>1</v>
      </c>
      <c r="E81" s="5" t="str">
        <f aca="false" t="array" ref="E81:E81">INDEX(Data_DBD!$F:$F,$A81)</f>
        <v>Tinggi</v>
      </c>
      <c r="H81" s="5" t="n">
        <v>151</v>
      </c>
      <c r="I81" s="5" t="n">
        <v>24</v>
      </c>
      <c r="J81" s="5" t="n">
        <v>3</v>
      </c>
      <c r="K81" s="5" t="n">
        <v>0</v>
      </c>
      <c r="L81" s="5" t="s">
        <v>115</v>
      </c>
    </row>
    <row r="82" customFormat="false" ht="15" hidden="false" customHeight="false" outlineLevel="0" collapsed="false">
      <c r="A82" s="5" t="n">
        <f aca="false">RANDBETWEEN(2,164)</f>
        <v>143</v>
      </c>
      <c r="B82" s="5" t="n">
        <f aca="false" t="array" ref="B82:B82">INDEX(Data_DBD!$B:$B,$A82)</f>
        <v>20</v>
      </c>
      <c r="C82" s="5" t="n">
        <f aca="false" t="array" ref="C82:C82">INDEX(Data_DBD!$C:$C,$A82)</f>
        <v>4</v>
      </c>
      <c r="D82" s="5" t="n">
        <f aca="false" t="array" ref="D82:D82">INDEX(Data_DBD!$E:$E,$A82)</f>
        <v>1</v>
      </c>
      <c r="E82" s="5" t="str">
        <f aca="false" t="array" ref="E82:E82">INDEX(Data_DBD!$F:$F,$A82)</f>
        <v>Tinggi</v>
      </c>
      <c r="H82" s="5" t="n">
        <v>56</v>
      </c>
      <c r="I82" s="5" t="n">
        <v>4</v>
      </c>
      <c r="J82" s="5" t="n">
        <v>3</v>
      </c>
      <c r="K82" s="5" t="n">
        <v>0</v>
      </c>
      <c r="L82" s="5" t="s">
        <v>7</v>
      </c>
    </row>
    <row r="83" customFormat="false" ht="15" hidden="false" customHeight="false" outlineLevel="0" collapsed="false">
      <c r="A83" s="5" t="n">
        <f aca="false">RANDBETWEEN(2,164)</f>
        <v>5</v>
      </c>
      <c r="B83" s="5" t="n">
        <f aca="false" t="array" ref="B83:B83">INDEX(Data_DBD!$B:$B,$A83)</f>
        <v>18</v>
      </c>
      <c r="C83" s="5" t="n">
        <f aca="false" t="array" ref="C83:C83">INDEX(Data_DBD!$C:$C,$A83)</f>
        <v>2</v>
      </c>
      <c r="D83" s="5" t="n">
        <f aca="false" t="array" ref="D83:D83">INDEX(Data_DBD!$E:$E,$A83)</f>
        <v>1</v>
      </c>
      <c r="E83" s="5" t="str">
        <f aca="false" t="array" ref="E83:E83">INDEX(Data_DBD!$F:$F,$A83)</f>
        <v>Sedang</v>
      </c>
      <c r="H83" s="5" t="n">
        <v>70</v>
      </c>
      <c r="I83" s="5" t="n">
        <v>26</v>
      </c>
      <c r="J83" s="5" t="n">
        <v>3</v>
      </c>
      <c r="K83" s="5" t="n">
        <v>1</v>
      </c>
      <c r="L83" s="5" t="s">
        <v>7</v>
      </c>
    </row>
    <row r="84" customFormat="false" ht="15" hidden="false" customHeight="false" outlineLevel="0" collapsed="false">
      <c r="A84" s="5" t="n">
        <f aca="false">RANDBETWEEN(2,164)</f>
        <v>49</v>
      </c>
      <c r="B84" s="5" t="n">
        <f aca="false" t="array" ref="B84:B84">INDEX(Data_DBD!$B:$B,$A84)</f>
        <v>64</v>
      </c>
      <c r="C84" s="5" t="n">
        <f aca="false" t="array" ref="C84:C84">INDEX(Data_DBD!$C:$C,$A84)</f>
        <v>5</v>
      </c>
      <c r="D84" s="5" t="n">
        <f aca="false" t="array" ref="D84:D84">INDEX(Data_DBD!$E:$E,$A84)</f>
        <v>0</v>
      </c>
      <c r="E84" s="5" t="str">
        <f aca="false" t="array" ref="E84:E84">INDEX(Data_DBD!$F:$F,$A84)</f>
        <v>Sedang</v>
      </c>
      <c r="H84" s="5" t="n">
        <v>5</v>
      </c>
      <c r="I84" s="5" t="n">
        <v>18</v>
      </c>
      <c r="J84" s="5" t="n">
        <v>2</v>
      </c>
      <c r="K84" s="5" t="n">
        <v>1</v>
      </c>
      <c r="L84" s="5" t="s">
        <v>7</v>
      </c>
    </row>
    <row r="85" customFormat="false" ht="15" hidden="false" customHeight="false" outlineLevel="0" collapsed="false">
      <c r="A85" s="5" t="n">
        <f aca="false">RANDBETWEEN(2,164)</f>
        <v>69</v>
      </c>
      <c r="B85" s="5" t="n">
        <f aca="false" t="array" ref="B85:B85">INDEX(Data_DBD!$B:$B,$A85)</f>
        <v>24</v>
      </c>
      <c r="C85" s="5" t="n">
        <f aca="false" t="array" ref="C85:C85">INDEX(Data_DBD!$C:$C,$A85)</f>
        <v>4</v>
      </c>
      <c r="D85" s="5" t="n">
        <f aca="false" t="array" ref="D85:D85">INDEX(Data_DBD!$E:$E,$A85)</f>
        <v>1</v>
      </c>
      <c r="E85" s="5" t="str">
        <f aca="false" t="array" ref="E85:E85">INDEX(Data_DBD!$F:$F,$A85)</f>
        <v>Rendah</v>
      </c>
      <c r="H85" s="5" t="n">
        <v>66</v>
      </c>
      <c r="I85" s="5" t="n">
        <v>21</v>
      </c>
      <c r="J85" s="5" t="n">
        <v>5</v>
      </c>
      <c r="K85" s="5" t="n">
        <v>1</v>
      </c>
      <c r="L85" s="5" t="s">
        <v>7</v>
      </c>
    </row>
    <row r="86" customFormat="false" ht="15" hidden="false" customHeight="false" outlineLevel="0" collapsed="false">
      <c r="A86" s="5" t="n">
        <f aca="false">RANDBETWEEN(2,164)</f>
        <v>33</v>
      </c>
      <c r="B86" s="5" t="n">
        <f aca="false" t="array" ref="B86:B86">INDEX(Data_DBD!$B:$B,$A86)</f>
        <v>19</v>
      </c>
      <c r="C86" s="5" t="n">
        <f aca="false" t="array" ref="C86:C86">INDEX(Data_DBD!$C:$C,$A86)</f>
        <v>4</v>
      </c>
      <c r="D86" s="5" t="n">
        <f aca="false" t="array" ref="D86:D86">INDEX(Data_DBD!$E:$E,$A86)</f>
        <v>1</v>
      </c>
      <c r="E86" s="5" t="str">
        <f aca="false" t="array" ref="E86:E86">INDEX(Data_DBD!$F:$F,$A86)</f>
        <v>Sedang</v>
      </c>
      <c r="H86" s="5" t="n">
        <v>164</v>
      </c>
      <c r="I86" s="5" t="n">
        <v>10</v>
      </c>
      <c r="J86" s="5" t="n">
        <v>6</v>
      </c>
      <c r="K86" s="5" t="n">
        <v>0</v>
      </c>
      <c r="L86" s="5" t="s">
        <v>20</v>
      </c>
    </row>
    <row r="87" customFormat="false" ht="15" hidden="false" customHeight="false" outlineLevel="0" collapsed="false">
      <c r="A87" s="5" t="n">
        <f aca="false">RANDBETWEEN(2,164)</f>
        <v>146</v>
      </c>
      <c r="B87" s="5" t="n">
        <f aca="false" t="array" ref="B87:B87">INDEX(Data_DBD!$B:$B,$A87)</f>
        <v>34</v>
      </c>
      <c r="C87" s="5" t="n">
        <f aca="false" t="array" ref="C87:C87">INDEX(Data_DBD!$C:$C,$A87)</f>
        <v>2</v>
      </c>
      <c r="D87" s="5" t="n">
        <f aca="false" t="array" ref="D87:D87">INDEX(Data_DBD!$E:$E,$A87)</f>
        <v>1</v>
      </c>
      <c r="E87" s="5" t="str">
        <f aca="false" t="array" ref="E87:E87">INDEX(Data_DBD!$F:$F,$A87)</f>
        <v>Tinggi</v>
      </c>
      <c r="H87" s="5" t="n">
        <v>148</v>
      </c>
      <c r="I87" s="5" t="n">
        <v>55</v>
      </c>
      <c r="J87" s="5" t="n">
        <v>3</v>
      </c>
      <c r="K87" s="5" t="n">
        <v>1</v>
      </c>
      <c r="L87" s="5" t="s">
        <v>115</v>
      </c>
    </row>
    <row r="88" customFormat="false" ht="15" hidden="false" customHeight="false" outlineLevel="0" collapsed="false">
      <c r="A88" s="5" t="n">
        <f aca="false">RANDBETWEEN(2,164)</f>
        <v>127</v>
      </c>
      <c r="B88" s="5" t="n">
        <f aca="false" t="array" ref="B88:B88">INDEX(Data_DBD!$B:$B,$A88)</f>
        <v>21</v>
      </c>
      <c r="C88" s="5" t="n">
        <f aca="false" t="array" ref="C88:C88">INDEX(Data_DBD!$C:$C,$A88)</f>
        <v>2</v>
      </c>
      <c r="D88" s="5" t="n">
        <f aca="false" t="array" ref="D88:D88">INDEX(Data_DBD!$E:$E,$A88)</f>
        <v>0</v>
      </c>
      <c r="E88" s="5" t="str">
        <f aca="false" t="array" ref="E88:E88">INDEX(Data_DBD!$F:$F,$A88)</f>
        <v>Tinggi</v>
      </c>
      <c r="H88" s="5" t="n">
        <v>11</v>
      </c>
      <c r="I88" s="5" t="n">
        <v>24</v>
      </c>
      <c r="J88" s="5" t="n">
        <v>5</v>
      </c>
      <c r="K88" s="5" t="n">
        <v>1</v>
      </c>
      <c r="L88" s="5" t="s">
        <v>7</v>
      </c>
    </row>
    <row r="89" customFormat="false" ht="15" hidden="false" customHeight="false" outlineLevel="0" collapsed="false">
      <c r="A89" s="5" t="n">
        <f aca="false">RANDBETWEEN(2,164)</f>
        <v>118</v>
      </c>
      <c r="B89" s="5" t="n">
        <f aca="false" t="array" ref="B89:B89">INDEX(Data_DBD!$B:$B,$A89)</f>
        <v>67</v>
      </c>
      <c r="C89" s="5" t="n">
        <f aca="false" t="array" ref="C89:C89">INDEX(Data_DBD!$C:$C,$A89)</f>
        <v>4</v>
      </c>
      <c r="D89" s="5" t="n">
        <f aca="false" t="array" ref="D89:D89">INDEX(Data_DBD!$E:$E,$A89)</f>
        <v>1</v>
      </c>
      <c r="E89" s="5" t="str">
        <f aca="false" t="array" ref="E89:E89">INDEX(Data_DBD!$F:$F,$A89)</f>
        <v>Tinggi</v>
      </c>
      <c r="H89" s="5" t="n">
        <v>97</v>
      </c>
      <c r="I89" s="5" t="n">
        <v>16</v>
      </c>
      <c r="J89" s="5" t="n">
        <v>2</v>
      </c>
      <c r="K89" s="5" t="n">
        <v>1</v>
      </c>
      <c r="L89" s="5" t="s">
        <v>115</v>
      </c>
    </row>
    <row r="90" customFormat="false" ht="15" hidden="false" customHeight="false" outlineLevel="0" collapsed="false">
      <c r="A90" s="5" t="n">
        <f aca="false">RANDBETWEEN(2,164)</f>
        <v>44</v>
      </c>
      <c r="B90" s="5" t="n">
        <f aca="false" t="array" ref="B90:B90">INDEX(Data_DBD!$B:$B,$A90)</f>
        <v>28</v>
      </c>
      <c r="C90" s="5" t="n">
        <f aca="false" t="array" ref="C90:C90">INDEX(Data_DBD!$C:$C,$A90)</f>
        <v>5</v>
      </c>
      <c r="D90" s="5" t="n">
        <f aca="false" t="array" ref="D90:D90">INDEX(Data_DBD!$E:$E,$A90)</f>
        <v>1</v>
      </c>
      <c r="E90" s="5" t="str">
        <f aca="false" t="array" ref="E90:E90">INDEX(Data_DBD!$F:$F,$A90)</f>
        <v>Sedang</v>
      </c>
      <c r="H90" s="5" t="n">
        <v>122</v>
      </c>
      <c r="I90" s="5" t="n">
        <v>28</v>
      </c>
      <c r="J90" s="5" t="n">
        <v>3</v>
      </c>
      <c r="K90" s="5" t="n">
        <v>1</v>
      </c>
      <c r="L90" s="5" t="s">
        <v>115</v>
      </c>
    </row>
    <row r="91" customFormat="false" ht="15" hidden="false" customHeight="false" outlineLevel="0" collapsed="false">
      <c r="A91" s="5" t="n">
        <f aca="false">RANDBETWEEN(2,164)</f>
        <v>31</v>
      </c>
      <c r="B91" s="5" t="n">
        <f aca="false" t="array" ref="B91:B91">INDEX(Data_DBD!$B:$B,$A91)</f>
        <v>64</v>
      </c>
      <c r="C91" s="5" t="n">
        <f aca="false" t="array" ref="C91:C91">INDEX(Data_DBD!$C:$C,$A91)</f>
        <v>4</v>
      </c>
      <c r="D91" s="5" t="n">
        <f aca="false" t="array" ref="D91:D91">INDEX(Data_DBD!$E:$E,$A91)</f>
        <v>1</v>
      </c>
      <c r="E91" s="5" t="str">
        <f aca="false" t="array" ref="E91:E91">INDEX(Data_DBD!$F:$F,$A91)</f>
        <v>Sedang</v>
      </c>
      <c r="H91" s="5" t="n">
        <v>107</v>
      </c>
      <c r="I91" s="5" t="n">
        <v>48</v>
      </c>
      <c r="J91" s="5" t="n">
        <v>5</v>
      </c>
      <c r="K91" s="5" t="n">
        <v>0</v>
      </c>
      <c r="L91" s="5" t="s">
        <v>115</v>
      </c>
    </row>
    <row r="92" customFormat="false" ht="15" hidden="false" customHeight="false" outlineLevel="0" collapsed="false">
      <c r="A92" s="5" t="n">
        <f aca="false">RANDBETWEEN(2,164)</f>
        <v>32</v>
      </c>
      <c r="B92" s="5" t="n">
        <f aca="false" t="array" ref="B92:B92">INDEX(Data_DBD!$B:$B,$A92)</f>
        <v>54</v>
      </c>
      <c r="C92" s="5" t="n">
        <f aca="false" t="array" ref="C92:C92">INDEX(Data_DBD!$C:$C,$A92)</f>
        <v>4</v>
      </c>
      <c r="D92" s="5" t="n">
        <f aca="false" t="array" ref="D92:D92">INDEX(Data_DBD!$E:$E,$A92)</f>
        <v>0</v>
      </c>
      <c r="E92" s="5" t="str">
        <f aca="false" t="array" ref="E92:E92">INDEX(Data_DBD!$F:$F,$A92)</f>
        <v>Sedang</v>
      </c>
      <c r="H92" s="5" t="n">
        <v>162</v>
      </c>
      <c r="I92" s="5" t="n">
        <v>22</v>
      </c>
      <c r="J92" s="5" t="n">
        <v>3</v>
      </c>
      <c r="K92" s="5" t="n">
        <v>1</v>
      </c>
      <c r="L92" s="5" t="s">
        <v>20</v>
      </c>
    </row>
    <row r="93" customFormat="false" ht="15" hidden="false" customHeight="false" outlineLevel="0" collapsed="false">
      <c r="A93" s="5" t="n">
        <f aca="false">RANDBETWEEN(2,164)</f>
        <v>117</v>
      </c>
      <c r="B93" s="5" t="n">
        <f aca="false" t="array" ref="B93:B93">INDEX(Data_DBD!$B:$B,$A93)</f>
        <v>49</v>
      </c>
      <c r="C93" s="5" t="n">
        <f aca="false" t="array" ref="C93:C93">INDEX(Data_DBD!$C:$C,$A93)</f>
        <v>4</v>
      </c>
      <c r="D93" s="5" t="n">
        <f aca="false" t="array" ref="D93:D93">INDEX(Data_DBD!$E:$E,$A93)</f>
        <v>1</v>
      </c>
      <c r="E93" s="5" t="str">
        <f aca="false" t="array" ref="E93:E93">INDEX(Data_DBD!$F:$F,$A93)</f>
        <v>Tinggi</v>
      </c>
      <c r="H93" s="5" t="n">
        <v>21</v>
      </c>
      <c r="I93" s="5" t="n">
        <v>10</v>
      </c>
      <c r="J93" s="5" t="n">
        <v>5</v>
      </c>
      <c r="K93" s="5" t="n">
        <v>1</v>
      </c>
      <c r="L93" s="5" t="s">
        <v>7</v>
      </c>
    </row>
    <row r="94" customFormat="false" ht="15" hidden="false" customHeight="false" outlineLevel="0" collapsed="false">
      <c r="A94" s="5" t="n">
        <f aca="false">RANDBETWEEN(2,164)</f>
        <v>74</v>
      </c>
      <c r="B94" s="5" t="n">
        <f aca="false" t="array" ref="B94:B94">INDEX(Data_DBD!$B:$B,$A94)</f>
        <v>9</v>
      </c>
      <c r="C94" s="5" t="n">
        <f aca="false" t="array" ref="C94:C94">INDEX(Data_DBD!$C:$C,$A94)</f>
        <v>4</v>
      </c>
      <c r="D94" s="5" t="n">
        <f aca="false" t="array" ref="D94:D94">INDEX(Data_DBD!$E:$E,$A94)</f>
        <v>0</v>
      </c>
      <c r="E94" s="5" t="str">
        <f aca="false" t="array" ref="E94:E94">INDEX(Data_DBD!$F:$F,$A94)</f>
        <v>Rendah</v>
      </c>
      <c r="H94" s="5" t="n">
        <v>22</v>
      </c>
      <c r="I94" s="5" t="n">
        <v>6</v>
      </c>
      <c r="J94" s="5" t="n">
        <v>3</v>
      </c>
      <c r="K94" s="5" t="n">
        <v>0</v>
      </c>
      <c r="L94" s="5" t="s">
        <v>7</v>
      </c>
    </row>
    <row r="95" customFormat="false" ht="15" hidden="false" customHeight="false" outlineLevel="0" collapsed="false">
      <c r="A95" s="5" t="n">
        <f aca="false">RANDBETWEEN(2,164)</f>
        <v>36</v>
      </c>
      <c r="B95" s="5" t="n">
        <f aca="false" t="array" ref="B95:B95">INDEX(Data_DBD!$B:$B,$A95)</f>
        <v>27</v>
      </c>
      <c r="C95" s="5" t="n">
        <f aca="false" t="array" ref="C95:C95">INDEX(Data_DBD!$C:$C,$A95)</f>
        <v>1</v>
      </c>
      <c r="D95" s="5" t="n">
        <f aca="false" t="array" ref="D95:D95">INDEX(Data_DBD!$E:$E,$A95)</f>
        <v>1</v>
      </c>
      <c r="E95" s="5" t="str">
        <f aca="false" t="array" ref="E95:E95">INDEX(Data_DBD!$F:$F,$A95)</f>
        <v>Rendah</v>
      </c>
      <c r="H95" s="5" t="n">
        <v>96</v>
      </c>
      <c r="I95" s="5" t="n">
        <v>56</v>
      </c>
      <c r="J95" s="5" t="n">
        <v>4</v>
      </c>
      <c r="K95" s="5" t="n">
        <v>0</v>
      </c>
      <c r="L95" s="5" t="s">
        <v>115</v>
      </c>
    </row>
    <row r="96" customFormat="false" ht="15" hidden="false" customHeight="false" outlineLevel="0" collapsed="false">
      <c r="A96" s="5" t="n">
        <f aca="false">RANDBETWEEN(2,164)</f>
        <v>164</v>
      </c>
      <c r="B96" s="5" t="n">
        <f aca="false" t="array" ref="B96:B96">INDEX(Data_DBD!$B:$B,$A96)</f>
        <v>10</v>
      </c>
      <c r="C96" s="5" t="n">
        <f aca="false" t="array" ref="C96:C96">INDEX(Data_DBD!$C:$C,$A96)</f>
        <v>6</v>
      </c>
      <c r="D96" s="5" t="n">
        <f aca="false" t="array" ref="D96:D96">INDEX(Data_DBD!$E:$E,$A96)</f>
        <v>0</v>
      </c>
      <c r="E96" s="5" t="str">
        <f aca="false" t="array" ref="E96:E96">INDEX(Data_DBD!$F:$F,$A96)</f>
        <v>Rendah</v>
      </c>
      <c r="H96" s="5" t="n">
        <v>92</v>
      </c>
      <c r="I96" s="5" t="n">
        <v>55</v>
      </c>
      <c r="J96" s="5" t="n">
        <v>7</v>
      </c>
      <c r="K96" s="5" t="n">
        <v>0</v>
      </c>
      <c r="L96" s="5" t="s">
        <v>115</v>
      </c>
    </row>
    <row r="97" customFormat="false" ht="15" hidden="false" customHeight="false" outlineLevel="0" collapsed="false">
      <c r="A97" s="5" t="n">
        <f aca="false">RANDBETWEEN(2,164)</f>
        <v>94</v>
      </c>
      <c r="B97" s="5" t="n">
        <f aca="false" t="array" ref="B97:B97">INDEX(Data_DBD!$B:$B,$A97)</f>
        <v>12</v>
      </c>
      <c r="C97" s="5" t="n">
        <f aca="false" t="array" ref="C97:C97">INDEX(Data_DBD!$C:$C,$A97)</f>
        <v>4</v>
      </c>
      <c r="D97" s="5" t="n">
        <f aca="false" t="array" ref="D97:D97">INDEX(Data_DBD!$E:$E,$A97)</f>
        <v>0</v>
      </c>
      <c r="E97" s="5" t="str">
        <f aca="false" t="array" ref="E97:E97">INDEX(Data_DBD!$F:$F,$A97)</f>
        <v>Sedang</v>
      </c>
      <c r="H97" s="5" t="n">
        <v>158</v>
      </c>
      <c r="I97" s="5" t="n">
        <v>5</v>
      </c>
      <c r="J97" s="5" t="n">
        <v>2</v>
      </c>
      <c r="K97" s="5" t="n">
        <v>0</v>
      </c>
      <c r="L97" s="5" t="s">
        <v>115</v>
      </c>
    </row>
    <row r="98" customFormat="false" ht="15" hidden="false" customHeight="false" outlineLevel="0" collapsed="false">
      <c r="A98" s="5" t="n">
        <f aca="false">RANDBETWEEN(2,164)</f>
        <v>101</v>
      </c>
      <c r="B98" s="5" t="n">
        <f aca="false" t="array" ref="B98:B98">INDEX(Data_DBD!$B:$B,$A98)</f>
        <v>42</v>
      </c>
      <c r="C98" s="5" t="n">
        <f aca="false" t="array" ref="C98:C98">INDEX(Data_DBD!$C:$C,$A98)</f>
        <v>5</v>
      </c>
      <c r="D98" s="5" t="n">
        <f aca="false" t="array" ref="D98:D98">INDEX(Data_DBD!$E:$E,$A98)</f>
        <v>0</v>
      </c>
      <c r="E98" s="5" t="str">
        <f aca="false" t="array" ref="E98:E98">INDEX(Data_DBD!$F:$F,$A98)</f>
        <v>Sedang</v>
      </c>
      <c r="H98" s="5" t="n">
        <v>113</v>
      </c>
      <c r="I98" s="5" t="n">
        <v>69</v>
      </c>
      <c r="J98" s="5" t="n">
        <v>1</v>
      </c>
      <c r="K98" s="5" t="n">
        <v>1</v>
      </c>
      <c r="L98" s="5" t="s">
        <v>115</v>
      </c>
    </row>
    <row r="99" customFormat="false" ht="15" hidden="false" customHeight="false" outlineLevel="0" collapsed="false">
      <c r="A99" s="5" t="n">
        <f aca="false">RANDBETWEEN(2,164)</f>
        <v>70</v>
      </c>
      <c r="B99" s="5" t="n">
        <f aca="false" t="array" ref="B99:B99">INDEX(Data_DBD!$B:$B,$A99)</f>
        <v>26</v>
      </c>
      <c r="C99" s="5" t="n">
        <f aca="false" t="array" ref="C99:C99">INDEX(Data_DBD!$C:$C,$A99)</f>
        <v>3</v>
      </c>
      <c r="D99" s="5" t="n">
        <f aca="false" t="array" ref="D99:D99">INDEX(Data_DBD!$E:$E,$A99)</f>
        <v>1</v>
      </c>
      <c r="E99" s="5" t="str">
        <f aca="false" t="array" ref="E99:E99">INDEX(Data_DBD!$F:$F,$A99)</f>
        <v>Rendah</v>
      </c>
      <c r="H99" s="5" t="n">
        <v>57</v>
      </c>
      <c r="I99" s="5" t="n">
        <v>2</v>
      </c>
      <c r="J99" s="5" t="n">
        <v>2</v>
      </c>
      <c r="K99" s="5" t="n">
        <v>1</v>
      </c>
      <c r="L99" s="5" t="s">
        <v>7</v>
      </c>
    </row>
    <row r="100" customFormat="false" ht="15" hidden="false" customHeight="false" outlineLevel="0" collapsed="false">
      <c r="A100" s="5" t="n">
        <f aca="false">RANDBETWEEN(2,164)</f>
        <v>11</v>
      </c>
      <c r="B100" s="5" t="n">
        <f aca="false" t="array" ref="B100:B100">INDEX(Data_DBD!$B:$B,$A100)</f>
        <v>24</v>
      </c>
      <c r="C100" s="5" t="n">
        <f aca="false" t="array" ref="C100:C100">INDEX(Data_DBD!$C:$C,$A100)</f>
        <v>5</v>
      </c>
      <c r="D100" s="5" t="n">
        <f aca="false" t="array" ref="D100:D100">INDEX(Data_DBD!$E:$E,$A100)</f>
        <v>1</v>
      </c>
      <c r="E100" s="5" t="str">
        <f aca="false" t="array" ref="E100:E100">INDEX(Data_DBD!$F:$F,$A100)</f>
        <v>Sedang</v>
      </c>
      <c r="H100" s="5" t="n">
        <v>87</v>
      </c>
      <c r="I100" s="5" t="n">
        <v>21</v>
      </c>
      <c r="J100" s="5" t="n">
        <v>3</v>
      </c>
      <c r="K100" s="5" t="n">
        <v>0</v>
      </c>
      <c r="L100" s="5" t="s">
        <v>7</v>
      </c>
    </row>
    <row r="101" customFormat="false" ht="15" hidden="false" customHeight="false" outlineLevel="0" collapsed="false">
      <c r="A101" s="5" t="n">
        <f aca="false">RANDBETWEEN(2,164)</f>
        <v>139</v>
      </c>
      <c r="B101" s="5" t="n">
        <f aca="false" t="array" ref="B101:B101">INDEX(Data_DBD!$B:$B,$A101)</f>
        <v>52</v>
      </c>
      <c r="C101" s="5" t="n">
        <f aca="false" t="array" ref="C101:C101">INDEX(Data_DBD!$C:$C,$A101)</f>
        <v>7</v>
      </c>
      <c r="D101" s="5" t="n">
        <f aca="false" t="array" ref="D101:D101">INDEX(Data_DBD!$E:$E,$A101)</f>
        <v>0</v>
      </c>
      <c r="E101" s="5" t="str">
        <f aca="false" t="array" ref="E101:E101">INDEX(Data_DBD!$F:$F,$A101)</f>
        <v>Tinggi</v>
      </c>
      <c r="H101" s="5" t="n">
        <v>72</v>
      </c>
      <c r="I101" s="5" t="n">
        <v>3</v>
      </c>
      <c r="J101" s="5" t="n">
        <v>5</v>
      </c>
      <c r="K101" s="5" t="n">
        <v>1</v>
      </c>
      <c r="L101" s="5" t="s">
        <v>7</v>
      </c>
    </row>
    <row r="102" customFormat="false" ht="15" hidden="false" customHeight="false" outlineLevel="0" collapsed="false">
      <c r="A102" s="5" t="n">
        <f aca="false">RANDBETWEEN(2,164)</f>
        <v>124</v>
      </c>
      <c r="B102" s="5" t="n">
        <f aca="false" t="array" ref="B102:B102">INDEX(Data_DBD!$B:$B,$A102)</f>
        <v>24</v>
      </c>
      <c r="C102" s="5" t="n">
        <f aca="false" t="array" ref="C102:C102">INDEX(Data_DBD!$C:$C,$A102)</f>
        <v>3</v>
      </c>
      <c r="D102" s="5" t="n">
        <f aca="false" t="array" ref="D102:D102">INDEX(Data_DBD!$E:$E,$A102)</f>
        <v>1</v>
      </c>
      <c r="E102" s="5" t="str">
        <f aca="false" t="array" ref="E102:E102">INDEX(Data_DBD!$F:$F,$A102)</f>
        <v>Tinggi</v>
      </c>
      <c r="H102" s="5" t="n">
        <v>50</v>
      </c>
      <c r="I102" s="5" t="n">
        <v>19</v>
      </c>
      <c r="J102" s="5" t="n">
        <v>5</v>
      </c>
      <c r="K102" s="5" t="n">
        <v>0</v>
      </c>
      <c r="L102" s="5" t="s">
        <v>7</v>
      </c>
    </row>
    <row r="103" customFormat="false" ht="15" hidden="false" customHeight="false" outlineLevel="0" collapsed="false">
      <c r="A103" s="5" t="n">
        <f aca="false">RANDBETWEEN(2,164)</f>
        <v>4</v>
      </c>
      <c r="B103" s="5" t="n">
        <f aca="false" t="array" ref="B103:B103">INDEX(Data_DBD!$B:$B,$A103)</f>
        <v>23</v>
      </c>
      <c r="C103" s="5" t="n">
        <f aca="false" t="array" ref="C103:C103">INDEX(Data_DBD!$C:$C,$A103)</f>
        <v>5</v>
      </c>
      <c r="D103" s="5" t="n">
        <f aca="false" t="array" ref="D103:D103">INDEX(Data_DBD!$E:$E,$A103)</f>
        <v>0</v>
      </c>
      <c r="E103" s="5" t="str">
        <f aca="false" t="array" ref="E103:E103">INDEX(Data_DBD!$F:$F,$A103)</f>
        <v>Sedang</v>
      </c>
      <c r="H103" s="5" t="n">
        <v>114</v>
      </c>
      <c r="I103" s="5" t="n">
        <v>14</v>
      </c>
      <c r="J103" s="5" t="n">
        <v>2</v>
      </c>
      <c r="K103" s="5" t="n">
        <v>1</v>
      </c>
      <c r="L103" s="5" t="s">
        <v>115</v>
      </c>
    </row>
    <row r="104" customFormat="false" ht="15" hidden="false" customHeight="false" outlineLevel="0" collapsed="false">
      <c r="A104" s="5" t="n">
        <f aca="false">RANDBETWEEN(2,164)</f>
        <v>18</v>
      </c>
      <c r="B104" s="5" t="n">
        <f aca="false" t="array" ref="B104:B104">INDEX(Data_DBD!$B:$B,$A104)</f>
        <v>49</v>
      </c>
      <c r="C104" s="5" t="n">
        <f aca="false" t="array" ref="C104:C104">INDEX(Data_DBD!$C:$C,$A104)</f>
        <v>4</v>
      </c>
      <c r="D104" s="5" t="n">
        <f aca="false" t="array" ref="D104:D104">INDEX(Data_DBD!$E:$E,$A104)</f>
        <v>1</v>
      </c>
      <c r="E104" s="5" t="str">
        <f aca="false" t="array" ref="E104:E104">INDEX(Data_DBD!$F:$F,$A104)</f>
        <v>Rendah</v>
      </c>
      <c r="H104" s="5" t="n">
        <v>26</v>
      </c>
      <c r="I104" s="5" t="n">
        <v>75</v>
      </c>
      <c r="J104" s="5" t="n">
        <v>4</v>
      </c>
      <c r="K104" s="5" t="n">
        <v>1</v>
      </c>
      <c r="L104" s="5" t="s">
        <v>7</v>
      </c>
    </row>
    <row r="105" customFormat="false" ht="15" hidden="false" customHeight="false" outlineLevel="0" collapsed="false">
      <c r="A105" s="5" t="n">
        <f aca="false">RANDBETWEEN(2,164)</f>
        <v>134</v>
      </c>
      <c r="B105" s="5" t="n">
        <f aca="false" t="array" ref="B105:B105">INDEX(Data_DBD!$B:$B,$A105)</f>
        <v>4</v>
      </c>
      <c r="C105" s="5" t="n">
        <f aca="false" t="array" ref="C105:C105">INDEX(Data_DBD!$C:$C,$A105)</f>
        <v>2</v>
      </c>
      <c r="D105" s="5" t="n">
        <f aca="false" t="array" ref="D105:D105">INDEX(Data_DBD!$E:$E,$A105)</f>
        <v>1</v>
      </c>
      <c r="E105" s="5" t="str">
        <f aca="false" t="array" ref="E105:E105">INDEX(Data_DBD!$F:$F,$A105)</f>
        <v>Tinggi</v>
      </c>
      <c r="H105" s="5" t="n">
        <v>31</v>
      </c>
      <c r="I105" s="5" t="n">
        <v>64</v>
      </c>
      <c r="J105" s="5" t="n">
        <v>4</v>
      </c>
      <c r="K105" s="5" t="n">
        <v>1</v>
      </c>
      <c r="L105" s="5" t="s">
        <v>7</v>
      </c>
    </row>
    <row r="106" customFormat="false" ht="15" hidden="false" customHeight="false" outlineLevel="0" collapsed="false">
      <c r="A106" s="5" t="n">
        <f aca="false">RANDBETWEEN(2,164)</f>
        <v>146</v>
      </c>
      <c r="B106" s="5" t="n">
        <f aca="false" t="array" ref="B106:B106">INDEX(Data_DBD!$B:$B,$A106)</f>
        <v>34</v>
      </c>
      <c r="C106" s="5" t="n">
        <f aca="false" t="array" ref="C106:C106">INDEX(Data_DBD!$C:$C,$A106)</f>
        <v>2</v>
      </c>
      <c r="D106" s="5" t="n">
        <f aca="false" t="array" ref="D106:D106">INDEX(Data_DBD!$E:$E,$A106)</f>
        <v>1</v>
      </c>
      <c r="E106" s="5" t="str">
        <f aca="false" t="array" ref="E106:E106">INDEX(Data_DBD!$F:$F,$A106)</f>
        <v>Tinggi</v>
      </c>
      <c r="H106" s="5" t="n">
        <v>15</v>
      </c>
      <c r="I106" s="5" t="n">
        <v>21</v>
      </c>
      <c r="J106" s="5" t="n">
        <v>2</v>
      </c>
      <c r="K106" s="5" t="n">
        <v>0</v>
      </c>
      <c r="L106" s="5" t="s">
        <v>20</v>
      </c>
    </row>
    <row r="107" customFormat="false" ht="15" hidden="false" customHeight="false" outlineLevel="0" collapsed="false">
      <c r="A107" s="5" t="n">
        <f aca="false">RANDBETWEEN(2,164)</f>
        <v>90</v>
      </c>
      <c r="B107" s="5" t="n">
        <f aca="false" t="array" ref="B107:B107">INDEX(Data_DBD!$B:$B,$A107)</f>
        <v>47</v>
      </c>
      <c r="C107" s="5" t="n">
        <f aca="false" t="array" ref="C107:C107">INDEX(Data_DBD!$C:$C,$A107)</f>
        <v>3</v>
      </c>
      <c r="D107" s="5" t="n">
        <f aca="false" t="array" ref="D107:D107">INDEX(Data_DBD!$E:$E,$A107)</f>
        <v>0</v>
      </c>
      <c r="E107" s="5" t="str">
        <f aca="false" t="array" ref="E107:E107">INDEX(Data_DBD!$F:$F,$A107)</f>
        <v>Sedang</v>
      </c>
      <c r="H107" s="5" t="n">
        <v>107</v>
      </c>
      <c r="I107" s="5" t="n">
        <v>48</v>
      </c>
      <c r="J107" s="5" t="n">
        <v>5</v>
      </c>
      <c r="K107" s="5" t="n">
        <v>0</v>
      </c>
      <c r="L107" s="5" t="s">
        <v>115</v>
      </c>
    </row>
    <row r="108" customFormat="false" ht="15" hidden="false" customHeight="false" outlineLevel="0" collapsed="false">
      <c r="A108" s="5" t="n">
        <f aca="false">RANDBETWEEN(2,164)</f>
        <v>161</v>
      </c>
      <c r="B108" s="5" t="n">
        <f aca="false" t="array" ref="B108:B108">INDEX(Data_DBD!$B:$B,$A108)</f>
        <v>12</v>
      </c>
      <c r="C108" s="5" t="n">
        <f aca="false" t="array" ref="C108:C108">INDEX(Data_DBD!$C:$C,$A108)</f>
        <v>3</v>
      </c>
      <c r="D108" s="5" t="n">
        <f aca="false" t="array" ref="D108:D108">INDEX(Data_DBD!$E:$E,$A108)</f>
        <v>1</v>
      </c>
      <c r="E108" s="5" t="str">
        <f aca="false" t="array" ref="E108:E108">INDEX(Data_DBD!$F:$F,$A108)</f>
        <v>Tinggi</v>
      </c>
      <c r="H108" s="5" t="n">
        <v>150</v>
      </c>
      <c r="I108" s="5" t="n">
        <v>61</v>
      </c>
      <c r="J108" s="5" t="n">
        <v>5</v>
      </c>
      <c r="K108" s="5" t="n">
        <v>1</v>
      </c>
      <c r="L108" s="5" t="s">
        <v>115</v>
      </c>
    </row>
    <row r="109" customFormat="false" ht="15" hidden="false" customHeight="false" outlineLevel="0" collapsed="false">
      <c r="A109" s="5" t="n">
        <f aca="false">RANDBETWEEN(2,164)</f>
        <v>9</v>
      </c>
      <c r="B109" s="5" t="n">
        <f aca="false" t="array" ref="B109:B109">INDEX(Data_DBD!$B:$B,$A109)</f>
        <v>16</v>
      </c>
      <c r="C109" s="5" t="n">
        <f aca="false" t="array" ref="C109:C109">INDEX(Data_DBD!$C:$C,$A109)</f>
        <v>6</v>
      </c>
      <c r="D109" s="5" t="n">
        <f aca="false" t="array" ref="D109:D109">INDEX(Data_DBD!$E:$E,$A109)</f>
        <v>1</v>
      </c>
      <c r="E109" s="5" t="str">
        <f aca="false" t="array" ref="E109:E109">INDEX(Data_DBD!$F:$F,$A109)</f>
        <v>Sedang</v>
      </c>
      <c r="H109" s="5" t="n">
        <v>113</v>
      </c>
      <c r="I109" s="5" t="n">
        <v>69</v>
      </c>
      <c r="J109" s="5" t="n">
        <v>1</v>
      </c>
      <c r="K109" s="5" t="n">
        <v>1</v>
      </c>
      <c r="L109" s="5" t="s">
        <v>115</v>
      </c>
    </row>
    <row r="110" customFormat="false" ht="15" hidden="false" customHeight="false" outlineLevel="0" collapsed="false">
      <c r="A110" s="5" t="n">
        <f aca="false">RANDBETWEEN(2,164)</f>
        <v>64</v>
      </c>
      <c r="B110" s="5" t="n">
        <f aca="false" t="array" ref="B110:B110">INDEX(Data_DBD!$B:$B,$A110)</f>
        <v>35</v>
      </c>
      <c r="C110" s="5" t="n">
        <f aca="false" t="array" ref="C110:C110">INDEX(Data_DBD!$C:$C,$A110)</f>
        <v>1</v>
      </c>
      <c r="D110" s="5" t="n">
        <f aca="false" t="array" ref="D110:D110">INDEX(Data_DBD!$E:$E,$A110)</f>
        <v>0</v>
      </c>
      <c r="E110" s="5" t="str">
        <f aca="false" t="array" ref="E110:E110">INDEX(Data_DBD!$F:$F,$A110)</f>
        <v>Sedang</v>
      </c>
      <c r="H110" s="5" t="n">
        <v>67</v>
      </c>
      <c r="I110" s="5" t="n">
        <v>21</v>
      </c>
      <c r="J110" s="5" t="n">
        <v>3</v>
      </c>
      <c r="K110" s="5" t="n">
        <v>1</v>
      </c>
      <c r="L110" s="5" t="s">
        <v>7</v>
      </c>
    </row>
    <row r="111" customFormat="false" ht="15" hidden="false" customHeight="false" outlineLevel="0" collapsed="false">
      <c r="A111" s="5" t="n">
        <f aca="false">RANDBETWEEN(2,164)</f>
        <v>88</v>
      </c>
      <c r="B111" s="5" t="n">
        <f aca="false" t="array" ref="B111:B111">INDEX(Data_DBD!$B:$B,$A111)</f>
        <v>20</v>
      </c>
      <c r="C111" s="5" t="n">
        <f aca="false" t="array" ref="C111:C111">INDEX(Data_DBD!$C:$C,$A111)</f>
        <v>4</v>
      </c>
      <c r="D111" s="5" t="n">
        <f aca="false" t="array" ref="D111:D111">INDEX(Data_DBD!$E:$E,$A111)</f>
        <v>1</v>
      </c>
      <c r="E111" s="5" t="str">
        <f aca="false" t="array" ref="E111:E111">INDEX(Data_DBD!$F:$F,$A111)</f>
        <v>Sedang</v>
      </c>
      <c r="H111" s="5" t="n">
        <v>125</v>
      </c>
      <c r="I111" s="5" t="n">
        <v>39</v>
      </c>
      <c r="J111" s="5" t="n">
        <v>4</v>
      </c>
      <c r="K111" s="5" t="n">
        <v>0</v>
      </c>
      <c r="L111" s="5" t="s">
        <v>115</v>
      </c>
    </row>
    <row r="112" customFormat="false" ht="15" hidden="false" customHeight="false" outlineLevel="0" collapsed="false">
      <c r="A112" s="5" t="n">
        <f aca="false">RANDBETWEEN(2,164)</f>
        <v>7</v>
      </c>
      <c r="B112" s="5" t="n">
        <f aca="false" t="array" ref="B112:B112">INDEX(Data_DBD!$B:$B,$A112)</f>
        <v>12</v>
      </c>
      <c r="C112" s="5" t="n">
        <f aca="false" t="array" ref="C112:C112">INDEX(Data_DBD!$C:$C,$A112)</f>
        <v>1</v>
      </c>
      <c r="D112" s="5" t="n">
        <f aca="false" t="array" ref="D112:D112">INDEX(Data_DBD!$E:$E,$A112)</f>
        <v>1</v>
      </c>
      <c r="E112" s="5" t="str">
        <f aca="false" t="array" ref="E112:E112">INDEX(Data_DBD!$F:$F,$A112)</f>
        <v>Sedang</v>
      </c>
      <c r="H112" s="5" t="n">
        <v>13</v>
      </c>
      <c r="I112" s="5" t="n">
        <v>47</v>
      </c>
      <c r="J112" s="5" t="n">
        <v>2</v>
      </c>
      <c r="K112" s="5" t="n">
        <v>0</v>
      </c>
      <c r="L112" s="5" t="s">
        <v>7</v>
      </c>
    </row>
    <row r="113" customFormat="false" ht="15" hidden="false" customHeight="false" outlineLevel="0" collapsed="false">
      <c r="A113" s="5" t="n">
        <f aca="false">RANDBETWEEN(2,164)</f>
        <v>82</v>
      </c>
      <c r="B113" s="5" t="n">
        <f aca="false" t="array" ref="B113:B113">INDEX(Data_DBD!$B:$B,$A113)</f>
        <v>28</v>
      </c>
      <c r="C113" s="5" t="n">
        <f aca="false" t="array" ref="C113:C113">INDEX(Data_DBD!$C:$C,$A113)</f>
        <v>3</v>
      </c>
      <c r="D113" s="5" t="n">
        <f aca="false" t="array" ref="D113:D113">INDEX(Data_DBD!$E:$E,$A113)</f>
        <v>1</v>
      </c>
      <c r="E113" s="5" t="str">
        <f aca="false" t="array" ref="E113:E113">INDEX(Data_DBD!$F:$F,$A113)</f>
        <v>Sedang</v>
      </c>
      <c r="H113" s="5" t="n">
        <v>71</v>
      </c>
      <c r="I113" s="5" t="n">
        <v>84</v>
      </c>
      <c r="J113" s="5" t="n">
        <v>3</v>
      </c>
      <c r="K113" s="5" t="n">
        <v>0</v>
      </c>
      <c r="L113" s="5" t="s">
        <v>7</v>
      </c>
    </row>
    <row r="114" customFormat="false" ht="15" hidden="false" customHeight="false" outlineLevel="0" collapsed="false">
      <c r="A114" s="5" t="n">
        <f aca="false">RANDBETWEEN(2,164)</f>
        <v>18</v>
      </c>
      <c r="B114" s="5" t="n">
        <f aca="false" t="array" ref="B114:B114">INDEX(Data_DBD!$B:$B,$A114)</f>
        <v>49</v>
      </c>
      <c r="C114" s="5" t="n">
        <f aca="false" t="array" ref="C114:C114">INDEX(Data_DBD!$C:$C,$A114)</f>
        <v>4</v>
      </c>
      <c r="D114" s="5" t="n">
        <f aca="false" t="array" ref="D114:D114">INDEX(Data_DBD!$E:$E,$A114)</f>
        <v>1</v>
      </c>
      <c r="E114" s="5" t="str">
        <f aca="false" t="array" ref="E114:E114">INDEX(Data_DBD!$F:$F,$A114)</f>
        <v>Rendah</v>
      </c>
      <c r="H114" s="5" t="n">
        <v>58</v>
      </c>
      <c r="I114" s="5" t="n">
        <v>17</v>
      </c>
      <c r="J114" s="5" t="n">
        <v>3</v>
      </c>
      <c r="K114" s="5" t="n">
        <v>0</v>
      </c>
      <c r="L114" s="5" t="s">
        <v>7</v>
      </c>
    </row>
    <row r="115" customFormat="false" ht="15" hidden="false" customHeight="false" outlineLevel="0" collapsed="false">
      <c r="A115" s="5" t="n">
        <f aca="false">RANDBETWEEN(2,164)</f>
        <v>56</v>
      </c>
      <c r="B115" s="5" t="n">
        <f aca="false" t="array" ref="B115:B115">INDEX(Data_DBD!$B:$B,$A115)</f>
        <v>4</v>
      </c>
      <c r="C115" s="5" t="n">
        <f aca="false" t="array" ref="C115:C115">INDEX(Data_DBD!$C:$C,$A115)</f>
        <v>3</v>
      </c>
      <c r="D115" s="5" t="n">
        <f aca="false" t="array" ref="D115:D115">INDEX(Data_DBD!$E:$E,$A115)</f>
        <v>0</v>
      </c>
      <c r="E115" s="5" t="str">
        <f aca="false" t="array" ref="E115:E115">INDEX(Data_DBD!$F:$F,$A115)</f>
        <v>Sedang</v>
      </c>
      <c r="H115" s="5" t="n">
        <v>132</v>
      </c>
      <c r="I115" s="5" t="n">
        <v>10</v>
      </c>
      <c r="J115" s="5" t="n">
        <v>3</v>
      </c>
      <c r="K115" s="5" t="n">
        <v>1</v>
      </c>
      <c r="L115" s="5" t="s">
        <v>115</v>
      </c>
    </row>
    <row r="116" customFormat="false" ht="15" hidden="false" customHeight="false" outlineLevel="0" collapsed="false">
      <c r="A116" s="5" t="n">
        <f aca="false">RANDBETWEEN(2,164)</f>
        <v>77</v>
      </c>
      <c r="B116" s="5" t="n">
        <f aca="false" t="array" ref="B116:B116">INDEX(Data_DBD!$B:$B,$A116)</f>
        <v>16</v>
      </c>
      <c r="C116" s="5" t="n">
        <f aca="false" t="array" ref="C116:C116">INDEX(Data_DBD!$C:$C,$A116)</f>
        <v>4</v>
      </c>
      <c r="D116" s="5" t="n">
        <f aca="false" t="array" ref="D116:D116">INDEX(Data_DBD!$E:$E,$A116)</f>
        <v>1</v>
      </c>
      <c r="E116" s="5" t="str">
        <f aca="false" t="array" ref="E116:E116">INDEX(Data_DBD!$F:$F,$A116)</f>
        <v>Sedang</v>
      </c>
      <c r="H116" s="5" t="n">
        <v>137</v>
      </c>
      <c r="I116" s="5" t="n">
        <v>3</v>
      </c>
      <c r="J116" s="5" t="n">
        <v>1</v>
      </c>
      <c r="K116" s="5" t="n">
        <v>1</v>
      </c>
      <c r="L116" s="5" t="s">
        <v>115</v>
      </c>
    </row>
    <row r="117" customFormat="false" ht="15" hidden="false" customHeight="false" outlineLevel="0" collapsed="false">
      <c r="A117" s="5" t="n">
        <f aca="false">RANDBETWEEN(2,164)</f>
        <v>65</v>
      </c>
      <c r="B117" s="5" t="n">
        <f aca="false" t="array" ref="B117:B117">INDEX(Data_DBD!$B:$B,$A117)</f>
        <v>49</v>
      </c>
      <c r="C117" s="5" t="n">
        <f aca="false" t="array" ref="C117:C117">INDEX(Data_DBD!$C:$C,$A117)</f>
        <v>3</v>
      </c>
      <c r="D117" s="5" t="n">
        <f aca="false" t="array" ref="D117:D117">INDEX(Data_DBD!$E:$E,$A117)</f>
        <v>0</v>
      </c>
      <c r="E117" s="5" t="str">
        <f aca="false" t="array" ref="E117:E117">INDEX(Data_DBD!$F:$F,$A117)</f>
        <v>Sedang</v>
      </c>
      <c r="H117" s="5" t="n">
        <v>82</v>
      </c>
      <c r="I117" s="5" t="n">
        <v>28</v>
      </c>
      <c r="J117" s="5" t="n">
        <v>3</v>
      </c>
      <c r="K117" s="5" t="n">
        <v>1</v>
      </c>
      <c r="L117" s="5" t="s">
        <v>7</v>
      </c>
    </row>
    <row r="118" customFormat="false" ht="15" hidden="false" customHeight="false" outlineLevel="0" collapsed="false">
      <c r="A118" s="5" t="n">
        <f aca="false">RANDBETWEEN(2,164)</f>
        <v>15</v>
      </c>
      <c r="B118" s="5" t="n">
        <f aca="false" t="array" ref="B118:B118">INDEX(Data_DBD!$B:$B,$A118)</f>
        <v>21</v>
      </c>
      <c r="C118" s="5" t="n">
        <f aca="false" t="array" ref="C118:C118">INDEX(Data_DBD!$C:$C,$A118)</f>
        <v>2</v>
      </c>
      <c r="D118" s="5" t="n">
        <f aca="false" t="array" ref="D118:D118">INDEX(Data_DBD!$E:$E,$A118)</f>
        <v>0</v>
      </c>
      <c r="E118" s="5" t="str">
        <f aca="false" t="array" ref="E118:E118">INDEX(Data_DBD!$F:$F,$A118)</f>
        <v>Rendah</v>
      </c>
      <c r="H118" s="5" t="n">
        <v>97</v>
      </c>
      <c r="I118" s="5" t="n">
        <v>16</v>
      </c>
      <c r="J118" s="5" t="n">
        <v>2</v>
      </c>
      <c r="K118" s="5" t="n">
        <v>1</v>
      </c>
      <c r="L118" s="5" t="s">
        <v>115</v>
      </c>
    </row>
    <row r="119" customFormat="false" ht="15" hidden="false" customHeight="false" outlineLevel="0" collapsed="false">
      <c r="A119" s="5" t="n">
        <f aca="false">RANDBETWEEN(2,164)</f>
        <v>5</v>
      </c>
      <c r="B119" s="5" t="n">
        <f aca="false" t="array" ref="B119:B119">INDEX(Data_DBD!$B:$B,$A119)</f>
        <v>18</v>
      </c>
      <c r="C119" s="5" t="n">
        <f aca="false" t="array" ref="C119:C119">INDEX(Data_DBD!$C:$C,$A119)</f>
        <v>2</v>
      </c>
      <c r="D119" s="5" t="n">
        <f aca="false" t="array" ref="D119:D119">INDEX(Data_DBD!$E:$E,$A119)</f>
        <v>1</v>
      </c>
      <c r="E119" s="5" t="str">
        <f aca="false" t="array" ref="E119:E119">INDEX(Data_DBD!$F:$F,$A119)</f>
        <v>Sedang</v>
      </c>
      <c r="H119" s="5" t="n">
        <v>39</v>
      </c>
      <c r="I119" s="5" t="n">
        <v>12</v>
      </c>
      <c r="J119" s="5" t="n">
        <v>5</v>
      </c>
      <c r="K119" s="5" t="n">
        <v>1</v>
      </c>
      <c r="L119" s="5" t="s">
        <v>7</v>
      </c>
    </row>
    <row r="120" customFormat="false" ht="15" hidden="false" customHeight="false" outlineLevel="0" collapsed="false">
      <c r="A120" s="5" t="n">
        <f aca="false">RANDBETWEEN(2,164)</f>
        <v>45</v>
      </c>
      <c r="B120" s="5" t="n">
        <f aca="false" t="array" ref="B120:B120">INDEX(Data_DBD!$B:$B,$A120)</f>
        <v>75</v>
      </c>
      <c r="C120" s="5" t="n">
        <f aca="false" t="array" ref="C120:C120">INDEX(Data_DBD!$C:$C,$A120)</f>
        <v>3</v>
      </c>
      <c r="D120" s="5" t="n">
        <f aca="false" t="array" ref="D120:D120">INDEX(Data_DBD!$E:$E,$A120)</f>
        <v>1</v>
      </c>
      <c r="E120" s="5" t="str">
        <f aca="false" t="array" ref="E120:E120">INDEX(Data_DBD!$F:$F,$A120)</f>
        <v>Sedang</v>
      </c>
      <c r="H120" s="5" t="n">
        <v>47</v>
      </c>
      <c r="I120" s="5" t="n">
        <v>19</v>
      </c>
      <c r="J120" s="5" t="n">
        <v>2</v>
      </c>
      <c r="K120" s="5" t="n">
        <v>0</v>
      </c>
      <c r="L120" s="5" t="s">
        <v>7</v>
      </c>
    </row>
    <row r="121" customFormat="false" ht="15" hidden="false" customHeight="false" outlineLevel="0" collapsed="false">
      <c r="A121" s="5" t="n">
        <f aca="false">RANDBETWEEN(2,164)</f>
        <v>160</v>
      </c>
      <c r="B121" s="5" t="n">
        <f aca="false" t="array" ref="B121:B121">INDEX(Data_DBD!$B:$B,$A121)</f>
        <v>16</v>
      </c>
      <c r="C121" s="5" t="n">
        <f aca="false" t="array" ref="C121:C121">INDEX(Data_DBD!$C:$C,$A121)</f>
        <v>3</v>
      </c>
      <c r="D121" s="5" t="n">
        <f aca="false" t="array" ref="D121:D121">INDEX(Data_DBD!$E:$E,$A121)</f>
        <v>0</v>
      </c>
      <c r="E121" s="5" t="str">
        <f aca="false" t="array" ref="E121:E121">INDEX(Data_DBD!$F:$F,$A121)</f>
        <v>Tinggi</v>
      </c>
      <c r="H121" s="5" t="n">
        <v>87</v>
      </c>
      <c r="I121" s="5" t="n">
        <v>21</v>
      </c>
      <c r="J121" s="5" t="n">
        <v>3</v>
      </c>
      <c r="K121" s="5" t="n">
        <v>0</v>
      </c>
      <c r="L121" s="5" t="s">
        <v>7</v>
      </c>
    </row>
    <row r="122" customFormat="false" ht="15" hidden="false" customHeight="false" outlineLevel="0" collapsed="false">
      <c r="A122" s="5" t="n">
        <f aca="false">RANDBETWEEN(2,164)</f>
        <v>25</v>
      </c>
      <c r="B122" s="5" t="n">
        <f aca="false" t="array" ref="B122:B122">INDEX(Data_DBD!$B:$B,$A122)</f>
        <v>81</v>
      </c>
      <c r="C122" s="5" t="n">
        <f aca="false" t="array" ref="C122:C122">INDEX(Data_DBD!$C:$C,$A122)</f>
        <v>5</v>
      </c>
      <c r="D122" s="5" t="n">
        <f aca="false" t="array" ref="D122:D122">INDEX(Data_DBD!$E:$E,$A122)</f>
        <v>0</v>
      </c>
      <c r="E122" s="5" t="str">
        <f aca="false" t="array" ref="E122:E122">INDEX(Data_DBD!$F:$F,$A122)</f>
        <v>Sedang</v>
      </c>
      <c r="H122" s="5" t="n">
        <v>31</v>
      </c>
      <c r="I122" s="5" t="n">
        <v>64</v>
      </c>
      <c r="J122" s="5" t="n">
        <v>4</v>
      </c>
      <c r="K122" s="5" t="n">
        <v>1</v>
      </c>
      <c r="L122" s="5" t="s">
        <v>7</v>
      </c>
    </row>
    <row r="123" customFormat="false" ht="15" hidden="false" customHeight="false" outlineLevel="0" collapsed="false">
      <c r="A123" s="5" t="n">
        <f aca="false">RANDBETWEEN(2,164)</f>
        <v>20</v>
      </c>
      <c r="B123" s="5" t="n">
        <f aca="false" t="array" ref="B123:B123">INDEX(Data_DBD!$B:$B,$A123)</f>
        <v>15</v>
      </c>
      <c r="C123" s="5" t="n">
        <f aca="false" t="array" ref="C123:C123">INDEX(Data_DBD!$C:$C,$A123)</f>
        <v>5</v>
      </c>
      <c r="D123" s="5" t="n">
        <f aca="false" t="array" ref="D123:D123">INDEX(Data_DBD!$E:$E,$A123)</f>
        <v>0</v>
      </c>
      <c r="E123" s="5" t="str">
        <f aca="false" t="array" ref="E123:E123">INDEX(Data_DBD!$F:$F,$A123)</f>
        <v>Rendah</v>
      </c>
      <c r="H123" s="5" t="n">
        <v>78</v>
      </c>
      <c r="I123" s="5" t="n">
        <v>6</v>
      </c>
      <c r="J123" s="5" t="n">
        <v>3</v>
      </c>
      <c r="K123" s="5" t="n">
        <v>0</v>
      </c>
      <c r="L123" s="5" t="s">
        <v>7</v>
      </c>
    </row>
    <row r="124" customFormat="false" ht="15" hidden="false" customHeight="false" outlineLevel="0" collapsed="false">
      <c r="A124" s="5" t="n">
        <f aca="false">RANDBETWEEN(2,164)</f>
        <v>52</v>
      </c>
      <c r="B124" s="5" t="n">
        <f aca="false" t="array" ref="B124:B124">INDEX(Data_DBD!$B:$B,$A124)</f>
        <v>59</v>
      </c>
      <c r="C124" s="5" t="n">
        <f aca="false" t="array" ref="C124:C124">INDEX(Data_DBD!$C:$C,$A124)</f>
        <v>4</v>
      </c>
      <c r="D124" s="5" t="n">
        <f aca="false" t="array" ref="D124:D124">INDEX(Data_DBD!$E:$E,$A124)</f>
        <v>1</v>
      </c>
      <c r="E124" s="5" t="str">
        <f aca="false" t="array" ref="E124:E124">INDEX(Data_DBD!$F:$F,$A124)</f>
        <v>Sedang</v>
      </c>
      <c r="H124" s="5" t="n">
        <v>56</v>
      </c>
      <c r="I124" s="5" t="n">
        <v>4</v>
      </c>
      <c r="J124" s="5" t="n">
        <v>3</v>
      </c>
      <c r="K124" s="5" t="n">
        <v>0</v>
      </c>
      <c r="L124" s="5" t="s">
        <v>7</v>
      </c>
    </row>
    <row r="125" customFormat="false" ht="15" hidden="false" customHeight="false" outlineLevel="0" collapsed="false">
      <c r="A125" s="5" t="n">
        <f aca="false">RANDBETWEEN(2,164)</f>
        <v>109</v>
      </c>
      <c r="B125" s="5" t="n">
        <f aca="false" t="array" ref="B125:B125">INDEX(Data_DBD!$B:$B,$A125)</f>
        <v>40</v>
      </c>
      <c r="C125" s="5" t="n">
        <f aca="false" t="array" ref="C125:C125">INDEX(Data_DBD!$C:$C,$A125)</f>
        <v>3</v>
      </c>
      <c r="D125" s="5" t="n">
        <f aca="false" t="array" ref="D125:D125">INDEX(Data_DBD!$E:$E,$A125)</f>
        <v>1</v>
      </c>
      <c r="E125" s="5" t="str">
        <f aca="false" t="array" ref="E125:E125">INDEX(Data_DBD!$F:$F,$A125)</f>
        <v>Tinggi</v>
      </c>
      <c r="H125" s="5" t="n">
        <v>62</v>
      </c>
      <c r="I125" s="5" t="n">
        <v>43</v>
      </c>
      <c r="J125" s="5" t="n">
        <v>4</v>
      </c>
      <c r="K125" s="5" t="n">
        <v>1</v>
      </c>
      <c r="L125" s="5" t="s">
        <v>7</v>
      </c>
    </row>
    <row r="126" customFormat="false" ht="15" hidden="false" customHeight="false" outlineLevel="0" collapsed="false">
      <c r="A126" s="5" t="n">
        <f aca="false">RANDBETWEEN(2,164)</f>
        <v>84</v>
      </c>
      <c r="B126" s="5" t="n">
        <f aca="false" t="array" ref="B126:B126">INDEX(Data_DBD!$B:$B,$A126)</f>
        <v>42</v>
      </c>
      <c r="C126" s="5" t="n">
        <f aca="false" t="array" ref="C126:C126">INDEX(Data_DBD!$C:$C,$A126)</f>
        <v>4</v>
      </c>
      <c r="D126" s="5" t="n">
        <f aca="false" t="array" ref="D126:D126">INDEX(Data_DBD!$E:$E,$A126)</f>
        <v>1</v>
      </c>
      <c r="E126" s="5" t="str">
        <f aca="false" t="array" ref="E126:E126">INDEX(Data_DBD!$F:$F,$A126)</f>
        <v>Sedang</v>
      </c>
      <c r="H126" s="5" t="n">
        <v>70</v>
      </c>
      <c r="I126" s="5" t="n">
        <v>26</v>
      </c>
      <c r="J126" s="5" t="n">
        <v>3</v>
      </c>
      <c r="K126" s="5" t="n">
        <v>1</v>
      </c>
      <c r="L126" s="5" t="s">
        <v>7</v>
      </c>
    </row>
    <row r="127" customFormat="false" ht="15" hidden="false" customHeight="false" outlineLevel="0" collapsed="false">
      <c r="A127" s="5" t="n">
        <f aca="false">RANDBETWEEN(2,164)</f>
        <v>155</v>
      </c>
      <c r="B127" s="5" t="n">
        <f aca="false" t="array" ref="B127:B127">INDEX(Data_DBD!$B:$B,$A127)</f>
        <v>19</v>
      </c>
      <c r="C127" s="5" t="n">
        <f aca="false" t="array" ref="C127:C127">INDEX(Data_DBD!$C:$C,$A127)</f>
        <v>5</v>
      </c>
      <c r="D127" s="5" t="n">
        <f aca="false" t="array" ref="D127:D127">INDEX(Data_DBD!$E:$E,$A127)</f>
        <v>1</v>
      </c>
      <c r="E127" s="5" t="str">
        <f aca="false" t="array" ref="E127:E127">INDEX(Data_DBD!$F:$F,$A127)</f>
        <v>Tinggi</v>
      </c>
      <c r="H127" s="5" t="n">
        <v>100</v>
      </c>
      <c r="I127" s="5" t="n">
        <v>19</v>
      </c>
      <c r="J127" s="5" t="n">
        <v>6</v>
      </c>
      <c r="K127" s="5" t="n">
        <v>0</v>
      </c>
      <c r="L127" s="5" t="s">
        <v>115</v>
      </c>
    </row>
    <row r="128" customFormat="false" ht="15" hidden="false" customHeight="false" outlineLevel="0" collapsed="false">
      <c r="A128" s="5" t="n">
        <f aca="false">RANDBETWEEN(2,164)</f>
        <v>55</v>
      </c>
      <c r="B128" s="5" t="n">
        <f aca="false" t="array" ref="B128:B128">INDEX(Data_DBD!$B:$B,$A128)</f>
        <v>7</v>
      </c>
      <c r="C128" s="5" t="n">
        <f aca="false" t="array" ref="C128:C128">INDEX(Data_DBD!$C:$C,$A128)</f>
        <v>4</v>
      </c>
      <c r="D128" s="5" t="n">
        <f aca="false" t="array" ref="D128:D128">INDEX(Data_DBD!$E:$E,$A128)</f>
        <v>1</v>
      </c>
      <c r="E128" s="5" t="str">
        <f aca="false" t="array" ref="E128:E128">INDEX(Data_DBD!$F:$F,$A128)</f>
        <v>Sedang</v>
      </c>
      <c r="H128" s="5" t="n">
        <v>93</v>
      </c>
      <c r="I128" s="5" t="n">
        <v>65</v>
      </c>
      <c r="J128" s="5" t="n">
        <v>4</v>
      </c>
      <c r="K128" s="5" t="n">
        <v>0</v>
      </c>
      <c r="L128" s="5" t="s">
        <v>115</v>
      </c>
    </row>
    <row r="129" customFormat="false" ht="15" hidden="false" customHeight="false" outlineLevel="0" collapsed="false">
      <c r="A129" s="5" t="n">
        <f aca="false">RANDBETWEEN(2,164)</f>
        <v>107</v>
      </c>
      <c r="B129" s="5" t="n">
        <f aca="false" t="array" ref="B129:B129">INDEX(Data_DBD!$B:$B,$A129)</f>
        <v>48</v>
      </c>
      <c r="C129" s="5" t="n">
        <f aca="false" t="array" ref="C129:C129">INDEX(Data_DBD!$C:$C,$A129)</f>
        <v>5</v>
      </c>
      <c r="D129" s="5" t="n">
        <f aca="false" t="array" ref="D129:D129">INDEX(Data_DBD!$E:$E,$A129)</f>
        <v>0</v>
      </c>
      <c r="E129" s="5" t="str">
        <f aca="false" t="array" ref="E129:E129">INDEX(Data_DBD!$F:$F,$A129)</f>
        <v>Sedang</v>
      </c>
      <c r="H129" s="5" t="n">
        <v>48</v>
      </c>
      <c r="I129" s="5" t="n">
        <v>50</v>
      </c>
      <c r="J129" s="5" t="n">
        <v>5</v>
      </c>
      <c r="K129" s="5" t="n">
        <v>1</v>
      </c>
      <c r="L129" s="5" t="s">
        <v>7</v>
      </c>
    </row>
    <row r="130" customFormat="false" ht="15" hidden="false" customHeight="false" outlineLevel="0" collapsed="false">
      <c r="A130" s="5" t="n">
        <f aca="false">RANDBETWEEN(2,164)</f>
        <v>103</v>
      </c>
      <c r="B130" s="5" t="n">
        <f aca="false" t="array" ref="B130:B130">INDEX(Data_DBD!$B:$B,$A130)</f>
        <v>22</v>
      </c>
      <c r="C130" s="5" t="n">
        <f aca="false" t="array" ref="C130:C130">INDEX(Data_DBD!$C:$C,$A130)</f>
        <v>5</v>
      </c>
      <c r="D130" s="5" t="n">
        <f aca="false" t="array" ref="D130:D130">INDEX(Data_DBD!$E:$E,$A130)</f>
        <v>0</v>
      </c>
      <c r="E130" s="5" t="str">
        <f aca="false" t="array" ref="E130:E130">INDEX(Data_DBD!$F:$F,$A130)</f>
        <v>Sedang</v>
      </c>
      <c r="H130" s="5" t="n">
        <v>143</v>
      </c>
      <c r="I130" s="5" t="n">
        <v>20</v>
      </c>
      <c r="J130" s="5" t="n">
        <v>4</v>
      </c>
      <c r="K130" s="5" t="n">
        <v>1</v>
      </c>
      <c r="L130" s="5" t="s">
        <v>115</v>
      </c>
    </row>
    <row r="131" customFormat="false" ht="15" hidden="false" customHeight="false" outlineLevel="0" collapsed="false">
      <c r="A131" s="5" t="n">
        <f aca="false">RANDBETWEEN(2,164)</f>
        <v>28</v>
      </c>
      <c r="B131" s="5" t="n">
        <f aca="false" t="array" ref="B131:B131">INDEX(Data_DBD!$B:$B,$A131)</f>
        <v>22</v>
      </c>
      <c r="C131" s="5" t="n">
        <f aca="false" t="array" ref="C131:C131">INDEX(Data_DBD!$C:$C,$A131)</f>
        <v>2</v>
      </c>
      <c r="D131" s="5" t="n">
        <f aca="false" t="array" ref="D131:D131">INDEX(Data_DBD!$E:$E,$A131)</f>
        <v>1</v>
      </c>
      <c r="E131" s="5" t="str">
        <f aca="false" t="array" ref="E131:E131">INDEX(Data_DBD!$F:$F,$A131)</f>
        <v>Sedang</v>
      </c>
      <c r="H131" s="5" t="n">
        <v>107</v>
      </c>
      <c r="I131" s="5" t="n">
        <v>48</v>
      </c>
      <c r="J131" s="5" t="n">
        <v>5</v>
      </c>
      <c r="K131" s="5" t="n">
        <v>0</v>
      </c>
      <c r="L131" s="5" t="s">
        <v>115</v>
      </c>
    </row>
    <row r="132" customFormat="false" ht="15" hidden="false" customHeight="false" outlineLevel="0" collapsed="false">
      <c r="A132" s="5" t="n">
        <f aca="false">RANDBETWEEN(2,164)</f>
        <v>47</v>
      </c>
      <c r="B132" s="5" t="n">
        <f aca="false" t="array" ref="B132:B132">INDEX(Data_DBD!$B:$B,$A132)</f>
        <v>19</v>
      </c>
      <c r="C132" s="5" t="n">
        <f aca="false" t="array" ref="C132:C132">INDEX(Data_DBD!$C:$C,$A132)</f>
        <v>2</v>
      </c>
      <c r="D132" s="5" t="n">
        <f aca="false" t="array" ref="D132:D132">INDEX(Data_DBD!$E:$E,$A132)</f>
        <v>0</v>
      </c>
      <c r="E132" s="5" t="str">
        <f aca="false" t="array" ref="E132:E132">INDEX(Data_DBD!$F:$F,$A132)</f>
        <v>Sedang</v>
      </c>
      <c r="H132" s="5" t="n">
        <v>122</v>
      </c>
      <c r="I132" s="5" t="n">
        <v>28</v>
      </c>
      <c r="J132" s="5" t="n">
        <v>3</v>
      </c>
      <c r="K132" s="5" t="n">
        <v>1</v>
      </c>
      <c r="L132" s="5" t="s">
        <v>115</v>
      </c>
    </row>
    <row r="133" customFormat="false" ht="15" hidden="false" customHeight="false" outlineLevel="0" collapsed="false">
      <c r="A133" s="5" t="n">
        <f aca="false">RANDBETWEEN(2,164)</f>
        <v>80</v>
      </c>
      <c r="B133" s="5" t="n">
        <f aca="false" t="array" ref="B133:B133">INDEX(Data_DBD!$B:$B,$A133)</f>
        <v>27</v>
      </c>
      <c r="C133" s="5" t="n">
        <f aca="false" t="array" ref="C133:C133">INDEX(Data_DBD!$C:$C,$A133)</f>
        <v>3</v>
      </c>
      <c r="D133" s="5" t="n">
        <f aca="false" t="array" ref="D133:D133">INDEX(Data_DBD!$E:$E,$A133)</f>
        <v>1</v>
      </c>
      <c r="E133" s="5" t="str">
        <f aca="false" t="array" ref="E133:E133">INDEX(Data_DBD!$F:$F,$A133)</f>
        <v>Sedang</v>
      </c>
      <c r="H133" s="5" t="n">
        <v>47</v>
      </c>
      <c r="I133" s="5" t="n">
        <v>19</v>
      </c>
      <c r="J133" s="5" t="n">
        <v>2</v>
      </c>
      <c r="K133" s="5" t="n">
        <v>0</v>
      </c>
      <c r="L133" s="5" t="s">
        <v>7</v>
      </c>
    </row>
    <row r="134" customFormat="false" ht="15" hidden="false" customHeight="false" outlineLevel="0" collapsed="false">
      <c r="A134" s="5" t="n">
        <f aca="false">RANDBETWEEN(2,164)</f>
        <v>129</v>
      </c>
      <c r="B134" s="5" t="n">
        <f aca="false" t="array" ref="B134:B134">INDEX(Data_DBD!$B:$B,$A134)</f>
        <v>4</v>
      </c>
      <c r="C134" s="5" t="n">
        <f aca="false" t="array" ref="C134:C134">INDEX(Data_DBD!$C:$C,$A134)</f>
        <v>3</v>
      </c>
      <c r="D134" s="5" t="n">
        <f aca="false" t="array" ref="D134:D134">INDEX(Data_DBD!$E:$E,$A134)</f>
        <v>0</v>
      </c>
      <c r="E134" s="5" t="str">
        <f aca="false" t="array" ref="E134:E134">INDEX(Data_DBD!$F:$F,$A134)</f>
        <v>Tinggi</v>
      </c>
      <c r="H134" s="5" t="n">
        <v>123</v>
      </c>
      <c r="I134" s="5" t="n">
        <v>22</v>
      </c>
      <c r="J134" s="5" t="n">
        <v>4</v>
      </c>
      <c r="K134" s="5" t="n">
        <v>0</v>
      </c>
      <c r="L134" s="5" t="s">
        <v>115</v>
      </c>
    </row>
    <row r="135" customFormat="false" ht="15" hidden="false" customHeight="false" outlineLevel="0" collapsed="false">
      <c r="A135" s="5" t="n">
        <f aca="false">RANDBETWEEN(2,164)</f>
        <v>35</v>
      </c>
      <c r="B135" s="5" t="n">
        <f aca="false" t="array" ref="B135:B135">INDEX(Data_DBD!$B:$B,$A135)</f>
        <v>40</v>
      </c>
      <c r="C135" s="5" t="n">
        <f aca="false" t="array" ref="C135:C135">INDEX(Data_DBD!$C:$C,$A135)</f>
        <v>3</v>
      </c>
      <c r="D135" s="5" t="n">
        <f aca="false" t="array" ref="D135:D135">INDEX(Data_DBD!$E:$E,$A135)</f>
        <v>1</v>
      </c>
      <c r="E135" s="5" t="str">
        <f aca="false" t="array" ref="E135:E135">INDEX(Data_DBD!$F:$F,$A135)</f>
        <v>Rendah</v>
      </c>
      <c r="H135" s="5" t="n">
        <v>97</v>
      </c>
      <c r="I135" s="5" t="n">
        <v>16</v>
      </c>
      <c r="J135" s="5" t="n">
        <v>2</v>
      </c>
      <c r="K135" s="5" t="n">
        <v>1</v>
      </c>
      <c r="L135" s="5" t="s">
        <v>115</v>
      </c>
    </row>
    <row r="136" customFormat="false" ht="15" hidden="false" customHeight="false" outlineLevel="0" collapsed="false">
      <c r="A136" s="5" t="n">
        <f aca="false">RANDBETWEEN(2,164)</f>
        <v>14</v>
      </c>
      <c r="B136" s="5" t="n">
        <f aca="false" t="array" ref="B136:B136">INDEX(Data_DBD!$B:$B,$A136)</f>
        <v>49</v>
      </c>
      <c r="C136" s="5" t="n">
        <f aca="false" t="array" ref="C136:C136">INDEX(Data_DBD!$C:$C,$A136)</f>
        <v>4</v>
      </c>
      <c r="D136" s="5" t="n">
        <f aca="false" t="array" ref="D136:D136">INDEX(Data_DBD!$E:$E,$A136)</f>
        <v>1</v>
      </c>
      <c r="E136" s="5" t="str">
        <f aca="false" t="array" ref="E136:E136">INDEX(Data_DBD!$F:$F,$A136)</f>
        <v>Rendah</v>
      </c>
      <c r="H136" s="5" t="n">
        <v>106</v>
      </c>
      <c r="I136" s="5" t="n">
        <v>23</v>
      </c>
      <c r="J136" s="5" t="n">
        <v>3</v>
      </c>
      <c r="K136" s="5" t="n">
        <v>1</v>
      </c>
      <c r="L136" s="5" t="s">
        <v>115</v>
      </c>
    </row>
    <row r="137" customFormat="false" ht="15" hidden="false" customHeight="false" outlineLevel="0" collapsed="false">
      <c r="A137" s="5" t="n">
        <f aca="false">RANDBETWEEN(2,164)</f>
        <v>145</v>
      </c>
      <c r="B137" s="5" t="n">
        <f aca="false" t="array" ref="B137:B137">INDEX(Data_DBD!$B:$B,$A137)</f>
        <v>28</v>
      </c>
      <c r="C137" s="5" t="n">
        <f aca="false" t="array" ref="C137:C137">INDEX(Data_DBD!$C:$C,$A137)</f>
        <v>4</v>
      </c>
      <c r="D137" s="5" t="n">
        <f aca="false" t="array" ref="D137:D137">INDEX(Data_DBD!$E:$E,$A137)</f>
        <v>1</v>
      </c>
      <c r="E137" s="5" t="str">
        <f aca="false" t="array" ref="E137:E137">INDEX(Data_DBD!$F:$F,$A137)</f>
        <v>Tinggi</v>
      </c>
      <c r="H137" s="5" t="n">
        <v>10</v>
      </c>
      <c r="I137" s="5" t="n">
        <v>18</v>
      </c>
      <c r="J137" s="5" t="n">
        <v>5</v>
      </c>
      <c r="K137" s="5" t="n">
        <v>0</v>
      </c>
      <c r="L137" s="5" t="s">
        <v>7</v>
      </c>
    </row>
    <row r="138" customFormat="false" ht="15" hidden="false" customHeight="false" outlineLevel="0" collapsed="false">
      <c r="A138" s="5" t="n">
        <f aca="false">RANDBETWEEN(2,164)</f>
        <v>57</v>
      </c>
      <c r="B138" s="5" t="n">
        <f aca="false" t="array" ref="B138:B138">INDEX(Data_DBD!$B:$B,$A138)</f>
        <v>2</v>
      </c>
      <c r="C138" s="5" t="n">
        <f aca="false" t="array" ref="C138:C138">INDEX(Data_DBD!$C:$C,$A138)</f>
        <v>2</v>
      </c>
      <c r="D138" s="5" t="n">
        <f aca="false" t="array" ref="D138:D138">INDEX(Data_DBD!$E:$E,$A138)</f>
        <v>1</v>
      </c>
      <c r="E138" s="5" t="str">
        <f aca="false" t="array" ref="E138:E138">INDEX(Data_DBD!$F:$F,$A138)</f>
        <v>Sedang</v>
      </c>
      <c r="H138" s="5" t="n">
        <v>155</v>
      </c>
      <c r="I138" s="5" t="n">
        <v>19</v>
      </c>
      <c r="J138" s="5" t="n">
        <v>5</v>
      </c>
      <c r="K138" s="5" t="n">
        <v>1</v>
      </c>
      <c r="L138" s="5" t="s">
        <v>115</v>
      </c>
    </row>
    <row r="139" customFormat="false" ht="15" hidden="false" customHeight="false" outlineLevel="0" collapsed="false">
      <c r="A139" s="5" t="n">
        <f aca="false">RANDBETWEEN(2,164)</f>
        <v>35</v>
      </c>
      <c r="B139" s="5" t="n">
        <f aca="false" t="array" ref="B139:B139">INDEX(Data_DBD!$B:$B,$A139)</f>
        <v>40</v>
      </c>
      <c r="C139" s="5" t="n">
        <f aca="false" t="array" ref="C139:C139">INDEX(Data_DBD!$C:$C,$A139)</f>
        <v>3</v>
      </c>
      <c r="D139" s="5" t="n">
        <f aca="false" t="array" ref="D139:D139">INDEX(Data_DBD!$E:$E,$A139)</f>
        <v>1</v>
      </c>
      <c r="E139" s="5" t="str">
        <f aca="false" t="array" ref="E139:E139">INDEX(Data_DBD!$F:$F,$A139)</f>
        <v>Rendah</v>
      </c>
      <c r="H139" s="5" t="n">
        <v>31</v>
      </c>
      <c r="I139" s="5" t="n">
        <v>64</v>
      </c>
      <c r="J139" s="5" t="n">
        <v>4</v>
      </c>
      <c r="K139" s="5" t="n">
        <v>1</v>
      </c>
      <c r="L139" s="5" t="s">
        <v>7</v>
      </c>
    </row>
    <row r="140" customFormat="false" ht="15" hidden="false" customHeight="false" outlineLevel="0" collapsed="false">
      <c r="A140" s="5" t="n">
        <f aca="false">RANDBETWEEN(2,164)</f>
        <v>126</v>
      </c>
      <c r="B140" s="5" t="n">
        <f aca="false" t="array" ref="B140:B140">INDEX(Data_DBD!$B:$B,$A140)</f>
        <v>51</v>
      </c>
      <c r="C140" s="5" t="n">
        <f aca="false" t="array" ref="C140:C140">INDEX(Data_DBD!$C:$C,$A140)</f>
        <v>3</v>
      </c>
      <c r="D140" s="5" t="n">
        <f aca="false" t="array" ref="D140:D140">INDEX(Data_DBD!$E:$E,$A140)</f>
        <v>1</v>
      </c>
      <c r="E140" s="5" t="str">
        <f aca="false" t="array" ref="E140:E140">INDEX(Data_DBD!$F:$F,$A140)</f>
        <v>Tinggi</v>
      </c>
      <c r="H140" s="5" t="n">
        <v>163</v>
      </c>
      <c r="I140" s="5" t="n">
        <v>34</v>
      </c>
      <c r="J140" s="5" t="n">
        <v>4</v>
      </c>
      <c r="K140" s="5" t="n">
        <v>1</v>
      </c>
      <c r="L140" s="5" t="s">
        <v>20</v>
      </c>
    </row>
    <row r="141" customFormat="false" ht="15" hidden="false" customHeight="false" outlineLevel="0" collapsed="false">
      <c r="A141" s="5" t="n">
        <f aca="false">RANDBETWEEN(2,164)</f>
        <v>77</v>
      </c>
      <c r="B141" s="5" t="n">
        <f aca="false" t="array" ref="B141:B141">INDEX(Data_DBD!$B:$B,$A141)</f>
        <v>16</v>
      </c>
      <c r="C141" s="5" t="n">
        <f aca="false" t="array" ref="C141:C141">INDEX(Data_DBD!$C:$C,$A141)</f>
        <v>4</v>
      </c>
      <c r="D141" s="5" t="n">
        <f aca="false" t="array" ref="D141:D141">INDEX(Data_DBD!$E:$E,$A141)</f>
        <v>1</v>
      </c>
      <c r="E141" s="5" t="str">
        <f aca="false" t="array" ref="E141:E141">INDEX(Data_DBD!$F:$F,$A141)</f>
        <v>Sedang</v>
      </c>
      <c r="H141" s="5" t="n">
        <v>26</v>
      </c>
      <c r="I141" s="5" t="n">
        <v>75</v>
      </c>
      <c r="J141" s="5" t="n">
        <v>4</v>
      </c>
      <c r="K141" s="5" t="n">
        <v>1</v>
      </c>
      <c r="L141" s="5" t="s">
        <v>7</v>
      </c>
    </row>
    <row r="142" customFormat="false" ht="15" hidden="false" customHeight="false" outlineLevel="0" collapsed="false">
      <c r="A142" s="5" t="n">
        <f aca="false">RANDBETWEEN(2,164)</f>
        <v>98</v>
      </c>
      <c r="B142" s="5" t="n">
        <f aca="false" t="array" ref="B142:B142">INDEX(Data_DBD!$B:$B,$A142)</f>
        <v>16</v>
      </c>
      <c r="C142" s="5" t="n">
        <f aca="false" t="array" ref="C142:C142">INDEX(Data_DBD!$C:$C,$A142)</f>
        <v>2</v>
      </c>
      <c r="D142" s="5" t="n">
        <f aca="false" t="array" ref="D142:D142">INDEX(Data_DBD!$E:$E,$A142)</f>
        <v>1</v>
      </c>
      <c r="E142" s="5" t="str">
        <f aca="false" t="array" ref="E142:E142">INDEX(Data_DBD!$F:$F,$A142)</f>
        <v>Sedang</v>
      </c>
      <c r="H142" s="5" t="n">
        <v>90</v>
      </c>
      <c r="I142" s="5" t="n">
        <v>47</v>
      </c>
      <c r="J142" s="5" t="n">
        <v>3</v>
      </c>
      <c r="K142" s="5" t="n">
        <v>0</v>
      </c>
      <c r="L142" s="5" t="s">
        <v>115</v>
      </c>
    </row>
    <row r="143" customFormat="false" ht="15" hidden="false" customHeight="false" outlineLevel="0" collapsed="false">
      <c r="A143" s="5" t="n">
        <f aca="false">RANDBETWEEN(2,164)</f>
        <v>105</v>
      </c>
      <c r="B143" s="5" t="n">
        <f aca="false" t="array" ref="B143:B143">INDEX(Data_DBD!$B:$B,$A143)</f>
        <v>61</v>
      </c>
      <c r="C143" s="5" t="n">
        <f aca="false" t="array" ref="C143:C143">INDEX(Data_DBD!$C:$C,$A143)</f>
        <v>3</v>
      </c>
      <c r="D143" s="5" t="n">
        <f aca="false" t="array" ref="D143:D143">INDEX(Data_DBD!$E:$E,$A143)</f>
        <v>1</v>
      </c>
      <c r="E143" s="5" t="str">
        <f aca="false" t="array" ref="E143:E143">INDEX(Data_DBD!$F:$F,$A143)</f>
        <v>Sedang</v>
      </c>
      <c r="H143" s="5" t="n">
        <v>59</v>
      </c>
      <c r="I143" s="5" t="n">
        <v>28</v>
      </c>
      <c r="J143" s="5" t="n">
        <v>4</v>
      </c>
      <c r="K143" s="5" t="n">
        <v>0</v>
      </c>
      <c r="L143" s="5" t="s">
        <v>7</v>
      </c>
    </row>
    <row r="144" customFormat="false" ht="15" hidden="false" customHeight="false" outlineLevel="0" collapsed="false">
      <c r="A144" s="5" t="n">
        <f aca="false">RANDBETWEEN(2,164)</f>
        <v>20</v>
      </c>
      <c r="B144" s="5" t="n">
        <f aca="false" t="array" ref="B144:B144">INDEX(Data_DBD!$B:$B,$A144)</f>
        <v>15</v>
      </c>
      <c r="C144" s="5" t="n">
        <f aca="false" t="array" ref="C144:C144">INDEX(Data_DBD!$C:$C,$A144)</f>
        <v>5</v>
      </c>
      <c r="D144" s="5" t="n">
        <f aca="false" t="array" ref="D144:D144">INDEX(Data_DBD!$E:$E,$A144)</f>
        <v>0</v>
      </c>
      <c r="E144" s="5" t="str">
        <f aca="false" t="array" ref="E144:E144">INDEX(Data_DBD!$F:$F,$A144)</f>
        <v>Rendah</v>
      </c>
      <c r="H144" s="5" t="n">
        <v>76</v>
      </c>
      <c r="I144" s="5" t="n">
        <v>70</v>
      </c>
      <c r="J144" s="5" t="n">
        <v>2</v>
      </c>
      <c r="K144" s="5" t="n">
        <v>0</v>
      </c>
      <c r="L144" s="5" t="s">
        <v>7</v>
      </c>
    </row>
    <row r="145" customFormat="false" ht="15" hidden="false" customHeight="false" outlineLevel="0" collapsed="false">
      <c r="A145" s="5" t="n">
        <f aca="false">RANDBETWEEN(2,164)</f>
        <v>76</v>
      </c>
      <c r="B145" s="5" t="n">
        <f aca="false" t="array" ref="B145:B145">INDEX(Data_DBD!$B:$B,$A145)</f>
        <v>70</v>
      </c>
      <c r="C145" s="5" t="n">
        <f aca="false" t="array" ref="C145:C145">INDEX(Data_DBD!$C:$C,$A145)</f>
        <v>2</v>
      </c>
      <c r="D145" s="5" t="n">
        <f aca="false" t="array" ref="D145:D145">INDEX(Data_DBD!$E:$E,$A145)</f>
        <v>0</v>
      </c>
      <c r="E145" s="5" t="str">
        <f aca="false" t="array" ref="E145:E145">INDEX(Data_DBD!$F:$F,$A145)</f>
        <v>Rendah</v>
      </c>
      <c r="H145" s="5" t="n">
        <v>144</v>
      </c>
      <c r="I145" s="5" t="n">
        <v>61</v>
      </c>
      <c r="J145" s="5" t="n">
        <v>4</v>
      </c>
      <c r="K145" s="5" t="n">
        <v>1</v>
      </c>
      <c r="L145" s="5" t="s">
        <v>115</v>
      </c>
    </row>
    <row r="146" customFormat="false" ht="15" hidden="false" customHeight="false" outlineLevel="0" collapsed="false">
      <c r="A146" s="5" t="n">
        <f aca="false">RANDBETWEEN(2,164)</f>
        <v>161</v>
      </c>
      <c r="B146" s="5" t="n">
        <f aca="false" t="array" ref="B146:B146">INDEX(Data_DBD!$B:$B,$A146)</f>
        <v>12</v>
      </c>
      <c r="C146" s="5" t="n">
        <f aca="false" t="array" ref="C146:C146">INDEX(Data_DBD!$C:$C,$A146)</f>
        <v>3</v>
      </c>
      <c r="D146" s="5" t="n">
        <f aca="false" t="array" ref="D146:D146">INDEX(Data_DBD!$E:$E,$A146)</f>
        <v>1</v>
      </c>
      <c r="E146" s="5" t="str">
        <f aca="false" t="array" ref="E146:E146">INDEX(Data_DBD!$F:$F,$A146)</f>
        <v>Tinggi</v>
      </c>
      <c r="H146" s="5" t="n">
        <v>14</v>
      </c>
      <c r="I146" s="5" t="n">
        <v>49</v>
      </c>
      <c r="J146" s="5" t="n">
        <v>4</v>
      </c>
      <c r="K146" s="5" t="n">
        <v>1</v>
      </c>
      <c r="L146" s="5" t="s">
        <v>20</v>
      </c>
    </row>
    <row r="147" customFormat="false" ht="15" hidden="false" customHeight="false" outlineLevel="0" collapsed="false">
      <c r="A147" s="5" t="n">
        <f aca="false">RANDBETWEEN(2,164)</f>
        <v>161</v>
      </c>
      <c r="B147" s="5" t="n">
        <f aca="false" t="array" ref="B147:B147">INDEX(Data_DBD!$B:$B,$A147)</f>
        <v>12</v>
      </c>
      <c r="C147" s="5" t="n">
        <f aca="false" t="array" ref="C147:C147">INDEX(Data_DBD!$C:$C,$A147)</f>
        <v>3</v>
      </c>
      <c r="D147" s="5" t="n">
        <f aca="false" t="array" ref="D147:D147">INDEX(Data_DBD!$E:$E,$A147)</f>
        <v>1</v>
      </c>
      <c r="E147" s="5" t="str">
        <f aca="false" t="array" ref="E147:E147">INDEX(Data_DBD!$F:$F,$A147)</f>
        <v>Tinggi</v>
      </c>
      <c r="H147" s="5" t="n">
        <v>47</v>
      </c>
      <c r="I147" s="5" t="n">
        <v>19</v>
      </c>
      <c r="J147" s="5" t="n">
        <v>2</v>
      </c>
      <c r="K147" s="5" t="n">
        <v>0</v>
      </c>
      <c r="L147" s="5" t="s">
        <v>7</v>
      </c>
    </row>
    <row r="148" customFormat="false" ht="15" hidden="false" customHeight="false" outlineLevel="0" collapsed="false">
      <c r="A148" s="5" t="n">
        <f aca="false">RANDBETWEEN(2,164)</f>
        <v>26</v>
      </c>
      <c r="B148" s="5" t="n">
        <f aca="false" t="array" ref="B148:B148">INDEX(Data_DBD!$B:$B,$A148)</f>
        <v>75</v>
      </c>
      <c r="C148" s="5" t="n">
        <f aca="false" t="array" ref="C148:C148">INDEX(Data_DBD!$C:$C,$A148)</f>
        <v>4</v>
      </c>
      <c r="D148" s="5" t="n">
        <f aca="false" t="array" ref="D148:D148">INDEX(Data_DBD!$E:$E,$A148)</f>
        <v>1</v>
      </c>
      <c r="E148" s="5" t="str">
        <f aca="false" t="array" ref="E148:E148">INDEX(Data_DBD!$F:$F,$A148)</f>
        <v>Sedang</v>
      </c>
      <c r="H148" s="5" t="n">
        <v>139</v>
      </c>
      <c r="I148" s="5" t="n">
        <v>52</v>
      </c>
      <c r="J148" s="5" t="n">
        <v>7</v>
      </c>
      <c r="K148" s="5" t="n">
        <v>0</v>
      </c>
      <c r="L148" s="5" t="s">
        <v>115</v>
      </c>
    </row>
    <row r="149" customFormat="false" ht="15" hidden="false" customHeight="false" outlineLevel="0" collapsed="false">
      <c r="A149" s="5" t="n">
        <f aca="false">RANDBETWEEN(2,164)</f>
        <v>48</v>
      </c>
      <c r="B149" s="5" t="n">
        <f aca="false" t="array" ref="B149:B149">INDEX(Data_DBD!$B:$B,$A149)</f>
        <v>50</v>
      </c>
      <c r="C149" s="5" t="n">
        <f aca="false" t="array" ref="C149:C149">INDEX(Data_DBD!$C:$C,$A149)</f>
        <v>5</v>
      </c>
      <c r="D149" s="5" t="n">
        <f aca="false" t="array" ref="D149:D149">INDEX(Data_DBD!$E:$E,$A149)</f>
        <v>1</v>
      </c>
      <c r="E149" s="5" t="str">
        <f aca="false" t="array" ref="E149:E149">INDEX(Data_DBD!$F:$F,$A149)</f>
        <v>Sedang</v>
      </c>
      <c r="H149" s="5" t="n">
        <v>49</v>
      </c>
      <c r="I149" s="5" t="n">
        <v>64</v>
      </c>
      <c r="J149" s="5" t="n">
        <v>5</v>
      </c>
      <c r="K149" s="5" t="n">
        <v>0</v>
      </c>
      <c r="L149" s="5" t="s">
        <v>7</v>
      </c>
    </row>
    <row r="150" customFormat="false" ht="15" hidden="false" customHeight="false" outlineLevel="0" collapsed="false">
      <c r="A150" s="5" t="n">
        <f aca="false">RANDBETWEEN(2,164)</f>
        <v>136</v>
      </c>
      <c r="B150" s="5" t="n">
        <f aca="false" t="array" ref="B150:B150">INDEX(Data_DBD!$B:$B,$A150)</f>
        <v>6</v>
      </c>
      <c r="C150" s="5" t="n">
        <f aca="false" t="array" ref="C150:C150">INDEX(Data_DBD!$C:$C,$A150)</f>
        <v>2</v>
      </c>
      <c r="D150" s="5" t="n">
        <f aca="false" t="array" ref="D150:D150">INDEX(Data_DBD!$E:$E,$A150)</f>
        <v>0</v>
      </c>
      <c r="E150" s="5" t="str">
        <f aca="false" t="array" ref="E150:E150">INDEX(Data_DBD!$F:$F,$A150)</f>
        <v>Tinggi</v>
      </c>
      <c r="H150" s="5" t="n">
        <v>17</v>
      </c>
      <c r="I150" s="5" t="n">
        <v>2</v>
      </c>
      <c r="J150" s="5" t="n">
        <v>3</v>
      </c>
      <c r="K150" s="5" t="n">
        <v>0</v>
      </c>
      <c r="L150" s="5" t="s">
        <v>20</v>
      </c>
    </row>
    <row r="151" customFormat="false" ht="15" hidden="false" customHeight="false" outlineLevel="0" collapsed="false">
      <c r="A151" s="5" t="n">
        <f aca="false">RANDBETWEEN(2,164)</f>
        <v>50</v>
      </c>
      <c r="B151" s="5" t="n">
        <f aca="false" t="array" ref="B151:B151">INDEX(Data_DBD!$B:$B,$A151)</f>
        <v>19</v>
      </c>
      <c r="C151" s="5" t="n">
        <f aca="false" t="array" ref="C151:C151">INDEX(Data_DBD!$C:$C,$A151)</f>
        <v>5</v>
      </c>
      <c r="D151" s="5" t="n">
        <f aca="false" t="array" ref="D151:D151">INDEX(Data_DBD!$E:$E,$A151)</f>
        <v>0</v>
      </c>
      <c r="E151" s="5" t="str">
        <f aca="false" t="array" ref="E151:E151">INDEX(Data_DBD!$F:$F,$A151)</f>
        <v>Sedang</v>
      </c>
      <c r="H151" s="5" t="n">
        <v>27</v>
      </c>
      <c r="I151" s="5" t="n">
        <v>37</v>
      </c>
      <c r="J151" s="5" t="n">
        <v>4</v>
      </c>
      <c r="K151" s="5" t="n">
        <v>1</v>
      </c>
      <c r="L151" s="5" t="s">
        <v>7</v>
      </c>
    </row>
    <row r="152" customFormat="false" ht="15" hidden="false" customHeight="false" outlineLevel="0" collapsed="false">
      <c r="A152" s="5" t="n">
        <f aca="false">RANDBETWEEN(2,164)</f>
        <v>17</v>
      </c>
      <c r="B152" s="5" t="n">
        <f aca="false" t="array" ref="B152:B152">INDEX(Data_DBD!$B:$B,$A152)</f>
        <v>2</v>
      </c>
      <c r="C152" s="5" t="n">
        <f aca="false" t="array" ref="C152:C152">INDEX(Data_DBD!$C:$C,$A152)</f>
        <v>3</v>
      </c>
      <c r="D152" s="5" t="n">
        <f aca="false" t="array" ref="D152:D152">INDEX(Data_DBD!$E:$E,$A152)</f>
        <v>0</v>
      </c>
      <c r="E152" s="5" t="str">
        <f aca="false" t="array" ref="E152:E152">INDEX(Data_DBD!$F:$F,$A152)</f>
        <v>Rendah</v>
      </c>
      <c r="H152" s="5" t="n">
        <v>117</v>
      </c>
      <c r="I152" s="5" t="n">
        <v>49</v>
      </c>
      <c r="J152" s="5" t="n">
        <v>4</v>
      </c>
      <c r="K152" s="5" t="n">
        <v>1</v>
      </c>
      <c r="L152" s="5" t="s">
        <v>115</v>
      </c>
    </row>
    <row r="153" customFormat="false" ht="15" hidden="false" customHeight="false" outlineLevel="0" collapsed="false">
      <c r="A153" s="5" t="n">
        <f aca="false">RANDBETWEEN(2,164)</f>
        <v>83</v>
      </c>
      <c r="B153" s="5" t="n">
        <f aca="false" t="array" ref="B153:B153">INDEX(Data_DBD!$B:$B,$A153)</f>
        <v>50</v>
      </c>
      <c r="C153" s="5" t="n">
        <f aca="false" t="array" ref="C153:C153">INDEX(Data_DBD!$C:$C,$A153)</f>
        <v>3</v>
      </c>
      <c r="D153" s="5" t="n">
        <f aca="false" t="array" ref="D153:D153">INDEX(Data_DBD!$E:$E,$A153)</f>
        <v>0</v>
      </c>
      <c r="E153" s="5" t="str">
        <f aca="false" t="array" ref="E153:E153">INDEX(Data_DBD!$F:$F,$A153)</f>
        <v>Sedang</v>
      </c>
      <c r="H153" s="5" t="n">
        <v>26</v>
      </c>
      <c r="I153" s="5" t="n">
        <v>75</v>
      </c>
      <c r="J153" s="5" t="n">
        <v>4</v>
      </c>
      <c r="K153" s="5" t="n">
        <v>1</v>
      </c>
      <c r="L153" s="5" t="s">
        <v>7</v>
      </c>
    </row>
    <row r="154" customFormat="false" ht="15" hidden="false" customHeight="false" outlineLevel="0" collapsed="false">
      <c r="A154" s="5" t="n">
        <f aca="false">RANDBETWEEN(2,164)</f>
        <v>20</v>
      </c>
      <c r="B154" s="5" t="n">
        <f aca="false" t="array" ref="B154:B154">INDEX(Data_DBD!$B:$B,$A154)</f>
        <v>15</v>
      </c>
      <c r="C154" s="5" t="n">
        <f aca="false" t="array" ref="C154:C154">INDEX(Data_DBD!$C:$C,$A154)</f>
        <v>5</v>
      </c>
      <c r="D154" s="5" t="n">
        <f aca="false" t="array" ref="D154:D154">INDEX(Data_DBD!$E:$E,$A154)</f>
        <v>0</v>
      </c>
      <c r="E154" s="5" t="str">
        <f aca="false" t="array" ref="E154:E154">INDEX(Data_DBD!$F:$F,$A154)</f>
        <v>Rendah</v>
      </c>
      <c r="H154" s="5" t="n">
        <v>120</v>
      </c>
      <c r="I154" s="5" t="n">
        <v>26</v>
      </c>
      <c r="J154" s="5" t="n">
        <v>4</v>
      </c>
      <c r="K154" s="5" t="n">
        <v>1</v>
      </c>
      <c r="L154" s="5" t="s">
        <v>115</v>
      </c>
    </row>
    <row r="155" customFormat="false" ht="15" hidden="false" customHeight="false" outlineLevel="0" collapsed="false">
      <c r="A155" s="5" t="n">
        <f aca="false">RANDBETWEEN(2,164)</f>
        <v>41</v>
      </c>
      <c r="B155" s="5" t="n">
        <f aca="false" t="array" ref="B155:B155">INDEX(Data_DBD!$B:$B,$A155)</f>
        <v>8</v>
      </c>
      <c r="C155" s="5" t="n">
        <f aca="false" t="array" ref="C155:C155">INDEX(Data_DBD!$C:$C,$A155)</f>
        <v>4</v>
      </c>
      <c r="D155" s="5" t="n">
        <f aca="false" t="array" ref="D155:D155">INDEX(Data_DBD!$E:$E,$A155)</f>
        <v>0</v>
      </c>
      <c r="E155" s="5" t="str">
        <f aca="false" t="array" ref="E155:E155">INDEX(Data_DBD!$F:$F,$A155)</f>
        <v>Sedang</v>
      </c>
      <c r="H155" s="5" t="n">
        <v>120</v>
      </c>
      <c r="I155" s="5" t="n">
        <v>26</v>
      </c>
      <c r="J155" s="5" t="n">
        <v>4</v>
      </c>
      <c r="K155" s="5" t="n">
        <v>1</v>
      </c>
      <c r="L155" s="5" t="s">
        <v>115</v>
      </c>
    </row>
    <row r="156" customFormat="false" ht="15.75" hidden="false" customHeight="true" outlineLevel="0" collapsed="false">
      <c r="A156" s="5" t="n">
        <f aca="false">RANDBETWEEN(2,164)</f>
        <v>129</v>
      </c>
      <c r="B156" s="5" t="n">
        <f aca="false" t="array" ref="B156:B156">INDEX(Data_DBD!$B:$B,$A156)</f>
        <v>4</v>
      </c>
      <c r="C156" s="5" t="n">
        <f aca="false" t="array" ref="C156:C156">INDEX(Data_DBD!$C:$C,$A156)</f>
        <v>3</v>
      </c>
      <c r="D156" s="5" t="n">
        <f aca="false" t="array" ref="D156:D156">INDEX(Data_DBD!$E:$E,$A156)</f>
        <v>0</v>
      </c>
      <c r="E156" s="5" t="str">
        <f aca="false" t="array" ref="E156:E156">INDEX(Data_DBD!$F:$F,$A156)</f>
        <v>Tinggi</v>
      </c>
      <c r="H156" s="5" t="n">
        <v>46</v>
      </c>
      <c r="I156" s="5" t="n">
        <v>62</v>
      </c>
      <c r="J156" s="5" t="n">
        <v>2</v>
      </c>
      <c r="K156" s="5" t="n">
        <v>0</v>
      </c>
      <c r="L156" s="5" t="s">
        <v>7</v>
      </c>
      <c r="U156" s="7" t="s">
        <v>266</v>
      </c>
    </row>
    <row r="157" customFormat="false" ht="15.75" hidden="false" customHeight="true" outlineLevel="0" collapsed="false">
      <c r="A157" s="5" t="n">
        <f aca="false">RANDBETWEEN(2,164)</f>
        <v>142</v>
      </c>
      <c r="B157" s="5" t="n">
        <f aca="false" t="array" ref="B157:B157">INDEX(Data_DBD!$B:$B,$A157)</f>
        <v>39</v>
      </c>
      <c r="C157" s="5" t="n">
        <f aca="false" t="array" ref="C157:C157">INDEX(Data_DBD!$C:$C,$A157)</f>
        <v>2</v>
      </c>
      <c r="D157" s="5" t="n">
        <f aca="false" t="array" ref="D157:D157">INDEX(Data_DBD!$E:$E,$A157)</f>
        <v>1</v>
      </c>
      <c r="E157" s="5" t="str">
        <f aca="false" t="array" ref="E157:E157">INDEX(Data_DBD!$F:$F,$A157)</f>
        <v>Tinggi</v>
      </c>
      <c r="H157" s="5" t="n">
        <v>63</v>
      </c>
      <c r="I157" s="5" t="n">
        <v>25</v>
      </c>
      <c r="J157" s="5" t="n">
        <v>3</v>
      </c>
      <c r="K157" s="5" t="n">
        <v>0</v>
      </c>
      <c r="L157" s="5" t="s">
        <v>7</v>
      </c>
      <c r="U157" s="8" t="s">
        <v>177</v>
      </c>
    </row>
    <row r="158" customFormat="false" ht="15.75" hidden="false" customHeight="true" outlineLevel="0" collapsed="false">
      <c r="A158" s="5" t="n">
        <f aca="false">RANDBETWEEN(2,164)</f>
        <v>163</v>
      </c>
      <c r="B158" s="5" t="n">
        <f aca="false" t="array" ref="B158:B158">INDEX(Data_DBD!$B:$B,$A158)</f>
        <v>34</v>
      </c>
      <c r="C158" s="5" t="n">
        <f aca="false" t="array" ref="C158:C158">INDEX(Data_DBD!$C:$C,$A158)</f>
        <v>4</v>
      </c>
      <c r="D158" s="5" t="n">
        <f aca="false" t="array" ref="D158:D158">INDEX(Data_DBD!$E:$E,$A158)</f>
        <v>1</v>
      </c>
      <c r="E158" s="5" t="str">
        <f aca="false" t="array" ref="E158:E158">INDEX(Data_DBD!$F:$F,$A158)</f>
        <v>Rendah</v>
      </c>
      <c r="H158" s="5" t="n">
        <v>110</v>
      </c>
      <c r="I158" s="5" t="n">
        <v>42</v>
      </c>
      <c r="J158" s="5" t="n">
        <v>2</v>
      </c>
      <c r="K158" s="5" t="n">
        <v>1</v>
      </c>
      <c r="L158" s="5" t="s">
        <v>115</v>
      </c>
      <c r="U158" s="9" t="s">
        <v>267</v>
      </c>
    </row>
    <row r="159" customFormat="false" ht="15.75" hidden="false" customHeight="true" outlineLevel="0" collapsed="false">
      <c r="A159" s="5" t="n">
        <f aca="false">RANDBETWEEN(2,164)</f>
        <v>90</v>
      </c>
      <c r="B159" s="5" t="n">
        <f aca="false" t="array" ref="B159:B159">INDEX(Data_DBD!$B:$B,$A159)</f>
        <v>47</v>
      </c>
      <c r="C159" s="5" t="n">
        <f aca="false" t="array" ref="C159:C159">INDEX(Data_DBD!$C:$C,$A159)</f>
        <v>3</v>
      </c>
      <c r="D159" s="5" t="n">
        <f aca="false" t="array" ref="D159:D159">INDEX(Data_DBD!$E:$E,$A159)</f>
        <v>0</v>
      </c>
      <c r="E159" s="5" t="str">
        <f aca="false" t="array" ref="E159:E159">INDEX(Data_DBD!$F:$F,$A159)</f>
        <v>Sedang</v>
      </c>
      <c r="H159" s="5" t="n">
        <v>65</v>
      </c>
      <c r="I159" s="5" t="n">
        <v>49</v>
      </c>
      <c r="J159" s="5" t="n">
        <v>3</v>
      </c>
      <c r="K159" s="5" t="n">
        <v>0</v>
      </c>
      <c r="L159" s="5" t="s">
        <v>7</v>
      </c>
      <c r="U159" s="9" t="s">
        <v>268</v>
      </c>
    </row>
    <row r="160" customFormat="false" ht="15.75" hidden="false" customHeight="true" outlineLevel="0" collapsed="false">
      <c r="A160" s="5" t="n">
        <f aca="false">RANDBETWEEN(2,164)</f>
        <v>22</v>
      </c>
      <c r="B160" s="5" t="n">
        <f aca="false" t="array" ref="B160:B160">INDEX(Data_DBD!$B:$B,$A160)</f>
        <v>6</v>
      </c>
      <c r="C160" s="5" t="n">
        <f aca="false" t="array" ref="C160:C160">INDEX(Data_DBD!$C:$C,$A160)</f>
        <v>3</v>
      </c>
      <c r="D160" s="5" t="n">
        <f aca="false" t="array" ref="D160:D160">INDEX(Data_DBD!$E:$E,$A160)</f>
        <v>0</v>
      </c>
      <c r="E160" s="5" t="str">
        <f aca="false" t="array" ref="E160:E160">INDEX(Data_DBD!$F:$F,$A160)</f>
        <v>Sedang</v>
      </c>
      <c r="H160" s="5" t="n">
        <v>29</v>
      </c>
      <c r="I160" s="5" t="n">
        <v>19</v>
      </c>
      <c r="J160" s="5" t="n">
        <v>2</v>
      </c>
      <c r="K160" s="5" t="n">
        <v>1</v>
      </c>
      <c r="L160" s="5" t="s">
        <v>7</v>
      </c>
      <c r="U160" s="8" t="s">
        <v>180</v>
      </c>
    </row>
    <row r="161" customFormat="false" ht="15.75" hidden="false" customHeight="true" outlineLevel="0" collapsed="false">
      <c r="A161" s="5" t="n">
        <f aca="false">RANDBETWEEN(2,164)</f>
        <v>10</v>
      </c>
      <c r="B161" s="5" t="n">
        <f aca="false" t="array" ref="B161:B161">INDEX(Data_DBD!$B:$B,$A161)</f>
        <v>18</v>
      </c>
      <c r="C161" s="5" t="n">
        <f aca="false" t="array" ref="C161:C161">INDEX(Data_DBD!$C:$C,$A161)</f>
        <v>5</v>
      </c>
      <c r="D161" s="5" t="n">
        <f aca="false" t="array" ref="D161:D161">INDEX(Data_DBD!$E:$E,$A161)</f>
        <v>0</v>
      </c>
      <c r="E161" s="5" t="str">
        <f aca="false" t="array" ref="E161:E161">INDEX(Data_DBD!$F:$F,$A161)</f>
        <v>Sedang</v>
      </c>
      <c r="H161" s="5" t="n">
        <v>72</v>
      </c>
      <c r="I161" s="5" t="n">
        <v>3</v>
      </c>
      <c r="J161" s="5" t="n">
        <v>5</v>
      </c>
      <c r="K161" s="5" t="n">
        <v>1</v>
      </c>
      <c r="L161" s="5" t="s">
        <v>7</v>
      </c>
      <c r="U161" s="9" t="s">
        <v>269</v>
      </c>
    </row>
    <row r="162" customFormat="false" ht="15.75" hidden="false" customHeight="true" outlineLevel="0" collapsed="false">
      <c r="A162" s="5" t="n">
        <f aca="false">RANDBETWEEN(2,164)</f>
        <v>32</v>
      </c>
      <c r="B162" s="5" t="n">
        <f aca="false" t="array" ref="B162:B162">INDEX(Data_DBD!$B:$B,$A162)</f>
        <v>54</v>
      </c>
      <c r="C162" s="5" t="n">
        <f aca="false" t="array" ref="C162:C162">INDEX(Data_DBD!$C:$C,$A162)</f>
        <v>4</v>
      </c>
      <c r="D162" s="5" t="n">
        <f aca="false" t="array" ref="D162:D162">INDEX(Data_DBD!$E:$E,$A162)</f>
        <v>0</v>
      </c>
      <c r="E162" s="5" t="str">
        <f aca="false" t="array" ref="E162:E162">INDEX(Data_DBD!$F:$F,$A162)</f>
        <v>Sedang</v>
      </c>
      <c r="H162" s="5" t="n">
        <v>107</v>
      </c>
      <c r="I162" s="5" t="n">
        <v>48</v>
      </c>
      <c r="J162" s="5" t="n">
        <v>5</v>
      </c>
      <c r="K162" s="5" t="n">
        <v>0</v>
      </c>
      <c r="L162" s="5" t="s">
        <v>115</v>
      </c>
      <c r="U162" s="9" t="s">
        <v>207</v>
      </c>
    </row>
    <row r="163" customFormat="false" ht="15.75" hidden="false" customHeight="true" outlineLevel="0" collapsed="false">
      <c r="A163" s="5" t="n">
        <f aca="false">RANDBETWEEN(2,164)</f>
        <v>56</v>
      </c>
      <c r="B163" s="5" t="n">
        <f aca="false" t="array" ref="B163:B163">INDEX(Data_DBD!$B:$B,$A163)</f>
        <v>4</v>
      </c>
      <c r="C163" s="5" t="n">
        <f aca="false" t="array" ref="C163:C163">INDEX(Data_DBD!$C:$C,$A163)</f>
        <v>3</v>
      </c>
      <c r="D163" s="5" t="n">
        <f aca="false" t="array" ref="D163:D163">INDEX(Data_DBD!$E:$E,$A163)</f>
        <v>0</v>
      </c>
      <c r="E163" s="5" t="str">
        <f aca="false" t="array" ref="E163:E163">INDEX(Data_DBD!$F:$F,$A163)</f>
        <v>Sedang</v>
      </c>
      <c r="H163" s="5" t="n">
        <v>13</v>
      </c>
      <c r="I163" s="5" t="n">
        <v>47</v>
      </c>
      <c r="J163" s="5" t="n">
        <v>2</v>
      </c>
      <c r="K163" s="5" t="n">
        <v>0</v>
      </c>
      <c r="L163" s="5" t="s">
        <v>7</v>
      </c>
      <c r="U163" s="8" t="s">
        <v>183</v>
      </c>
    </row>
    <row r="164" customFormat="false" ht="15.75" hidden="false" customHeight="true" outlineLevel="0" collapsed="false">
      <c r="A164" s="5" t="n">
        <f aca="false">RANDBETWEEN(2,164)</f>
        <v>148</v>
      </c>
      <c r="B164" s="5" t="n">
        <f aca="false" t="array" ref="B164:B164">INDEX(Data_DBD!$B:$B,$A164)</f>
        <v>55</v>
      </c>
      <c r="C164" s="5" t="n">
        <f aca="false" t="array" ref="C164:C164">INDEX(Data_DBD!$C:$C,$A164)</f>
        <v>3</v>
      </c>
      <c r="D164" s="5" t="n">
        <f aca="false" t="array" ref="D164:D164">INDEX(Data_DBD!$E:$E,$A164)</f>
        <v>1</v>
      </c>
      <c r="E164" s="5" t="str">
        <f aca="false" t="array" ref="E164:E164">INDEX(Data_DBD!$F:$F,$A164)</f>
        <v>Tinggi</v>
      </c>
      <c r="H164" s="5" t="n">
        <v>163</v>
      </c>
      <c r="I164" s="5" t="n">
        <v>34</v>
      </c>
      <c r="J164" s="5" t="n">
        <v>4</v>
      </c>
      <c r="K164" s="5" t="n">
        <v>1</v>
      </c>
      <c r="L164" s="5" t="s">
        <v>20</v>
      </c>
      <c r="U164" s="9" t="s">
        <v>270</v>
      </c>
    </row>
    <row r="165" customFormat="false" ht="15" hidden="false" customHeight="false" outlineLevel="0" collapsed="false">
      <c r="I165" s="0" t="n">
        <f aca="false">AVERAGE(I2:I164)</f>
        <v>33.0306748466258</v>
      </c>
      <c r="J165" s="0" t="n">
        <f aca="false">AVERAGE(J2:J164)</f>
        <v>3.4478527607362</v>
      </c>
      <c r="K165" s="0" t="n">
        <f aca="false">AVERAGE(K2:K164)</f>
        <v>0.558282208588957</v>
      </c>
    </row>
    <row r="166" customFormat="false" ht="15" hidden="false" customHeight="false" outlineLevel="0" collapsed="false">
      <c r="B166" s="0" t="n">
        <v>28</v>
      </c>
    </row>
    <row r="168" customFormat="false" ht="15" hidden="false" customHeight="false" outlineLevel="0" collapsed="false">
      <c r="E168" s="11" t="s">
        <v>185</v>
      </c>
      <c r="I168" s="11" t="s">
        <v>186</v>
      </c>
      <c r="M168" s="11" t="s">
        <v>188</v>
      </c>
    </row>
    <row r="169" customFormat="false" ht="15" hidden="false" customHeight="false" outlineLevel="0" collapsed="false">
      <c r="E169" s="5" t="s">
        <v>1</v>
      </c>
      <c r="F169" s="5" t="n">
        <f aca="false">AVERAGEIF($I$2:$I$164,"&lt;="&amp;$I$165)</f>
        <v>17.3152173913043</v>
      </c>
      <c r="G169" s="5" t="n">
        <f aca="false">AVERAGEIF($I$2:$I$164,"&gt;"&amp;$I$165)</f>
        <v>53.3943661971831</v>
      </c>
      <c r="I169" s="5" t="s">
        <v>189</v>
      </c>
      <c r="J169" s="5" t="n">
        <f aca="false">AVERAGEIF($J$2:$J$164,"&lt;="&amp;$J$165)</f>
        <v>2.49397590361446</v>
      </c>
      <c r="K169" s="5" t="n">
        <f aca="false">AVERAGEIF($J$2:$J$164,"&gt;"&amp;$J$165)</f>
        <v>4.4375</v>
      </c>
      <c r="M169" s="5" t="s">
        <v>191</v>
      </c>
      <c r="N169" s="5" t="n">
        <f aca="false">AVERAGEIF($K$2:$K$164,"&lt;="&amp;$K$165)</f>
        <v>0</v>
      </c>
      <c r="O169" s="5" t="n">
        <f aca="false">AVERAGEIF($K$2:$K$164,"&gt;"&amp;$K$165)</f>
        <v>1</v>
      </c>
    </row>
    <row r="170" customFormat="false" ht="15" hidden="false" customHeight="false" outlineLevel="0" collapsed="false">
      <c r="E170" s="5" t="str">
        <f aca="false" t="array" ref="E170:E332">IF($I$2:$I$164&lt;$F$169,"kiri",IF($I$2:$I$164&lt;$G$169,"tengah","kanan"))</f>
        <v>kanan</v>
      </c>
      <c r="F170" s="5" t="s">
        <v>271</v>
      </c>
      <c r="G170" s="5"/>
      <c r="I170" s="5" t="str">
        <f aca="false" t="array" ref="I170:I332">IF($J$2:$J$164&lt;$J$169,"kiri",IF($J$2:$J$164&lt;$K$169,"tengah","kanan"))</f>
        <v>tengah</v>
      </c>
      <c r="J170" s="5" t="s">
        <v>210</v>
      </c>
      <c r="K170" s="5"/>
      <c r="M170" s="5" t="str">
        <f aca="false" t="array" ref="M170:M332">IF($K$2:$K$164&lt;$N$169,"kiri",IF($K$2:$K$164&lt;$O$169,"tengah","kanan"))</f>
        <v>kanan</v>
      </c>
      <c r="N170" s="5" t="s">
        <v>195</v>
      </c>
      <c r="O170" s="5"/>
    </row>
    <row r="171" customFormat="false" ht="15" hidden="false" customHeight="false" outlineLevel="0" collapsed="false">
      <c r="E171" s="5" t="str">
        <v>tengah</v>
      </c>
      <c r="F171" s="5" t="n">
        <f aca="false">COUNTIFS($E$170:$E$332,"Kanan",$L$2:$L$164,"Tinggi")</f>
        <v>17</v>
      </c>
      <c r="G171" s="5" t="n">
        <f aca="false">F171/32</f>
        <v>0.53125</v>
      </c>
      <c r="I171" s="5" t="str">
        <v>tengah</v>
      </c>
      <c r="J171" s="5" t="n">
        <f aca="false">COUNTIFS($I$170:$I$332,"Kanan",$L$2:$L$164,"Tinggi")</f>
        <v>12</v>
      </c>
      <c r="K171" s="5" t="n">
        <f aca="false">J171/29</f>
        <v>0.413793103448276</v>
      </c>
      <c r="M171" s="5" t="str">
        <v>tengah</v>
      </c>
      <c r="N171" s="5" t="n">
        <f aca="false">COUNTIFS($M$170:$M$332,"Kanan",$L$2:$L$164,"Tinggi")</f>
        <v>47</v>
      </c>
      <c r="O171" s="5" t="n">
        <f aca="false">N171/91</f>
        <v>0.516483516483517</v>
      </c>
    </row>
    <row r="172" customFormat="false" ht="15" hidden="false" customHeight="false" outlineLevel="0" collapsed="false">
      <c r="E172" s="5" t="str">
        <v>kanan</v>
      </c>
      <c r="F172" s="5" t="n">
        <f aca="false">COUNTIFS($E$170:$E$332,"Kanan",$L$2:$L$164,"Sedang")</f>
        <v>15</v>
      </c>
      <c r="G172" s="5" t="n">
        <f aca="false">F172/32</f>
        <v>0.46875</v>
      </c>
      <c r="I172" s="5" t="str">
        <v>kanan</v>
      </c>
      <c r="J172" s="5" t="n">
        <f aca="false">COUNTIFS($I$170:$I$332,"Kanan",$L$2:$L$164,"Sedang")</f>
        <v>16</v>
      </c>
      <c r="K172" s="5" t="n">
        <f aca="false">J172/29</f>
        <v>0.551724137931035</v>
      </c>
      <c r="M172" s="5" t="str">
        <v>kanan</v>
      </c>
      <c r="N172" s="5" t="n">
        <f aca="false">COUNTIFS($M$170:$M$332,"Kanan",$L$2:$L$164,"Sedang")</f>
        <v>40</v>
      </c>
      <c r="O172" s="5" t="n">
        <f aca="false">N172/91</f>
        <v>0.43956043956044</v>
      </c>
    </row>
    <row r="173" customFormat="false" ht="15" hidden="false" customHeight="false" outlineLevel="0" collapsed="false">
      <c r="E173" s="5" t="str">
        <v>kiri</v>
      </c>
      <c r="F173" s="5" t="n">
        <f aca="false">COUNTIFS($E$170:$E$332,"Kanan",$L$2:$L$164,"Rendah")</f>
        <v>0</v>
      </c>
      <c r="G173" s="5" t="n">
        <f aca="false">F173/32</f>
        <v>0</v>
      </c>
      <c r="I173" s="5" t="str">
        <v>tengah</v>
      </c>
      <c r="J173" s="5" t="n">
        <f aca="false">COUNTIFS($I$170:$I$332,"Kanan",$L$2:$L$164,"Rendah")</f>
        <v>1</v>
      </c>
      <c r="K173" s="5" t="n">
        <f aca="false">J173/29</f>
        <v>0.0344827586206897</v>
      </c>
      <c r="M173" s="5" t="str">
        <v>tengah</v>
      </c>
      <c r="N173" s="5" t="n">
        <f aca="false">COUNTIFS($M$170:$M$332,"Kanan",$L$2:$L$164,"Rendah")</f>
        <v>4</v>
      </c>
      <c r="O173" s="5" t="n">
        <f aca="false">N173/91</f>
        <v>0.043956043956044</v>
      </c>
    </row>
    <row r="174" customFormat="false" ht="15" hidden="false" customHeight="false" outlineLevel="0" collapsed="false">
      <c r="E174" s="5" t="str">
        <v>tengah</v>
      </c>
      <c r="F174" s="5" t="s">
        <v>196</v>
      </c>
      <c r="G174" s="5" t="n">
        <f aca="false">-(IFERROR(G171*LOG(G171,2),0)+IFERROR(G172*LOG(G172,2),0)+IFERROR(G173*LOG(G173,2),0))</f>
        <v>0.997180398894264</v>
      </c>
      <c r="I174" s="5" t="str">
        <v>tengah</v>
      </c>
      <c r="J174" s="5" t="s">
        <v>196</v>
      </c>
      <c r="K174" s="5" t="n">
        <f aca="false">-(IFERROR(K171*LOG(K171,2),0)+IFERROR(K172*LOG(K172,2),0)+IFERROR(K173*LOG(K173,2),0))</f>
        <v>1.16765168448434</v>
      </c>
      <c r="M174" s="5" t="str">
        <v>kanan</v>
      </c>
      <c r="N174" s="5" t="s">
        <v>196</v>
      </c>
      <c r="O174" s="5" t="n">
        <f aca="false">-(IFERROR(O171*LOG(O171,2),0)+IFERROR(O172*LOG(O172,2),0)+IFERROR(O173*LOG(O173,2),0))</f>
        <v>1.21171991685426</v>
      </c>
    </row>
    <row r="175" customFormat="false" ht="15" hidden="false" customHeight="false" outlineLevel="0" collapsed="false">
      <c r="E175" s="5" t="str">
        <v>kiri</v>
      </c>
      <c r="F175" s="5"/>
      <c r="G175" s="5" t="n">
        <f aca="false">SUM(F171:F173)/163</f>
        <v>0.196319018404908</v>
      </c>
      <c r="I175" s="5" t="str">
        <v>tengah</v>
      </c>
      <c r="J175" s="5"/>
      <c r="K175" s="5" t="n">
        <f aca="false">SUM(J171:J173)/163</f>
        <v>0.177914110429448</v>
      </c>
      <c r="M175" s="5" t="str">
        <v>tengah</v>
      </c>
      <c r="N175" s="5"/>
      <c r="O175" s="5" t="n">
        <f aca="false">SUM(N171:N173)/163</f>
        <v>0.558282208588957</v>
      </c>
    </row>
    <row r="176" customFormat="false" ht="15" hidden="false" customHeight="false" outlineLevel="0" collapsed="false">
      <c r="E176" s="5" t="str">
        <v>kiri</v>
      </c>
      <c r="F176" s="5"/>
      <c r="G176" s="12" t="n">
        <f aca="false">G174*G175</f>
        <v>0.195765477083537</v>
      </c>
      <c r="I176" s="5" t="str">
        <v>kiri</v>
      </c>
      <c r="J176" s="5"/>
      <c r="K176" s="12" t="n">
        <f aca="false">K174*K175</f>
        <v>0.207741710736477</v>
      </c>
      <c r="M176" s="5" t="str">
        <v>kanan</v>
      </c>
      <c r="N176" s="5"/>
      <c r="O176" s="12" t="n">
        <f aca="false">O174*O175</f>
        <v>0.676481671372625</v>
      </c>
    </row>
    <row r="177" customFormat="false" ht="15" hidden="false" customHeight="false" outlineLevel="0" collapsed="false">
      <c r="E177" s="5" t="str">
        <v>tengah</v>
      </c>
      <c r="F177" s="5"/>
      <c r="G177" s="5"/>
      <c r="I177" s="5" t="str">
        <v>tengah</v>
      </c>
      <c r="J177" s="5"/>
      <c r="K177" s="5"/>
      <c r="M177" s="5" t="str">
        <v>tengah</v>
      </c>
      <c r="N177" s="5"/>
      <c r="O177" s="5"/>
    </row>
    <row r="178" customFormat="false" ht="15" hidden="false" customHeight="false" outlineLevel="0" collapsed="false">
      <c r="E178" s="5" t="str">
        <v>tengah</v>
      </c>
      <c r="F178" s="5"/>
      <c r="G178" s="5"/>
      <c r="I178" s="5" t="str">
        <v>tengah</v>
      </c>
      <c r="J178" s="5"/>
      <c r="K178" s="5"/>
      <c r="M178" s="5" t="str">
        <v>kanan</v>
      </c>
      <c r="N178" s="5"/>
      <c r="O178" s="5"/>
    </row>
    <row r="179" customFormat="false" ht="15" hidden="false" customHeight="false" outlineLevel="0" collapsed="false">
      <c r="E179" s="5" t="str">
        <v>tengah</v>
      </c>
      <c r="F179" s="5" t="s">
        <v>272</v>
      </c>
      <c r="G179" s="5"/>
      <c r="I179" s="5" t="str">
        <v>tengah</v>
      </c>
      <c r="J179" s="5" t="s">
        <v>273</v>
      </c>
      <c r="K179" s="5"/>
      <c r="M179" s="5" t="str">
        <v>tengah</v>
      </c>
      <c r="N179" s="5" t="s">
        <v>200</v>
      </c>
      <c r="O179" s="5"/>
    </row>
    <row r="180" customFormat="false" ht="15" hidden="false" customHeight="false" outlineLevel="0" collapsed="false">
      <c r="E180" s="5" t="str">
        <v>kanan</v>
      </c>
      <c r="F180" s="5" t="n">
        <f aca="false">COUNTIFS($E$170:$E$332,"Kiri",$L$2:$L$164,"Tinggi")</f>
        <v>19</v>
      </c>
      <c r="G180" s="5" t="n">
        <f aca="false">F180/38</f>
        <v>0.5</v>
      </c>
      <c r="I180" s="5" t="str">
        <v>tengah</v>
      </c>
      <c r="J180" s="5" t="n">
        <f aca="false">COUNTIFS($I$170:$I$332,"Kiri",$L$2:$L$164,"Tinggi")</f>
        <v>20</v>
      </c>
      <c r="K180" s="5" t="n">
        <f aca="false">J180/36</f>
        <v>0.555555555555556</v>
      </c>
      <c r="M180" s="5" t="str">
        <v>tengah</v>
      </c>
      <c r="N180" s="5" t="n">
        <f aca="false">COUNTIFS($M$170:$M$332,"Kiri",$L$2:$L$164,"Tinggi")</f>
        <v>0</v>
      </c>
      <c r="O180" s="5" t="n">
        <f aca="false">N180/78</f>
        <v>0</v>
      </c>
    </row>
    <row r="181" customFormat="false" ht="15" hidden="false" customHeight="false" outlineLevel="0" collapsed="false">
      <c r="E181" s="5" t="str">
        <v>tengah</v>
      </c>
      <c r="F181" s="5" t="n">
        <f aca="false">COUNTIFS($E$170:$E$332,"Kiri",$L$2:$L$164,"Sedang")</f>
        <v>16</v>
      </c>
      <c r="G181" s="5" t="n">
        <f aca="false">F181/38</f>
        <v>0.421052631578947</v>
      </c>
      <c r="I181" s="5" t="str">
        <v>kiri</v>
      </c>
      <c r="J181" s="5" t="n">
        <f aca="false">COUNTIFS($I$170:$I$332,"Kiri",$L$2:$L$164,"Sedang")</f>
        <v>14</v>
      </c>
      <c r="K181" s="5" t="n">
        <f aca="false">J181/36</f>
        <v>0.388888888888889</v>
      </c>
      <c r="M181" s="5" t="str">
        <v>kanan</v>
      </c>
      <c r="N181" s="5" t="n">
        <f aca="false">COUNTIFS($T$170:$T$332,"Kiri",$M$2:$M$164,"Sedang")</f>
        <v>0</v>
      </c>
      <c r="O181" s="5" t="n">
        <f aca="false">N181/78</f>
        <v>0</v>
      </c>
    </row>
    <row r="182" customFormat="false" ht="15" hidden="false" customHeight="false" outlineLevel="0" collapsed="false">
      <c r="E182" s="5" t="str">
        <v>kanan</v>
      </c>
      <c r="F182" s="5" t="n">
        <f aca="false">COUNTIFS($E$170:$E$332,"Kiri",$L$2:$L$164,"Rendah")</f>
        <v>3</v>
      </c>
      <c r="G182" s="5" t="n">
        <f aca="false">F182/38</f>
        <v>0.0789473684210526</v>
      </c>
      <c r="I182" s="5" t="str">
        <v>tengah</v>
      </c>
      <c r="J182" s="5" t="n">
        <f aca="false">COUNTIFS($I$170:$I$332,"Kiri",$L$2:$L$164,"Rendah")</f>
        <v>2</v>
      </c>
      <c r="K182" s="5" t="n">
        <f aca="false">J182/36</f>
        <v>0.0555555555555556</v>
      </c>
      <c r="M182" s="5" t="str">
        <v>kanan</v>
      </c>
      <c r="N182" s="5" t="n">
        <f aca="false">COUNTIFS($T$170:$T$332,"Kiri",$M$2:$M$164,"Rendah")</f>
        <v>0</v>
      </c>
      <c r="O182" s="5" t="n">
        <f aca="false">N182/78</f>
        <v>0</v>
      </c>
    </row>
    <row r="183" customFormat="false" ht="15" hidden="false" customHeight="false" outlineLevel="0" collapsed="false">
      <c r="E183" s="5" t="str">
        <v>tengah</v>
      </c>
      <c r="F183" s="5" t="s">
        <v>196</v>
      </c>
      <c r="G183" s="5" t="n">
        <f aca="false">-(IFERROR(G180*LOG(G180,2),0)+IFERROR(G181*LOG(G181,2),0)+IFERROR(G182*LOG(G182,2),0))</f>
        <v>1.31462461192802</v>
      </c>
      <c r="I183" s="5" t="str">
        <v>tengah</v>
      </c>
      <c r="J183" s="5" t="s">
        <v>196</v>
      </c>
      <c r="K183" s="5" t="n">
        <f aca="false">-(IFERROR(K180*LOG(K180,2),0)+IFERROR(K181*LOG(K181,2),0)+IFERROR(K182*LOG(K182,2),0))</f>
        <v>1.23266025681582</v>
      </c>
      <c r="M183" s="5" t="str">
        <v>tengah</v>
      </c>
      <c r="N183" s="5" t="s">
        <v>196</v>
      </c>
      <c r="O183" s="5" t="n">
        <f aca="false">-(IFERROR(O180*LOG(O180,2),0)+IFERROR(O181*LOG(O181,2),0)+IFERROR(O182*LOG(O182,2),0))</f>
        <v>-0</v>
      </c>
    </row>
    <row r="184" customFormat="false" ht="15" hidden="false" customHeight="false" outlineLevel="0" collapsed="false">
      <c r="E184" s="5" t="str">
        <v>kanan</v>
      </c>
      <c r="F184" s="5"/>
      <c r="G184" s="5" t="n">
        <f aca="false">SUM(F180:F182)/163</f>
        <v>0.233128834355828</v>
      </c>
      <c r="I184" s="5" t="str">
        <v>tengah</v>
      </c>
      <c r="J184" s="5"/>
      <c r="K184" s="5" t="n">
        <f aca="false">SUM(J180:J182)/163</f>
        <v>0.220858895705521</v>
      </c>
      <c r="M184" s="5" t="str">
        <v>tengah</v>
      </c>
      <c r="N184" s="5"/>
      <c r="O184" s="5" t="n">
        <f aca="false">SUM(N180:N182)/163</f>
        <v>0</v>
      </c>
    </row>
    <row r="185" customFormat="false" ht="15" hidden="false" customHeight="false" outlineLevel="0" collapsed="false">
      <c r="E185" s="5" t="str">
        <v>kanan</v>
      </c>
      <c r="F185" s="5"/>
      <c r="G185" s="12" t="n">
        <f aca="false">G183*G184</f>
        <v>0.306476903394262</v>
      </c>
      <c r="I185" s="5" t="str">
        <v>kanan</v>
      </c>
      <c r="J185" s="5"/>
      <c r="K185" s="12" t="n">
        <f aca="false">K183*K184</f>
        <v>0.272243983100427</v>
      </c>
      <c r="M185" s="5" t="str">
        <v>kanan</v>
      </c>
      <c r="N185" s="5"/>
      <c r="O185" s="12" t="n">
        <f aca="false">O183*O184</f>
        <v>-0</v>
      </c>
    </row>
    <row r="186" customFormat="false" ht="15" hidden="false" customHeight="false" outlineLevel="0" collapsed="false">
      <c r="E186" s="5" t="str">
        <v>kanan</v>
      </c>
      <c r="F186" s="5"/>
      <c r="G186" s="5"/>
      <c r="I186" s="5" t="str">
        <v>tengah</v>
      </c>
      <c r="J186" s="5"/>
      <c r="K186" s="5"/>
      <c r="M186" s="5" t="str">
        <v>kanan</v>
      </c>
      <c r="N186" s="5"/>
      <c r="O186" s="5"/>
    </row>
    <row r="187" customFormat="false" ht="15" hidden="false" customHeight="false" outlineLevel="0" collapsed="false">
      <c r="E187" s="5" t="str">
        <v>tengah</v>
      </c>
      <c r="F187" s="5"/>
      <c r="G187" s="5"/>
      <c r="I187" s="5" t="str">
        <v>tengah</v>
      </c>
      <c r="J187" s="5"/>
      <c r="K187" s="5"/>
      <c r="M187" s="5" t="str">
        <v>kanan</v>
      </c>
      <c r="N187" s="5"/>
      <c r="O187" s="5"/>
    </row>
    <row r="188" customFormat="false" ht="15" hidden="false" customHeight="false" outlineLevel="0" collapsed="false">
      <c r="E188" s="5" t="str">
        <v>tengah</v>
      </c>
      <c r="F188" s="5" t="s">
        <v>201</v>
      </c>
      <c r="G188" s="5"/>
      <c r="I188" s="5" t="str">
        <v>kiri</v>
      </c>
      <c r="J188" s="5" t="s">
        <v>201</v>
      </c>
      <c r="K188" s="5"/>
      <c r="M188" s="5" t="str">
        <v>kanan</v>
      </c>
      <c r="N188" s="5" t="s">
        <v>201</v>
      </c>
      <c r="O188" s="5"/>
    </row>
    <row r="189" customFormat="false" ht="15" hidden="false" customHeight="false" outlineLevel="0" collapsed="false">
      <c r="E189" s="5" t="str">
        <v>kanan</v>
      </c>
      <c r="F189" s="5" t="n">
        <f aca="false">COUNTIFS($E$170:$E$332,"Tengah",$L$2:$L$164,"Tinggi")</f>
        <v>39</v>
      </c>
      <c r="G189" s="5" t="n">
        <f aca="false">F189/93</f>
        <v>0.419354838709677</v>
      </c>
      <c r="I189" s="5" t="str">
        <v>tengah</v>
      </c>
      <c r="J189" s="5" t="n">
        <f aca="false">COUNTIFS($I$170:$I$332,"Tengah",$L$2:$L$164,"Tinggi")</f>
        <v>43</v>
      </c>
      <c r="K189" s="5" t="n">
        <f aca="false">J189/98</f>
        <v>0.438775510204082</v>
      </c>
      <c r="M189" s="5" t="str">
        <v>kanan</v>
      </c>
      <c r="N189" s="5" t="n">
        <f aca="false">COUNTIFS($M$170:$M$332,"Tengah",$L$2:$L$164,"Tinggi")</f>
        <v>28</v>
      </c>
      <c r="O189" s="5" t="n">
        <f aca="false">N189/72</f>
        <v>0.388888888888889</v>
      </c>
    </row>
    <row r="190" customFormat="false" ht="15" hidden="false" customHeight="false" outlineLevel="0" collapsed="false">
      <c r="E190" s="5" t="str">
        <v>kiri</v>
      </c>
      <c r="F190" s="5" t="n">
        <f aca="false">COUNTIFS($E$170:$E$332,"Tengah",$L$2:$L$164,"Sedang")</f>
        <v>48</v>
      </c>
      <c r="G190" s="5" t="n">
        <f aca="false">F190/93</f>
        <v>0.516129032258065</v>
      </c>
      <c r="I190" s="5" t="str">
        <v>kiri</v>
      </c>
      <c r="J190" s="5" t="n">
        <f aca="false">COUNTIFS($I$170:$I$332,"Tengah",$L$2:$L$164,"Sedang")</f>
        <v>49</v>
      </c>
      <c r="K190" s="5" t="n">
        <f aca="false">J190/98</f>
        <v>0.5</v>
      </c>
      <c r="M190" s="5" t="str">
        <v>tengah</v>
      </c>
      <c r="N190" s="5" t="n">
        <f aca="false">COUNTIFS($M$170:$M$332,"Tengah",$L$2:$L$164,"Sedang")</f>
        <v>39</v>
      </c>
      <c r="O190" s="5" t="n">
        <f aca="false">N190/72</f>
        <v>0.541666666666667</v>
      </c>
    </row>
    <row r="191" customFormat="false" ht="15" hidden="false" customHeight="false" outlineLevel="0" collapsed="false">
      <c r="E191" s="5" t="str">
        <v>tengah</v>
      </c>
      <c r="F191" s="5" t="n">
        <f aca="false">COUNTIFS($E$170:$E$332,"Tengah",$L$2:$L$164,"Rendah")</f>
        <v>6</v>
      </c>
      <c r="G191" s="5" t="n">
        <f aca="false">F191/93</f>
        <v>0.0645161290322581</v>
      </c>
      <c r="I191" s="5" t="str">
        <v>kanan</v>
      </c>
      <c r="J191" s="5" t="n">
        <f aca="false">COUNTIFS($I$170:$I$332,"Tengah",$L$2:$L$164,"Rendah")</f>
        <v>6</v>
      </c>
      <c r="K191" s="5" t="n">
        <f aca="false">J191/98</f>
        <v>0.0612244897959184</v>
      </c>
      <c r="M191" s="5" t="str">
        <v>tengah</v>
      </c>
      <c r="N191" s="5" t="n">
        <f aca="false">COUNTIFS($M$170:$M$332,"Tengah",$L$2:$L$164,"Rendah")</f>
        <v>5</v>
      </c>
      <c r="O191" s="5" t="n">
        <f aca="false">N191/72</f>
        <v>0.0694444444444445</v>
      </c>
    </row>
    <row r="192" customFormat="false" ht="15" hidden="false" customHeight="false" outlineLevel="0" collapsed="false">
      <c r="E192" s="5" t="str">
        <v>tengah</v>
      </c>
      <c r="F192" s="5" t="s">
        <v>196</v>
      </c>
      <c r="G192" s="5" t="n">
        <f aca="false">-(IFERROR(G189*LOG(G189,2),0)+IFERROR(G190*LOG(G190,2),0)+IFERROR(G191*LOG(G191,2),0))</f>
        <v>1.27336675116642</v>
      </c>
      <c r="I192" s="5" t="str">
        <v>tengah</v>
      </c>
      <c r="J192" s="5" t="s">
        <v>196</v>
      </c>
      <c r="K192" s="5" t="n">
        <f aca="false">-(IFERROR(K189*LOG(K189,2),0)+IFERROR(K190*LOG(K190,2),0)+IFERROR(K191*LOG(K191,2),0))</f>
        <v>1.26817982556253</v>
      </c>
      <c r="M192" s="5" t="str">
        <v>kanan</v>
      </c>
      <c r="N192" s="5" t="s">
        <v>196</v>
      </c>
      <c r="O192" s="5" t="n">
        <f aca="false">-(IFERROR(O189*LOG(O189,2),0)+IFERROR(O190*LOG(O190,2),0)+IFERROR(O191*LOG(O191,2),0))</f>
        <v>1.27622687883568</v>
      </c>
    </row>
    <row r="193" customFormat="false" ht="15" hidden="false" customHeight="false" outlineLevel="0" collapsed="false">
      <c r="E193" s="5" t="str">
        <v>tengah</v>
      </c>
      <c r="F193" s="5"/>
      <c r="G193" s="5" t="n">
        <f aca="false">SUM(F189:F191)/163</f>
        <v>0.570552147239264</v>
      </c>
      <c r="I193" s="5" t="str">
        <v>kanan</v>
      </c>
      <c r="J193" s="5"/>
      <c r="K193" s="5" t="n">
        <f aca="false">SUM(J189:J191)/163</f>
        <v>0.601226993865031</v>
      </c>
      <c r="M193" s="5" t="str">
        <v>kanan</v>
      </c>
      <c r="N193" s="5"/>
      <c r="O193" s="5" t="n">
        <f aca="false">SUM(N189:N191)/163</f>
        <v>0.441717791411043</v>
      </c>
    </row>
    <row r="194" customFormat="false" ht="15" hidden="false" customHeight="false" outlineLevel="0" collapsed="false">
      <c r="E194" s="5" t="str">
        <v>tengah</v>
      </c>
      <c r="F194" s="5"/>
      <c r="G194" s="12" t="n">
        <f aca="false">G192*G193</f>
        <v>0.726522134101085</v>
      </c>
      <c r="I194" s="5" t="str">
        <v>tengah</v>
      </c>
      <c r="J194" s="5"/>
      <c r="K194" s="12" t="n">
        <f aca="false">K192*K193</f>
        <v>0.76246394420324</v>
      </c>
      <c r="M194" s="5" t="str">
        <v>kanan</v>
      </c>
      <c r="N194" s="5"/>
      <c r="O194" s="12" t="n">
        <f aca="false">O192*O193</f>
        <v>0.563732118258706</v>
      </c>
    </row>
    <row r="195" customFormat="false" ht="15" hidden="false" customHeight="false" outlineLevel="0" collapsed="false">
      <c r="E195" s="5" t="str">
        <v>kiri</v>
      </c>
      <c r="F195" s="5"/>
      <c r="G195" s="5"/>
      <c r="I195" s="5" t="str">
        <v>tengah</v>
      </c>
      <c r="J195" s="5"/>
      <c r="K195" s="5"/>
      <c r="M195" s="5" t="str">
        <v>kanan</v>
      </c>
      <c r="N195" s="5"/>
      <c r="O195" s="5"/>
    </row>
    <row r="196" customFormat="false" ht="15" hidden="false" customHeight="false" outlineLevel="0" collapsed="false">
      <c r="E196" s="5" t="str">
        <v>kiri</v>
      </c>
      <c r="F196" s="5" t="s">
        <v>202</v>
      </c>
      <c r="G196" s="5"/>
      <c r="I196" s="5" t="str">
        <v>kiri</v>
      </c>
      <c r="J196" s="5" t="s">
        <v>202</v>
      </c>
      <c r="K196" s="5"/>
      <c r="M196" s="5" t="str">
        <v>tengah</v>
      </c>
      <c r="N196" s="5" t="s">
        <v>202</v>
      </c>
      <c r="O196" s="5"/>
    </row>
    <row r="197" customFormat="false" ht="15" hidden="false" customHeight="false" outlineLevel="0" collapsed="false">
      <c r="E197" s="5" t="str">
        <v>kanan</v>
      </c>
      <c r="F197" s="13" t="n">
        <f aca="false">P5-(G176+G185+G194)</f>
        <v>0.0237096156880043</v>
      </c>
      <c r="G197" s="5"/>
      <c r="I197" s="5" t="str">
        <v>kanan</v>
      </c>
      <c r="J197" s="13" t="n">
        <f aca="false">P5-(K176+K185+K194)</f>
        <v>0.0100244922267443</v>
      </c>
      <c r="K197" s="5"/>
      <c r="M197" s="5" t="str">
        <v>kanan</v>
      </c>
      <c r="N197" s="13" t="n">
        <f aca="false">P5-(O176+O185+O194)</f>
        <v>0.0122603406355561</v>
      </c>
      <c r="O197" s="5"/>
    </row>
    <row r="198" customFormat="false" ht="15" hidden="false" customHeight="false" outlineLevel="0" collapsed="false">
      <c r="E198" s="5" t="str">
        <v>tengah</v>
      </c>
      <c r="F198" s="5"/>
      <c r="G198" s="5"/>
      <c r="I198" s="5" t="str">
        <v>tengah</v>
      </c>
      <c r="J198" s="5"/>
      <c r="K198" s="5"/>
      <c r="M198" s="5" t="str">
        <v>kanan</v>
      </c>
      <c r="N198" s="5"/>
      <c r="O198" s="5"/>
    </row>
    <row r="199" customFormat="false" ht="15" hidden="false" customHeight="false" outlineLevel="0" collapsed="false">
      <c r="E199" s="5" t="str">
        <v>tengah</v>
      </c>
      <c r="F199" s="5"/>
      <c r="G199" s="5"/>
      <c r="I199" s="5" t="str">
        <v>tengah</v>
      </c>
      <c r="J199" s="5"/>
      <c r="K199" s="5"/>
      <c r="M199" s="5" t="str">
        <v>kanan</v>
      </c>
      <c r="N199" s="5"/>
      <c r="O199" s="5"/>
    </row>
    <row r="200" customFormat="false" ht="15" hidden="false" customHeight="false" outlineLevel="0" collapsed="false">
      <c r="E200" s="5" t="str">
        <v>tengah</v>
      </c>
      <c r="F200" s="5"/>
      <c r="G200" s="5"/>
      <c r="I200" s="5" t="str">
        <v>tengah</v>
      </c>
      <c r="J200" s="5"/>
      <c r="K200" s="5"/>
      <c r="M200" s="5" t="str">
        <v>kanan</v>
      </c>
      <c r="N200" s="5"/>
      <c r="O200" s="5"/>
    </row>
    <row r="201" customFormat="false" ht="15" hidden="false" customHeight="false" outlineLevel="0" collapsed="false">
      <c r="E201" s="5" t="str">
        <v>tengah</v>
      </c>
      <c r="F201" s="5"/>
      <c r="G201" s="5"/>
      <c r="I201" s="5" t="str">
        <v>tengah</v>
      </c>
      <c r="J201" s="5"/>
      <c r="K201" s="5"/>
      <c r="M201" s="5" t="str">
        <v>kanan</v>
      </c>
      <c r="N201" s="5"/>
      <c r="O201" s="5"/>
    </row>
    <row r="202" customFormat="false" ht="15" hidden="false" customHeight="false" outlineLevel="0" collapsed="false">
      <c r="E202" s="5" t="str">
        <v>tengah</v>
      </c>
      <c r="F202" s="5"/>
      <c r="G202" s="5"/>
      <c r="I202" s="5" t="str">
        <v>kanan</v>
      </c>
      <c r="J202" s="5"/>
      <c r="K202" s="5"/>
      <c r="M202" s="5" t="str">
        <v>kanan</v>
      </c>
      <c r="N202" s="5"/>
      <c r="O202" s="5"/>
    </row>
    <row r="203" customFormat="false" ht="15" hidden="false" customHeight="false" outlineLevel="0" collapsed="false">
      <c r="E203" s="5" t="str">
        <v>tengah</v>
      </c>
      <c r="F203" s="5"/>
      <c r="G203" s="5"/>
      <c r="I203" s="5" t="str">
        <v>tengah</v>
      </c>
      <c r="J203" s="5"/>
      <c r="K203" s="5"/>
      <c r="M203" s="5" t="str">
        <v>kanan</v>
      </c>
      <c r="N203" s="5"/>
      <c r="O203" s="5"/>
    </row>
    <row r="204" customFormat="false" ht="15" hidden="false" customHeight="false" outlineLevel="0" collapsed="false">
      <c r="E204" s="5" t="str">
        <v>tengah</v>
      </c>
      <c r="F204" s="5"/>
      <c r="G204" s="5"/>
      <c r="I204" s="5" t="str">
        <v>kiri</v>
      </c>
      <c r="J204" s="5"/>
      <c r="K204" s="5"/>
      <c r="M204" s="5" t="str">
        <v>tengah</v>
      </c>
      <c r="N204" s="5"/>
      <c r="O204" s="5"/>
    </row>
    <row r="205" customFormat="false" ht="15" hidden="false" customHeight="false" outlineLevel="0" collapsed="false">
      <c r="E205" s="5" t="str">
        <v>tengah</v>
      </c>
      <c r="F205" s="5"/>
      <c r="G205" s="5"/>
      <c r="I205" s="5" t="str">
        <v>kanan</v>
      </c>
      <c r="J205" s="5"/>
      <c r="K205" s="5"/>
      <c r="M205" s="5" t="str">
        <v>tengah</v>
      </c>
      <c r="N205" s="5"/>
      <c r="O205" s="5"/>
    </row>
    <row r="206" customFormat="false" ht="15" hidden="false" customHeight="false" outlineLevel="0" collapsed="false">
      <c r="E206" s="5" t="str">
        <v>kanan</v>
      </c>
      <c r="F206" s="5"/>
      <c r="G206" s="5"/>
      <c r="I206" s="5" t="str">
        <v>tengah</v>
      </c>
      <c r="J206" s="5"/>
      <c r="K206" s="5"/>
      <c r="M206" s="5" t="str">
        <v>kanan</v>
      </c>
      <c r="N206" s="5"/>
      <c r="O206" s="5"/>
    </row>
    <row r="207" customFormat="false" ht="15" hidden="false" customHeight="false" outlineLevel="0" collapsed="false">
      <c r="E207" s="5" t="str">
        <v>kiri</v>
      </c>
      <c r="F207" s="5"/>
      <c r="G207" s="5"/>
      <c r="I207" s="5" t="str">
        <v>tengah</v>
      </c>
      <c r="J207" s="5"/>
      <c r="K207" s="5"/>
      <c r="M207" s="5" t="str">
        <v>kanan</v>
      </c>
      <c r="N207" s="5"/>
      <c r="O207" s="5"/>
    </row>
    <row r="208" customFormat="false" ht="15" hidden="false" customHeight="false" outlineLevel="0" collapsed="false">
      <c r="E208" s="5" t="str">
        <v>tengah</v>
      </c>
      <c r="F208" s="5"/>
      <c r="G208" s="5"/>
      <c r="I208" s="5" t="str">
        <v>kanan</v>
      </c>
      <c r="J208" s="5"/>
      <c r="K208" s="5"/>
      <c r="M208" s="5" t="str">
        <v>tengah</v>
      </c>
      <c r="N208" s="5"/>
      <c r="O208" s="5"/>
    </row>
    <row r="209" customFormat="false" ht="15" hidden="false" customHeight="false" outlineLevel="0" collapsed="false">
      <c r="E209" s="5" t="str">
        <v>kiri</v>
      </c>
      <c r="F209" s="5"/>
      <c r="G209" s="5"/>
      <c r="I209" s="5" t="str">
        <v>tengah</v>
      </c>
      <c r="J209" s="5"/>
      <c r="K209" s="5"/>
      <c r="M209" s="5" t="str">
        <v>kanan</v>
      </c>
      <c r="N209" s="5"/>
      <c r="O209" s="5"/>
    </row>
    <row r="210" customFormat="false" ht="15" hidden="false" customHeight="false" outlineLevel="0" collapsed="false">
      <c r="E210" s="5" t="str">
        <v>kiri</v>
      </c>
      <c r="F210" s="5"/>
      <c r="G210" s="5"/>
      <c r="I210" s="5" t="str">
        <v>tengah</v>
      </c>
      <c r="J210" s="5"/>
      <c r="K210" s="5"/>
      <c r="M210" s="5" t="str">
        <v>tengah</v>
      </c>
      <c r="N210" s="5"/>
      <c r="O210" s="5"/>
    </row>
    <row r="211" customFormat="false" ht="15" hidden="false" customHeight="false" outlineLevel="0" collapsed="false">
      <c r="E211" s="5" t="str">
        <v>tengah</v>
      </c>
      <c r="F211" s="5"/>
      <c r="G211" s="5"/>
      <c r="I211" s="5" t="str">
        <v>tengah</v>
      </c>
      <c r="J211" s="5"/>
      <c r="K211" s="5"/>
      <c r="M211" s="5" t="str">
        <v>tengah</v>
      </c>
      <c r="N211" s="5"/>
      <c r="O211" s="5"/>
    </row>
    <row r="212" customFormat="false" ht="15" hidden="false" customHeight="false" outlineLevel="0" collapsed="false">
      <c r="E212" s="5" t="str">
        <v>tengah</v>
      </c>
      <c r="F212" s="5"/>
      <c r="G212" s="5"/>
      <c r="I212" s="5" t="str">
        <v>tengah</v>
      </c>
      <c r="J212" s="5"/>
      <c r="K212" s="5"/>
      <c r="M212" s="5" t="str">
        <v>kanan</v>
      </c>
      <c r="N212" s="5"/>
      <c r="O212" s="5"/>
    </row>
    <row r="213" customFormat="false" ht="15" hidden="false" customHeight="false" outlineLevel="0" collapsed="false">
      <c r="E213" s="5" t="str">
        <v>tengah</v>
      </c>
      <c r="F213" s="5"/>
      <c r="G213" s="5"/>
      <c r="I213" s="5" t="str">
        <v>tengah</v>
      </c>
      <c r="J213" s="5"/>
      <c r="K213" s="5"/>
      <c r="M213" s="5" t="str">
        <v>tengah</v>
      </c>
      <c r="N213" s="5"/>
      <c r="O213" s="5"/>
    </row>
    <row r="214" customFormat="false" ht="15" hidden="false" customHeight="false" outlineLevel="0" collapsed="false">
      <c r="E214" s="5" t="str">
        <v>kiri</v>
      </c>
      <c r="F214" s="5"/>
      <c r="G214" s="5"/>
      <c r="I214" s="5" t="str">
        <v>tengah</v>
      </c>
      <c r="J214" s="5"/>
      <c r="K214" s="5"/>
      <c r="M214" s="5" t="str">
        <v>tengah</v>
      </c>
      <c r="N214" s="5"/>
      <c r="O214" s="5"/>
    </row>
    <row r="215" customFormat="false" ht="15" hidden="false" customHeight="false" outlineLevel="0" collapsed="false">
      <c r="E215" s="5" t="str">
        <v>tengah</v>
      </c>
      <c r="F215" s="5"/>
      <c r="G215" s="5"/>
      <c r="I215" s="5" t="str">
        <v>tengah</v>
      </c>
      <c r="J215" s="5"/>
      <c r="K215" s="5"/>
      <c r="M215" s="5" t="str">
        <v>kanan</v>
      </c>
      <c r="N215" s="5"/>
      <c r="O215" s="5"/>
    </row>
    <row r="216" customFormat="false" ht="15" hidden="false" customHeight="false" outlineLevel="0" collapsed="false">
      <c r="E216" s="5" t="str">
        <v>tengah</v>
      </c>
      <c r="F216" s="5"/>
      <c r="G216" s="5"/>
      <c r="I216" s="5" t="str">
        <v>tengah</v>
      </c>
      <c r="J216" s="5"/>
      <c r="K216" s="5"/>
      <c r="M216" s="5" t="str">
        <v>tengah</v>
      </c>
      <c r="N216" s="5"/>
      <c r="O216" s="5"/>
    </row>
    <row r="217" customFormat="false" ht="15" hidden="false" customHeight="false" outlineLevel="0" collapsed="false">
      <c r="E217" s="5" t="str">
        <v>kiri</v>
      </c>
      <c r="F217" s="5"/>
      <c r="G217" s="5"/>
      <c r="I217" s="5" t="str">
        <v>kiri</v>
      </c>
      <c r="J217" s="5"/>
      <c r="K217" s="5"/>
      <c r="M217" s="5" t="str">
        <v>kanan</v>
      </c>
      <c r="N217" s="5"/>
      <c r="O217" s="5"/>
    </row>
    <row r="218" customFormat="false" ht="15" hidden="false" customHeight="false" outlineLevel="0" collapsed="false">
      <c r="E218" s="5" t="str">
        <v>tengah</v>
      </c>
      <c r="F218" s="5"/>
      <c r="G218" s="5"/>
      <c r="I218" s="5" t="str">
        <v>tengah</v>
      </c>
      <c r="J218" s="5"/>
      <c r="K218" s="5"/>
      <c r="M218" s="5" t="str">
        <v>kanan</v>
      </c>
      <c r="N218" s="5"/>
      <c r="O218" s="5"/>
    </row>
    <row r="219" customFormat="false" ht="15" hidden="false" customHeight="false" outlineLevel="0" collapsed="false">
      <c r="E219" s="5" t="str">
        <v>kiri</v>
      </c>
      <c r="F219" s="5"/>
      <c r="G219" s="5"/>
      <c r="I219" s="5" t="str">
        <v>kiri</v>
      </c>
      <c r="J219" s="5"/>
      <c r="K219" s="5"/>
      <c r="M219" s="5" t="str">
        <v>kanan</v>
      </c>
      <c r="N219" s="5"/>
      <c r="O219" s="5"/>
    </row>
    <row r="220" customFormat="false" ht="15" hidden="false" customHeight="false" outlineLevel="0" collapsed="false">
      <c r="E220" s="5" t="str">
        <v>kiri</v>
      </c>
      <c r="F220" s="5"/>
      <c r="G220" s="5"/>
      <c r="I220" s="5" t="str">
        <v>kiri</v>
      </c>
      <c r="J220" s="5"/>
      <c r="K220" s="5"/>
      <c r="M220" s="5" t="str">
        <v>tengah</v>
      </c>
      <c r="N220" s="5"/>
      <c r="O220" s="5"/>
    </row>
    <row r="221" customFormat="false" ht="15" hidden="false" customHeight="false" outlineLevel="0" collapsed="false">
      <c r="E221" s="5" t="str">
        <v>tengah</v>
      </c>
      <c r="F221" s="5"/>
      <c r="G221" s="5"/>
      <c r="I221" s="5" t="str">
        <v>tengah</v>
      </c>
      <c r="J221" s="5"/>
      <c r="K221" s="5"/>
      <c r="M221" s="5" t="str">
        <v>kanan</v>
      </c>
      <c r="N221" s="5"/>
      <c r="O221" s="5"/>
    </row>
    <row r="222" customFormat="false" ht="15" hidden="false" customHeight="false" outlineLevel="0" collapsed="false">
      <c r="E222" s="5" t="str">
        <v>tengah</v>
      </c>
      <c r="F222" s="5"/>
      <c r="G222" s="5"/>
      <c r="I222" s="5" t="str">
        <v>tengah</v>
      </c>
      <c r="J222" s="5"/>
      <c r="K222" s="5"/>
      <c r="M222" s="5" t="str">
        <v>tengah</v>
      </c>
      <c r="N222" s="5"/>
      <c r="O222" s="5"/>
    </row>
    <row r="223" customFormat="false" ht="15" hidden="false" customHeight="false" outlineLevel="0" collapsed="false">
      <c r="E223" s="5" t="str">
        <v>kanan</v>
      </c>
      <c r="F223" s="5"/>
      <c r="G223" s="5"/>
      <c r="I223" s="5" t="str">
        <v>tengah</v>
      </c>
      <c r="J223" s="5"/>
      <c r="K223" s="5"/>
      <c r="M223" s="5" t="str">
        <v>kanan</v>
      </c>
      <c r="N223" s="5"/>
      <c r="O223" s="5"/>
    </row>
    <row r="224" customFormat="false" ht="15" hidden="false" customHeight="false" outlineLevel="0" collapsed="false">
      <c r="E224" s="5" t="str">
        <v>tengah</v>
      </c>
      <c r="F224" s="5"/>
      <c r="G224" s="5"/>
      <c r="I224" s="5" t="str">
        <v>tengah</v>
      </c>
      <c r="J224" s="5"/>
      <c r="K224" s="5"/>
      <c r="M224" s="5" t="str">
        <v>tengah</v>
      </c>
      <c r="N224" s="5"/>
      <c r="O224" s="5"/>
    </row>
    <row r="225" customFormat="false" ht="15" hidden="false" customHeight="false" outlineLevel="0" collapsed="false">
      <c r="E225" s="5" t="str">
        <v>tengah</v>
      </c>
      <c r="F225" s="5"/>
      <c r="G225" s="5"/>
      <c r="I225" s="5" t="str">
        <v>tengah</v>
      </c>
      <c r="J225" s="5"/>
      <c r="K225" s="5"/>
      <c r="M225" s="5" t="str">
        <v>tengah</v>
      </c>
      <c r="N225" s="5"/>
      <c r="O225" s="5"/>
    </row>
    <row r="226" customFormat="false" ht="15" hidden="false" customHeight="false" outlineLevel="0" collapsed="false">
      <c r="E226" s="5" t="str">
        <v>tengah</v>
      </c>
      <c r="F226" s="5"/>
      <c r="G226" s="5"/>
      <c r="I226" s="5" t="str">
        <v>tengah</v>
      </c>
      <c r="J226" s="5"/>
      <c r="K226" s="5"/>
      <c r="M226" s="5" t="str">
        <v>kanan</v>
      </c>
      <c r="N226" s="5"/>
      <c r="O226" s="5"/>
    </row>
    <row r="227" customFormat="false" ht="15" hidden="false" customHeight="false" outlineLevel="0" collapsed="false">
      <c r="E227" s="5" t="str">
        <v>kanan</v>
      </c>
      <c r="F227" s="5"/>
      <c r="G227" s="5"/>
      <c r="I227" s="5" t="str">
        <v>kiri</v>
      </c>
      <c r="J227" s="5"/>
      <c r="K227" s="5"/>
      <c r="M227" s="5" t="str">
        <v>tengah</v>
      </c>
      <c r="N227" s="5"/>
      <c r="O227" s="5"/>
    </row>
    <row r="228" customFormat="false" ht="15" hidden="false" customHeight="false" outlineLevel="0" collapsed="false">
      <c r="E228" s="5" t="str">
        <v>tengah</v>
      </c>
      <c r="F228" s="5"/>
      <c r="G228" s="5"/>
      <c r="I228" s="5" t="str">
        <v>tengah</v>
      </c>
      <c r="J228" s="5"/>
      <c r="K228" s="5"/>
      <c r="M228" s="5" t="str">
        <v>tengah</v>
      </c>
      <c r="N228" s="5"/>
      <c r="O228" s="5"/>
    </row>
    <row r="229" customFormat="false" ht="15" hidden="false" customHeight="false" outlineLevel="0" collapsed="false">
      <c r="E229" s="5" t="str">
        <v>tengah</v>
      </c>
      <c r="F229" s="5"/>
      <c r="G229" s="5"/>
      <c r="I229" s="5" t="str">
        <v>tengah</v>
      </c>
      <c r="J229" s="5"/>
      <c r="K229" s="5"/>
      <c r="M229" s="5" t="str">
        <v>kanan</v>
      </c>
      <c r="N229" s="5"/>
      <c r="O229" s="5"/>
    </row>
    <row r="230" customFormat="false" ht="15" hidden="false" customHeight="false" outlineLevel="0" collapsed="false">
      <c r="E230" s="5" t="str">
        <v>kiri</v>
      </c>
      <c r="F230" s="5"/>
      <c r="G230" s="5"/>
      <c r="I230" s="5" t="str">
        <v>kiri</v>
      </c>
      <c r="J230" s="5"/>
      <c r="K230" s="5"/>
      <c r="M230" s="5" t="str">
        <v>kanan</v>
      </c>
      <c r="N230" s="5"/>
      <c r="O230" s="5"/>
    </row>
    <row r="231" customFormat="false" ht="15" hidden="false" customHeight="false" outlineLevel="0" collapsed="false">
      <c r="E231" s="5" t="str">
        <v>kiri</v>
      </c>
      <c r="F231" s="5"/>
      <c r="G231" s="5"/>
      <c r="I231" s="5" t="str">
        <v>tengah</v>
      </c>
      <c r="J231" s="5"/>
      <c r="K231" s="5"/>
      <c r="M231" s="5" t="str">
        <v>kanan</v>
      </c>
      <c r="N231" s="5"/>
      <c r="O231" s="5"/>
    </row>
    <row r="232" customFormat="false" ht="15" hidden="false" customHeight="false" outlineLevel="0" collapsed="false">
      <c r="E232" s="5" t="str">
        <v>kiri</v>
      </c>
      <c r="F232" s="5"/>
      <c r="G232" s="5"/>
      <c r="I232" s="5" t="str">
        <v>tengah</v>
      </c>
      <c r="J232" s="5"/>
      <c r="K232" s="5"/>
      <c r="M232" s="5" t="str">
        <v>tengah</v>
      </c>
      <c r="N232" s="5"/>
      <c r="O232" s="5"/>
    </row>
    <row r="233" customFormat="false" ht="15" hidden="false" customHeight="false" outlineLevel="0" collapsed="false">
      <c r="E233" s="5" t="str">
        <v>kanan</v>
      </c>
      <c r="F233" s="5"/>
      <c r="G233" s="5"/>
      <c r="I233" s="5" t="str">
        <v>tengah</v>
      </c>
      <c r="J233" s="5"/>
      <c r="K233" s="5"/>
      <c r="M233" s="5" t="str">
        <v>tengah</v>
      </c>
      <c r="N233" s="5"/>
      <c r="O233" s="5"/>
    </row>
    <row r="234" customFormat="false" ht="15" hidden="false" customHeight="false" outlineLevel="0" collapsed="false">
      <c r="E234" s="5" t="str">
        <v>tengah</v>
      </c>
      <c r="F234" s="5"/>
      <c r="G234" s="5"/>
      <c r="I234" s="5" t="str">
        <v>tengah</v>
      </c>
      <c r="J234" s="5"/>
      <c r="K234" s="5"/>
      <c r="M234" s="5" t="str">
        <v>kanan</v>
      </c>
      <c r="N234" s="5"/>
      <c r="O234" s="5"/>
    </row>
    <row r="235" customFormat="false" ht="15" hidden="false" customHeight="false" outlineLevel="0" collapsed="false">
      <c r="E235" s="5" t="str">
        <v>tengah</v>
      </c>
      <c r="F235" s="5"/>
      <c r="G235" s="5"/>
      <c r="I235" s="5" t="str">
        <v>tengah</v>
      </c>
      <c r="J235" s="5"/>
      <c r="K235" s="5"/>
      <c r="M235" s="5" t="str">
        <v>kanan</v>
      </c>
      <c r="N235" s="5"/>
      <c r="O235" s="5"/>
    </row>
    <row r="236" customFormat="false" ht="15" hidden="false" customHeight="false" outlineLevel="0" collapsed="false">
      <c r="E236" s="5" t="str">
        <v>tengah</v>
      </c>
      <c r="F236" s="5"/>
      <c r="G236" s="5"/>
      <c r="I236" s="5" t="str">
        <v>tengah</v>
      </c>
      <c r="J236" s="5"/>
      <c r="K236" s="5"/>
      <c r="M236" s="5" t="str">
        <v>tengah</v>
      </c>
      <c r="N236" s="5"/>
      <c r="O236" s="5"/>
    </row>
    <row r="237" customFormat="false" ht="15" hidden="false" customHeight="false" outlineLevel="0" collapsed="false">
      <c r="E237" s="5" t="str">
        <v>kanan</v>
      </c>
      <c r="F237" s="5"/>
      <c r="G237" s="5"/>
      <c r="I237" s="5" t="str">
        <v>tengah</v>
      </c>
      <c r="J237" s="5"/>
      <c r="K237" s="5"/>
      <c r="M237" s="5" t="str">
        <v>kanan</v>
      </c>
      <c r="N237" s="5"/>
      <c r="O237" s="5"/>
    </row>
    <row r="238" customFormat="false" ht="15" hidden="false" customHeight="false" outlineLevel="0" collapsed="false">
      <c r="E238" s="5" t="str">
        <v>tengah</v>
      </c>
      <c r="F238" s="5"/>
      <c r="G238" s="5"/>
      <c r="I238" s="5" t="str">
        <v>kiri</v>
      </c>
      <c r="J238" s="5"/>
      <c r="K238" s="5"/>
      <c r="M238" s="5" t="str">
        <v>kanan</v>
      </c>
      <c r="N238" s="5"/>
      <c r="O238" s="5"/>
    </row>
    <row r="239" customFormat="false" ht="15" hidden="false" customHeight="false" outlineLevel="0" collapsed="false">
      <c r="E239" s="5" t="str">
        <v>kiri</v>
      </c>
      <c r="F239" s="5"/>
      <c r="G239" s="5"/>
      <c r="I239" s="5" t="str">
        <v>kiri</v>
      </c>
      <c r="J239" s="5"/>
      <c r="K239" s="5"/>
      <c r="M239" s="5" t="str">
        <v>tengah</v>
      </c>
      <c r="N239" s="5"/>
      <c r="O239" s="5"/>
    </row>
    <row r="240" customFormat="false" ht="15" hidden="false" customHeight="false" outlineLevel="0" collapsed="false">
      <c r="E240" s="5" t="str">
        <v>tengah</v>
      </c>
      <c r="F240" s="5"/>
      <c r="G240" s="5"/>
      <c r="I240" s="5" t="str">
        <v>tengah</v>
      </c>
      <c r="J240" s="5"/>
      <c r="K240" s="5"/>
      <c r="M240" s="5" t="str">
        <v>tengah</v>
      </c>
      <c r="N240" s="5"/>
      <c r="O240" s="5"/>
    </row>
    <row r="241" customFormat="false" ht="15" hidden="false" customHeight="false" outlineLevel="0" collapsed="false">
      <c r="E241" s="5" t="str">
        <v>tengah</v>
      </c>
      <c r="F241" s="5"/>
      <c r="G241" s="5"/>
      <c r="I241" s="5" t="str">
        <v>tengah</v>
      </c>
      <c r="J241" s="5"/>
      <c r="K241" s="5"/>
      <c r="M241" s="5" t="str">
        <v>kanan</v>
      </c>
      <c r="N241" s="5"/>
      <c r="O241" s="5"/>
    </row>
    <row r="242" customFormat="false" ht="15" hidden="false" customHeight="false" outlineLevel="0" collapsed="false">
      <c r="E242" s="5" t="str">
        <v>kiri</v>
      </c>
      <c r="F242" s="5"/>
      <c r="G242" s="5"/>
      <c r="I242" s="5" t="str">
        <v>tengah</v>
      </c>
      <c r="J242" s="5"/>
      <c r="K242" s="5"/>
      <c r="M242" s="5" t="str">
        <v>kanan</v>
      </c>
      <c r="N242" s="5"/>
      <c r="O242" s="5"/>
    </row>
    <row r="243" customFormat="false" ht="15" hidden="false" customHeight="false" outlineLevel="0" collapsed="false">
      <c r="E243" s="5" t="str">
        <v>kiri</v>
      </c>
      <c r="F243" s="5"/>
      <c r="G243" s="5"/>
      <c r="I243" s="5" t="str">
        <v>kiri</v>
      </c>
      <c r="J243" s="5"/>
      <c r="K243" s="5"/>
      <c r="M243" s="5" t="str">
        <v>kanan</v>
      </c>
      <c r="N243" s="5"/>
      <c r="O243" s="5"/>
    </row>
    <row r="244" customFormat="false" ht="15" hidden="false" customHeight="false" outlineLevel="0" collapsed="false">
      <c r="E244" s="5" t="str">
        <v>tengah</v>
      </c>
      <c r="F244" s="5"/>
      <c r="G244" s="5"/>
      <c r="I244" s="5" t="str">
        <v>kanan</v>
      </c>
      <c r="J244" s="5"/>
      <c r="K244" s="5"/>
      <c r="M244" s="5" t="str">
        <v>tengah</v>
      </c>
      <c r="N244" s="5"/>
      <c r="O244" s="5"/>
    </row>
    <row r="245" customFormat="false" ht="15" hidden="false" customHeight="false" outlineLevel="0" collapsed="false">
      <c r="E245" s="5" t="str">
        <v>tengah</v>
      </c>
      <c r="F245" s="5"/>
      <c r="G245" s="5"/>
      <c r="I245" s="5" t="str">
        <v>tengah</v>
      </c>
      <c r="J245" s="5"/>
      <c r="K245" s="5"/>
      <c r="M245" s="5" t="str">
        <v>tengah</v>
      </c>
      <c r="N245" s="5"/>
      <c r="O245" s="5"/>
    </row>
    <row r="246" customFormat="false" ht="15" hidden="false" customHeight="false" outlineLevel="0" collapsed="false">
      <c r="E246" s="5" t="str">
        <v>tengah</v>
      </c>
      <c r="F246" s="5"/>
      <c r="G246" s="5"/>
      <c r="I246" s="5" t="str">
        <v>tengah</v>
      </c>
      <c r="J246" s="5"/>
      <c r="K246" s="5"/>
      <c r="M246" s="5" t="str">
        <v>tengah</v>
      </c>
      <c r="N246" s="5"/>
      <c r="O246" s="5"/>
    </row>
    <row r="247" customFormat="false" ht="15" hidden="false" customHeight="false" outlineLevel="0" collapsed="false">
      <c r="E247" s="5" t="str">
        <v>tengah</v>
      </c>
      <c r="F247" s="5"/>
      <c r="G247" s="5"/>
      <c r="I247" s="5" t="str">
        <v>kiri</v>
      </c>
      <c r="J247" s="5"/>
      <c r="K247" s="5"/>
      <c r="M247" s="5" t="str">
        <v>kanan</v>
      </c>
      <c r="N247" s="5"/>
      <c r="O247" s="5"/>
    </row>
    <row r="248" customFormat="false" ht="15" hidden="false" customHeight="false" outlineLevel="0" collapsed="false">
      <c r="E248" s="5" t="str">
        <v>tengah</v>
      </c>
      <c r="F248" s="5"/>
      <c r="G248" s="5"/>
      <c r="I248" s="5" t="str">
        <v>kiri</v>
      </c>
      <c r="J248" s="5"/>
      <c r="K248" s="5"/>
      <c r="M248" s="5" t="str">
        <v>tengah</v>
      </c>
      <c r="N248" s="5"/>
      <c r="O248" s="5"/>
    </row>
    <row r="249" customFormat="false" ht="15" hidden="false" customHeight="false" outlineLevel="0" collapsed="false">
      <c r="E249" s="5" t="str">
        <v>tengah</v>
      </c>
      <c r="F249" s="5"/>
      <c r="G249" s="5"/>
      <c r="I249" s="5" t="str">
        <v>tengah</v>
      </c>
      <c r="J249" s="5"/>
      <c r="K249" s="5"/>
      <c r="M249" s="5" t="str">
        <v>tengah</v>
      </c>
      <c r="N249" s="5"/>
      <c r="O249" s="5"/>
    </row>
    <row r="250" customFormat="false" ht="15" hidden="false" customHeight="false" outlineLevel="0" collapsed="false">
      <c r="E250" s="5" t="str">
        <v>kiri</v>
      </c>
      <c r="F250" s="5"/>
      <c r="G250" s="5"/>
      <c r="I250" s="5" t="str">
        <v>tengah</v>
      </c>
      <c r="J250" s="5"/>
      <c r="K250" s="5"/>
      <c r="M250" s="5" t="str">
        <v>tengah</v>
      </c>
      <c r="N250" s="5"/>
      <c r="O250" s="5"/>
    </row>
    <row r="251" customFormat="false" ht="15" hidden="false" customHeight="false" outlineLevel="0" collapsed="false">
      <c r="E251" s="5" t="str">
        <v>tengah</v>
      </c>
      <c r="F251" s="5"/>
      <c r="G251" s="5"/>
      <c r="I251" s="5" t="str">
        <v>tengah</v>
      </c>
      <c r="J251" s="5"/>
      <c r="K251" s="5"/>
      <c r="M251" s="5" t="str">
        <v>kanan</v>
      </c>
      <c r="N251" s="5"/>
      <c r="O251" s="5"/>
    </row>
    <row r="252" customFormat="false" ht="15" hidden="false" customHeight="false" outlineLevel="0" collapsed="false">
      <c r="E252" s="5" t="str">
        <v>tengah</v>
      </c>
      <c r="F252" s="5"/>
      <c r="G252" s="5"/>
      <c r="I252" s="5" t="str">
        <v>kiri</v>
      </c>
      <c r="J252" s="5"/>
      <c r="K252" s="5"/>
      <c r="M252" s="5" t="str">
        <v>kanan</v>
      </c>
      <c r="N252" s="5"/>
      <c r="O252" s="5"/>
    </row>
    <row r="253" customFormat="false" ht="15" hidden="false" customHeight="false" outlineLevel="0" collapsed="false">
      <c r="E253" s="5" t="str">
        <v>tengah</v>
      </c>
      <c r="F253" s="5"/>
      <c r="G253" s="5"/>
      <c r="I253" s="5" t="str">
        <v>kanan</v>
      </c>
      <c r="J253" s="5"/>
      <c r="K253" s="5"/>
      <c r="M253" s="5" t="str">
        <v>kanan</v>
      </c>
      <c r="N253" s="5"/>
      <c r="O253" s="5"/>
    </row>
    <row r="254" customFormat="false" ht="15" hidden="false" customHeight="false" outlineLevel="0" collapsed="false">
      <c r="E254" s="5" t="str">
        <v>kiri</v>
      </c>
      <c r="F254" s="5"/>
      <c r="G254" s="5"/>
      <c r="I254" s="5" t="str">
        <v>kanan</v>
      </c>
      <c r="J254" s="5"/>
      <c r="K254" s="5"/>
      <c r="M254" s="5" t="str">
        <v>tengah</v>
      </c>
      <c r="N254" s="5"/>
      <c r="O254" s="5"/>
    </row>
    <row r="255" customFormat="false" ht="15" hidden="false" customHeight="false" outlineLevel="0" collapsed="false">
      <c r="E255" s="5" t="str">
        <v>kanan</v>
      </c>
      <c r="F255" s="5"/>
      <c r="G255" s="5"/>
      <c r="I255" s="5" t="str">
        <v>tengah</v>
      </c>
      <c r="J255" s="5"/>
      <c r="K255" s="5"/>
      <c r="M255" s="5" t="str">
        <v>kanan</v>
      </c>
      <c r="N255" s="5"/>
      <c r="O255" s="5"/>
    </row>
    <row r="256" customFormat="false" ht="15" hidden="false" customHeight="false" outlineLevel="0" collapsed="false">
      <c r="E256" s="5" t="str">
        <v>tengah</v>
      </c>
      <c r="F256" s="5"/>
      <c r="G256" s="5"/>
      <c r="I256" s="5" t="str">
        <v>kanan</v>
      </c>
      <c r="J256" s="5"/>
      <c r="K256" s="5"/>
      <c r="M256" s="5" t="str">
        <v>kanan</v>
      </c>
      <c r="N256" s="5"/>
      <c r="O256" s="5"/>
    </row>
    <row r="257" customFormat="false" ht="15" hidden="false" customHeight="false" outlineLevel="0" collapsed="false">
      <c r="E257" s="5" t="str">
        <v>kiri</v>
      </c>
      <c r="F257" s="5"/>
      <c r="G257" s="5"/>
      <c r="I257" s="5" t="str">
        <v>kiri</v>
      </c>
      <c r="J257" s="5"/>
      <c r="K257" s="5"/>
      <c r="M257" s="5" t="str">
        <v>kanan</v>
      </c>
      <c r="N257" s="5"/>
      <c r="O257" s="5"/>
    </row>
    <row r="258" customFormat="false" ht="15" hidden="false" customHeight="false" outlineLevel="0" collapsed="false">
      <c r="E258" s="5" t="str">
        <v>tengah</v>
      </c>
      <c r="F258" s="5"/>
      <c r="G258" s="5"/>
      <c r="I258" s="5" t="str">
        <v>tengah</v>
      </c>
      <c r="J258" s="5"/>
      <c r="K258" s="5"/>
      <c r="M258" s="5" t="str">
        <v>kanan</v>
      </c>
      <c r="N258" s="5"/>
      <c r="O258" s="5"/>
    </row>
    <row r="259" customFormat="false" ht="15" hidden="false" customHeight="false" outlineLevel="0" collapsed="false">
      <c r="E259" s="5" t="str">
        <v>tengah</v>
      </c>
      <c r="F259" s="5"/>
      <c r="G259" s="5"/>
      <c r="I259" s="5" t="str">
        <v>kanan</v>
      </c>
      <c r="J259" s="5"/>
      <c r="K259" s="5"/>
      <c r="M259" s="5" t="str">
        <v>tengah</v>
      </c>
      <c r="N259" s="5"/>
      <c r="O259" s="5"/>
    </row>
    <row r="260" customFormat="false" ht="15" hidden="false" customHeight="false" outlineLevel="0" collapsed="false">
      <c r="E260" s="5" t="str">
        <v>tengah</v>
      </c>
      <c r="F260" s="5"/>
      <c r="G260" s="5"/>
      <c r="I260" s="5" t="str">
        <v>tengah</v>
      </c>
      <c r="J260" s="5"/>
      <c r="K260" s="5"/>
      <c r="M260" s="5" t="str">
        <v>kanan</v>
      </c>
      <c r="N260" s="5"/>
      <c r="O260" s="5"/>
    </row>
    <row r="261" customFormat="false" ht="15" hidden="false" customHeight="false" outlineLevel="0" collapsed="false">
      <c r="E261" s="5" t="str">
        <v>kiri</v>
      </c>
      <c r="F261" s="5"/>
      <c r="G261" s="5"/>
      <c r="I261" s="5" t="str">
        <v>kanan</v>
      </c>
      <c r="J261" s="5"/>
      <c r="K261" s="5"/>
      <c r="M261" s="5" t="str">
        <v>kanan</v>
      </c>
      <c r="N261" s="5"/>
      <c r="O261" s="5"/>
    </row>
    <row r="262" customFormat="false" ht="15" hidden="false" customHeight="false" outlineLevel="0" collapsed="false">
      <c r="E262" s="5" t="str">
        <v>kiri</v>
      </c>
      <c r="F262" s="5"/>
      <c r="G262" s="5"/>
      <c r="I262" s="5" t="str">
        <v>tengah</v>
      </c>
      <c r="J262" s="5"/>
      <c r="K262" s="5"/>
      <c r="M262" s="5" t="str">
        <v>tengah</v>
      </c>
      <c r="N262" s="5"/>
      <c r="O262" s="5"/>
    </row>
    <row r="263" customFormat="false" ht="15" hidden="false" customHeight="false" outlineLevel="0" collapsed="false">
      <c r="E263" s="5" t="str">
        <v>kanan</v>
      </c>
      <c r="F263" s="5"/>
      <c r="G263" s="5"/>
      <c r="I263" s="5" t="str">
        <v>tengah</v>
      </c>
      <c r="J263" s="5"/>
      <c r="K263" s="5"/>
      <c r="M263" s="5" t="str">
        <v>tengah</v>
      </c>
      <c r="N263" s="5"/>
      <c r="O263" s="5"/>
    </row>
    <row r="264" customFormat="false" ht="15" hidden="false" customHeight="false" outlineLevel="0" collapsed="false">
      <c r="E264" s="5" t="str">
        <v>kanan</v>
      </c>
      <c r="F264" s="5"/>
      <c r="G264" s="5"/>
      <c r="I264" s="5" t="str">
        <v>kanan</v>
      </c>
      <c r="J264" s="5"/>
      <c r="K264" s="5"/>
      <c r="M264" s="5" t="str">
        <v>tengah</v>
      </c>
      <c r="N264" s="5"/>
      <c r="O264" s="5"/>
    </row>
    <row r="265" customFormat="false" ht="15" hidden="false" customHeight="false" outlineLevel="0" collapsed="false">
      <c r="E265" s="5" t="str">
        <v>kiri</v>
      </c>
      <c r="F265" s="5"/>
      <c r="G265" s="5"/>
      <c r="I265" s="5" t="str">
        <v>kiri</v>
      </c>
      <c r="J265" s="5"/>
      <c r="K265" s="5"/>
      <c r="M265" s="5" t="str">
        <v>tengah</v>
      </c>
      <c r="N265" s="5"/>
      <c r="O265" s="5"/>
    </row>
    <row r="266" customFormat="false" ht="15" hidden="false" customHeight="false" outlineLevel="0" collapsed="false">
      <c r="E266" s="5" t="str">
        <v>kanan</v>
      </c>
      <c r="F266" s="5"/>
      <c r="G266" s="5"/>
      <c r="I266" s="5" t="str">
        <v>kiri</v>
      </c>
      <c r="J266" s="5"/>
      <c r="K266" s="5"/>
      <c r="M266" s="5" t="str">
        <v>kanan</v>
      </c>
      <c r="N266" s="5"/>
      <c r="O266" s="5"/>
    </row>
    <row r="267" customFormat="false" ht="15" hidden="false" customHeight="false" outlineLevel="0" collapsed="false">
      <c r="E267" s="5" t="str">
        <v>kiri</v>
      </c>
      <c r="F267" s="5"/>
      <c r="G267" s="5"/>
      <c r="I267" s="5" t="str">
        <v>kiri</v>
      </c>
      <c r="J267" s="5"/>
      <c r="K267" s="5"/>
      <c r="M267" s="5" t="str">
        <v>kanan</v>
      </c>
      <c r="N267" s="5"/>
      <c r="O267" s="5"/>
    </row>
    <row r="268" customFormat="false" ht="15" hidden="false" customHeight="false" outlineLevel="0" collapsed="false">
      <c r="E268" s="5" t="str">
        <v>tengah</v>
      </c>
      <c r="F268" s="5"/>
      <c r="G268" s="5"/>
      <c r="I268" s="5" t="str">
        <v>tengah</v>
      </c>
      <c r="J268" s="5"/>
      <c r="K268" s="5"/>
      <c r="M268" s="5" t="str">
        <v>tengah</v>
      </c>
      <c r="N268" s="5"/>
      <c r="O268" s="5"/>
    </row>
    <row r="269" customFormat="false" ht="15" hidden="false" customHeight="false" outlineLevel="0" collapsed="false">
      <c r="E269" s="5" t="str">
        <v>kiri</v>
      </c>
      <c r="F269" s="5"/>
      <c r="G269" s="5"/>
      <c r="I269" s="5" t="str">
        <v>kanan</v>
      </c>
      <c r="J269" s="5"/>
      <c r="K269" s="5"/>
      <c r="M269" s="5" t="str">
        <v>kanan</v>
      </c>
      <c r="N269" s="5"/>
      <c r="O269" s="5"/>
    </row>
    <row r="270" customFormat="false" ht="15" hidden="false" customHeight="false" outlineLevel="0" collapsed="false">
      <c r="E270" s="5" t="str">
        <v>tengah</v>
      </c>
      <c r="F270" s="5"/>
      <c r="G270" s="5"/>
      <c r="I270" s="5" t="str">
        <v>kanan</v>
      </c>
      <c r="J270" s="5"/>
      <c r="K270" s="5"/>
      <c r="M270" s="5" t="str">
        <v>tengah</v>
      </c>
      <c r="N270" s="5"/>
      <c r="O270" s="5"/>
    </row>
    <row r="271" customFormat="false" ht="15" hidden="false" customHeight="false" outlineLevel="0" collapsed="false">
      <c r="E271" s="5" t="str">
        <v>kiri</v>
      </c>
      <c r="F271" s="5"/>
      <c r="G271" s="5"/>
      <c r="I271" s="5" t="str">
        <v>kiri</v>
      </c>
      <c r="J271" s="5"/>
      <c r="K271" s="5"/>
      <c r="M271" s="5" t="str">
        <v>kanan</v>
      </c>
      <c r="N271" s="5"/>
      <c r="O271" s="5"/>
    </row>
    <row r="272" customFormat="false" ht="15" hidden="false" customHeight="false" outlineLevel="0" collapsed="false">
      <c r="E272" s="5" t="str">
        <v>kanan</v>
      </c>
      <c r="F272" s="5"/>
      <c r="G272" s="5"/>
      <c r="I272" s="5" t="str">
        <v>tengah</v>
      </c>
      <c r="J272" s="5"/>
      <c r="K272" s="5"/>
      <c r="M272" s="5" t="str">
        <v>kanan</v>
      </c>
      <c r="N272" s="5"/>
      <c r="O272" s="5"/>
    </row>
    <row r="273" customFormat="false" ht="15" hidden="false" customHeight="false" outlineLevel="0" collapsed="false">
      <c r="E273" s="5" t="str">
        <v>kanan</v>
      </c>
      <c r="F273" s="5"/>
      <c r="G273" s="5"/>
      <c r="I273" s="5" t="str">
        <v>tengah</v>
      </c>
      <c r="J273" s="5"/>
      <c r="K273" s="5"/>
      <c r="M273" s="5" t="str">
        <v>kanan</v>
      </c>
      <c r="N273" s="5"/>
      <c r="O273" s="5"/>
    </row>
    <row r="274" customFormat="false" ht="15" hidden="false" customHeight="false" outlineLevel="0" collapsed="false">
      <c r="E274" s="5" t="str">
        <v>tengah</v>
      </c>
      <c r="F274" s="5"/>
      <c r="G274" s="5"/>
      <c r="I274" s="5" t="str">
        <v>kiri</v>
      </c>
      <c r="J274" s="5"/>
      <c r="K274" s="5"/>
      <c r="M274" s="5" t="str">
        <v>tengah</v>
      </c>
      <c r="N274" s="5"/>
      <c r="O274" s="5"/>
    </row>
    <row r="275" customFormat="false" ht="15" hidden="false" customHeight="false" outlineLevel="0" collapsed="false">
      <c r="E275" s="5" t="str">
        <v>tengah</v>
      </c>
      <c r="F275" s="5"/>
      <c r="G275" s="5"/>
      <c r="I275" s="5" t="str">
        <v>kanan</v>
      </c>
      <c r="J275" s="5"/>
      <c r="K275" s="5"/>
      <c r="M275" s="5" t="str">
        <v>tengah</v>
      </c>
      <c r="N275" s="5"/>
      <c r="O275" s="5"/>
    </row>
    <row r="276" customFormat="false" ht="15" hidden="false" customHeight="false" outlineLevel="0" collapsed="false">
      <c r="E276" s="5" t="str">
        <v>kanan</v>
      </c>
      <c r="F276" s="5"/>
      <c r="G276" s="5"/>
      <c r="I276" s="5" t="str">
        <v>kanan</v>
      </c>
      <c r="J276" s="5"/>
      <c r="K276" s="5"/>
      <c r="M276" s="5" t="str">
        <v>kanan</v>
      </c>
      <c r="N276" s="5"/>
      <c r="O276" s="5"/>
    </row>
    <row r="277" customFormat="false" ht="15" hidden="false" customHeight="false" outlineLevel="0" collapsed="false">
      <c r="E277" s="5" t="str">
        <v>kanan</v>
      </c>
      <c r="F277" s="5"/>
      <c r="G277" s="5"/>
      <c r="I277" s="5" t="str">
        <v>kiri</v>
      </c>
      <c r="J277" s="5"/>
      <c r="K277" s="5"/>
      <c r="M277" s="5" t="str">
        <v>kanan</v>
      </c>
      <c r="N277" s="5"/>
      <c r="O277" s="5"/>
    </row>
    <row r="278" customFormat="false" ht="15" hidden="false" customHeight="false" outlineLevel="0" collapsed="false">
      <c r="E278" s="5" t="str">
        <v>tengah</v>
      </c>
      <c r="F278" s="5"/>
      <c r="G278" s="5"/>
      <c r="I278" s="5" t="str">
        <v>tengah</v>
      </c>
      <c r="J278" s="5"/>
      <c r="K278" s="5"/>
      <c r="M278" s="5" t="str">
        <v>kanan</v>
      </c>
      <c r="N278" s="5"/>
      <c r="O278" s="5"/>
    </row>
    <row r="279" customFormat="false" ht="15" hidden="false" customHeight="false" outlineLevel="0" collapsed="false">
      <c r="E279" s="5" t="str">
        <v>tengah</v>
      </c>
      <c r="F279" s="5"/>
      <c r="G279" s="5"/>
      <c r="I279" s="5" t="str">
        <v>tengah</v>
      </c>
      <c r="J279" s="5"/>
      <c r="K279" s="5"/>
      <c r="M279" s="5" t="str">
        <v>tengah</v>
      </c>
      <c r="N279" s="5"/>
      <c r="O279" s="5"/>
    </row>
    <row r="280" customFormat="false" ht="15" hidden="false" customHeight="false" outlineLevel="0" collapsed="false">
      <c r="E280" s="5" t="str">
        <v>tengah</v>
      </c>
      <c r="F280" s="5"/>
      <c r="G280" s="5"/>
      <c r="I280" s="5" t="str">
        <v>kiri</v>
      </c>
      <c r="J280" s="5"/>
      <c r="K280" s="5"/>
      <c r="M280" s="5" t="str">
        <v>tengah</v>
      </c>
      <c r="N280" s="5"/>
      <c r="O280" s="5"/>
    </row>
    <row r="281" customFormat="false" ht="15" hidden="false" customHeight="false" outlineLevel="0" collapsed="false">
      <c r="E281" s="5" t="str">
        <v>kanan</v>
      </c>
      <c r="F281" s="5"/>
      <c r="G281" s="5"/>
      <c r="I281" s="5" t="str">
        <v>tengah</v>
      </c>
      <c r="J281" s="5"/>
      <c r="K281" s="5"/>
      <c r="M281" s="5" t="str">
        <v>tengah</v>
      </c>
      <c r="N281" s="5"/>
      <c r="O281" s="5"/>
    </row>
    <row r="282" customFormat="false" ht="15" hidden="false" customHeight="false" outlineLevel="0" collapsed="false">
      <c r="E282" s="5" t="str">
        <v>kiri</v>
      </c>
      <c r="F282" s="5"/>
      <c r="G282" s="5"/>
      <c r="I282" s="5" t="str">
        <v>tengah</v>
      </c>
      <c r="J282" s="5"/>
      <c r="K282" s="5"/>
      <c r="M282" s="5" t="str">
        <v>tengah</v>
      </c>
      <c r="N282" s="5"/>
      <c r="O282" s="5"/>
    </row>
    <row r="283" customFormat="false" ht="15" hidden="false" customHeight="false" outlineLevel="0" collapsed="false">
      <c r="E283" s="5" t="str">
        <v>kiri</v>
      </c>
      <c r="F283" s="5"/>
      <c r="G283" s="5"/>
      <c r="I283" s="5" t="str">
        <v>tengah</v>
      </c>
      <c r="J283" s="5"/>
      <c r="K283" s="5"/>
      <c r="M283" s="5" t="str">
        <v>kanan</v>
      </c>
      <c r="N283" s="5"/>
      <c r="O283" s="5"/>
    </row>
    <row r="284" customFormat="false" ht="15" hidden="false" customHeight="false" outlineLevel="0" collapsed="false">
      <c r="E284" s="5" t="str">
        <v>kiri</v>
      </c>
      <c r="F284" s="5"/>
      <c r="G284" s="5"/>
      <c r="I284" s="5" t="str">
        <v>kiri</v>
      </c>
      <c r="J284" s="5"/>
      <c r="K284" s="5"/>
      <c r="M284" s="5" t="str">
        <v>kanan</v>
      </c>
      <c r="N284" s="5"/>
      <c r="O284" s="5"/>
    </row>
    <row r="285" customFormat="false" ht="15" hidden="false" customHeight="false" outlineLevel="0" collapsed="false">
      <c r="E285" s="5" t="str">
        <v>tengah</v>
      </c>
      <c r="F285" s="5"/>
      <c r="G285" s="5"/>
      <c r="I285" s="5" t="str">
        <v>tengah</v>
      </c>
      <c r="J285" s="5"/>
      <c r="K285" s="5"/>
      <c r="M285" s="5" t="str">
        <v>kanan</v>
      </c>
      <c r="N285" s="5"/>
      <c r="O285" s="5"/>
    </row>
    <row r="286" customFormat="false" ht="15" hidden="false" customHeight="false" outlineLevel="0" collapsed="false">
      <c r="E286" s="5" t="str">
        <v>kiri</v>
      </c>
      <c r="F286" s="5"/>
      <c r="G286" s="5"/>
      <c r="I286" s="5" t="str">
        <v>kiri</v>
      </c>
      <c r="J286" s="5"/>
      <c r="K286" s="5"/>
      <c r="M286" s="5" t="str">
        <v>kanan</v>
      </c>
      <c r="N286" s="5"/>
      <c r="O286" s="5"/>
    </row>
    <row r="287" customFormat="false" ht="15" hidden="false" customHeight="false" outlineLevel="0" collapsed="false">
      <c r="E287" s="5" t="str">
        <v>kiri</v>
      </c>
      <c r="F287" s="5"/>
      <c r="G287" s="5"/>
      <c r="I287" s="5" t="str">
        <v>kanan</v>
      </c>
      <c r="J287" s="5"/>
      <c r="K287" s="5"/>
      <c r="M287" s="5" t="str">
        <v>kanan</v>
      </c>
      <c r="N287" s="5"/>
      <c r="O287" s="5"/>
    </row>
    <row r="288" customFormat="false" ht="15" hidden="false" customHeight="false" outlineLevel="0" collapsed="false">
      <c r="E288" s="5" t="str">
        <v>tengah</v>
      </c>
      <c r="F288" s="5"/>
      <c r="G288" s="5"/>
      <c r="I288" s="5" t="str">
        <v>kiri</v>
      </c>
      <c r="J288" s="5"/>
      <c r="K288" s="5"/>
      <c r="M288" s="5" t="str">
        <v>tengah</v>
      </c>
      <c r="N288" s="5"/>
      <c r="O288" s="5"/>
    </row>
    <row r="289" customFormat="false" ht="15" hidden="false" customHeight="false" outlineLevel="0" collapsed="false">
      <c r="E289" s="5" t="str">
        <v>tengah</v>
      </c>
      <c r="F289" s="5"/>
      <c r="G289" s="5"/>
      <c r="I289" s="5" t="str">
        <v>tengah</v>
      </c>
      <c r="J289" s="5"/>
      <c r="K289" s="5"/>
      <c r="M289" s="5" t="str">
        <v>tengah</v>
      </c>
      <c r="N289" s="5"/>
      <c r="O289" s="5"/>
    </row>
    <row r="290" customFormat="false" ht="15" hidden="false" customHeight="false" outlineLevel="0" collapsed="false">
      <c r="E290" s="5" t="str">
        <v>kanan</v>
      </c>
      <c r="F290" s="5"/>
      <c r="G290" s="5"/>
      <c r="I290" s="5" t="str">
        <v>tengah</v>
      </c>
      <c r="J290" s="5"/>
      <c r="K290" s="5"/>
      <c r="M290" s="5" t="str">
        <v>kanan</v>
      </c>
      <c r="N290" s="5"/>
      <c r="O290" s="5"/>
    </row>
    <row r="291" customFormat="false" ht="15" hidden="false" customHeight="false" outlineLevel="0" collapsed="false">
      <c r="E291" s="5" t="str">
        <v>kiri</v>
      </c>
      <c r="F291" s="5"/>
      <c r="G291" s="5"/>
      <c r="I291" s="5" t="str">
        <v>tengah</v>
      </c>
      <c r="J291" s="5"/>
      <c r="K291" s="5"/>
      <c r="M291" s="5" t="str">
        <v>tengah</v>
      </c>
      <c r="N291" s="5"/>
      <c r="O291" s="5"/>
    </row>
    <row r="292" customFormat="false" ht="15" hidden="false" customHeight="false" outlineLevel="0" collapsed="false">
      <c r="E292" s="5" t="str">
        <v>kiri</v>
      </c>
      <c r="F292" s="5"/>
      <c r="G292" s="5"/>
      <c r="I292" s="5" t="str">
        <v>tengah</v>
      </c>
      <c r="J292" s="5"/>
      <c r="K292" s="5"/>
      <c r="M292" s="5" t="str">
        <v>tengah</v>
      </c>
      <c r="N292" s="5"/>
      <c r="O292" s="5"/>
    </row>
    <row r="293" customFormat="false" ht="15" hidden="false" customHeight="false" outlineLevel="0" collapsed="false">
      <c r="E293" s="5" t="str">
        <v>tengah</v>
      </c>
      <c r="F293" s="5"/>
      <c r="G293" s="5"/>
      <c r="I293" s="5" t="str">
        <v>tengah</v>
      </c>
      <c r="J293" s="5"/>
      <c r="K293" s="5"/>
      <c r="M293" s="5" t="str">
        <v>kanan</v>
      </c>
      <c r="N293" s="5"/>
      <c r="O293" s="5"/>
    </row>
    <row r="294" customFormat="false" ht="15" hidden="false" customHeight="false" outlineLevel="0" collapsed="false">
      <c r="E294" s="5" t="str">
        <v>tengah</v>
      </c>
      <c r="F294" s="5"/>
      <c r="G294" s="5"/>
      <c r="I294" s="5" t="str">
        <v>tengah</v>
      </c>
      <c r="J294" s="5"/>
      <c r="K294" s="5"/>
      <c r="M294" s="5" t="str">
        <v>kanan</v>
      </c>
      <c r="N294" s="5"/>
      <c r="O294" s="5"/>
    </row>
    <row r="295" customFormat="false" ht="15" hidden="false" customHeight="false" outlineLevel="0" collapsed="false">
      <c r="E295" s="5" t="str">
        <v>tengah</v>
      </c>
      <c r="F295" s="5"/>
      <c r="G295" s="5"/>
      <c r="I295" s="5" t="str">
        <v>kanan</v>
      </c>
      <c r="J295" s="5"/>
      <c r="K295" s="5"/>
      <c r="M295" s="5" t="str">
        <v>tengah</v>
      </c>
      <c r="N295" s="5"/>
      <c r="O295" s="5"/>
    </row>
    <row r="296" customFormat="false" ht="15" hidden="false" customHeight="false" outlineLevel="0" collapsed="false">
      <c r="E296" s="5" t="str">
        <v>kanan</v>
      </c>
      <c r="F296" s="5"/>
      <c r="G296" s="5"/>
      <c r="I296" s="5" t="str">
        <v>tengah</v>
      </c>
      <c r="J296" s="5"/>
      <c r="K296" s="5"/>
      <c r="M296" s="5" t="str">
        <v>tengah</v>
      </c>
      <c r="N296" s="5"/>
      <c r="O296" s="5"/>
    </row>
    <row r="297" customFormat="false" ht="15" hidden="false" customHeight="false" outlineLevel="0" collapsed="false">
      <c r="E297" s="5" t="str">
        <v>tengah</v>
      </c>
      <c r="F297" s="5"/>
      <c r="G297" s="5"/>
      <c r="I297" s="5" t="str">
        <v>kanan</v>
      </c>
      <c r="J297" s="5"/>
      <c r="K297" s="5"/>
      <c r="M297" s="5" t="str">
        <v>kanan</v>
      </c>
      <c r="N297" s="5"/>
      <c r="O297" s="5"/>
    </row>
    <row r="298" customFormat="false" ht="15" hidden="false" customHeight="false" outlineLevel="0" collapsed="false">
      <c r="E298" s="5" t="str">
        <v>tengah</v>
      </c>
      <c r="F298" s="5"/>
      <c r="G298" s="5"/>
      <c r="I298" s="5" t="str">
        <v>tengah</v>
      </c>
      <c r="J298" s="5"/>
      <c r="K298" s="5"/>
      <c r="M298" s="5" t="str">
        <v>kanan</v>
      </c>
      <c r="N298" s="5"/>
      <c r="O298" s="5"/>
    </row>
    <row r="299" customFormat="false" ht="15" hidden="false" customHeight="false" outlineLevel="0" collapsed="false">
      <c r="E299" s="5" t="str">
        <v>tengah</v>
      </c>
      <c r="F299" s="5"/>
      <c r="G299" s="5"/>
      <c r="I299" s="5" t="str">
        <v>kanan</v>
      </c>
      <c r="J299" s="5"/>
      <c r="K299" s="5"/>
      <c r="M299" s="5" t="str">
        <v>tengah</v>
      </c>
      <c r="N299" s="5"/>
      <c r="O299" s="5"/>
    </row>
    <row r="300" customFormat="false" ht="15" hidden="false" customHeight="false" outlineLevel="0" collapsed="false">
      <c r="E300" s="5" t="str">
        <v>tengah</v>
      </c>
      <c r="F300" s="5"/>
      <c r="G300" s="5"/>
      <c r="I300" s="5" t="str">
        <v>tengah</v>
      </c>
      <c r="J300" s="5"/>
      <c r="K300" s="5"/>
      <c r="M300" s="5" t="str">
        <v>kanan</v>
      </c>
      <c r="N300" s="5"/>
      <c r="O300" s="5"/>
    </row>
    <row r="301" customFormat="false" ht="15" hidden="false" customHeight="false" outlineLevel="0" collapsed="false">
      <c r="E301" s="5" t="str">
        <v>tengah</v>
      </c>
      <c r="F301" s="5"/>
      <c r="G301" s="5"/>
      <c r="I301" s="5" t="str">
        <v>kiri</v>
      </c>
      <c r="J301" s="5"/>
      <c r="K301" s="5"/>
      <c r="M301" s="5" t="str">
        <v>tengah</v>
      </c>
      <c r="N301" s="5"/>
      <c r="O301" s="5"/>
    </row>
    <row r="302" customFormat="false" ht="15" hidden="false" customHeight="false" outlineLevel="0" collapsed="false">
      <c r="E302" s="5" t="str">
        <v>tengah</v>
      </c>
      <c r="F302" s="5"/>
      <c r="G302" s="5"/>
      <c r="I302" s="5" t="str">
        <v>tengah</v>
      </c>
      <c r="J302" s="5"/>
      <c r="K302" s="5"/>
      <c r="M302" s="5" t="str">
        <v>tengah</v>
      </c>
      <c r="N302" s="5"/>
      <c r="O302" s="5"/>
    </row>
    <row r="303" customFormat="false" ht="15" hidden="false" customHeight="false" outlineLevel="0" collapsed="false">
      <c r="E303" s="5" t="str">
        <v>kiri</v>
      </c>
      <c r="F303" s="5"/>
      <c r="G303" s="5"/>
      <c r="I303" s="5" t="str">
        <v>kiri</v>
      </c>
      <c r="J303" s="5"/>
      <c r="K303" s="5"/>
      <c r="M303" s="5" t="str">
        <v>kanan</v>
      </c>
      <c r="N303" s="5"/>
      <c r="O303" s="5"/>
    </row>
    <row r="304" customFormat="false" ht="15" hidden="false" customHeight="false" outlineLevel="0" collapsed="false">
      <c r="E304" s="5" t="str">
        <v>tengah</v>
      </c>
      <c r="F304" s="5"/>
      <c r="G304" s="5"/>
      <c r="I304" s="5" t="str">
        <v>tengah</v>
      </c>
      <c r="J304" s="5"/>
      <c r="K304" s="5"/>
      <c r="M304" s="5" t="str">
        <v>kanan</v>
      </c>
      <c r="N304" s="5"/>
      <c r="O304" s="5"/>
    </row>
    <row r="305" customFormat="false" ht="15" hidden="false" customHeight="false" outlineLevel="0" collapsed="false">
      <c r="E305" s="5" t="str">
        <v>tengah</v>
      </c>
      <c r="F305" s="5"/>
      <c r="G305" s="5"/>
      <c r="I305" s="5" t="str">
        <v>kanan</v>
      </c>
      <c r="J305" s="5"/>
      <c r="K305" s="5"/>
      <c r="M305" s="5" t="str">
        <v>tengah</v>
      </c>
      <c r="N305" s="5"/>
      <c r="O305" s="5"/>
    </row>
    <row r="306" customFormat="false" ht="15" hidden="false" customHeight="false" outlineLevel="0" collapsed="false">
      <c r="E306" s="5" t="str">
        <v>tengah</v>
      </c>
      <c r="F306" s="5"/>
      <c r="G306" s="5"/>
      <c r="I306" s="5" t="str">
        <v>kanan</v>
      </c>
      <c r="J306" s="5"/>
      <c r="K306" s="5"/>
      <c r="M306" s="5" t="str">
        <v>kanan</v>
      </c>
      <c r="N306" s="5"/>
      <c r="O306" s="5"/>
    </row>
    <row r="307" customFormat="false" ht="15" hidden="false" customHeight="false" outlineLevel="0" collapsed="false">
      <c r="E307" s="5" t="str">
        <v>kanan</v>
      </c>
      <c r="F307" s="5"/>
      <c r="G307" s="5"/>
      <c r="I307" s="5" t="str">
        <v>tengah</v>
      </c>
      <c r="J307" s="5"/>
      <c r="K307" s="5"/>
      <c r="M307" s="5" t="str">
        <v>kanan</v>
      </c>
      <c r="N307" s="5"/>
      <c r="O307" s="5"/>
    </row>
    <row r="308" customFormat="false" ht="15" hidden="false" customHeight="false" outlineLevel="0" collapsed="false">
      <c r="E308" s="5" t="str">
        <v>tengah</v>
      </c>
      <c r="F308" s="5"/>
      <c r="G308" s="5"/>
      <c r="I308" s="5" t="str">
        <v>tengah</v>
      </c>
      <c r="J308" s="5"/>
      <c r="K308" s="5"/>
      <c r="M308" s="5" t="str">
        <v>kanan</v>
      </c>
      <c r="N308" s="5"/>
      <c r="O308" s="5"/>
    </row>
    <row r="309" customFormat="false" ht="15" hidden="false" customHeight="false" outlineLevel="0" collapsed="false">
      <c r="E309" s="5" t="str">
        <v>kanan</v>
      </c>
      <c r="F309" s="5"/>
      <c r="G309" s="5"/>
      <c r="I309" s="5" t="str">
        <v>tengah</v>
      </c>
      <c r="J309" s="5"/>
      <c r="K309" s="5"/>
      <c r="M309" s="5" t="str">
        <v>kanan</v>
      </c>
      <c r="N309" s="5"/>
      <c r="O309" s="5"/>
    </row>
    <row r="310" customFormat="false" ht="15" hidden="false" customHeight="false" outlineLevel="0" collapsed="false">
      <c r="E310" s="5" t="str">
        <v>tengah</v>
      </c>
      <c r="F310" s="5"/>
      <c r="G310" s="5"/>
      <c r="I310" s="5" t="str">
        <v>tengah</v>
      </c>
      <c r="J310" s="5"/>
      <c r="K310" s="5"/>
      <c r="M310" s="5" t="str">
        <v>tengah</v>
      </c>
      <c r="N310" s="5"/>
      <c r="O310" s="5"/>
    </row>
    <row r="311" customFormat="false" ht="15" hidden="false" customHeight="false" outlineLevel="0" collapsed="false">
      <c r="E311" s="5" t="str">
        <v>tengah</v>
      </c>
      <c r="F311" s="5"/>
      <c r="G311" s="5"/>
      <c r="I311" s="5" t="str">
        <v>tengah</v>
      </c>
      <c r="J311" s="5"/>
      <c r="K311" s="5"/>
      <c r="M311" s="5" t="str">
        <v>tengah</v>
      </c>
      <c r="N311" s="5"/>
      <c r="O311" s="5"/>
    </row>
    <row r="312" customFormat="false" ht="15" hidden="false" customHeight="false" outlineLevel="0" collapsed="false">
      <c r="E312" s="5" t="str">
        <v>kanan</v>
      </c>
      <c r="F312" s="5"/>
      <c r="G312" s="5"/>
      <c r="I312" s="5" t="str">
        <v>kiri</v>
      </c>
      <c r="J312" s="5"/>
      <c r="K312" s="5"/>
      <c r="M312" s="5" t="str">
        <v>tengah</v>
      </c>
      <c r="N312" s="5"/>
      <c r="O312" s="5"/>
    </row>
    <row r="313" customFormat="false" ht="15" hidden="false" customHeight="false" outlineLevel="0" collapsed="false">
      <c r="E313" s="5" t="str">
        <v>kanan</v>
      </c>
      <c r="F313" s="5"/>
      <c r="G313" s="5"/>
      <c r="I313" s="5" t="str">
        <v>tengah</v>
      </c>
      <c r="J313" s="5"/>
      <c r="K313" s="5"/>
      <c r="M313" s="5" t="str">
        <v>kanan</v>
      </c>
      <c r="N313" s="5"/>
      <c r="O313" s="5"/>
    </row>
    <row r="314" customFormat="false" ht="15" hidden="false" customHeight="false" outlineLevel="0" collapsed="false">
      <c r="E314" s="5" t="str">
        <v>tengah</v>
      </c>
      <c r="F314" s="5"/>
      <c r="G314" s="5"/>
      <c r="I314" s="5" t="str">
        <v>tengah</v>
      </c>
      <c r="J314" s="5"/>
      <c r="K314" s="5"/>
      <c r="M314" s="5" t="str">
        <v>kanan</v>
      </c>
      <c r="N314" s="5"/>
      <c r="O314" s="5"/>
    </row>
    <row r="315" customFormat="false" ht="15" hidden="false" customHeight="false" outlineLevel="0" collapsed="false">
      <c r="E315" s="5" t="str">
        <v>tengah</v>
      </c>
      <c r="F315" s="5"/>
      <c r="G315" s="5"/>
      <c r="I315" s="5" t="str">
        <v>kiri</v>
      </c>
      <c r="J315" s="5"/>
      <c r="K315" s="5"/>
      <c r="M315" s="5" t="str">
        <v>tengah</v>
      </c>
      <c r="N315" s="5"/>
      <c r="O315" s="5"/>
    </row>
    <row r="316" customFormat="false" ht="15" hidden="false" customHeight="false" outlineLevel="0" collapsed="false">
      <c r="E316" s="5" t="str">
        <v>tengah</v>
      </c>
      <c r="F316" s="5"/>
      <c r="G316" s="5"/>
      <c r="I316" s="5" t="str">
        <v>kanan</v>
      </c>
      <c r="J316" s="5"/>
      <c r="K316" s="5"/>
      <c r="M316" s="5" t="str">
        <v>tengah</v>
      </c>
      <c r="N316" s="5"/>
      <c r="O316" s="5"/>
    </row>
    <row r="317" customFormat="false" ht="15" hidden="false" customHeight="false" outlineLevel="0" collapsed="false">
      <c r="E317" s="5" t="str">
        <v>kanan</v>
      </c>
      <c r="F317" s="5"/>
      <c r="G317" s="5"/>
      <c r="I317" s="5" t="str">
        <v>kanan</v>
      </c>
      <c r="J317" s="5"/>
      <c r="K317" s="5"/>
      <c r="M317" s="5" t="str">
        <v>tengah</v>
      </c>
      <c r="N317" s="5"/>
      <c r="O317" s="5"/>
    </row>
    <row r="318" customFormat="false" ht="15" hidden="false" customHeight="false" outlineLevel="0" collapsed="false">
      <c r="E318" s="5" t="str">
        <v>kiri</v>
      </c>
      <c r="F318" s="5"/>
      <c r="G318" s="5"/>
      <c r="I318" s="5" t="str">
        <v>tengah</v>
      </c>
      <c r="J318" s="5"/>
      <c r="K318" s="5"/>
      <c r="M318" s="5" t="str">
        <v>tengah</v>
      </c>
      <c r="N318" s="5"/>
      <c r="O318" s="5"/>
    </row>
    <row r="319" customFormat="false" ht="15" hidden="false" customHeight="false" outlineLevel="0" collapsed="false">
      <c r="E319" s="5" t="str">
        <v>tengah</v>
      </c>
      <c r="F319" s="5"/>
      <c r="G319" s="5"/>
      <c r="I319" s="5" t="str">
        <v>tengah</v>
      </c>
      <c r="J319" s="5"/>
      <c r="K319" s="5"/>
      <c r="M319" s="5" t="str">
        <v>kanan</v>
      </c>
      <c r="N319" s="5"/>
      <c r="O319" s="5"/>
    </row>
    <row r="320" customFormat="false" ht="15" hidden="false" customHeight="false" outlineLevel="0" collapsed="false">
      <c r="E320" s="5" t="str">
        <v>tengah</v>
      </c>
      <c r="F320" s="5"/>
      <c r="G320" s="5"/>
      <c r="I320" s="5" t="str">
        <v>tengah</v>
      </c>
      <c r="J320" s="5"/>
      <c r="K320" s="5"/>
      <c r="M320" s="5" t="str">
        <v>kanan</v>
      </c>
      <c r="N320" s="5"/>
      <c r="O320" s="5"/>
    </row>
    <row r="321" customFormat="false" ht="15" hidden="false" customHeight="false" outlineLevel="0" collapsed="false">
      <c r="E321" s="5" t="str">
        <v>kanan</v>
      </c>
      <c r="F321" s="5"/>
      <c r="G321" s="5"/>
      <c r="I321" s="5" t="str">
        <v>tengah</v>
      </c>
      <c r="J321" s="5"/>
      <c r="K321" s="5"/>
      <c r="M321" s="5" t="str">
        <v>kanan</v>
      </c>
      <c r="N321" s="5"/>
      <c r="O321" s="5"/>
    </row>
    <row r="322" customFormat="false" ht="15" hidden="false" customHeight="false" outlineLevel="0" collapsed="false">
      <c r="E322" s="5" t="str">
        <v>tengah</v>
      </c>
      <c r="F322" s="5"/>
      <c r="G322" s="5"/>
      <c r="I322" s="5" t="str">
        <v>tengah</v>
      </c>
      <c r="J322" s="5"/>
      <c r="K322" s="5"/>
      <c r="M322" s="5" t="str">
        <v>kanan</v>
      </c>
      <c r="N322" s="5"/>
      <c r="O322" s="5"/>
    </row>
    <row r="323" customFormat="false" ht="15" hidden="false" customHeight="false" outlineLevel="0" collapsed="false">
      <c r="E323" s="5" t="str">
        <v>tengah</v>
      </c>
      <c r="F323" s="5"/>
      <c r="G323" s="5"/>
      <c r="I323" s="5" t="str">
        <v>tengah</v>
      </c>
      <c r="J323" s="5"/>
      <c r="K323" s="5"/>
      <c r="M323" s="5" t="str">
        <v>kanan</v>
      </c>
      <c r="N323" s="5"/>
      <c r="O323" s="5"/>
    </row>
    <row r="324" customFormat="false" ht="15" hidden="false" customHeight="false" outlineLevel="0" collapsed="false">
      <c r="E324" s="5" t="str">
        <v>kanan</v>
      </c>
      <c r="F324" s="5"/>
      <c r="G324" s="5"/>
      <c r="I324" s="5" t="str">
        <v>kiri</v>
      </c>
      <c r="J324" s="5"/>
      <c r="K324" s="5"/>
      <c r="M324" s="5" t="str">
        <v>tengah</v>
      </c>
      <c r="N324" s="5"/>
      <c r="O324" s="5"/>
    </row>
    <row r="325" customFormat="false" ht="15" hidden="false" customHeight="false" outlineLevel="0" collapsed="false">
      <c r="E325" s="5" t="str">
        <v>tengah</v>
      </c>
      <c r="F325" s="5"/>
      <c r="G325" s="5"/>
      <c r="I325" s="5" t="str">
        <v>tengah</v>
      </c>
      <c r="J325" s="5"/>
      <c r="K325" s="5"/>
      <c r="M325" s="5" t="str">
        <v>tengah</v>
      </c>
      <c r="N325" s="5"/>
      <c r="O325" s="5"/>
    </row>
    <row r="326" customFormat="false" ht="15" hidden="false" customHeight="false" outlineLevel="0" collapsed="false">
      <c r="E326" s="5" t="str">
        <v>tengah</v>
      </c>
      <c r="F326" s="5"/>
      <c r="G326" s="5"/>
      <c r="I326" s="5" t="str">
        <v>kiri</v>
      </c>
      <c r="J326" s="5"/>
      <c r="K326" s="5"/>
      <c r="M326" s="5" t="str">
        <v>kanan</v>
      </c>
      <c r="N326" s="5"/>
      <c r="O326" s="5"/>
    </row>
    <row r="327" customFormat="false" ht="15" hidden="false" customHeight="false" outlineLevel="0" collapsed="false">
      <c r="E327" s="5" t="str">
        <v>tengah</v>
      </c>
      <c r="F327" s="5"/>
      <c r="G327" s="5"/>
      <c r="I327" s="5" t="str">
        <v>tengah</v>
      </c>
      <c r="J327" s="5"/>
      <c r="K327" s="5"/>
      <c r="M327" s="5" t="str">
        <v>tengah</v>
      </c>
      <c r="N327" s="5"/>
      <c r="O327" s="5"/>
    </row>
    <row r="328" customFormat="false" ht="15" hidden="false" customHeight="false" outlineLevel="0" collapsed="false">
      <c r="E328" s="5" t="str">
        <v>tengah</v>
      </c>
      <c r="F328" s="5"/>
      <c r="G328" s="5"/>
      <c r="I328" s="5" t="str">
        <v>kiri</v>
      </c>
      <c r="J328" s="5"/>
      <c r="K328" s="5"/>
      <c r="M328" s="5" t="str">
        <v>kanan</v>
      </c>
      <c r="N328" s="5"/>
      <c r="O328" s="5"/>
    </row>
    <row r="329" customFormat="false" ht="15" hidden="false" customHeight="false" outlineLevel="0" collapsed="false">
      <c r="E329" s="5" t="str">
        <v>kiri</v>
      </c>
      <c r="F329" s="5"/>
      <c r="G329" s="5"/>
      <c r="I329" s="5" t="str">
        <v>kanan</v>
      </c>
      <c r="J329" s="5"/>
      <c r="K329" s="5"/>
      <c r="M329" s="5" t="str">
        <v>kanan</v>
      </c>
      <c r="N329" s="5"/>
      <c r="O329" s="5"/>
    </row>
    <row r="330" customFormat="false" ht="15" hidden="false" customHeight="false" outlineLevel="0" collapsed="false">
      <c r="E330" s="5" t="str">
        <v>tengah</v>
      </c>
      <c r="F330" s="5"/>
      <c r="G330" s="5"/>
      <c r="I330" s="5" t="str">
        <v>kanan</v>
      </c>
      <c r="J330" s="5"/>
      <c r="K330" s="5"/>
      <c r="M330" s="5" t="str">
        <v>tengah</v>
      </c>
      <c r="N330" s="5"/>
      <c r="O330" s="5"/>
    </row>
    <row r="331" customFormat="false" ht="15" hidden="false" customHeight="false" outlineLevel="0" collapsed="false">
      <c r="E331" s="5" t="str">
        <v>tengah</v>
      </c>
      <c r="F331" s="5"/>
      <c r="G331" s="5"/>
      <c r="I331" s="5" t="str">
        <v>kiri</v>
      </c>
      <c r="J331" s="5"/>
      <c r="K331" s="5"/>
      <c r="M331" s="5" t="str">
        <v>tengah</v>
      </c>
      <c r="N331" s="5"/>
      <c r="O331" s="5"/>
    </row>
    <row r="332" customFormat="false" ht="15" hidden="false" customHeight="false" outlineLevel="0" collapsed="false">
      <c r="E332" s="5" t="str">
        <v>tengah</v>
      </c>
      <c r="F332" s="5"/>
      <c r="G332" s="5"/>
      <c r="I332" s="5" t="str">
        <v>tengah</v>
      </c>
      <c r="J332" s="5"/>
      <c r="K332" s="5"/>
      <c r="M332" s="5" t="str">
        <v>kanan</v>
      </c>
      <c r="N332" s="5"/>
      <c r="O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32"/>
  <sheetViews>
    <sheetView showFormulas="false" showGridLines="true" showRowColHeaders="true" showZeros="true" rightToLeft="false" tabSelected="false" showOutlineSymbols="true" defaultGridColor="true" view="normal" topLeftCell="L151" colorId="64" zoomScale="96" zoomScaleNormal="96" zoomScalePageLayoutView="100" workbookViewId="0">
      <selection pane="topLeft" activeCell="U156" activeCellId="0" sqref="U156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0" width="15.86"/>
    <col collapsed="false" customWidth="true" hidden="false" outlineLevel="0" max="3" min="3" style="0" width="13.29"/>
    <col collapsed="false" customWidth="true" hidden="false" outlineLevel="0" max="4" min="4" style="0" width="13.86"/>
    <col collapsed="false" customWidth="true" hidden="false" outlineLevel="0" max="9" min="9" style="0" width="15.86"/>
    <col collapsed="false" customWidth="true" hidden="false" outlineLevel="0" max="10" min="10" style="0" width="13.29"/>
    <col collapsed="false" customWidth="true" hidden="false" outlineLevel="0" max="11" min="11" style="0" width="13.86"/>
    <col collapsed="false" customWidth="true" hidden="false" outlineLevel="0" max="13" min="13" style="0" width="14.29"/>
  </cols>
  <sheetData>
    <row r="1" customFormat="false" ht="15" hidden="false" customHeight="false" outlineLevel="0" collapsed="false">
      <c r="A1" s="4" t="s">
        <v>173</v>
      </c>
      <c r="B1" s="4" t="s">
        <v>2</v>
      </c>
      <c r="C1" s="4" t="s">
        <v>4</v>
      </c>
      <c r="D1" s="4" t="s">
        <v>5</v>
      </c>
      <c r="H1" s="5" t="s">
        <v>173</v>
      </c>
      <c r="I1" s="5" t="s">
        <v>2</v>
      </c>
      <c r="J1" s="5" t="s">
        <v>4</v>
      </c>
      <c r="K1" s="5" t="s">
        <v>5</v>
      </c>
      <c r="O1" s="4" t="s">
        <v>174</v>
      </c>
      <c r="P1" s="3"/>
      <c r="Q1" s="3"/>
    </row>
    <row r="2" customFormat="false" ht="15" hidden="false" customHeight="false" outlineLevel="0" collapsed="false">
      <c r="A2" s="5" t="n">
        <f aca="false">RANDBETWEEN(2,164)</f>
        <v>99</v>
      </c>
      <c r="B2" s="5" t="n">
        <f aca="false" t="array" ref="B2:B2">INDEX(Data_DBD!$C:$C,$A2)</f>
        <v>2</v>
      </c>
      <c r="C2" s="5" t="n">
        <f aca="false" t="array" ref="C2:C2">INDEX(Data_DBD!$E:$E,$A2)</f>
        <v>1</v>
      </c>
      <c r="D2" s="5" t="str">
        <f aca="false" t="array" ref="D2:D2">INDEX(Data_DBD!$F:$F,$A2)</f>
        <v>Sedang</v>
      </c>
      <c r="H2" s="5" t="n">
        <v>35</v>
      </c>
      <c r="I2" s="5" t="n">
        <v>3</v>
      </c>
      <c r="J2" s="5" t="n">
        <v>1</v>
      </c>
      <c r="K2" s="5" t="s">
        <v>20</v>
      </c>
      <c r="O2" s="3" t="s">
        <v>115</v>
      </c>
      <c r="P2" s="3" t="n">
        <f aca="false">COUNTIF(K2:K164,"Tinggi")</f>
        <v>73</v>
      </c>
      <c r="Q2" s="3" t="n">
        <f aca="false">P2/163</f>
        <v>0.447852760736196</v>
      </c>
    </row>
    <row r="3" customFormat="false" ht="15" hidden="false" customHeight="false" outlineLevel="0" collapsed="false">
      <c r="A3" s="5" t="n">
        <f aca="false">RANDBETWEEN(2,164)</f>
        <v>116</v>
      </c>
      <c r="B3" s="5" t="n">
        <f aca="false" t="array" ref="B3:B3">INDEX(Data_DBD!$C:$C,$A3)</f>
        <v>4</v>
      </c>
      <c r="C3" s="5" t="n">
        <f aca="false" t="array" ref="C3:C3">INDEX(Data_DBD!$E:$E,$A3)</f>
        <v>1</v>
      </c>
      <c r="D3" s="5" t="str">
        <f aca="false" t="array" ref="D3:D3">INDEX(Data_DBD!$F:$F,$A3)</f>
        <v>Tinggi</v>
      </c>
      <c r="H3" s="5" t="n">
        <v>152</v>
      </c>
      <c r="I3" s="5" t="n">
        <v>3</v>
      </c>
      <c r="J3" s="5" t="n">
        <v>1</v>
      </c>
      <c r="K3" s="5" t="s">
        <v>115</v>
      </c>
      <c r="O3" s="3" t="s">
        <v>7</v>
      </c>
      <c r="P3" s="3" t="n">
        <f aca="false">COUNTIF(K2:K164,"Sedang")</f>
        <v>72</v>
      </c>
      <c r="Q3" s="3" t="n">
        <f aca="false">P3/163</f>
        <v>0.441717791411043</v>
      </c>
    </row>
    <row r="4" customFormat="false" ht="15" hidden="false" customHeight="false" outlineLevel="0" collapsed="false">
      <c r="A4" s="5" t="n">
        <f aca="false">RANDBETWEEN(2,164)</f>
        <v>44</v>
      </c>
      <c r="B4" s="5" t="n">
        <f aca="false" t="array" ref="B4:B4">INDEX(Data_DBD!$C:$C,$A4)</f>
        <v>5</v>
      </c>
      <c r="C4" s="5" t="n">
        <f aca="false" t="array" ref="C4:C4">INDEX(Data_DBD!$E:$E,$A4)</f>
        <v>1</v>
      </c>
      <c r="D4" s="5" t="str">
        <f aca="false" t="array" ref="D4:D4">INDEX(Data_DBD!$F:$F,$A4)</f>
        <v>Sedang</v>
      </c>
      <c r="H4" s="5" t="n">
        <v>87</v>
      </c>
      <c r="I4" s="5" t="n">
        <v>3</v>
      </c>
      <c r="J4" s="5" t="n">
        <v>0</v>
      </c>
      <c r="K4" s="5" t="s">
        <v>7</v>
      </c>
      <c r="O4" s="3" t="s">
        <v>20</v>
      </c>
      <c r="P4" s="3" t="n">
        <f aca="false">COUNTIF(K2:K164,"Rendah")</f>
        <v>18</v>
      </c>
      <c r="Q4" s="3" t="n">
        <f aca="false">P4/163</f>
        <v>0.110429447852761</v>
      </c>
    </row>
    <row r="5" customFormat="false" ht="15" hidden="false" customHeight="false" outlineLevel="0" collapsed="false">
      <c r="A5" s="5" t="n">
        <f aca="false">RANDBETWEEN(2,164)</f>
        <v>112</v>
      </c>
      <c r="B5" s="5" t="n">
        <f aca="false" t="array" ref="B5:B5">INDEX(Data_DBD!$C:$C,$A5)</f>
        <v>3</v>
      </c>
      <c r="C5" s="5" t="n">
        <f aca="false" t="array" ref="C5:C5">INDEX(Data_DBD!$E:$E,$A5)</f>
        <v>1</v>
      </c>
      <c r="D5" s="5" t="str">
        <f aca="false" t="array" ref="D5:D5">INDEX(Data_DBD!$F:$F,$A5)</f>
        <v>Tinggi</v>
      </c>
      <c r="H5" s="5" t="n">
        <v>125</v>
      </c>
      <c r="I5" s="5" t="n">
        <v>4</v>
      </c>
      <c r="J5" s="5" t="n">
        <v>0</v>
      </c>
      <c r="K5" s="5" t="s">
        <v>115</v>
      </c>
      <c r="O5" s="6" t="s">
        <v>175</v>
      </c>
      <c r="P5" s="0" t="n">
        <f aca="false">-(IFERROR(Q2*LOG(Q2,2),0)+IFERROR(Q3*LOG(Q3,2),0)+IFERROR(Q4*LOG(Q4,2),0))</f>
        <v>1.39074997675838</v>
      </c>
    </row>
    <row r="6" customFormat="false" ht="15" hidden="false" customHeight="false" outlineLevel="0" collapsed="false">
      <c r="A6" s="5" t="n">
        <f aca="false">RANDBETWEEN(2,164)</f>
        <v>16</v>
      </c>
      <c r="B6" s="5" t="n">
        <f aca="false" t="array" ref="B6:B6">INDEX(Data_DBD!$C:$C,$A6)</f>
        <v>5</v>
      </c>
      <c r="C6" s="5" t="n">
        <f aca="false" t="array" ref="C6:C6">INDEX(Data_DBD!$E:$E,$A6)</f>
        <v>1</v>
      </c>
      <c r="D6" s="5" t="str">
        <f aca="false" t="array" ref="D6:D6">INDEX(Data_DBD!$F:$F,$A6)</f>
        <v>Rendah</v>
      </c>
      <c r="H6" s="5" t="n">
        <v>50</v>
      </c>
      <c r="I6" s="5" t="n">
        <v>5</v>
      </c>
      <c r="J6" s="5" t="n">
        <v>0</v>
      </c>
      <c r="K6" s="5" t="s">
        <v>7</v>
      </c>
    </row>
    <row r="7" customFormat="false" ht="15" hidden="false" customHeight="false" outlineLevel="0" collapsed="false">
      <c r="A7" s="5" t="n">
        <f aca="false">RANDBETWEEN(2,164)</f>
        <v>86</v>
      </c>
      <c r="B7" s="5" t="n">
        <f aca="false" t="array" ref="B7:B7">INDEX(Data_DBD!$C:$C,$A7)</f>
        <v>3</v>
      </c>
      <c r="C7" s="5" t="n">
        <f aca="false" t="array" ref="C7:C7">INDEX(Data_DBD!$E:$E,$A7)</f>
        <v>0</v>
      </c>
      <c r="D7" s="5" t="str">
        <f aca="false" t="array" ref="D7:D7">INDEX(Data_DBD!$F:$F,$A7)</f>
        <v>Sedang</v>
      </c>
      <c r="H7" s="5" t="n">
        <v>123</v>
      </c>
      <c r="I7" s="5" t="n">
        <v>4</v>
      </c>
      <c r="J7" s="5" t="n">
        <v>0</v>
      </c>
      <c r="K7" s="5" t="s">
        <v>115</v>
      </c>
    </row>
    <row r="8" customFormat="false" ht="15" hidden="false" customHeight="false" outlineLevel="0" collapsed="false">
      <c r="A8" s="5" t="n">
        <f aca="false">RANDBETWEEN(2,164)</f>
        <v>33</v>
      </c>
      <c r="B8" s="5" t="n">
        <f aca="false" t="array" ref="B8:B8">INDEX(Data_DBD!$C:$C,$A8)</f>
        <v>4</v>
      </c>
      <c r="C8" s="5" t="n">
        <f aca="false" t="array" ref="C8:C8">INDEX(Data_DBD!$E:$E,$A8)</f>
        <v>1</v>
      </c>
      <c r="D8" s="5" t="str">
        <f aca="false" t="array" ref="D8:D8">INDEX(Data_DBD!$F:$F,$A8)</f>
        <v>Sedang</v>
      </c>
      <c r="H8" s="5" t="n">
        <v>6</v>
      </c>
      <c r="I8" s="5" t="n">
        <v>4</v>
      </c>
      <c r="J8" s="5" t="n">
        <v>0</v>
      </c>
      <c r="K8" s="5" t="s">
        <v>7</v>
      </c>
    </row>
    <row r="9" customFormat="false" ht="15" hidden="false" customHeight="false" outlineLevel="0" collapsed="false">
      <c r="A9" s="5" t="n">
        <f aca="false">RANDBETWEEN(2,164)</f>
        <v>149</v>
      </c>
      <c r="B9" s="5" t="n">
        <f aca="false" t="array" ref="B9:B9">INDEX(Data_DBD!$C:$C,$A9)</f>
        <v>5</v>
      </c>
      <c r="C9" s="5" t="n">
        <f aca="false" t="array" ref="C9:C9">INDEX(Data_DBD!$E:$E,$A9)</f>
        <v>0</v>
      </c>
      <c r="D9" s="5" t="str">
        <f aca="false" t="array" ref="D9:D9">INDEX(Data_DBD!$F:$F,$A9)</f>
        <v>Tinggi</v>
      </c>
      <c r="H9" s="5" t="n">
        <v>94</v>
      </c>
      <c r="I9" s="5" t="n">
        <v>4</v>
      </c>
      <c r="J9" s="5" t="n">
        <v>0</v>
      </c>
      <c r="K9" s="5" t="s">
        <v>115</v>
      </c>
    </row>
    <row r="10" customFormat="false" ht="15" hidden="false" customHeight="false" outlineLevel="0" collapsed="false">
      <c r="A10" s="5" t="n">
        <f aca="false">RANDBETWEEN(2,164)</f>
        <v>40</v>
      </c>
      <c r="B10" s="5" t="n">
        <f aca="false" t="array" ref="B10:B10">INDEX(Data_DBD!$C:$C,$A10)</f>
        <v>3</v>
      </c>
      <c r="C10" s="5" t="n">
        <f aca="false" t="array" ref="C10:C10">INDEX(Data_DBD!$E:$E,$A10)</f>
        <v>1</v>
      </c>
      <c r="D10" s="5" t="str">
        <f aca="false" t="array" ref="D10:D10">INDEX(Data_DBD!$F:$F,$A10)</f>
        <v>Sedang</v>
      </c>
      <c r="H10" s="5" t="n">
        <v>149</v>
      </c>
      <c r="I10" s="5" t="n">
        <v>5</v>
      </c>
      <c r="J10" s="5" t="n">
        <v>0</v>
      </c>
      <c r="K10" s="5" t="s">
        <v>115</v>
      </c>
    </row>
    <row r="11" customFormat="false" ht="15" hidden="false" customHeight="false" outlineLevel="0" collapsed="false">
      <c r="A11" s="5" t="n">
        <f aca="false">RANDBETWEEN(2,164)</f>
        <v>124</v>
      </c>
      <c r="B11" s="5" t="n">
        <f aca="false" t="array" ref="B11:B11">INDEX(Data_DBD!$C:$C,$A11)</f>
        <v>3</v>
      </c>
      <c r="C11" s="5" t="n">
        <f aca="false" t="array" ref="C11:C11">INDEX(Data_DBD!$E:$E,$A11)</f>
        <v>1</v>
      </c>
      <c r="D11" s="5" t="str">
        <f aca="false" t="array" ref="D11:D11">INDEX(Data_DBD!$F:$F,$A11)</f>
        <v>Tinggi</v>
      </c>
      <c r="H11" s="5" t="n">
        <v>20</v>
      </c>
      <c r="I11" s="5" t="n">
        <v>5</v>
      </c>
      <c r="J11" s="5" t="n">
        <v>0</v>
      </c>
      <c r="K11" s="5" t="s">
        <v>20</v>
      </c>
    </row>
    <row r="12" customFormat="false" ht="15" hidden="false" customHeight="false" outlineLevel="0" collapsed="false">
      <c r="A12" s="5" t="n">
        <f aca="false">RANDBETWEEN(2,164)</f>
        <v>5</v>
      </c>
      <c r="B12" s="5" t="n">
        <f aca="false" t="array" ref="B12:B12">INDEX(Data_DBD!$C:$C,$A12)</f>
        <v>2</v>
      </c>
      <c r="C12" s="5" t="n">
        <f aca="false" t="array" ref="C12:C12">INDEX(Data_DBD!$E:$E,$A12)</f>
        <v>1</v>
      </c>
      <c r="D12" s="5" t="str">
        <f aca="false" t="array" ref="D12:D12">INDEX(Data_DBD!$F:$F,$A12)</f>
        <v>Sedang</v>
      </c>
      <c r="H12" s="5" t="n">
        <v>106</v>
      </c>
      <c r="I12" s="5" t="n">
        <v>3</v>
      </c>
      <c r="J12" s="5" t="n">
        <v>1</v>
      </c>
      <c r="K12" s="5" t="s">
        <v>115</v>
      </c>
    </row>
    <row r="13" customFormat="false" ht="15" hidden="false" customHeight="false" outlineLevel="0" collapsed="false">
      <c r="A13" s="5" t="n">
        <f aca="false">RANDBETWEEN(2,164)</f>
        <v>8</v>
      </c>
      <c r="B13" s="5" t="n">
        <f aca="false" t="array" ref="B13:B13">INDEX(Data_DBD!$C:$C,$A13)</f>
        <v>2</v>
      </c>
      <c r="C13" s="5" t="n">
        <f aca="false" t="array" ref="C13:C13">INDEX(Data_DBD!$E:$E,$A13)</f>
        <v>0</v>
      </c>
      <c r="D13" s="5" t="str">
        <f aca="false" t="array" ref="D13:D13">INDEX(Data_DBD!$F:$F,$A13)</f>
        <v>Sedang</v>
      </c>
      <c r="H13" s="5" t="n">
        <v>156</v>
      </c>
      <c r="I13" s="5" t="n">
        <v>2</v>
      </c>
      <c r="J13" s="5" t="n">
        <v>0</v>
      </c>
      <c r="K13" s="5" t="s">
        <v>115</v>
      </c>
    </row>
    <row r="14" customFormat="false" ht="15" hidden="false" customHeight="false" outlineLevel="0" collapsed="false">
      <c r="A14" s="5" t="n">
        <f aca="false">RANDBETWEEN(2,164)</f>
        <v>123</v>
      </c>
      <c r="B14" s="5" t="n">
        <f aca="false" t="array" ref="B14:B14">INDEX(Data_DBD!$C:$C,$A14)</f>
        <v>4</v>
      </c>
      <c r="C14" s="5" t="n">
        <f aca="false" t="array" ref="C14:C14">INDEX(Data_DBD!$E:$E,$A14)</f>
        <v>0</v>
      </c>
      <c r="D14" s="5" t="str">
        <f aca="false" t="array" ref="D14:D14">INDEX(Data_DBD!$F:$F,$A14)</f>
        <v>Tinggi</v>
      </c>
      <c r="H14" s="5" t="n">
        <v>16</v>
      </c>
      <c r="I14" s="5" t="n">
        <v>5</v>
      </c>
      <c r="J14" s="5" t="n">
        <v>1</v>
      </c>
      <c r="K14" s="5" t="s">
        <v>20</v>
      </c>
    </row>
    <row r="15" customFormat="false" ht="15" hidden="false" customHeight="false" outlineLevel="0" collapsed="false">
      <c r="A15" s="5" t="n">
        <f aca="false">RANDBETWEEN(2,164)</f>
        <v>75</v>
      </c>
      <c r="B15" s="5" t="n">
        <f aca="false" t="array" ref="B15:B15">INDEX(Data_DBD!$C:$C,$A15)</f>
        <v>2</v>
      </c>
      <c r="C15" s="5" t="n">
        <f aca="false" t="array" ref="C15:C15">INDEX(Data_DBD!$E:$E,$A15)</f>
        <v>1</v>
      </c>
      <c r="D15" s="5" t="str">
        <f aca="false" t="array" ref="D15:D15">INDEX(Data_DBD!$F:$F,$A15)</f>
        <v>Rendah</v>
      </c>
      <c r="H15" s="5" t="n">
        <v>5</v>
      </c>
      <c r="I15" s="5" t="n">
        <v>2</v>
      </c>
      <c r="J15" s="5" t="n">
        <v>1</v>
      </c>
      <c r="K15" s="5" t="s">
        <v>7</v>
      </c>
    </row>
    <row r="16" customFormat="false" ht="15" hidden="false" customHeight="false" outlineLevel="0" collapsed="false">
      <c r="A16" s="5" t="n">
        <f aca="false">RANDBETWEEN(2,164)</f>
        <v>108</v>
      </c>
      <c r="B16" s="5" t="n">
        <f aca="false" t="array" ref="B16:B16">INDEX(Data_DBD!$C:$C,$A16)</f>
        <v>7</v>
      </c>
      <c r="C16" s="5" t="n">
        <f aca="false" t="array" ref="C16:C16">INDEX(Data_DBD!$E:$E,$A16)</f>
        <v>1</v>
      </c>
      <c r="D16" s="5" t="str">
        <f aca="false" t="array" ref="D16:D16">INDEX(Data_DBD!$F:$F,$A16)</f>
        <v>Tinggi</v>
      </c>
      <c r="H16" s="5" t="n">
        <v>98</v>
      </c>
      <c r="I16" s="5" t="n">
        <v>2</v>
      </c>
      <c r="J16" s="5" t="n">
        <v>1</v>
      </c>
      <c r="K16" s="5" t="s">
        <v>115</v>
      </c>
    </row>
    <row r="17" customFormat="false" ht="15" hidden="false" customHeight="false" outlineLevel="0" collapsed="false">
      <c r="A17" s="5" t="n">
        <f aca="false">RANDBETWEEN(2,164)</f>
        <v>51</v>
      </c>
      <c r="B17" s="5" t="n">
        <f aca="false" t="array" ref="B17:B17">INDEX(Data_DBD!$C:$C,$A17)</f>
        <v>4</v>
      </c>
      <c r="C17" s="5" t="n">
        <f aca="false" t="array" ref="C17:C17">INDEX(Data_DBD!$E:$E,$A17)</f>
        <v>0</v>
      </c>
      <c r="D17" s="5" t="str">
        <f aca="false" t="array" ref="D17:D17">INDEX(Data_DBD!$F:$F,$A17)</f>
        <v>Sedang</v>
      </c>
      <c r="H17" s="5" t="n">
        <v>8</v>
      </c>
      <c r="I17" s="5" t="n">
        <v>2</v>
      </c>
      <c r="J17" s="5" t="n">
        <v>0</v>
      </c>
      <c r="K17" s="5" t="s">
        <v>7</v>
      </c>
    </row>
    <row r="18" customFormat="false" ht="15" hidden="false" customHeight="false" outlineLevel="0" collapsed="false">
      <c r="A18" s="5" t="n">
        <f aca="false">RANDBETWEEN(2,164)</f>
        <v>80</v>
      </c>
      <c r="B18" s="5" t="n">
        <f aca="false" t="array" ref="B18:B18">INDEX(Data_DBD!$C:$C,$A18)</f>
        <v>3</v>
      </c>
      <c r="C18" s="5" t="n">
        <f aca="false" t="array" ref="C18:C18">INDEX(Data_DBD!$E:$E,$A18)</f>
        <v>1</v>
      </c>
      <c r="D18" s="5" t="str">
        <f aca="false" t="array" ref="D18:D18">INDEX(Data_DBD!$F:$F,$A18)</f>
        <v>Sedang</v>
      </c>
      <c r="H18" s="5" t="n">
        <v>56</v>
      </c>
      <c r="I18" s="5" t="n">
        <v>3</v>
      </c>
      <c r="J18" s="5" t="n">
        <v>0</v>
      </c>
      <c r="K18" s="5" t="s">
        <v>7</v>
      </c>
    </row>
    <row r="19" customFormat="false" ht="15" hidden="false" customHeight="false" outlineLevel="0" collapsed="false">
      <c r="A19" s="5" t="n">
        <f aca="false">RANDBETWEEN(2,164)</f>
        <v>56</v>
      </c>
      <c r="B19" s="5" t="n">
        <f aca="false" t="array" ref="B19:B19">INDEX(Data_DBD!$C:$C,$A19)</f>
        <v>3</v>
      </c>
      <c r="C19" s="5" t="n">
        <f aca="false" t="array" ref="C19:C19">INDEX(Data_DBD!$E:$E,$A19)</f>
        <v>0</v>
      </c>
      <c r="D19" s="5" t="str">
        <f aca="false" t="array" ref="D19:D19">INDEX(Data_DBD!$F:$F,$A19)</f>
        <v>Sedang</v>
      </c>
      <c r="H19" s="5" t="n">
        <v>134</v>
      </c>
      <c r="I19" s="5" t="n">
        <v>2</v>
      </c>
      <c r="J19" s="5" t="n">
        <v>1</v>
      </c>
      <c r="K19" s="5" t="s">
        <v>115</v>
      </c>
    </row>
    <row r="20" customFormat="false" ht="15" hidden="false" customHeight="false" outlineLevel="0" collapsed="false">
      <c r="A20" s="5" t="n">
        <f aca="false">RANDBETWEEN(2,164)</f>
        <v>85</v>
      </c>
      <c r="B20" s="5" t="n">
        <f aca="false" t="array" ref="B20:B20">INDEX(Data_DBD!$C:$C,$A20)</f>
        <v>9</v>
      </c>
      <c r="C20" s="5" t="n">
        <f aca="false" t="array" ref="C20:C20">INDEX(Data_DBD!$E:$E,$A20)</f>
        <v>0</v>
      </c>
      <c r="D20" s="5" t="str">
        <f aca="false" t="array" ref="D20:D20">INDEX(Data_DBD!$F:$F,$A20)</f>
        <v>Sedang</v>
      </c>
      <c r="H20" s="5" t="n">
        <v>65</v>
      </c>
      <c r="I20" s="5" t="n">
        <v>3</v>
      </c>
      <c r="J20" s="5" t="n">
        <v>0</v>
      </c>
      <c r="K20" s="5" t="s">
        <v>7</v>
      </c>
    </row>
    <row r="21" customFormat="false" ht="15" hidden="false" customHeight="false" outlineLevel="0" collapsed="false">
      <c r="A21" s="5" t="n">
        <f aca="false">RANDBETWEEN(2,164)</f>
        <v>68</v>
      </c>
      <c r="B21" s="5" t="n">
        <f aca="false" t="array" ref="B21:B21">INDEX(Data_DBD!$C:$C,$A21)</f>
        <v>5</v>
      </c>
      <c r="C21" s="5" t="n">
        <f aca="false" t="array" ref="C21:C21">INDEX(Data_DBD!$E:$E,$A21)</f>
        <v>0</v>
      </c>
      <c r="D21" s="5" t="str">
        <f aca="false" t="array" ref="D21:D21">INDEX(Data_DBD!$F:$F,$A21)</f>
        <v>Rendah</v>
      </c>
      <c r="H21" s="5" t="n">
        <v>130</v>
      </c>
      <c r="I21" s="5" t="n">
        <v>4</v>
      </c>
      <c r="J21" s="5" t="n">
        <v>0</v>
      </c>
      <c r="K21" s="5" t="s">
        <v>115</v>
      </c>
    </row>
    <row r="22" customFormat="false" ht="15" hidden="false" customHeight="false" outlineLevel="0" collapsed="false">
      <c r="A22" s="5" t="n">
        <f aca="false">RANDBETWEEN(2,164)</f>
        <v>68</v>
      </c>
      <c r="B22" s="5" t="n">
        <f aca="false" t="array" ref="B22:B22">INDEX(Data_DBD!$C:$C,$A22)</f>
        <v>5</v>
      </c>
      <c r="C22" s="5" t="n">
        <f aca="false" t="array" ref="C22:C22">INDEX(Data_DBD!$E:$E,$A22)</f>
        <v>0</v>
      </c>
      <c r="D22" s="5" t="str">
        <f aca="false" t="array" ref="D22:D22">INDEX(Data_DBD!$F:$F,$A22)</f>
        <v>Rendah</v>
      </c>
      <c r="H22" s="5" t="n">
        <v>19</v>
      </c>
      <c r="I22" s="5" t="n">
        <v>4</v>
      </c>
      <c r="J22" s="5" t="n">
        <v>0</v>
      </c>
      <c r="K22" s="5" t="s">
        <v>20</v>
      </c>
    </row>
    <row r="23" customFormat="false" ht="15" hidden="false" customHeight="false" outlineLevel="0" collapsed="false">
      <c r="A23" s="5" t="n">
        <f aca="false">RANDBETWEEN(2,164)</f>
        <v>45</v>
      </c>
      <c r="B23" s="5" t="n">
        <f aca="false" t="array" ref="B23:B23">INDEX(Data_DBD!$C:$C,$A23)</f>
        <v>3</v>
      </c>
      <c r="C23" s="5" t="n">
        <f aca="false" t="array" ref="C23:C23">INDEX(Data_DBD!$E:$E,$A23)</f>
        <v>1</v>
      </c>
      <c r="D23" s="5" t="str">
        <f aca="false" t="array" ref="D23:D23">INDEX(Data_DBD!$F:$F,$A23)</f>
        <v>Sedang</v>
      </c>
      <c r="H23" s="5" t="n">
        <v>134</v>
      </c>
      <c r="I23" s="5" t="n">
        <v>2</v>
      </c>
      <c r="J23" s="5" t="n">
        <v>1</v>
      </c>
      <c r="K23" s="5" t="s">
        <v>115</v>
      </c>
    </row>
    <row r="24" customFormat="false" ht="15" hidden="false" customHeight="false" outlineLevel="0" collapsed="false">
      <c r="A24" s="5" t="n">
        <f aca="false">RANDBETWEEN(2,164)</f>
        <v>86</v>
      </c>
      <c r="B24" s="5" t="n">
        <f aca="false" t="array" ref="B24:B24">INDEX(Data_DBD!$C:$C,$A24)</f>
        <v>3</v>
      </c>
      <c r="C24" s="5" t="n">
        <f aca="false" t="array" ref="C24:C24">INDEX(Data_DBD!$E:$E,$A24)</f>
        <v>0</v>
      </c>
      <c r="D24" s="5" t="str">
        <f aca="false" t="array" ref="D24:D24">INDEX(Data_DBD!$F:$F,$A24)</f>
        <v>Sedang</v>
      </c>
      <c r="H24" s="5" t="n">
        <v>4</v>
      </c>
      <c r="I24" s="5" t="n">
        <v>5</v>
      </c>
      <c r="J24" s="5" t="n">
        <v>0</v>
      </c>
      <c r="K24" s="5" t="s">
        <v>7</v>
      </c>
    </row>
    <row r="25" customFormat="false" ht="15" hidden="false" customHeight="false" outlineLevel="0" collapsed="false">
      <c r="A25" s="5" t="n">
        <f aca="false">RANDBETWEEN(2,164)</f>
        <v>87</v>
      </c>
      <c r="B25" s="5" t="n">
        <f aca="false" t="array" ref="B25:B25">INDEX(Data_DBD!$C:$C,$A25)</f>
        <v>3</v>
      </c>
      <c r="C25" s="5" t="n">
        <f aca="false" t="array" ref="C25:C25">INDEX(Data_DBD!$E:$E,$A25)</f>
        <v>0</v>
      </c>
      <c r="D25" s="5" t="str">
        <f aca="false" t="array" ref="D25:D25">INDEX(Data_DBD!$F:$F,$A25)</f>
        <v>Sedang</v>
      </c>
      <c r="H25" s="5" t="n">
        <v>151</v>
      </c>
      <c r="I25" s="5" t="n">
        <v>3</v>
      </c>
      <c r="J25" s="5" t="n">
        <v>0</v>
      </c>
      <c r="K25" s="5" t="s">
        <v>115</v>
      </c>
    </row>
    <row r="26" customFormat="false" ht="15" hidden="false" customHeight="false" outlineLevel="0" collapsed="false">
      <c r="A26" s="5" t="n">
        <f aca="false">RANDBETWEEN(2,164)</f>
        <v>142</v>
      </c>
      <c r="B26" s="5" t="n">
        <f aca="false" t="array" ref="B26:B26">INDEX(Data_DBD!$C:$C,$A26)</f>
        <v>2</v>
      </c>
      <c r="C26" s="5" t="n">
        <f aca="false" t="array" ref="C26:C26">INDEX(Data_DBD!$E:$E,$A26)</f>
        <v>1</v>
      </c>
      <c r="D26" s="5" t="str">
        <f aca="false" t="array" ref="D26:D26">INDEX(Data_DBD!$F:$F,$A26)</f>
        <v>Tinggi</v>
      </c>
      <c r="H26" s="5" t="n">
        <v>40</v>
      </c>
      <c r="I26" s="5" t="n">
        <v>3</v>
      </c>
      <c r="J26" s="5" t="n">
        <v>1</v>
      </c>
      <c r="K26" s="5" t="s">
        <v>7</v>
      </c>
    </row>
    <row r="27" customFormat="false" ht="15" hidden="false" customHeight="false" outlineLevel="0" collapsed="false">
      <c r="A27" s="5" t="n">
        <f aca="false">RANDBETWEEN(2,164)</f>
        <v>58</v>
      </c>
      <c r="B27" s="5" t="n">
        <f aca="false" t="array" ref="B27:B27">INDEX(Data_DBD!$C:$C,$A27)</f>
        <v>3</v>
      </c>
      <c r="C27" s="5" t="n">
        <f aca="false" t="array" ref="C27:C27">INDEX(Data_DBD!$E:$E,$A27)</f>
        <v>0</v>
      </c>
      <c r="D27" s="5" t="str">
        <f aca="false" t="array" ref="D27:D27">INDEX(Data_DBD!$F:$F,$A27)</f>
        <v>Sedang</v>
      </c>
      <c r="H27" s="5" t="n">
        <v>56</v>
      </c>
      <c r="I27" s="5" t="n">
        <v>3</v>
      </c>
      <c r="J27" s="5" t="n">
        <v>0</v>
      </c>
      <c r="K27" s="5" t="s">
        <v>7</v>
      </c>
    </row>
    <row r="28" customFormat="false" ht="15" hidden="false" customHeight="false" outlineLevel="0" collapsed="false">
      <c r="A28" s="5" t="n">
        <f aca="false">RANDBETWEEN(2,164)</f>
        <v>53</v>
      </c>
      <c r="B28" s="5" t="n">
        <f aca="false" t="array" ref="B28:B28">INDEX(Data_DBD!$C:$C,$A28)</f>
        <v>4</v>
      </c>
      <c r="C28" s="5" t="n">
        <f aca="false" t="array" ref="C28:C28">INDEX(Data_DBD!$E:$E,$A28)</f>
        <v>1</v>
      </c>
      <c r="D28" s="5" t="str">
        <f aca="false" t="array" ref="D28:D28">INDEX(Data_DBD!$F:$F,$A28)</f>
        <v>Sedang</v>
      </c>
      <c r="H28" s="5" t="n">
        <v>104</v>
      </c>
      <c r="I28" s="5" t="n">
        <v>4</v>
      </c>
      <c r="J28" s="5" t="n">
        <v>1</v>
      </c>
      <c r="K28" s="5" t="s">
        <v>115</v>
      </c>
    </row>
    <row r="29" customFormat="false" ht="15" hidden="false" customHeight="false" outlineLevel="0" collapsed="false">
      <c r="A29" s="5" t="n">
        <f aca="false">RANDBETWEEN(2,164)</f>
        <v>80</v>
      </c>
      <c r="B29" s="5" t="n">
        <f aca="false" t="array" ref="B29:B29">INDEX(Data_DBD!$C:$C,$A29)</f>
        <v>3</v>
      </c>
      <c r="C29" s="5" t="n">
        <f aca="false" t="array" ref="C29:C29">INDEX(Data_DBD!$E:$E,$A29)</f>
        <v>1</v>
      </c>
      <c r="D29" s="5" t="str">
        <f aca="false" t="array" ref="D29:D29">INDEX(Data_DBD!$F:$F,$A29)</f>
        <v>Sedang</v>
      </c>
      <c r="H29" s="5" t="n">
        <v>105</v>
      </c>
      <c r="I29" s="5" t="n">
        <v>3</v>
      </c>
      <c r="J29" s="5" t="n">
        <v>1</v>
      </c>
      <c r="K29" s="5" t="s">
        <v>115</v>
      </c>
    </row>
    <row r="30" customFormat="false" ht="15" hidden="false" customHeight="false" outlineLevel="0" collapsed="false">
      <c r="A30" s="5" t="n">
        <f aca="false">RANDBETWEEN(2,164)</f>
        <v>159</v>
      </c>
      <c r="B30" s="5" t="n">
        <f aca="false" t="array" ref="B30:B30">INDEX(Data_DBD!$C:$C,$A30)</f>
        <v>2</v>
      </c>
      <c r="C30" s="5" t="n">
        <f aca="false" t="array" ref="C30:C30">INDEX(Data_DBD!$E:$E,$A30)</f>
        <v>0</v>
      </c>
      <c r="D30" s="5" t="str">
        <f aca="false" t="array" ref="D30:D30">INDEX(Data_DBD!$F:$F,$A30)</f>
        <v>Tinggi</v>
      </c>
      <c r="H30" s="5" t="n">
        <v>60</v>
      </c>
      <c r="I30" s="5" t="n">
        <v>4</v>
      </c>
      <c r="J30" s="5" t="n">
        <v>0</v>
      </c>
      <c r="K30" s="5" t="s">
        <v>7</v>
      </c>
    </row>
    <row r="31" customFormat="false" ht="15" hidden="false" customHeight="false" outlineLevel="0" collapsed="false">
      <c r="A31" s="5" t="n">
        <f aca="false">RANDBETWEEN(2,164)</f>
        <v>154</v>
      </c>
      <c r="B31" s="5" t="n">
        <f aca="false" t="array" ref="B31:B31">INDEX(Data_DBD!$C:$C,$A31)</f>
        <v>5</v>
      </c>
      <c r="C31" s="5" t="n">
        <f aca="false" t="array" ref="C31:C31">INDEX(Data_DBD!$E:$E,$A31)</f>
        <v>1</v>
      </c>
      <c r="D31" s="5" t="str">
        <f aca="false" t="array" ref="D31:D31">INDEX(Data_DBD!$F:$F,$A31)</f>
        <v>Tinggi</v>
      </c>
      <c r="H31" s="5" t="n">
        <v>30</v>
      </c>
      <c r="I31" s="5" t="n">
        <v>2</v>
      </c>
      <c r="J31" s="5" t="n">
        <v>1</v>
      </c>
      <c r="K31" s="5" t="s">
        <v>7</v>
      </c>
    </row>
    <row r="32" customFormat="false" ht="15" hidden="false" customHeight="false" outlineLevel="0" collapsed="false">
      <c r="A32" s="5" t="n">
        <f aca="false">RANDBETWEEN(2,164)</f>
        <v>118</v>
      </c>
      <c r="B32" s="5" t="n">
        <f aca="false" t="array" ref="B32:B32">INDEX(Data_DBD!$C:$C,$A32)</f>
        <v>4</v>
      </c>
      <c r="C32" s="5" t="n">
        <f aca="false" t="array" ref="C32:C32">INDEX(Data_DBD!$E:$E,$A32)</f>
        <v>1</v>
      </c>
      <c r="D32" s="5" t="str">
        <f aca="false" t="array" ref="D32:D32">INDEX(Data_DBD!$F:$F,$A32)</f>
        <v>Tinggi</v>
      </c>
      <c r="H32" s="5" t="n">
        <v>99</v>
      </c>
      <c r="I32" s="5" t="n">
        <v>2</v>
      </c>
      <c r="J32" s="5" t="n">
        <v>1</v>
      </c>
      <c r="K32" s="5" t="s">
        <v>115</v>
      </c>
    </row>
    <row r="33" customFormat="false" ht="15" hidden="false" customHeight="false" outlineLevel="0" collapsed="false">
      <c r="A33" s="5" t="n">
        <f aca="false">RANDBETWEEN(2,164)</f>
        <v>94</v>
      </c>
      <c r="B33" s="5" t="n">
        <f aca="false" t="array" ref="B33:B33">INDEX(Data_DBD!$C:$C,$A33)</f>
        <v>4</v>
      </c>
      <c r="C33" s="5" t="n">
        <f aca="false" t="array" ref="C33:C33">INDEX(Data_DBD!$E:$E,$A33)</f>
        <v>0</v>
      </c>
      <c r="D33" s="5" t="str">
        <f aca="false" t="array" ref="D33:D33">INDEX(Data_DBD!$F:$F,$A33)</f>
        <v>Sedang</v>
      </c>
      <c r="H33" s="5" t="n">
        <v>162</v>
      </c>
      <c r="I33" s="5" t="n">
        <v>3</v>
      </c>
      <c r="J33" s="5" t="n">
        <v>1</v>
      </c>
      <c r="K33" s="5" t="s">
        <v>20</v>
      </c>
    </row>
    <row r="34" customFormat="false" ht="15" hidden="false" customHeight="false" outlineLevel="0" collapsed="false">
      <c r="A34" s="5" t="n">
        <f aca="false">RANDBETWEEN(2,164)</f>
        <v>57</v>
      </c>
      <c r="B34" s="5" t="n">
        <f aca="false" t="array" ref="B34:B34">INDEX(Data_DBD!$C:$C,$A34)</f>
        <v>2</v>
      </c>
      <c r="C34" s="5" t="n">
        <f aca="false" t="array" ref="C34:C34">INDEX(Data_DBD!$E:$E,$A34)</f>
        <v>1</v>
      </c>
      <c r="D34" s="5" t="str">
        <f aca="false" t="array" ref="D34:D34">INDEX(Data_DBD!$F:$F,$A34)</f>
        <v>Sedang</v>
      </c>
      <c r="H34" s="5" t="n">
        <v>131</v>
      </c>
      <c r="I34" s="5" t="n">
        <v>2</v>
      </c>
      <c r="J34" s="5" t="n">
        <v>0</v>
      </c>
      <c r="K34" s="5" t="s">
        <v>115</v>
      </c>
    </row>
    <row r="35" customFormat="false" ht="15" hidden="false" customHeight="false" outlineLevel="0" collapsed="false">
      <c r="A35" s="5" t="n">
        <f aca="false">RANDBETWEEN(2,164)</f>
        <v>149</v>
      </c>
      <c r="B35" s="5" t="n">
        <f aca="false" t="array" ref="B35:B35">INDEX(Data_DBD!$C:$C,$A35)</f>
        <v>5</v>
      </c>
      <c r="C35" s="5" t="n">
        <f aca="false" t="array" ref="C35:C35">INDEX(Data_DBD!$E:$E,$A35)</f>
        <v>0</v>
      </c>
      <c r="D35" s="5" t="str">
        <f aca="false" t="array" ref="D35:D35">INDEX(Data_DBD!$F:$F,$A35)</f>
        <v>Tinggi</v>
      </c>
      <c r="H35" s="5" t="n">
        <v>33</v>
      </c>
      <c r="I35" s="5" t="n">
        <v>4</v>
      </c>
      <c r="J35" s="5" t="n">
        <v>1</v>
      </c>
      <c r="K35" s="5" t="s">
        <v>7</v>
      </c>
    </row>
    <row r="36" customFormat="false" ht="15" hidden="false" customHeight="false" outlineLevel="0" collapsed="false">
      <c r="A36" s="5" t="n">
        <f aca="false">RANDBETWEEN(2,164)</f>
        <v>94</v>
      </c>
      <c r="B36" s="5" t="n">
        <f aca="false" t="array" ref="B36:B36">INDEX(Data_DBD!$C:$C,$A36)</f>
        <v>4</v>
      </c>
      <c r="C36" s="5" t="n">
        <f aca="false" t="array" ref="C36:C36">INDEX(Data_DBD!$E:$E,$A36)</f>
        <v>0</v>
      </c>
      <c r="D36" s="5" t="str">
        <f aca="false" t="array" ref="D36:D36">INDEX(Data_DBD!$F:$F,$A36)</f>
        <v>Sedang</v>
      </c>
      <c r="H36" s="5" t="n">
        <v>7</v>
      </c>
      <c r="I36" s="5" t="n">
        <v>1</v>
      </c>
      <c r="J36" s="5" t="n">
        <v>1</v>
      </c>
      <c r="K36" s="5" t="s">
        <v>7</v>
      </c>
    </row>
    <row r="37" customFormat="false" ht="15" hidden="false" customHeight="false" outlineLevel="0" collapsed="false">
      <c r="A37" s="5" t="n">
        <f aca="false">RANDBETWEEN(2,164)</f>
        <v>29</v>
      </c>
      <c r="B37" s="5" t="n">
        <f aca="false" t="array" ref="B37:B37">INDEX(Data_DBD!$C:$C,$A37)</f>
        <v>2</v>
      </c>
      <c r="C37" s="5" t="n">
        <f aca="false" t="array" ref="C37:C37">INDEX(Data_DBD!$E:$E,$A37)</f>
        <v>1</v>
      </c>
      <c r="D37" s="5" t="str">
        <f aca="false" t="array" ref="D37:D37">INDEX(Data_DBD!$F:$F,$A37)</f>
        <v>Sedang</v>
      </c>
      <c r="H37" s="5" t="n">
        <v>51</v>
      </c>
      <c r="I37" s="5" t="n">
        <v>4</v>
      </c>
      <c r="J37" s="5" t="n">
        <v>0</v>
      </c>
      <c r="K37" s="5" t="s">
        <v>7</v>
      </c>
    </row>
    <row r="38" customFormat="false" ht="15" hidden="false" customHeight="false" outlineLevel="0" collapsed="false">
      <c r="A38" s="5" t="n">
        <f aca="false">RANDBETWEEN(2,164)</f>
        <v>113</v>
      </c>
      <c r="B38" s="5" t="n">
        <f aca="false" t="array" ref="B38:B38">INDEX(Data_DBD!$C:$C,$A38)</f>
        <v>1</v>
      </c>
      <c r="C38" s="5" t="n">
        <f aca="false" t="array" ref="C38:C38">INDEX(Data_DBD!$E:$E,$A38)</f>
        <v>1</v>
      </c>
      <c r="D38" s="5" t="str">
        <f aca="false" t="array" ref="D38:D38">INDEX(Data_DBD!$F:$F,$A38)</f>
        <v>Tinggi</v>
      </c>
      <c r="H38" s="5" t="n">
        <v>5</v>
      </c>
      <c r="I38" s="5" t="n">
        <v>2</v>
      </c>
      <c r="J38" s="5" t="n">
        <v>1</v>
      </c>
      <c r="K38" s="5" t="s">
        <v>7</v>
      </c>
    </row>
    <row r="39" customFormat="false" ht="15" hidden="false" customHeight="false" outlineLevel="0" collapsed="false">
      <c r="A39" s="5" t="n">
        <f aca="false">RANDBETWEEN(2,164)</f>
        <v>22</v>
      </c>
      <c r="B39" s="5" t="n">
        <f aca="false" t="array" ref="B39:B39">INDEX(Data_DBD!$C:$C,$A39)</f>
        <v>3</v>
      </c>
      <c r="C39" s="5" t="n">
        <f aca="false" t="array" ref="C39:C39">INDEX(Data_DBD!$E:$E,$A39)</f>
        <v>0</v>
      </c>
      <c r="D39" s="5" t="str">
        <f aca="false" t="array" ref="D39:D39">INDEX(Data_DBD!$F:$F,$A39)</f>
        <v>Sedang</v>
      </c>
      <c r="H39" s="5" t="n">
        <v>111</v>
      </c>
      <c r="I39" s="5" t="n">
        <v>4</v>
      </c>
      <c r="J39" s="5" t="n">
        <v>0</v>
      </c>
      <c r="K39" s="5" t="s">
        <v>115</v>
      </c>
    </row>
    <row r="40" customFormat="false" ht="15" hidden="false" customHeight="false" outlineLevel="0" collapsed="false">
      <c r="A40" s="5" t="n">
        <f aca="false">RANDBETWEEN(2,164)</f>
        <v>112</v>
      </c>
      <c r="B40" s="5" t="n">
        <f aca="false" t="array" ref="B40:B40">INDEX(Data_DBD!$C:$C,$A40)</f>
        <v>3</v>
      </c>
      <c r="C40" s="5" t="n">
        <f aca="false" t="array" ref="C40:C40">INDEX(Data_DBD!$E:$E,$A40)</f>
        <v>1</v>
      </c>
      <c r="D40" s="5" t="str">
        <f aca="false" t="array" ref="D40:D40">INDEX(Data_DBD!$F:$F,$A40)</f>
        <v>Tinggi</v>
      </c>
      <c r="H40" s="5" t="n">
        <v>125</v>
      </c>
      <c r="I40" s="5" t="n">
        <v>4</v>
      </c>
      <c r="J40" s="5" t="n">
        <v>0</v>
      </c>
      <c r="K40" s="5" t="s">
        <v>115</v>
      </c>
    </row>
    <row r="41" customFormat="false" ht="15" hidden="false" customHeight="false" outlineLevel="0" collapsed="false">
      <c r="A41" s="5" t="n">
        <f aca="false">RANDBETWEEN(2,164)</f>
        <v>58</v>
      </c>
      <c r="B41" s="5" t="n">
        <f aca="false" t="array" ref="B41:B41">INDEX(Data_DBD!$C:$C,$A41)</f>
        <v>3</v>
      </c>
      <c r="C41" s="5" t="n">
        <f aca="false" t="array" ref="C41:C41">INDEX(Data_DBD!$E:$E,$A41)</f>
        <v>0</v>
      </c>
      <c r="D41" s="5" t="str">
        <f aca="false" t="array" ref="D41:D41">INDEX(Data_DBD!$F:$F,$A41)</f>
        <v>Sedang</v>
      </c>
      <c r="H41" s="5" t="n">
        <v>68</v>
      </c>
      <c r="I41" s="5" t="n">
        <v>5</v>
      </c>
      <c r="J41" s="5" t="n">
        <v>0</v>
      </c>
      <c r="K41" s="5" t="s">
        <v>7</v>
      </c>
    </row>
    <row r="42" customFormat="false" ht="15" hidden="false" customHeight="false" outlineLevel="0" collapsed="false">
      <c r="A42" s="5" t="n">
        <f aca="false">RANDBETWEEN(2,164)</f>
        <v>99</v>
      </c>
      <c r="B42" s="5" t="n">
        <f aca="false" t="array" ref="B42:B42">INDEX(Data_DBD!$C:$C,$A42)</f>
        <v>2</v>
      </c>
      <c r="C42" s="5" t="n">
        <f aca="false" t="array" ref="C42:C42">INDEX(Data_DBD!$E:$E,$A42)</f>
        <v>1</v>
      </c>
      <c r="D42" s="5" t="str">
        <f aca="false" t="array" ref="D42:D42">INDEX(Data_DBD!$F:$F,$A42)</f>
        <v>Sedang</v>
      </c>
      <c r="H42" s="5" t="n">
        <v>60</v>
      </c>
      <c r="I42" s="5" t="n">
        <v>4</v>
      </c>
      <c r="J42" s="5" t="n">
        <v>0</v>
      </c>
      <c r="K42" s="5" t="s">
        <v>7</v>
      </c>
    </row>
    <row r="43" customFormat="false" ht="15" hidden="false" customHeight="false" outlineLevel="0" collapsed="false">
      <c r="A43" s="5" t="n">
        <f aca="false">RANDBETWEEN(2,164)</f>
        <v>87</v>
      </c>
      <c r="B43" s="5" t="n">
        <f aca="false" t="array" ref="B43:B43">INDEX(Data_DBD!$C:$C,$A43)</f>
        <v>3</v>
      </c>
      <c r="C43" s="5" t="n">
        <f aca="false" t="array" ref="C43:C43">INDEX(Data_DBD!$E:$E,$A43)</f>
        <v>0</v>
      </c>
      <c r="D43" s="5" t="str">
        <f aca="false" t="array" ref="D43:D43">INDEX(Data_DBD!$F:$F,$A43)</f>
        <v>Sedang</v>
      </c>
      <c r="H43" s="5" t="n">
        <v>156</v>
      </c>
      <c r="I43" s="5" t="n">
        <v>2</v>
      </c>
      <c r="J43" s="5" t="n">
        <v>0</v>
      </c>
      <c r="K43" s="5" t="s">
        <v>115</v>
      </c>
    </row>
    <row r="44" customFormat="false" ht="15" hidden="false" customHeight="false" outlineLevel="0" collapsed="false">
      <c r="A44" s="5" t="n">
        <f aca="false">RANDBETWEEN(2,164)</f>
        <v>75</v>
      </c>
      <c r="B44" s="5" t="n">
        <f aca="false" t="array" ref="B44:B44">INDEX(Data_DBD!$C:$C,$A44)</f>
        <v>2</v>
      </c>
      <c r="C44" s="5" t="n">
        <f aca="false" t="array" ref="C44:C44">INDEX(Data_DBD!$E:$E,$A44)</f>
        <v>1</v>
      </c>
      <c r="D44" s="5" t="str">
        <f aca="false" t="array" ref="D44:D44">INDEX(Data_DBD!$F:$F,$A44)</f>
        <v>Rendah</v>
      </c>
      <c r="H44" s="5" t="n">
        <v>113</v>
      </c>
      <c r="I44" s="5" t="n">
        <v>1</v>
      </c>
      <c r="J44" s="5" t="n">
        <v>1</v>
      </c>
      <c r="K44" s="5" t="s">
        <v>115</v>
      </c>
    </row>
    <row r="45" customFormat="false" ht="15" hidden="false" customHeight="false" outlineLevel="0" collapsed="false">
      <c r="A45" s="5" t="n">
        <f aca="false">RANDBETWEEN(2,164)</f>
        <v>14</v>
      </c>
      <c r="B45" s="5" t="n">
        <f aca="false" t="array" ref="B45:B45">INDEX(Data_DBD!$C:$C,$A45)</f>
        <v>4</v>
      </c>
      <c r="C45" s="5" t="n">
        <f aca="false" t="array" ref="C45:C45">INDEX(Data_DBD!$E:$E,$A45)</f>
        <v>1</v>
      </c>
      <c r="D45" s="5" t="str">
        <f aca="false" t="array" ref="D45:D45">INDEX(Data_DBD!$F:$F,$A45)</f>
        <v>Rendah</v>
      </c>
      <c r="H45" s="5" t="n">
        <v>70</v>
      </c>
      <c r="I45" s="5" t="n">
        <v>3</v>
      </c>
      <c r="J45" s="5" t="n">
        <v>1</v>
      </c>
      <c r="K45" s="5" t="s">
        <v>7</v>
      </c>
    </row>
    <row r="46" customFormat="false" ht="15" hidden="false" customHeight="false" outlineLevel="0" collapsed="false">
      <c r="A46" s="5" t="n">
        <f aca="false">RANDBETWEEN(2,164)</f>
        <v>130</v>
      </c>
      <c r="B46" s="5" t="n">
        <f aca="false" t="array" ref="B46:B46">INDEX(Data_DBD!$C:$C,$A46)</f>
        <v>4</v>
      </c>
      <c r="C46" s="5" t="n">
        <f aca="false" t="array" ref="C46:C46">INDEX(Data_DBD!$E:$E,$A46)</f>
        <v>0</v>
      </c>
      <c r="D46" s="5" t="str">
        <f aca="false" t="array" ref="D46:D46">INDEX(Data_DBD!$F:$F,$A46)</f>
        <v>Tinggi</v>
      </c>
      <c r="H46" s="5" t="n">
        <v>44</v>
      </c>
      <c r="I46" s="5" t="n">
        <v>5</v>
      </c>
      <c r="J46" s="5" t="n">
        <v>1</v>
      </c>
      <c r="K46" s="5" t="s">
        <v>7</v>
      </c>
    </row>
    <row r="47" customFormat="false" ht="15" hidden="false" customHeight="false" outlineLevel="0" collapsed="false">
      <c r="A47" s="5" t="n">
        <f aca="false">RANDBETWEEN(2,164)</f>
        <v>76</v>
      </c>
      <c r="B47" s="5" t="n">
        <f aca="false" t="array" ref="B47:B47">INDEX(Data_DBD!$C:$C,$A47)</f>
        <v>2</v>
      </c>
      <c r="C47" s="5" t="n">
        <f aca="false" t="array" ref="C47:C47">INDEX(Data_DBD!$E:$E,$A47)</f>
        <v>0</v>
      </c>
      <c r="D47" s="5" t="str">
        <f aca="false" t="array" ref="D47:D47">INDEX(Data_DBD!$F:$F,$A47)</f>
        <v>Rendah</v>
      </c>
      <c r="H47" s="5" t="n">
        <v>32</v>
      </c>
      <c r="I47" s="5" t="n">
        <v>4</v>
      </c>
      <c r="J47" s="5" t="n">
        <v>0</v>
      </c>
      <c r="K47" s="5" t="s">
        <v>7</v>
      </c>
    </row>
    <row r="48" customFormat="false" ht="15" hidden="false" customHeight="false" outlineLevel="0" collapsed="false">
      <c r="A48" s="5" t="n">
        <f aca="false">RANDBETWEEN(2,164)</f>
        <v>118</v>
      </c>
      <c r="B48" s="5" t="n">
        <f aca="false" t="array" ref="B48:B48">INDEX(Data_DBD!$C:$C,$A48)</f>
        <v>4</v>
      </c>
      <c r="C48" s="5" t="n">
        <f aca="false" t="array" ref="C48:C48">INDEX(Data_DBD!$E:$E,$A48)</f>
        <v>1</v>
      </c>
      <c r="D48" s="5" t="str">
        <f aca="false" t="array" ref="D48:D48">INDEX(Data_DBD!$F:$F,$A48)</f>
        <v>Tinggi</v>
      </c>
      <c r="H48" s="5" t="n">
        <v>26</v>
      </c>
      <c r="I48" s="5" t="n">
        <v>4</v>
      </c>
      <c r="J48" s="5" t="n">
        <v>1</v>
      </c>
      <c r="K48" s="5" t="s">
        <v>7</v>
      </c>
    </row>
    <row r="49" customFormat="false" ht="15" hidden="false" customHeight="false" outlineLevel="0" collapsed="false">
      <c r="A49" s="5" t="n">
        <f aca="false">RANDBETWEEN(2,164)</f>
        <v>31</v>
      </c>
      <c r="B49" s="5" t="n">
        <f aca="false" t="array" ref="B49:B49">INDEX(Data_DBD!$C:$C,$A49)</f>
        <v>4</v>
      </c>
      <c r="C49" s="5" t="n">
        <f aca="false" t="array" ref="C49:C49">INDEX(Data_DBD!$E:$E,$A49)</f>
        <v>1</v>
      </c>
      <c r="D49" s="5" t="str">
        <f aca="false" t="array" ref="D49:D49">INDEX(Data_DBD!$F:$F,$A49)</f>
        <v>Sedang</v>
      </c>
      <c r="H49" s="5" t="n">
        <v>82</v>
      </c>
      <c r="I49" s="5" t="n">
        <v>3</v>
      </c>
      <c r="J49" s="5" t="n">
        <v>1</v>
      </c>
      <c r="K49" s="5" t="s">
        <v>7</v>
      </c>
    </row>
    <row r="50" customFormat="false" ht="15" hidden="false" customHeight="false" outlineLevel="0" collapsed="false">
      <c r="A50" s="5" t="n">
        <f aca="false">RANDBETWEEN(2,164)</f>
        <v>69</v>
      </c>
      <c r="B50" s="5" t="n">
        <f aca="false" t="array" ref="B50:B50">INDEX(Data_DBD!$C:$C,$A50)</f>
        <v>4</v>
      </c>
      <c r="C50" s="5" t="n">
        <f aca="false" t="array" ref="C50:C50">INDEX(Data_DBD!$E:$E,$A50)</f>
        <v>1</v>
      </c>
      <c r="D50" s="5" t="str">
        <f aca="false" t="array" ref="D50:D50">INDEX(Data_DBD!$F:$F,$A50)</f>
        <v>Rendah</v>
      </c>
      <c r="H50" s="5" t="n">
        <v>75</v>
      </c>
      <c r="I50" s="5" t="n">
        <v>2</v>
      </c>
      <c r="J50" s="5" t="n">
        <v>1</v>
      </c>
      <c r="K50" s="5" t="s">
        <v>7</v>
      </c>
    </row>
    <row r="51" customFormat="false" ht="15" hidden="false" customHeight="false" outlineLevel="0" collapsed="false">
      <c r="A51" s="5" t="n">
        <f aca="false">RANDBETWEEN(2,164)</f>
        <v>137</v>
      </c>
      <c r="B51" s="5" t="n">
        <f aca="false" t="array" ref="B51:B51">INDEX(Data_DBD!$C:$C,$A51)</f>
        <v>1</v>
      </c>
      <c r="C51" s="5" t="n">
        <f aca="false" t="array" ref="C51:C51">INDEX(Data_DBD!$E:$E,$A51)</f>
        <v>1</v>
      </c>
      <c r="D51" s="5" t="str">
        <f aca="false" t="array" ref="D51:D51">INDEX(Data_DBD!$F:$F,$A51)</f>
        <v>Tinggi</v>
      </c>
      <c r="H51" s="5" t="n">
        <v>70</v>
      </c>
      <c r="I51" s="5" t="n">
        <v>3</v>
      </c>
      <c r="J51" s="5" t="n">
        <v>1</v>
      </c>
      <c r="K51" s="5" t="s">
        <v>7</v>
      </c>
    </row>
    <row r="52" customFormat="false" ht="15" hidden="false" customHeight="false" outlineLevel="0" collapsed="false">
      <c r="A52" s="5" t="n">
        <f aca="false">RANDBETWEEN(2,164)</f>
        <v>64</v>
      </c>
      <c r="B52" s="5" t="n">
        <f aca="false" t="array" ref="B52:B52">INDEX(Data_DBD!$C:$C,$A52)</f>
        <v>1</v>
      </c>
      <c r="C52" s="5" t="n">
        <f aca="false" t="array" ref="C52:C52">INDEX(Data_DBD!$E:$E,$A52)</f>
        <v>0</v>
      </c>
      <c r="D52" s="5" t="str">
        <f aca="false" t="array" ref="D52:D52">INDEX(Data_DBD!$F:$F,$A52)</f>
        <v>Sedang</v>
      </c>
      <c r="H52" s="5" t="n">
        <v>110</v>
      </c>
      <c r="I52" s="5" t="n">
        <v>2</v>
      </c>
      <c r="J52" s="5" t="n">
        <v>1</v>
      </c>
      <c r="K52" s="5" t="s">
        <v>115</v>
      </c>
    </row>
    <row r="53" customFormat="false" ht="15" hidden="false" customHeight="false" outlineLevel="0" collapsed="false">
      <c r="A53" s="5" t="n">
        <f aca="false">RANDBETWEEN(2,164)</f>
        <v>12</v>
      </c>
      <c r="B53" s="5" t="n">
        <f aca="false" t="array" ref="B53:B53">INDEX(Data_DBD!$C:$C,$A53)</f>
        <v>3</v>
      </c>
      <c r="C53" s="5" t="n">
        <f aca="false" t="array" ref="C53:C53">INDEX(Data_DBD!$E:$E,$A53)</f>
        <v>0</v>
      </c>
      <c r="D53" s="5" t="str">
        <f aca="false" t="array" ref="D53:D53">INDEX(Data_DBD!$F:$F,$A53)</f>
        <v>Sedang</v>
      </c>
      <c r="H53" s="5" t="n">
        <v>98</v>
      </c>
      <c r="I53" s="5" t="n">
        <v>2</v>
      </c>
      <c r="J53" s="5" t="n">
        <v>1</v>
      </c>
      <c r="K53" s="5" t="s">
        <v>115</v>
      </c>
    </row>
    <row r="54" customFormat="false" ht="15" hidden="false" customHeight="false" outlineLevel="0" collapsed="false">
      <c r="A54" s="5" t="n">
        <f aca="false">RANDBETWEEN(2,164)</f>
        <v>85</v>
      </c>
      <c r="B54" s="5" t="n">
        <f aca="false" t="array" ref="B54:B54">INDEX(Data_DBD!$C:$C,$A54)</f>
        <v>9</v>
      </c>
      <c r="C54" s="5" t="n">
        <f aca="false" t="array" ref="C54:C54">INDEX(Data_DBD!$E:$E,$A54)</f>
        <v>0</v>
      </c>
      <c r="D54" s="5" t="str">
        <f aca="false" t="array" ref="D54:D54">INDEX(Data_DBD!$F:$F,$A54)</f>
        <v>Sedang</v>
      </c>
      <c r="H54" s="5" t="n">
        <v>6</v>
      </c>
      <c r="I54" s="5" t="n">
        <v>4</v>
      </c>
      <c r="J54" s="5" t="n">
        <v>0</v>
      </c>
      <c r="K54" s="5" t="s">
        <v>7</v>
      </c>
    </row>
    <row r="55" customFormat="false" ht="15" hidden="false" customHeight="false" outlineLevel="0" collapsed="false">
      <c r="A55" s="5" t="n">
        <f aca="false">RANDBETWEEN(2,164)</f>
        <v>77</v>
      </c>
      <c r="B55" s="5" t="n">
        <f aca="false" t="array" ref="B55:B55">INDEX(Data_DBD!$C:$C,$A55)</f>
        <v>4</v>
      </c>
      <c r="C55" s="5" t="n">
        <f aca="false" t="array" ref="C55:C55">INDEX(Data_DBD!$E:$E,$A55)</f>
        <v>1</v>
      </c>
      <c r="D55" s="5" t="str">
        <f aca="false" t="array" ref="D55:D55">INDEX(Data_DBD!$F:$F,$A55)</f>
        <v>Sedang</v>
      </c>
      <c r="H55" s="5" t="n">
        <v>155</v>
      </c>
      <c r="I55" s="5" t="n">
        <v>5</v>
      </c>
      <c r="J55" s="5" t="n">
        <v>1</v>
      </c>
      <c r="K55" s="5" t="s">
        <v>115</v>
      </c>
    </row>
    <row r="56" customFormat="false" ht="15" hidden="false" customHeight="false" outlineLevel="0" collapsed="false">
      <c r="A56" s="5" t="n">
        <f aca="false">RANDBETWEEN(2,164)</f>
        <v>123</v>
      </c>
      <c r="B56" s="5" t="n">
        <f aca="false" t="array" ref="B56:B56">INDEX(Data_DBD!$C:$C,$A56)</f>
        <v>4</v>
      </c>
      <c r="C56" s="5" t="n">
        <f aca="false" t="array" ref="C56:C56">INDEX(Data_DBD!$E:$E,$A56)</f>
        <v>0</v>
      </c>
      <c r="D56" s="5" t="str">
        <f aca="false" t="array" ref="D56:D56">INDEX(Data_DBD!$F:$F,$A56)</f>
        <v>Tinggi</v>
      </c>
      <c r="H56" s="5" t="n">
        <v>148</v>
      </c>
      <c r="I56" s="5" t="n">
        <v>3</v>
      </c>
      <c r="J56" s="5" t="n">
        <v>1</v>
      </c>
      <c r="K56" s="5" t="s">
        <v>115</v>
      </c>
    </row>
    <row r="57" customFormat="false" ht="15" hidden="false" customHeight="false" outlineLevel="0" collapsed="false">
      <c r="A57" s="5" t="n">
        <f aca="false">RANDBETWEEN(2,164)</f>
        <v>127</v>
      </c>
      <c r="B57" s="5" t="n">
        <f aca="false" t="array" ref="B57:B57">INDEX(Data_DBD!$C:$C,$A57)</f>
        <v>2</v>
      </c>
      <c r="C57" s="5" t="n">
        <f aca="false" t="array" ref="C57:C57">INDEX(Data_DBD!$E:$E,$A57)</f>
        <v>0</v>
      </c>
      <c r="D57" s="5" t="str">
        <f aca="false" t="array" ref="D57:D57">INDEX(Data_DBD!$F:$F,$A57)</f>
        <v>Tinggi</v>
      </c>
      <c r="H57" s="5" t="n">
        <v>98</v>
      </c>
      <c r="I57" s="5" t="n">
        <v>2</v>
      </c>
      <c r="J57" s="5" t="n">
        <v>1</v>
      </c>
      <c r="K57" s="5" t="s">
        <v>115</v>
      </c>
    </row>
    <row r="58" customFormat="false" ht="15" hidden="false" customHeight="false" outlineLevel="0" collapsed="false">
      <c r="A58" s="5" t="n">
        <f aca="false">RANDBETWEEN(2,164)</f>
        <v>53</v>
      </c>
      <c r="B58" s="5" t="n">
        <f aca="false" t="array" ref="B58:B58">INDEX(Data_DBD!$C:$C,$A58)</f>
        <v>4</v>
      </c>
      <c r="C58" s="5" t="n">
        <f aca="false" t="array" ref="C58:C58">INDEX(Data_DBD!$E:$E,$A58)</f>
        <v>1</v>
      </c>
      <c r="D58" s="5" t="str">
        <f aca="false" t="array" ref="D58:D58">INDEX(Data_DBD!$F:$F,$A58)</f>
        <v>Sedang</v>
      </c>
      <c r="H58" s="5" t="n">
        <v>129</v>
      </c>
      <c r="I58" s="5" t="n">
        <v>3</v>
      </c>
      <c r="J58" s="5" t="n">
        <v>0</v>
      </c>
      <c r="K58" s="5" t="s">
        <v>115</v>
      </c>
    </row>
    <row r="59" customFormat="false" ht="15" hidden="false" customHeight="false" outlineLevel="0" collapsed="false">
      <c r="A59" s="5" t="n">
        <f aca="false">RANDBETWEEN(2,164)</f>
        <v>100</v>
      </c>
      <c r="B59" s="5" t="n">
        <f aca="false" t="array" ref="B59:B59">INDEX(Data_DBD!$C:$C,$A59)</f>
        <v>6</v>
      </c>
      <c r="C59" s="5" t="n">
        <f aca="false" t="array" ref="C59:C59">INDEX(Data_DBD!$E:$E,$A59)</f>
        <v>0</v>
      </c>
      <c r="D59" s="5" t="str">
        <f aca="false" t="array" ref="D59:D59">INDEX(Data_DBD!$F:$F,$A59)</f>
        <v>Sedang</v>
      </c>
      <c r="H59" s="5" t="n">
        <v>144</v>
      </c>
      <c r="I59" s="5" t="n">
        <v>4</v>
      </c>
      <c r="J59" s="5" t="n">
        <v>1</v>
      </c>
      <c r="K59" s="5" t="s">
        <v>115</v>
      </c>
    </row>
    <row r="60" customFormat="false" ht="15" hidden="false" customHeight="false" outlineLevel="0" collapsed="false">
      <c r="A60" s="5" t="n">
        <f aca="false">RANDBETWEEN(2,164)</f>
        <v>152</v>
      </c>
      <c r="B60" s="5" t="n">
        <f aca="false" t="array" ref="B60:B60">INDEX(Data_DBD!$C:$C,$A60)</f>
        <v>3</v>
      </c>
      <c r="C60" s="5" t="n">
        <f aca="false" t="array" ref="C60:C60">INDEX(Data_DBD!$E:$E,$A60)</f>
        <v>1</v>
      </c>
      <c r="D60" s="5" t="str">
        <f aca="false" t="array" ref="D60:D60">INDEX(Data_DBD!$F:$F,$A60)</f>
        <v>Tinggi</v>
      </c>
      <c r="H60" s="5" t="n">
        <v>57</v>
      </c>
      <c r="I60" s="5" t="n">
        <v>2</v>
      </c>
      <c r="J60" s="5" t="n">
        <v>1</v>
      </c>
      <c r="K60" s="5" t="s">
        <v>7</v>
      </c>
    </row>
    <row r="61" customFormat="false" ht="15" hidden="false" customHeight="false" outlineLevel="0" collapsed="false">
      <c r="A61" s="5" t="n">
        <f aca="false">RANDBETWEEN(2,164)</f>
        <v>122</v>
      </c>
      <c r="B61" s="5" t="n">
        <f aca="false" t="array" ref="B61:B61">INDEX(Data_DBD!$C:$C,$A61)</f>
        <v>3</v>
      </c>
      <c r="C61" s="5" t="n">
        <f aca="false" t="array" ref="C61:C61">INDEX(Data_DBD!$E:$E,$A61)</f>
        <v>1</v>
      </c>
      <c r="D61" s="5" t="str">
        <f aca="false" t="array" ref="D61:D61">INDEX(Data_DBD!$F:$F,$A61)</f>
        <v>Tinggi</v>
      </c>
      <c r="H61" s="5" t="n">
        <v>55</v>
      </c>
      <c r="I61" s="5" t="n">
        <v>4</v>
      </c>
      <c r="J61" s="5" t="n">
        <v>1</v>
      </c>
      <c r="K61" s="5" t="s">
        <v>7</v>
      </c>
    </row>
    <row r="62" customFormat="false" ht="15" hidden="false" customHeight="false" outlineLevel="0" collapsed="false">
      <c r="A62" s="5" t="n">
        <f aca="false">RANDBETWEEN(2,164)</f>
        <v>36</v>
      </c>
      <c r="B62" s="5" t="n">
        <f aca="false" t="array" ref="B62:B62">INDEX(Data_DBD!$C:$C,$A62)</f>
        <v>1</v>
      </c>
      <c r="C62" s="5" t="n">
        <f aca="false" t="array" ref="C62:C62">INDEX(Data_DBD!$E:$E,$A62)</f>
        <v>1</v>
      </c>
      <c r="D62" s="5" t="str">
        <f aca="false" t="array" ref="D62:D62">INDEX(Data_DBD!$F:$F,$A62)</f>
        <v>Rendah</v>
      </c>
      <c r="H62" s="5" t="n">
        <v>68</v>
      </c>
      <c r="I62" s="5" t="n">
        <v>5</v>
      </c>
      <c r="J62" s="5" t="n">
        <v>0</v>
      </c>
      <c r="K62" s="5" t="s">
        <v>7</v>
      </c>
    </row>
    <row r="63" customFormat="false" ht="15" hidden="false" customHeight="false" outlineLevel="0" collapsed="false">
      <c r="A63" s="5" t="n">
        <f aca="false">RANDBETWEEN(2,164)</f>
        <v>12</v>
      </c>
      <c r="B63" s="5" t="n">
        <f aca="false" t="array" ref="B63:B63">INDEX(Data_DBD!$C:$C,$A63)</f>
        <v>3</v>
      </c>
      <c r="C63" s="5" t="n">
        <f aca="false" t="array" ref="C63:C63">INDEX(Data_DBD!$E:$E,$A63)</f>
        <v>0</v>
      </c>
      <c r="D63" s="5" t="str">
        <f aca="false" t="array" ref="D63:D63">INDEX(Data_DBD!$F:$F,$A63)</f>
        <v>Sedang</v>
      </c>
      <c r="H63" s="5" t="n">
        <v>161</v>
      </c>
      <c r="I63" s="5" t="n">
        <v>3</v>
      </c>
      <c r="J63" s="5" t="n">
        <v>1</v>
      </c>
      <c r="K63" s="5" t="s">
        <v>115</v>
      </c>
    </row>
    <row r="64" customFormat="false" ht="15" hidden="false" customHeight="false" outlineLevel="0" collapsed="false">
      <c r="A64" s="5" t="n">
        <f aca="false">RANDBETWEEN(2,164)</f>
        <v>75</v>
      </c>
      <c r="B64" s="5" t="n">
        <f aca="false" t="array" ref="B64:B64">INDEX(Data_DBD!$C:$C,$A64)</f>
        <v>2</v>
      </c>
      <c r="C64" s="5" t="n">
        <f aca="false" t="array" ref="C64:C64">INDEX(Data_DBD!$E:$E,$A64)</f>
        <v>1</v>
      </c>
      <c r="D64" s="5" t="str">
        <f aca="false" t="array" ref="D64:D64">INDEX(Data_DBD!$F:$F,$A64)</f>
        <v>Rendah</v>
      </c>
      <c r="H64" s="5" t="n">
        <v>16</v>
      </c>
      <c r="I64" s="5" t="n">
        <v>5</v>
      </c>
      <c r="J64" s="5" t="n">
        <v>1</v>
      </c>
      <c r="K64" s="5" t="s">
        <v>20</v>
      </c>
    </row>
    <row r="65" customFormat="false" ht="15" hidden="false" customHeight="false" outlineLevel="0" collapsed="false">
      <c r="A65" s="5" t="n">
        <f aca="false">RANDBETWEEN(2,164)</f>
        <v>155</v>
      </c>
      <c r="B65" s="5" t="n">
        <f aca="false" t="array" ref="B65:B65">INDEX(Data_DBD!$C:$C,$A65)</f>
        <v>5</v>
      </c>
      <c r="C65" s="5" t="n">
        <f aca="false" t="array" ref="C65:C65">INDEX(Data_DBD!$E:$E,$A65)</f>
        <v>1</v>
      </c>
      <c r="D65" s="5" t="str">
        <f aca="false" t="array" ref="D65:D65">INDEX(Data_DBD!$F:$F,$A65)</f>
        <v>Tinggi</v>
      </c>
      <c r="H65" s="5" t="n">
        <v>94</v>
      </c>
      <c r="I65" s="5" t="n">
        <v>4</v>
      </c>
      <c r="J65" s="5" t="n">
        <v>0</v>
      </c>
      <c r="K65" s="5" t="s">
        <v>115</v>
      </c>
    </row>
    <row r="66" customFormat="false" ht="15" hidden="false" customHeight="false" outlineLevel="0" collapsed="false">
      <c r="A66" s="5" t="n">
        <f aca="false">RANDBETWEEN(2,164)</f>
        <v>102</v>
      </c>
      <c r="B66" s="5" t="n">
        <f aca="false" t="array" ref="B66:B66">INDEX(Data_DBD!$C:$C,$A66)</f>
        <v>4</v>
      </c>
      <c r="C66" s="5" t="n">
        <f aca="false" t="array" ref="C66:C66">INDEX(Data_DBD!$E:$E,$A66)</f>
        <v>0</v>
      </c>
      <c r="D66" s="5" t="str">
        <f aca="false" t="array" ref="D66:D66">INDEX(Data_DBD!$F:$F,$A66)</f>
        <v>Sedang</v>
      </c>
      <c r="H66" s="5" t="n">
        <v>69</v>
      </c>
      <c r="I66" s="5" t="n">
        <v>4</v>
      </c>
      <c r="J66" s="5" t="n">
        <v>1</v>
      </c>
      <c r="K66" s="5" t="s">
        <v>7</v>
      </c>
    </row>
    <row r="67" customFormat="false" ht="15" hidden="false" customHeight="false" outlineLevel="0" collapsed="false">
      <c r="A67" s="5" t="n">
        <f aca="false">RANDBETWEEN(2,164)</f>
        <v>88</v>
      </c>
      <c r="B67" s="5" t="n">
        <f aca="false" t="array" ref="B67:B67">INDEX(Data_DBD!$C:$C,$A67)</f>
        <v>4</v>
      </c>
      <c r="C67" s="5" t="n">
        <f aca="false" t="array" ref="C67:C67">INDEX(Data_DBD!$E:$E,$A67)</f>
        <v>1</v>
      </c>
      <c r="D67" s="5" t="str">
        <f aca="false" t="array" ref="D67:D67">INDEX(Data_DBD!$F:$F,$A67)</f>
        <v>Sedang</v>
      </c>
      <c r="H67" s="5" t="n">
        <v>68</v>
      </c>
      <c r="I67" s="5" t="n">
        <v>5</v>
      </c>
      <c r="J67" s="5" t="n">
        <v>0</v>
      </c>
      <c r="K67" s="5" t="s">
        <v>7</v>
      </c>
    </row>
    <row r="68" customFormat="false" ht="15" hidden="false" customHeight="false" outlineLevel="0" collapsed="false">
      <c r="A68" s="5" t="n">
        <f aca="false">RANDBETWEEN(2,164)</f>
        <v>7</v>
      </c>
      <c r="B68" s="5" t="n">
        <f aca="false" t="array" ref="B68:B68">INDEX(Data_DBD!$C:$C,$A68)</f>
        <v>1</v>
      </c>
      <c r="C68" s="5" t="n">
        <f aca="false" t="array" ref="C68:C68">INDEX(Data_DBD!$E:$E,$A68)</f>
        <v>1</v>
      </c>
      <c r="D68" s="5" t="str">
        <f aca="false" t="array" ref="D68:D68">INDEX(Data_DBD!$F:$F,$A68)</f>
        <v>Sedang</v>
      </c>
      <c r="H68" s="5" t="n">
        <v>160</v>
      </c>
      <c r="I68" s="5" t="n">
        <v>3</v>
      </c>
      <c r="J68" s="5" t="n">
        <v>0</v>
      </c>
      <c r="K68" s="5" t="s">
        <v>115</v>
      </c>
    </row>
    <row r="69" customFormat="false" ht="15" hidden="false" customHeight="false" outlineLevel="0" collapsed="false">
      <c r="A69" s="5" t="n">
        <f aca="false">RANDBETWEEN(2,164)</f>
        <v>16</v>
      </c>
      <c r="B69" s="5" t="n">
        <f aca="false" t="array" ref="B69:B69">INDEX(Data_DBD!$C:$C,$A69)</f>
        <v>5</v>
      </c>
      <c r="C69" s="5" t="n">
        <f aca="false" t="array" ref="C69:C69">INDEX(Data_DBD!$E:$E,$A69)</f>
        <v>1</v>
      </c>
      <c r="D69" s="5" t="str">
        <f aca="false" t="array" ref="D69:D69">INDEX(Data_DBD!$F:$F,$A69)</f>
        <v>Rendah</v>
      </c>
      <c r="H69" s="5" t="n">
        <v>57</v>
      </c>
      <c r="I69" s="5" t="n">
        <v>2</v>
      </c>
      <c r="J69" s="5" t="n">
        <v>1</v>
      </c>
      <c r="K69" s="5" t="s">
        <v>7</v>
      </c>
    </row>
    <row r="70" customFormat="false" ht="15" hidden="false" customHeight="false" outlineLevel="0" collapsed="false">
      <c r="A70" s="5" t="n">
        <f aca="false">RANDBETWEEN(2,164)</f>
        <v>122</v>
      </c>
      <c r="B70" s="5" t="n">
        <f aca="false" t="array" ref="B70:B70">INDEX(Data_DBD!$C:$C,$A70)</f>
        <v>3</v>
      </c>
      <c r="C70" s="5" t="n">
        <f aca="false" t="array" ref="C70:C70">INDEX(Data_DBD!$E:$E,$A70)</f>
        <v>1</v>
      </c>
      <c r="D70" s="5" t="str">
        <f aca="false" t="array" ref="D70:D70">INDEX(Data_DBD!$F:$F,$A70)</f>
        <v>Tinggi</v>
      </c>
      <c r="H70" s="5" t="n">
        <v>15</v>
      </c>
      <c r="I70" s="5" t="n">
        <v>2</v>
      </c>
      <c r="J70" s="5" t="n">
        <v>0</v>
      </c>
      <c r="K70" s="5" t="s">
        <v>20</v>
      </c>
    </row>
    <row r="71" customFormat="false" ht="15" hidden="false" customHeight="false" outlineLevel="0" collapsed="false">
      <c r="A71" s="5" t="n">
        <f aca="false">RANDBETWEEN(2,164)</f>
        <v>153</v>
      </c>
      <c r="B71" s="5" t="n">
        <f aca="false" t="array" ref="B71:B71">INDEX(Data_DBD!$C:$C,$A71)</f>
        <v>7</v>
      </c>
      <c r="C71" s="5" t="n">
        <f aca="false" t="array" ref="C71:C71">INDEX(Data_DBD!$E:$E,$A71)</f>
        <v>1</v>
      </c>
      <c r="D71" s="5" t="str">
        <f aca="false" t="array" ref="D71:D71">INDEX(Data_DBD!$F:$F,$A71)</f>
        <v>Tinggi</v>
      </c>
      <c r="H71" s="5" t="n">
        <v>62</v>
      </c>
      <c r="I71" s="5" t="n">
        <v>4</v>
      </c>
      <c r="J71" s="5" t="n">
        <v>1</v>
      </c>
      <c r="K71" s="5" t="s">
        <v>7</v>
      </c>
    </row>
    <row r="72" customFormat="false" ht="15" hidden="false" customHeight="false" outlineLevel="0" collapsed="false">
      <c r="A72" s="5" t="n">
        <f aca="false">RANDBETWEEN(2,164)</f>
        <v>4</v>
      </c>
      <c r="B72" s="5" t="n">
        <f aca="false" t="array" ref="B72:B72">INDEX(Data_DBD!$C:$C,$A72)</f>
        <v>5</v>
      </c>
      <c r="C72" s="5" t="n">
        <f aca="false" t="array" ref="C72:C72">INDEX(Data_DBD!$E:$E,$A72)</f>
        <v>0</v>
      </c>
      <c r="D72" s="5" t="str">
        <f aca="false" t="array" ref="D72:D72">INDEX(Data_DBD!$F:$F,$A72)</f>
        <v>Sedang</v>
      </c>
      <c r="H72" s="5" t="n">
        <v>13</v>
      </c>
      <c r="I72" s="5" t="n">
        <v>2</v>
      </c>
      <c r="J72" s="5" t="n">
        <v>0</v>
      </c>
      <c r="K72" s="5" t="s">
        <v>7</v>
      </c>
    </row>
    <row r="73" customFormat="false" ht="15" hidden="false" customHeight="false" outlineLevel="0" collapsed="false">
      <c r="A73" s="5" t="n">
        <f aca="false">RANDBETWEEN(2,164)</f>
        <v>19</v>
      </c>
      <c r="B73" s="5" t="n">
        <f aca="false" t="array" ref="B73:B73">INDEX(Data_DBD!$C:$C,$A73)</f>
        <v>4</v>
      </c>
      <c r="C73" s="5" t="n">
        <f aca="false" t="array" ref="C73:C73">INDEX(Data_DBD!$E:$E,$A73)</f>
        <v>0</v>
      </c>
      <c r="D73" s="5" t="str">
        <f aca="false" t="array" ref="D73:D73">INDEX(Data_DBD!$F:$F,$A73)</f>
        <v>Rendah</v>
      </c>
      <c r="H73" s="5" t="n">
        <v>151</v>
      </c>
      <c r="I73" s="5" t="n">
        <v>3</v>
      </c>
      <c r="J73" s="5" t="n">
        <v>0</v>
      </c>
      <c r="K73" s="5" t="s">
        <v>115</v>
      </c>
    </row>
    <row r="74" customFormat="false" ht="15" hidden="false" customHeight="false" outlineLevel="0" collapsed="false">
      <c r="A74" s="5" t="n">
        <f aca="false">RANDBETWEEN(2,164)</f>
        <v>18</v>
      </c>
      <c r="B74" s="5" t="n">
        <f aca="false" t="array" ref="B74:B74">INDEX(Data_DBD!$C:$C,$A74)</f>
        <v>4</v>
      </c>
      <c r="C74" s="5" t="n">
        <f aca="false" t="array" ref="C74:C74">INDEX(Data_DBD!$E:$E,$A74)</f>
        <v>1</v>
      </c>
      <c r="D74" s="5" t="str">
        <f aca="false" t="array" ref="D74:D74">INDEX(Data_DBD!$F:$F,$A74)</f>
        <v>Rendah</v>
      </c>
      <c r="H74" s="5" t="n">
        <v>114</v>
      </c>
      <c r="I74" s="5" t="n">
        <v>2</v>
      </c>
      <c r="J74" s="5" t="n">
        <v>1</v>
      </c>
      <c r="K74" s="5" t="s">
        <v>115</v>
      </c>
    </row>
    <row r="75" customFormat="false" ht="15" hidden="false" customHeight="false" outlineLevel="0" collapsed="false">
      <c r="A75" s="5" t="n">
        <f aca="false">RANDBETWEEN(2,164)</f>
        <v>79</v>
      </c>
      <c r="B75" s="5" t="n">
        <f aca="false" t="array" ref="B75:B75">INDEX(Data_DBD!$C:$C,$A75)</f>
        <v>3</v>
      </c>
      <c r="C75" s="5" t="n">
        <f aca="false" t="array" ref="C75:C75">INDEX(Data_DBD!$E:$E,$A75)</f>
        <v>0</v>
      </c>
      <c r="D75" s="5" t="str">
        <f aca="false" t="array" ref="D75:D75">INDEX(Data_DBD!$F:$F,$A75)</f>
        <v>Sedang</v>
      </c>
      <c r="H75" s="5" t="n">
        <v>5</v>
      </c>
      <c r="I75" s="5" t="n">
        <v>2</v>
      </c>
      <c r="J75" s="5" t="n">
        <v>1</v>
      </c>
      <c r="K75" s="5" t="s">
        <v>7</v>
      </c>
    </row>
    <row r="76" customFormat="false" ht="15" hidden="false" customHeight="false" outlineLevel="0" collapsed="false">
      <c r="A76" s="5" t="n">
        <f aca="false">RANDBETWEEN(2,164)</f>
        <v>8</v>
      </c>
      <c r="B76" s="5" t="n">
        <f aca="false" t="array" ref="B76:B76">INDEX(Data_DBD!$C:$C,$A76)</f>
        <v>2</v>
      </c>
      <c r="C76" s="5" t="n">
        <f aca="false" t="array" ref="C76:C76">INDEX(Data_DBD!$E:$E,$A76)</f>
        <v>0</v>
      </c>
      <c r="D76" s="5" t="str">
        <f aca="false" t="array" ref="D76:D76">INDEX(Data_DBD!$F:$F,$A76)</f>
        <v>Sedang</v>
      </c>
      <c r="H76" s="5" t="n">
        <v>36</v>
      </c>
      <c r="I76" s="5" t="n">
        <v>1</v>
      </c>
      <c r="J76" s="5" t="n">
        <v>1</v>
      </c>
      <c r="K76" s="5" t="s">
        <v>20</v>
      </c>
    </row>
    <row r="77" customFormat="false" ht="15" hidden="false" customHeight="false" outlineLevel="0" collapsed="false">
      <c r="A77" s="5" t="n">
        <f aca="false">RANDBETWEEN(2,164)</f>
        <v>143</v>
      </c>
      <c r="B77" s="5" t="n">
        <f aca="false" t="array" ref="B77:B77">INDEX(Data_DBD!$C:$C,$A77)</f>
        <v>4</v>
      </c>
      <c r="C77" s="5" t="n">
        <f aca="false" t="array" ref="C77:C77">INDEX(Data_DBD!$E:$E,$A77)</f>
        <v>1</v>
      </c>
      <c r="D77" s="5" t="str">
        <f aca="false" t="array" ref="D77:D77">INDEX(Data_DBD!$F:$F,$A77)</f>
        <v>Tinggi</v>
      </c>
      <c r="H77" s="5" t="n">
        <v>44</v>
      </c>
      <c r="I77" s="5" t="n">
        <v>5</v>
      </c>
      <c r="J77" s="5" t="n">
        <v>1</v>
      </c>
      <c r="K77" s="5" t="s">
        <v>7</v>
      </c>
    </row>
    <row r="78" customFormat="false" ht="15" hidden="false" customHeight="false" outlineLevel="0" collapsed="false">
      <c r="A78" s="5" t="n">
        <f aca="false">RANDBETWEEN(2,164)</f>
        <v>78</v>
      </c>
      <c r="B78" s="5" t="n">
        <f aca="false" t="array" ref="B78:B78">INDEX(Data_DBD!$C:$C,$A78)</f>
        <v>3</v>
      </c>
      <c r="C78" s="5" t="n">
        <f aca="false" t="array" ref="C78:C78">INDEX(Data_DBD!$E:$E,$A78)</f>
        <v>0</v>
      </c>
      <c r="D78" s="5" t="str">
        <f aca="false" t="array" ref="D78:D78">INDEX(Data_DBD!$F:$F,$A78)</f>
        <v>Sedang</v>
      </c>
      <c r="H78" s="5" t="n">
        <v>45</v>
      </c>
      <c r="I78" s="5" t="n">
        <v>3</v>
      </c>
      <c r="J78" s="5" t="n">
        <v>1</v>
      </c>
      <c r="K78" s="5" t="s">
        <v>7</v>
      </c>
    </row>
    <row r="79" customFormat="false" ht="15" hidden="false" customHeight="false" outlineLevel="0" collapsed="false">
      <c r="A79" s="5" t="n">
        <f aca="false">RANDBETWEEN(2,164)</f>
        <v>49</v>
      </c>
      <c r="B79" s="5" t="n">
        <f aca="false" t="array" ref="B79:B79">INDEX(Data_DBD!$C:$C,$A79)</f>
        <v>5</v>
      </c>
      <c r="C79" s="5" t="n">
        <f aca="false" t="array" ref="C79:C79">INDEX(Data_DBD!$E:$E,$A79)</f>
        <v>0</v>
      </c>
      <c r="D79" s="5" t="str">
        <f aca="false" t="array" ref="D79:D79">INDEX(Data_DBD!$F:$F,$A79)</f>
        <v>Sedang</v>
      </c>
      <c r="H79" s="5" t="n">
        <v>121</v>
      </c>
      <c r="I79" s="5" t="n">
        <v>5</v>
      </c>
      <c r="J79" s="5" t="n">
        <v>1</v>
      </c>
      <c r="K79" s="5" t="s">
        <v>115</v>
      </c>
    </row>
    <row r="80" customFormat="false" ht="15" hidden="false" customHeight="false" outlineLevel="0" collapsed="false">
      <c r="A80" s="5" t="n">
        <f aca="false">RANDBETWEEN(2,164)</f>
        <v>106</v>
      </c>
      <c r="B80" s="5" t="n">
        <f aca="false" t="array" ref="B80:B80">INDEX(Data_DBD!$C:$C,$A80)</f>
        <v>3</v>
      </c>
      <c r="C80" s="5" t="n">
        <f aca="false" t="array" ref="C80:C80">INDEX(Data_DBD!$E:$E,$A80)</f>
        <v>1</v>
      </c>
      <c r="D80" s="5" t="str">
        <f aca="false" t="array" ref="D80:D80">INDEX(Data_DBD!$F:$F,$A80)</f>
        <v>Sedang</v>
      </c>
      <c r="H80" s="5" t="n">
        <v>52</v>
      </c>
      <c r="I80" s="5" t="n">
        <v>4</v>
      </c>
      <c r="J80" s="5" t="n">
        <v>1</v>
      </c>
      <c r="K80" s="5" t="s">
        <v>7</v>
      </c>
    </row>
    <row r="81" customFormat="false" ht="15" hidden="false" customHeight="false" outlineLevel="0" collapsed="false">
      <c r="A81" s="5" t="n">
        <f aca="false">RANDBETWEEN(2,164)</f>
        <v>102</v>
      </c>
      <c r="B81" s="5" t="n">
        <f aca="false" t="array" ref="B81:B81">INDEX(Data_DBD!$C:$C,$A81)</f>
        <v>4</v>
      </c>
      <c r="C81" s="5" t="n">
        <f aca="false" t="array" ref="C81:C81">INDEX(Data_DBD!$E:$E,$A81)</f>
        <v>0</v>
      </c>
      <c r="D81" s="5" t="str">
        <f aca="false" t="array" ref="D81:D81">INDEX(Data_DBD!$F:$F,$A81)</f>
        <v>Sedang</v>
      </c>
      <c r="H81" s="5" t="n">
        <v>123</v>
      </c>
      <c r="I81" s="5" t="n">
        <v>4</v>
      </c>
      <c r="J81" s="5" t="n">
        <v>0</v>
      </c>
      <c r="K81" s="5" t="s">
        <v>115</v>
      </c>
    </row>
    <row r="82" customFormat="false" ht="15" hidden="false" customHeight="false" outlineLevel="0" collapsed="false">
      <c r="A82" s="5" t="n">
        <f aca="false">RANDBETWEEN(2,164)</f>
        <v>18</v>
      </c>
      <c r="B82" s="5" t="n">
        <f aca="false" t="array" ref="B82:B82">INDEX(Data_DBD!$C:$C,$A82)</f>
        <v>4</v>
      </c>
      <c r="C82" s="5" t="n">
        <f aca="false" t="array" ref="C82:C82">INDEX(Data_DBD!$E:$E,$A82)</f>
        <v>1</v>
      </c>
      <c r="D82" s="5" t="str">
        <f aca="false" t="array" ref="D82:D82">INDEX(Data_DBD!$F:$F,$A82)</f>
        <v>Rendah</v>
      </c>
      <c r="H82" s="5" t="n">
        <v>112</v>
      </c>
      <c r="I82" s="5" t="n">
        <v>3</v>
      </c>
      <c r="J82" s="5" t="n">
        <v>1</v>
      </c>
      <c r="K82" s="5" t="s">
        <v>115</v>
      </c>
    </row>
    <row r="83" customFormat="false" ht="15" hidden="false" customHeight="false" outlineLevel="0" collapsed="false">
      <c r="A83" s="5" t="n">
        <f aca="false">RANDBETWEEN(2,164)</f>
        <v>40</v>
      </c>
      <c r="B83" s="5" t="n">
        <f aca="false" t="array" ref="B83:B83">INDEX(Data_DBD!$C:$C,$A83)</f>
        <v>3</v>
      </c>
      <c r="C83" s="5" t="n">
        <f aca="false" t="array" ref="C83:C83">INDEX(Data_DBD!$E:$E,$A83)</f>
        <v>1</v>
      </c>
      <c r="D83" s="5" t="str">
        <f aca="false" t="array" ref="D83:D83">INDEX(Data_DBD!$F:$F,$A83)</f>
        <v>Sedang</v>
      </c>
      <c r="H83" s="5" t="n">
        <v>11</v>
      </c>
      <c r="I83" s="5" t="n">
        <v>5</v>
      </c>
      <c r="J83" s="5" t="n">
        <v>1</v>
      </c>
      <c r="K83" s="5" t="s">
        <v>7</v>
      </c>
    </row>
    <row r="84" customFormat="false" ht="15" hidden="false" customHeight="false" outlineLevel="0" collapsed="false">
      <c r="A84" s="5" t="n">
        <f aca="false">RANDBETWEEN(2,164)</f>
        <v>62</v>
      </c>
      <c r="B84" s="5" t="n">
        <f aca="false" t="array" ref="B84:B84">INDEX(Data_DBD!$C:$C,$A84)</f>
        <v>4</v>
      </c>
      <c r="C84" s="5" t="n">
        <f aca="false" t="array" ref="C84:C84">INDEX(Data_DBD!$E:$E,$A84)</f>
        <v>1</v>
      </c>
      <c r="D84" s="5" t="str">
        <f aca="false" t="array" ref="D84:D84">INDEX(Data_DBD!$F:$F,$A84)</f>
        <v>Sedang</v>
      </c>
      <c r="H84" s="5" t="n">
        <v>35</v>
      </c>
      <c r="I84" s="5" t="n">
        <v>3</v>
      </c>
      <c r="J84" s="5" t="n">
        <v>1</v>
      </c>
      <c r="K84" s="5" t="s">
        <v>20</v>
      </c>
    </row>
    <row r="85" customFormat="false" ht="15" hidden="false" customHeight="false" outlineLevel="0" collapsed="false">
      <c r="A85" s="5" t="n">
        <f aca="false">RANDBETWEEN(2,164)</f>
        <v>74</v>
      </c>
      <c r="B85" s="5" t="n">
        <f aca="false" t="array" ref="B85:B85">INDEX(Data_DBD!$C:$C,$A85)</f>
        <v>4</v>
      </c>
      <c r="C85" s="5" t="n">
        <f aca="false" t="array" ref="C85:C85">INDEX(Data_DBD!$E:$E,$A85)</f>
        <v>0</v>
      </c>
      <c r="D85" s="5" t="str">
        <f aca="false" t="array" ref="D85:D85">INDEX(Data_DBD!$F:$F,$A85)</f>
        <v>Rendah</v>
      </c>
      <c r="H85" s="5" t="n">
        <v>48</v>
      </c>
      <c r="I85" s="5" t="n">
        <v>5</v>
      </c>
      <c r="J85" s="5" t="n">
        <v>1</v>
      </c>
      <c r="K85" s="5" t="s">
        <v>7</v>
      </c>
    </row>
    <row r="86" customFormat="false" ht="15" hidden="false" customHeight="false" outlineLevel="0" collapsed="false">
      <c r="A86" s="5" t="n">
        <f aca="false">RANDBETWEEN(2,164)</f>
        <v>39</v>
      </c>
      <c r="B86" s="5" t="n">
        <f aca="false" t="array" ref="B86:B86">INDEX(Data_DBD!$C:$C,$A86)</f>
        <v>5</v>
      </c>
      <c r="C86" s="5" t="n">
        <f aca="false" t="array" ref="C86:C86">INDEX(Data_DBD!$E:$E,$A86)</f>
        <v>1</v>
      </c>
      <c r="D86" s="5" t="str">
        <f aca="false" t="array" ref="D86:D86">INDEX(Data_DBD!$F:$F,$A86)</f>
        <v>Sedang</v>
      </c>
      <c r="H86" s="5" t="n">
        <v>159</v>
      </c>
      <c r="I86" s="5" t="n">
        <v>2</v>
      </c>
      <c r="J86" s="5" t="n">
        <v>0</v>
      </c>
      <c r="K86" s="5" t="s">
        <v>115</v>
      </c>
    </row>
    <row r="87" customFormat="false" ht="15" hidden="false" customHeight="false" outlineLevel="0" collapsed="false">
      <c r="A87" s="5" t="n">
        <f aca="false">RANDBETWEEN(2,164)</f>
        <v>93</v>
      </c>
      <c r="B87" s="5" t="n">
        <f aca="false" t="array" ref="B87:B87">INDEX(Data_DBD!$C:$C,$A87)</f>
        <v>4</v>
      </c>
      <c r="C87" s="5" t="n">
        <f aca="false" t="array" ref="C87:C87">INDEX(Data_DBD!$E:$E,$A87)</f>
        <v>0</v>
      </c>
      <c r="D87" s="5" t="str">
        <f aca="false" t="array" ref="D87:D87">INDEX(Data_DBD!$F:$F,$A87)</f>
        <v>Sedang</v>
      </c>
      <c r="H87" s="5" t="n">
        <v>155</v>
      </c>
      <c r="I87" s="5" t="n">
        <v>5</v>
      </c>
      <c r="J87" s="5" t="n">
        <v>1</v>
      </c>
      <c r="K87" s="5" t="s">
        <v>115</v>
      </c>
    </row>
    <row r="88" customFormat="false" ht="15" hidden="false" customHeight="false" outlineLevel="0" collapsed="false">
      <c r="A88" s="5" t="n">
        <f aca="false">RANDBETWEEN(2,164)</f>
        <v>87</v>
      </c>
      <c r="B88" s="5" t="n">
        <f aca="false" t="array" ref="B88:B88">INDEX(Data_DBD!$C:$C,$A88)</f>
        <v>3</v>
      </c>
      <c r="C88" s="5" t="n">
        <f aca="false" t="array" ref="C88:C88">INDEX(Data_DBD!$E:$E,$A88)</f>
        <v>0</v>
      </c>
      <c r="D88" s="5" t="str">
        <f aca="false" t="array" ref="D88:D88">INDEX(Data_DBD!$F:$F,$A88)</f>
        <v>Sedang</v>
      </c>
      <c r="H88" s="5" t="n">
        <v>58</v>
      </c>
      <c r="I88" s="5" t="n">
        <v>3</v>
      </c>
      <c r="J88" s="5" t="n">
        <v>0</v>
      </c>
      <c r="K88" s="5" t="s">
        <v>7</v>
      </c>
    </row>
    <row r="89" customFormat="false" ht="15" hidden="false" customHeight="false" outlineLevel="0" collapsed="false">
      <c r="A89" s="5" t="n">
        <f aca="false">RANDBETWEEN(2,164)</f>
        <v>57</v>
      </c>
      <c r="B89" s="5" t="n">
        <f aca="false" t="array" ref="B89:B89">INDEX(Data_DBD!$C:$C,$A89)</f>
        <v>2</v>
      </c>
      <c r="C89" s="5" t="n">
        <f aca="false" t="array" ref="C89:C89">INDEX(Data_DBD!$E:$E,$A89)</f>
        <v>1</v>
      </c>
      <c r="D89" s="5" t="str">
        <f aca="false" t="array" ref="D89:D89">INDEX(Data_DBD!$F:$F,$A89)</f>
        <v>Sedang</v>
      </c>
      <c r="H89" s="5" t="n">
        <v>102</v>
      </c>
      <c r="I89" s="5" t="n">
        <v>4</v>
      </c>
      <c r="J89" s="5" t="n">
        <v>0</v>
      </c>
      <c r="K89" s="5" t="s">
        <v>115</v>
      </c>
    </row>
    <row r="90" customFormat="false" ht="15" hidden="false" customHeight="false" outlineLevel="0" collapsed="false">
      <c r="A90" s="5" t="n">
        <f aca="false">RANDBETWEEN(2,164)</f>
        <v>23</v>
      </c>
      <c r="B90" s="5" t="n">
        <f aca="false" t="array" ref="B90:B90">INDEX(Data_DBD!$C:$C,$A90)</f>
        <v>4</v>
      </c>
      <c r="C90" s="5" t="n">
        <f aca="false" t="array" ref="C90:C90">INDEX(Data_DBD!$E:$E,$A90)</f>
        <v>1</v>
      </c>
      <c r="D90" s="5" t="str">
        <f aca="false" t="array" ref="D90:D90">INDEX(Data_DBD!$F:$F,$A90)</f>
        <v>Sedang</v>
      </c>
      <c r="H90" s="5" t="n">
        <v>75</v>
      </c>
      <c r="I90" s="5" t="n">
        <v>2</v>
      </c>
      <c r="J90" s="5" t="n">
        <v>1</v>
      </c>
      <c r="K90" s="5" t="s">
        <v>7</v>
      </c>
    </row>
    <row r="91" customFormat="false" ht="15" hidden="false" customHeight="false" outlineLevel="0" collapsed="false">
      <c r="A91" s="5" t="n">
        <f aca="false">RANDBETWEEN(2,164)</f>
        <v>12</v>
      </c>
      <c r="B91" s="5" t="n">
        <f aca="false" t="array" ref="B91:B91">INDEX(Data_DBD!$C:$C,$A91)</f>
        <v>3</v>
      </c>
      <c r="C91" s="5" t="n">
        <f aca="false" t="array" ref="C91:C91">INDEX(Data_DBD!$E:$E,$A91)</f>
        <v>0</v>
      </c>
      <c r="D91" s="5" t="str">
        <f aca="false" t="array" ref="D91:D91">INDEX(Data_DBD!$F:$F,$A91)</f>
        <v>Sedang</v>
      </c>
      <c r="H91" s="5" t="n">
        <v>8</v>
      </c>
      <c r="I91" s="5" t="n">
        <v>2</v>
      </c>
      <c r="J91" s="5" t="n">
        <v>0</v>
      </c>
      <c r="K91" s="5" t="s">
        <v>7</v>
      </c>
    </row>
    <row r="92" customFormat="false" ht="15" hidden="false" customHeight="false" outlineLevel="0" collapsed="false">
      <c r="A92" s="5" t="n">
        <f aca="false">RANDBETWEEN(2,164)</f>
        <v>87</v>
      </c>
      <c r="B92" s="5" t="n">
        <f aca="false" t="array" ref="B92:B92">INDEX(Data_DBD!$C:$C,$A92)</f>
        <v>3</v>
      </c>
      <c r="C92" s="5" t="n">
        <f aca="false" t="array" ref="C92:C92">INDEX(Data_DBD!$E:$E,$A92)</f>
        <v>0</v>
      </c>
      <c r="D92" s="5" t="str">
        <f aca="false" t="array" ref="D92:D92">INDEX(Data_DBD!$F:$F,$A92)</f>
        <v>Sedang</v>
      </c>
      <c r="H92" s="5" t="n">
        <v>64</v>
      </c>
      <c r="I92" s="5" t="n">
        <v>1</v>
      </c>
      <c r="J92" s="5" t="n">
        <v>0</v>
      </c>
      <c r="K92" s="5" t="s">
        <v>7</v>
      </c>
    </row>
    <row r="93" customFormat="false" ht="15" hidden="false" customHeight="false" outlineLevel="0" collapsed="false">
      <c r="A93" s="5" t="n">
        <f aca="false">RANDBETWEEN(2,164)</f>
        <v>88</v>
      </c>
      <c r="B93" s="5" t="n">
        <f aca="false" t="array" ref="B93:B93">INDEX(Data_DBD!$C:$C,$A93)</f>
        <v>4</v>
      </c>
      <c r="C93" s="5" t="n">
        <f aca="false" t="array" ref="C93:C93">INDEX(Data_DBD!$E:$E,$A93)</f>
        <v>1</v>
      </c>
      <c r="D93" s="5" t="str">
        <f aca="false" t="array" ref="D93:D93">INDEX(Data_DBD!$F:$F,$A93)</f>
        <v>Sedang</v>
      </c>
      <c r="H93" s="5" t="n">
        <v>160</v>
      </c>
      <c r="I93" s="5" t="n">
        <v>3</v>
      </c>
      <c r="J93" s="5" t="n">
        <v>0</v>
      </c>
      <c r="K93" s="5" t="s">
        <v>115</v>
      </c>
    </row>
    <row r="94" customFormat="false" ht="15" hidden="false" customHeight="false" outlineLevel="0" collapsed="false">
      <c r="A94" s="5" t="n">
        <f aca="false">RANDBETWEEN(2,164)</f>
        <v>106</v>
      </c>
      <c r="B94" s="5" t="n">
        <f aca="false" t="array" ref="B94:B94">INDEX(Data_DBD!$C:$C,$A94)</f>
        <v>3</v>
      </c>
      <c r="C94" s="5" t="n">
        <f aca="false" t="array" ref="C94:C94">INDEX(Data_DBD!$E:$E,$A94)</f>
        <v>1</v>
      </c>
      <c r="D94" s="5" t="str">
        <f aca="false" t="array" ref="D94:D94">INDEX(Data_DBD!$F:$F,$A94)</f>
        <v>Sedang</v>
      </c>
      <c r="H94" s="5" t="n">
        <v>115</v>
      </c>
      <c r="I94" s="5" t="n">
        <v>3</v>
      </c>
      <c r="J94" s="5" t="n">
        <v>1</v>
      </c>
      <c r="K94" s="5" t="s">
        <v>115</v>
      </c>
    </row>
    <row r="95" customFormat="false" ht="15" hidden="false" customHeight="false" outlineLevel="0" collapsed="false">
      <c r="A95" s="5" t="n">
        <f aca="false">RANDBETWEEN(2,164)</f>
        <v>69</v>
      </c>
      <c r="B95" s="5" t="n">
        <f aca="false" t="array" ref="B95:B95">INDEX(Data_DBD!$C:$C,$A95)</f>
        <v>4</v>
      </c>
      <c r="C95" s="5" t="n">
        <f aca="false" t="array" ref="C95:C95">INDEX(Data_DBD!$E:$E,$A95)</f>
        <v>1</v>
      </c>
      <c r="D95" s="5" t="str">
        <f aca="false" t="array" ref="D95:D95">INDEX(Data_DBD!$F:$F,$A95)</f>
        <v>Rendah</v>
      </c>
      <c r="H95" s="5" t="n">
        <v>88</v>
      </c>
      <c r="I95" s="5" t="n">
        <v>4</v>
      </c>
      <c r="J95" s="5" t="n">
        <v>1</v>
      </c>
      <c r="K95" s="5" t="s">
        <v>7</v>
      </c>
    </row>
    <row r="96" customFormat="false" ht="15" hidden="false" customHeight="false" outlineLevel="0" collapsed="false">
      <c r="A96" s="5" t="n">
        <f aca="false">RANDBETWEEN(2,164)</f>
        <v>164</v>
      </c>
      <c r="B96" s="5" t="n">
        <f aca="false" t="array" ref="B96:B96">INDEX(Data_DBD!$C:$C,$A96)</f>
        <v>6</v>
      </c>
      <c r="C96" s="5" t="n">
        <f aca="false" t="array" ref="C96:C96">INDEX(Data_DBD!$E:$E,$A96)</f>
        <v>0</v>
      </c>
      <c r="D96" s="5" t="str">
        <f aca="false" t="array" ref="D96:D96">INDEX(Data_DBD!$F:$F,$A96)</f>
        <v>Rendah</v>
      </c>
      <c r="H96" s="5" t="n">
        <v>126</v>
      </c>
      <c r="I96" s="5" t="n">
        <v>3</v>
      </c>
      <c r="J96" s="5" t="n">
        <v>1</v>
      </c>
      <c r="K96" s="5" t="s">
        <v>115</v>
      </c>
    </row>
    <row r="97" customFormat="false" ht="15" hidden="false" customHeight="false" outlineLevel="0" collapsed="false">
      <c r="A97" s="5" t="n">
        <f aca="false">RANDBETWEEN(2,164)</f>
        <v>90</v>
      </c>
      <c r="B97" s="5" t="n">
        <f aca="false" t="array" ref="B97:B97">INDEX(Data_DBD!$C:$C,$A97)</f>
        <v>3</v>
      </c>
      <c r="C97" s="5" t="n">
        <f aca="false" t="array" ref="C97:C97">INDEX(Data_DBD!$E:$E,$A97)</f>
        <v>0</v>
      </c>
      <c r="D97" s="5" t="str">
        <f aca="false" t="array" ref="D97:D97">INDEX(Data_DBD!$F:$F,$A97)</f>
        <v>Sedang</v>
      </c>
      <c r="H97" s="5" t="n">
        <v>141</v>
      </c>
      <c r="I97" s="5" t="n">
        <v>2</v>
      </c>
      <c r="J97" s="5" t="n">
        <v>0</v>
      </c>
      <c r="K97" s="5" t="s">
        <v>115</v>
      </c>
    </row>
    <row r="98" customFormat="false" ht="15" hidden="false" customHeight="false" outlineLevel="0" collapsed="false">
      <c r="A98" s="5" t="n">
        <f aca="false">RANDBETWEEN(2,164)</f>
        <v>34</v>
      </c>
      <c r="B98" s="5" t="n">
        <f aca="false" t="array" ref="B98:B98">INDEX(Data_DBD!$C:$C,$A98)</f>
        <v>3</v>
      </c>
      <c r="C98" s="5" t="n">
        <f aca="false" t="array" ref="C98:C98">INDEX(Data_DBD!$E:$E,$A98)</f>
        <v>0</v>
      </c>
      <c r="D98" s="5" t="str">
        <f aca="false" t="array" ref="D98:D98">INDEX(Data_DBD!$F:$F,$A98)</f>
        <v>Sedang</v>
      </c>
      <c r="H98" s="5" t="n">
        <v>108</v>
      </c>
      <c r="I98" s="5" t="n">
        <v>7</v>
      </c>
      <c r="J98" s="5" t="n">
        <v>1</v>
      </c>
      <c r="K98" s="5" t="s">
        <v>115</v>
      </c>
    </row>
    <row r="99" customFormat="false" ht="15" hidden="false" customHeight="false" outlineLevel="0" collapsed="false">
      <c r="A99" s="5" t="n">
        <f aca="false">RANDBETWEEN(2,164)</f>
        <v>161</v>
      </c>
      <c r="B99" s="5" t="n">
        <f aca="false" t="array" ref="B99:B99">INDEX(Data_DBD!$C:$C,$A99)</f>
        <v>3</v>
      </c>
      <c r="C99" s="5" t="n">
        <f aca="false" t="array" ref="C99:C99">INDEX(Data_DBD!$E:$E,$A99)</f>
        <v>1</v>
      </c>
      <c r="D99" s="5" t="str">
        <f aca="false" t="array" ref="D99:D99">INDEX(Data_DBD!$F:$F,$A99)</f>
        <v>Tinggi</v>
      </c>
      <c r="H99" s="5" t="n">
        <v>14</v>
      </c>
      <c r="I99" s="5" t="n">
        <v>4</v>
      </c>
      <c r="J99" s="5" t="n">
        <v>1</v>
      </c>
      <c r="K99" s="5" t="s">
        <v>20</v>
      </c>
    </row>
    <row r="100" customFormat="false" ht="15" hidden="false" customHeight="false" outlineLevel="0" collapsed="false">
      <c r="A100" s="5" t="n">
        <f aca="false">RANDBETWEEN(2,164)</f>
        <v>2</v>
      </c>
      <c r="B100" s="5" t="n">
        <f aca="false" t="array" ref="B100:B100">INDEX(Data_DBD!$C:$C,$A100)</f>
        <v>3</v>
      </c>
      <c r="C100" s="5" t="n">
        <f aca="false" t="array" ref="C100:C100">INDEX(Data_DBD!$E:$E,$A100)</f>
        <v>0</v>
      </c>
      <c r="D100" s="5" t="str">
        <f aca="false" t="array" ref="D100:D100">INDEX(Data_DBD!$F:$F,$A100)</f>
        <v>Sedang</v>
      </c>
      <c r="H100" s="5" t="n">
        <v>93</v>
      </c>
      <c r="I100" s="5" t="n">
        <v>4</v>
      </c>
      <c r="J100" s="5" t="n">
        <v>0</v>
      </c>
      <c r="K100" s="5" t="s">
        <v>115</v>
      </c>
    </row>
    <row r="101" customFormat="false" ht="15" hidden="false" customHeight="false" outlineLevel="0" collapsed="false">
      <c r="A101" s="5" t="n">
        <f aca="false">RANDBETWEEN(2,164)</f>
        <v>157</v>
      </c>
      <c r="B101" s="5" t="n">
        <f aca="false" t="array" ref="B101:B101">INDEX(Data_DBD!$C:$C,$A101)</f>
        <v>4</v>
      </c>
      <c r="C101" s="5" t="n">
        <f aca="false" t="array" ref="C101:C101">INDEX(Data_DBD!$E:$E,$A101)</f>
        <v>1</v>
      </c>
      <c r="D101" s="5" t="str">
        <f aca="false" t="array" ref="D101:D101">INDEX(Data_DBD!$F:$F,$A101)</f>
        <v>Tinggi</v>
      </c>
      <c r="H101" s="5" t="n">
        <v>120</v>
      </c>
      <c r="I101" s="5" t="n">
        <v>4</v>
      </c>
      <c r="J101" s="5" t="n">
        <v>1</v>
      </c>
      <c r="K101" s="5" t="s">
        <v>115</v>
      </c>
    </row>
    <row r="102" customFormat="false" ht="15" hidden="false" customHeight="false" outlineLevel="0" collapsed="false">
      <c r="A102" s="5" t="n">
        <f aca="false">RANDBETWEEN(2,164)</f>
        <v>118</v>
      </c>
      <c r="B102" s="5" t="n">
        <f aca="false" t="array" ref="B102:B102">INDEX(Data_DBD!$C:$C,$A102)</f>
        <v>4</v>
      </c>
      <c r="C102" s="5" t="n">
        <f aca="false" t="array" ref="C102:C102">INDEX(Data_DBD!$E:$E,$A102)</f>
        <v>1</v>
      </c>
      <c r="D102" s="5" t="str">
        <f aca="false" t="array" ref="D102:D102">INDEX(Data_DBD!$F:$F,$A102)</f>
        <v>Tinggi</v>
      </c>
      <c r="H102" s="5" t="n">
        <v>18</v>
      </c>
      <c r="I102" s="5" t="n">
        <v>4</v>
      </c>
      <c r="J102" s="5" t="n">
        <v>1</v>
      </c>
      <c r="K102" s="5" t="s">
        <v>20</v>
      </c>
    </row>
    <row r="103" customFormat="false" ht="15" hidden="false" customHeight="false" outlineLevel="0" collapsed="false">
      <c r="A103" s="5" t="n">
        <f aca="false">RANDBETWEEN(2,164)</f>
        <v>38</v>
      </c>
      <c r="B103" s="5" t="n">
        <f aca="false" t="array" ref="B103:B103">INDEX(Data_DBD!$C:$C,$A103)</f>
        <v>3</v>
      </c>
      <c r="C103" s="5" t="n">
        <f aca="false" t="array" ref="C103:C103">INDEX(Data_DBD!$E:$E,$A103)</f>
        <v>1</v>
      </c>
      <c r="D103" s="5" t="str">
        <f aca="false" t="array" ref="D103:D103">INDEX(Data_DBD!$F:$F,$A103)</f>
        <v>Rendah</v>
      </c>
      <c r="H103" s="5" t="n">
        <v>145</v>
      </c>
      <c r="I103" s="5" t="n">
        <v>4</v>
      </c>
      <c r="J103" s="5" t="n">
        <v>1</v>
      </c>
      <c r="K103" s="5" t="s">
        <v>115</v>
      </c>
    </row>
    <row r="104" customFormat="false" ht="15" hidden="false" customHeight="false" outlineLevel="0" collapsed="false">
      <c r="A104" s="5" t="n">
        <f aca="false">RANDBETWEEN(2,164)</f>
        <v>36</v>
      </c>
      <c r="B104" s="5" t="n">
        <f aca="false" t="array" ref="B104:B104">INDEX(Data_DBD!$C:$C,$A104)</f>
        <v>1</v>
      </c>
      <c r="C104" s="5" t="n">
        <f aca="false" t="array" ref="C104:C104">INDEX(Data_DBD!$E:$E,$A104)</f>
        <v>1</v>
      </c>
      <c r="D104" s="5" t="str">
        <f aca="false" t="array" ref="D104:D104">INDEX(Data_DBD!$F:$F,$A104)</f>
        <v>Rendah</v>
      </c>
      <c r="H104" s="5" t="n">
        <v>58</v>
      </c>
      <c r="I104" s="5" t="n">
        <v>3</v>
      </c>
      <c r="J104" s="5" t="n">
        <v>0</v>
      </c>
      <c r="K104" s="5" t="s">
        <v>7</v>
      </c>
    </row>
    <row r="105" customFormat="false" ht="15" hidden="false" customHeight="false" outlineLevel="0" collapsed="false">
      <c r="A105" s="5" t="n">
        <f aca="false">RANDBETWEEN(2,164)</f>
        <v>107</v>
      </c>
      <c r="B105" s="5" t="n">
        <f aca="false" t="array" ref="B105:B105">INDEX(Data_DBD!$C:$C,$A105)</f>
        <v>5</v>
      </c>
      <c r="C105" s="5" t="n">
        <f aca="false" t="array" ref="C105:C105">INDEX(Data_DBD!$E:$E,$A105)</f>
        <v>0</v>
      </c>
      <c r="D105" s="5" t="str">
        <f aca="false" t="array" ref="D105:D105">INDEX(Data_DBD!$F:$F,$A105)</f>
        <v>Sedang</v>
      </c>
      <c r="H105" s="5" t="n">
        <v>73</v>
      </c>
      <c r="I105" s="5" t="n">
        <v>3</v>
      </c>
      <c r="J105" s="5" t="n">
        <v>1</v>
      </c>
      <c r="K105" s="5" t="s">
        <v>7</v>
      </c>
    </row>
    <row r="106" customFormat="false" ht="15" hidden="false" customHeight="false" outlineLevel="0" collapsed="false">
      <c r="A106" s="5" t="n">
        <f aca="false">RANDBETWEEN(2,164)</f>
        <v>124</v>
      </c>
      <c r="B106" s="5" t="n">
        <f aca="false" t="array" ref="B106:B106">INDEX(Data_DBD!$C:$C,$A106)</f>
        <v>3</v>
      </c>
      <c r="C106" s="5" t="n">
        <f aca="false" t="array" ref="C106:C106">INDEX(Data_DBD!$E:$E,$A106)</f>
        <v>1</v>
      </c>
      <c r="D106" s="5" t="str">
        <f aca="false" t="array" ref="D106:D106">INDEX(Data_DBD!$F:$F,$A106)</f>
        <v>Tinggi</v>
      </c>
      <c r="H106" s="5" t="n">
        <v>114</v>
      </c>
      <c r="I106" s="5" t="n">
        <v>2</v>
      </c>
      <c r="J106" s="5" t="n">
        <v>1</v>
      </c>
      <c r="K106" s="5" t="s">
        <v>115</v>
      </c>
    </row>
    <row r="107" customFormat="false" ht="15" hidden="false" customHeight="false" outlineLevel="0" collapsed="false">
      <c r="A107" s="5" t="n">
        <f aca="false">RANDBETWEEN(2,164)</f>
        <v>131</v>
      </c>
      <c r="B107" s="5" t="n">
        <f aca="false" t="array" ref="B107:B107">INDEX(Data_DBD!$C:$C,$A107)</f>
        <v>2</v>
      </c>
      <c r="C107" s="5" t="n">
        <f aca="false" t="array" ref="C107:C107">INDEX(Data_DBD!$E:$E,$A107)</f>
        <v>0</v>
      </c>
      <c r="D107" s="5" t="str">
        <f aca="false" t="array" ref="D107:D107">INDEX(Data_DBD!$F:$F,$A107)</f>
        <v>Tinggi</v>
      </c>
      <c r="H107" s="5" t="n">
        <v>15</v>
      </c>
      <c r="I107" s="5" t="n">
        <v>2</v>
      </c>
      <c r="J107" s="5" t="n">
        <v>0</v>
      </c>
      <c r="K107" s="5" t="s">
        <v>20</v>
      </c>
    </row>
    <row r="108" customFormat="false" ht="15" hidden="false" customHeight="false" outlineLevel="0" collapsed="false">
      <c r="A108" s="5" t="n">
        <f aca="false">RANDBETWEEN(2,164)</f>
        <v>43</v>
      </c>
      <c r="B108" s="5" t="n">
        <f aca="false" t="array" ref="B108:B108">INDEX(Data_DBD!$C:$C,$A108)</f>
        <v>4</v>
      </c>
      <c r="C108" s="5" t="n">
        <f aca="false" t="array" ref="C108:C108">INDEX(Data_DBD!$E:$E,$A108)</f>
        <v>0</v>
      </c>
      <c r="D108" s="5" t="str">
        <f aca="false" t="array" ref="D108:D108">INDEX(Data_DBD!$F:$F,$A108)</f>
        <v>Sedang</v>
      </c>
      <c r="H108" s="5" t="n">
        <v>110</v>
      </c>
      <c r="I108" s="5" t="n">
        <v>2</v>
      </c>
      <c r="J108" s="5" t="n">
        <v>1</v>
      </c>
      <c r="K108" s="5" t="s">
        <v>115</v>
      </c>
    </row>
    <row r="109" customFormat="false" ht="15" hidden="false" customHeight="false" outlineLevel="0" collapsed="false">
      <c r="A109" s="5" t="n">
        <f aca="false">RANDBETWEEN(2,164)</f>
        <v>163</v>
      </c>
      <c r="B109" s="5" t="n">
        <f aca="false" t="array" ref="B109:B109">INDEX(Data_DBD!$C:$C,$A109)</f>
        <v>4</v>
      </c>
      <c r="C109" s="5" t="n">
        <f aca="false" t="array" ref="C109:C109">INDEX(Data_DBD!$E:$E,$A109)</f>
        <v>1</v>
      </c>
      <c r="D109" s="5" t="str">
        <f aca="false" t="array" ref="D109:D109">INDEX(Data_DBD!$F:$F,$A109)</f>
        <v>Rendah</v>
      </c>
      <c r="H109" s="5" t="n">
        <v>80</v>
      </c>
      <c r="I109" s="5" t="n">
        <v>3</v>
      </c>
      <c r="J109" s="5" t="n">
        <v>1</v>
      </c>
      <c r="K109" s="5" t="s">
        <v>7</v>
      </c>
    </row>
    <row r="110" customFormat="false" ht="15" hidden="false" customHeight="false" outlineLevel="0" collapsed="false">
      <c r="A110" s="5" t="n">
        <f aca="false">RANDBETWEEN(2,164)</f>
        <v>8</v>
      </c>
      <c r="B110" s="5" t="n">
        <f aca="false" t="array" ref="B110:B110">INDEX(Data_DBD!$C:$C,$A110)</f>
        <v>2</v>
      </c>
      <c r="C110" s="5" t="n">
        <f aca="false" t="array" ref="C110:C110">INDEX(Data_DBD!$E:$E,$A110)</f>
        <v>0</v>
      </c>
      <c r="D110" s="5" t="str">
        <f aca="false" t="array" ref="D110:D110">INDEX(Data_DBD!$F:$F,$A110)</f>
        <v>Sedang</v>
      </c>
      <c r="H110" s="5" t="n">
        <v>86</v>
      </c>
      <c r="I110" s="5" t="n">
        <v>3</v>
      </c>
      <c r="J110" s="5" t="n">
        <v>0</v>
      </c>
      <c r="K110" s="5" t="s">
        <v>7</v>
      </c>
    </row>
    <row r="111" customFormat="false" ht="15" hidden="false" customHeight="false" outlineLevel="0" collapsed="false">
      <c r="A111" s="5" t="n">
        <f aca="false">RANDBETWEEN(2,164)</f>
        <v>94</v>
      </c>
      <c r="B111" s="5" t="n">
        <f aca="false" t="array" ref="B111:B111">INDEX(Data_DBD!$C:$C,$A111)</f>
        <v>4</v>
      </c>
      <c r="C111" s="5" t="n">
        <f aca="false" t="array" ref="C111:C111">INDEX(Data_DBD!$E:$E,$A111)</f>
        <v>0</v>
      </c>
      <c r="D111" s="5" t="str">
        <f aca="false" t="array" ref="D111:D111">INDEX(Data_DBD!$F:$F,$A111)</f>
        <v>Sedang</v>
      </c>
      <c r="H111" s="5" t="n">
        <v>33</v>
      </c>
      <c r="I111" s="5" t="n">
        <v>4</v>
      </c>
      <c r="J111" s="5" t="n">
        <v>1</v>
      </c>
      <c r="K111" s="5" t="s">
        <v>7</v>
      </c>
    </row>
    <row r="112" customFormat="false" ht="15" hidden="false" customHeight="false" outlineLevel="0" collapsed="false">
      <c r="A112" s="5" t="n">
        <f aca="false">RANDBETWEEN(2,164)</f>
        <v>18</v>
      </c>
      <c r="B112" s="5" t="n">
        <f aca="false" t="array" ref="B112:B112">INDEX(Data_DBD!$C:$C,$A112)</f>
        <v>4</v>
      </c>
      <c r="C112" s="5" t="n">
        <f aca="false" t="array" ref="C112:C112">INDEX(Data_DBD!$E:$E,$A112)</f>
        <v>1</v>
      </c>
      <c r="D112" s="5" t="str">
        <f aca="false" t="array" ref="D112:D112">INDEX(Data_DBD!$F:$F,$A112)</f>
        <v>Rendah</v>
      </c>
      <c r="H112" s="5" t="n">
        <v>43</v>
      </c>
      <c r="I112" s="5" t="n">
        <v>4</v>
      </c>
      <c r="J112" s="5" t="n">
        <v>0</v>
      </c>
      <c r="K112" s="5" t="s">
        <v>7</v>
      </c>
    </row>
    <row r="113" customFormat="false" ht="15" hidden="false" customHeight="false" outlineLevel="0" collapsed="false">
      <c r="A113" s="5" t="n">
        <f aca="false">RANDBETWEEN(2,164)</f>
        <v>149</v>
      </c>
      <c r="B113" s="5" t="n">
        <f aca="false" t="array" ref="B113:B113">INDEX(Data_DBD!$C:$C,$A113)</f>
        <v>5</v>
      </c>
      <c r="C113" s="5" t="n">
        <f aca="false" t="array" ref="C113:C113">INDEX(Data_DBD!$E:$E,$A113)</f>
        <v>0</v>
      </c>
      <c r="D113" s="5" t="str">
        <f aca="false" t="array" ref="D113:D113">INDEX(Data_DBD!$F:$F,$A113)</f>
        <v>Tinggi</v>
      </c>
      <c r="H113" s="5" t="n">
        <v>118</v>
      </c>
      <c r="I113" s="5" t="n">
        <v>4</v>
      </c>
      <c r="J113" s="5" t="n">
        <v>1</v>
      </c>
      <c r="K113" s="5" t="s">
        <v>115</v>
      </c>
    </row>
    <row r="114" customFormat="false" ht="15" hidden="false" customHeight="false" outlineLevel="0" collapsed="false">
      <c r="A114" s="5" t="n">
        <f aca="false">RANDBETWEEN(2,164)</f>
        <v>59</v>
      </c>
      <c r="B114" s="5" t="n">
        <f aca="false" t="array" ref="B114:B114">INDEX(Data_DBD!$C:$C,$A114)</f>
        <v>4</v>
      </c>
      <c r="C114" s="5" t="n">
        <f aca="false" t="array" ref="C114:C114">INDEX(Data_DBD!$E:$E,$A114)</f>
        <v>0</v>
      </c>
      <c r="D114" s="5" t="str">
        <f aca="false" t="array" ref="D114:D114">INDEX(Data_DBD!$F:$F,$A114)</f>
        <v>Sedang</v>
      </c>
      <c r="H114" s="5" t="n">
        <v>69</v>
      </c>
      <c r="I114" s="5" t="n">
        <v>4</v>
      </c>
      <c r="J114" s="5" t="n">
        <v>1</v>
      </c>
      <c r="K114" s="5" t="s">
        <v>7</v>
      </c>
    </row>
    <row r="115" customFormat="false" ht="15" hidden="false" customHeight="false" outlineLevel="0" collapsed="false">
      <c r="A115" s="5" t="n">
        <f aca="false">RANDBETWEEN(2,164)</f>
        <v>23</v>
      </c>
      <c r="B115" s="5" t="n">
        <f aca="false" t="array" ref="B115:B115">INDEX(Data_DBD!$C:$C,$A115)</f>
        <v>4</v>
      </c>
      <c r="C115" s="5" t="n">
        <f aca="false" t="array" ref="C115:C115">INDEX(Data_DBD!$E:$E,$A115)</f>
        <v>1</v>
      </c>
      <c r="D115" s="5" t="str">
        <f aca="false" t="array" ref="D115:D115">INDEX(Data_DBD!$F:$F,$A115)</f>
        <v>Sedang</v>
      </c>
      <c r="H115" s="5" t="n">
        <v>27</v>
      </c>
      <c r="I115" s="5" t="n">
        <v>4</v>
      </c>
      <c r="J115" s="5" t="n">
        <v>1</v>
      </c>
      <c r="K115" s="5" t="s">
        <v>7</v>
      </c>
    </row>
    <row r="116" customFormat="false" ht="15" hidden="false" customHeight="false" outlineLevel="0" collapsed="false">
      <c r="A116" s="5" t="n">
        <f aca="false">RANDBETWEEN(2,164)</f>
        <v>82</v>
      </c>
      <c r="B116" s="5" t="n">
        <f aca="false" t="array" ref="B116:B116">INDEX(Data_DBD!$C:$C,$A116)</f>
        <v>3</v>
      </c>
      <c r="C116" s="5" t="n">
        <f aca="false" t="array" ref="C116:C116">INDEX(Data_DBD!$E:$E,$A116)</f>
        <v>1</v>
      </c>
      <c r="D116" s="5" t="str">
        <f aca="false" t="array" ref="D116:D116">INDEX(Data_DBD!$F:$F,$A116)</f>
        <v>Sedang</v>
      </c>
      <c r="H116" s="5" t="n">
        <v>39</v>
      </c>
      <c r="I116" s="5" t="n">
        <v>5</v>
      </c>
      <c r="J116" s="5" t="n">
        <v>1</v>
      </c>
      <c r="K116" s="5" t="s">
        <v>7</v>
      </c>
    </row>
    <row r="117" customFormat="false" ht="15" hidden="false" customHeight="false" outlineLevel="0" collapsed="false">
      <c r="A117" s="5" t="n">
        <f aca="false">RANDBETWEEN(2,164)</f>
        <v>40</v>
      </c>
      <c r="B117" s="5" t="n">
        <f aca="false" t="array" ref="B117:B117">INDEX(Data_DBD!$C:$C,$A117)</f>
        <v>3</v>
      </c>
      <c r="C117" s="5" t="n">
        <f aca="false" t="array" ref="C117:C117">INDEX(Data_DBD!$E:$E,$A117)</f>
        <v>1</v>
      </c>
      <c r="D117" s="5" t="str">
        <f aca="false" t="array" ref="D117:D117">INDEX(Data_DBD!$F:$F,$A117)</f>
        <v>Sedang</v>
      </c>
      <c r="H117" s="5" t="n">
        <v>40</v>
      </c>
      <c r="I117" s="5" t="n">
        <v>3</v>
      </c>
      <c r="J117" s="5" t="n">
        <v>1</v>
      </c>
      <c r="K117" s="5" t="s">
        <v>7</v>
      </c>
    </row>
    <row r="118" customFormat="false" ht="15" hidden="false" customHeight="false" outlineLevel="0" collapsed="false">
      <c r="A118" s="5" t="n">
        <f aca="false">RANDBETWEEN(2,164)</f>
        <v>79</v>
      </c>
      <c r="B118" s="5" t="n">
        <f aca="false" t="array" ref="B118:B118">INDEX(Data_DBD!$C:$C,$A118)</f>
        <v>3</v>
      </c>
      <c r="C118" s="5" t="n">
        <f aca="false" t="array" ref="C118:C118">INDEX(Data_DBD!$E:$E,$A118)</f>
        <v>0</v>
      </c>
      <c r="D118" s="5" t="str">
        <f aca="false" t="array" ref="D118:D118">INDEX(Data_DBD!$F:$F,$A118)</f>
        <v>Sedang</v>
      </c>
      <c r="H118" s="5" t="n">
        <v>112</v>
      </c>
      <c r="I118" s="5" t="n">
        <v>3</v>
      </c>
      <c r="J118" s="5" t="n">
        <v>1</v>
      </c>
      <c r="K118" s="5" t="s">
        <v>115</v>
      </c>
    </row>
    <row r="119" customFormat="false" ht="15" hidden="false" customHeight="false" outlineLevel="0" collapsed="false">
      <c r="A119" s="5" t="n">
        <f aca="false">RANDBETWEEN(2,164)</f>
        <v>136</v>
      </c>
      <c r="B119" s="5" t="n">
        <f aca="false" t="array" ref="B119:B119">INDEX(Data_DBD!$C:$C,$A119)</f>
        <v>2</v>
      </c>
      <c r="C119" s="5" t="n">
        <f aca="false" t="array" ref="C119:C119">INDEX(Data_DBD!$E:$E,$A119)</f>
        <v>0</v>
      </c>
      <c r="D119" s="5" t="str">
        <f aca="false" t="array" ref="D119:D119">INDEX(Data_DBD!$F:$F,$A119)</f>
        <v>Tinggi</v>
      </c>
      <c r="H119" s="5" t="n">
        <v>119</v>
      </c>
      <c r="I119" s="5" t="n">
        <v>7</v>
      </c>
      <c r="J119" s="5" t="n">
        <v>0</v>
      </c>
      <c r="K119" s="5" t="s">
        <v>115</v>
      </c>
    </row>
    <row r="120" customFormat="false" ht="15" hidden="false" customHeight="false" outlineLevel="0" collapsed="false">
      <c r="A120" s="5" t="n">
        <f aca="false">RANDBETWEEN(2,164)</f>
        <v>108</v>
      </c>
      <c r="B120" s="5" t="n">
        <f aca="false" t="array" ref="B120:B120">INDEX(Data_DBD!$C:$C,$A120)</f>
        <v>7</v>
      </c>
      <c r="C120" s="5" t="n">
        <f aca="false" t="array" ref="C120:C120">INDEX(Data_DBD!$E:$E,$A120)</f>
        <v>1</v>
      </c>
      <c r="D120" s="5" t="str">
        <f aca="false" t="array" ref="D120:D120">INDEX(Data_DBD!$F:$F,$A120)</f>
        <v>Tinggi</v>
      </c>
      <c r="H120" s="5" t="n">
        <v>101</v>
      </c>
      <c r="I120" s="5" t="n">
        <v>5</v>
      </c>
      <c r="J120" s="5" t="n">
        <v>0</v>
      </c>
      <c r="K120" s="5" t="s">
        <v>115</v>
      </c>
    </row>
    <row r="121" customFormat="false" ht="15" hidden="false" customHeight="false" outlineLevel="0" collapsed="false">
      <c r="A121" s="5" t="n">
        <f aca="false">RANDBETWEEN(2,164)</f>
        <v>161</v>
      </c>
      <c r="B121" s="5" t="n">
        <f aca="false" t="array" ref="B121:B121">INDEX(Data_DBD!$C:$C,$A121)</f>
        <v>3</v>
      </c>
      <c r="C121" s="5" t="n">
        <f aca="false" t="array" ref="C121:C121">INDEX(Data_DBD!$E:$E,$A121)</f>
        <v>1</v>
      </c>
      <c r="D121" s="5" t="str">
        <f aca="false" t="array" ref="D121:D121">INDEX(Data_DBD!$F:$F,$A121)</f>
        <v>Tinggi</v>
      </c>
      <c r="H121" s="5" t="n">
        <v>88</v>
      </c>
      <c r="I121" s="5" t="n">
        <v>4</v>
      </c>
      <c r="J121" s="5" t="n">
        <v>1</v>
      </c>
      <c r="K121" s="5" t="s">
        <v>7</v>
      </c>
    </row>
    <row r="122" customFormat="false" ht="15" hidden="false" customHeight="false" outlineLevel="0" collapsed="false">
      <c r="A122" s="5" t="n">
        <f aca="false">RANDBETWEEN(2,164)</f>
        <v>59</v>
      </c>
      <c r="B122" s="5" t="n">
        <f aca="false" t="array" ref="B122:B122">INDEX(Data_DBD!$C:$C,$A122)</f>
        <v>4</v>
      </c>
      <c r="C122" s="5" t="n">
        <f aca="false" t="array" ref="C122:C122">INDEX(Data_DBD!$E:$E,$A122)</f>
        <v>0</v>
      </c>
      <c r="D122" s="5" t="str">
        <f aca="false" t="array" ref="D122:D122">INDEX(Data_DBD!$F:$F,$A122)</f>
        <v>Sedang</v>
      </c>
      <c r="H122" s="5" t="n">
        <v>144</v>
      </c>
      <c r="I122" s="5" t="n">
        <v>4</v>
      </c>
      <c r="J122" s="5" t="n">
        <v>1</v>
      </c>
      <c r="K122" s="5" t="s">
        <v>115</v>
      </c>
    </row>
    <row r="123" customFormat="false" ht="15" hidden="false" customHeight="false" outlineLevel="0" collapsed="false">
      <c r="A123" s="5" t="n">
        <f aca="false">RANDBETWEEN(2,164)</f>
        <v>79</v>
      </c>
      <c r="B123" s="5" t="n">
        <f aca="false" t="array" ref="B123:B123">INDEX(Data_DBD!$C:$C,$A123)</f>
        <v>3</v>
      </c>
      <c r="C123" s="5" t="n">
        <f aca="false" t="array" ref="C123:C123">INDEX(Data_DBD!$E:$E,$A123)</f>
        <v>0</v>
      </c>
      <c r="D123" s="5" t="str">
        <f aca="false" t="array" ref="D123:D123">INDEX(Data_DBD!$F:$F,$A123)</f>
        <v>Sedang</v>
      </c>
      <c r="H123" s="5" t="n">
        <v>78</v>
      </c>
      <c r="I123" s="5" t="n">
        <v>3</v>
      </c>
      <c r="J123" s="5" t="n">
        <v>0</v>
      </c>
      <c r="K123" s="5" t="s">
        <v>7</v>
      </c>
    </row>
    <row r="124" customFormat="false" ht="15" hidden="false" customHeight="false" outlineLevel="0" collapsed="false">
      <c r="A124" s="5" t="n">
        <f aca="false">RANDBETWEEN(2,164)</f>
        <v>7</v>
      </c>
      <c r="B124" s="5" t="n">
        <f aca="false" t="array" ref="B124:B124">INDEX(Data_DBD!$C:$C,$A124)</f>
        <v>1</v>
      </c>
      <c r="C124" s="5" t="n">
        <f aca="false" t="array" ref="C124:C124">INDEX(Data_DBD!$E:$E,$A124)</f>
        <v>1</v>
      </c>
      <c r="D124" s="5" t="str">
        <f aca="false" t="array" ref="D124:D124">INDEX(Data_DBD!$F:$F,$A124)</f>
        <v>Sedang</v>
      </c>
      <c r="H124" s="5" t="n">
        <v>44</v>
      </c>
      <c r="I124" s="5" t="n">
        <v>5</v>
      </c>
      <c r="J124" s="5" t="n">
        <v>1</v>
      </c>
      <c r="K124" s="5" t="s">
        <v>7</v>
      </c>
    </row>
    <row r="125" customFormat="false" ht="15" hidden="false" customHeight="false" outlineLevel="0" collapsed="false">
      <c r="A125" s="5" t="n">
        <f aca="false">RANDBETWEEN(2,164)</f>
        <v>25</v>
      </c>
      <c r="B125" s="5" t="n">
        <f aca="false" t="array" ref="B125:B125">INDEX(Data_DBD!$C:$C,$A125)</f>
        <v>5</v>
      </c>
      <c r="C125" s="5" t="n">
        <f aca="false" t="array" ref="C125:C125">INDEX(Data_DBD!$E:$E,$A125)</f>
        <v>0</v>
      </c>
      <c r="D125" s="5" t="str">
        <f aca="false" t="array" ref="D125:D125">INDEX(Data_DBD!$F:$F,$A125)</f>
        <v>Sedang</v>
      </c>
      <c r="H125" s="5" t="n">
        <v>61</v>
      </c>
      <c r="I125" s="5" t="n">
        <v>3</v>
      </c>
      <c r="J125" s="5" t="n">
        <v>1</v>
      </c>
      <c r="K125" s="5" t="s">
        <v>7</v>
      </c>
    </row>
    <row r="126" customFormat="false" ht="15" hidden="false" customHeight="false" outlineLevel="0" collapsed="false">
      <c r="A126" s="5" t="n">
        <f aca="false">RANDBETWEEN(2,164)</f>
        <v>100</v>
      </c>
      <c r="B126" s="5" t="n">
        <f aca="false" t="array" ref="B126:B126">INDEX(Data_DBD!$C:$C,$A126)</f>
        <v>6</v>
      </c>
      <c r="C126" s="5" t="n">
        <f aca="false" t="array" ref="C126:C126">INDEX(Data_DBD!$E:$E,$A126)</f>
        <v>0</v>
      </c>
      <c r="D126" s="5" t="str">
        <f aca="false" t="array" ref="D126:D126">INDEX(Data_DBD!$F:$F,$A126)</f>
        <v>Sedang</v>
      </c>
      <c r="H126" s="5" t="n">
        <v>71</v>
      </c>
      <c r="I126" s="5" t="n">
        <v>3</v>
      </c>
      <c r="J126" s="5" t="n">
        <v>0</v>
      </c>
      <c r="K126" s="5" t="s">
        <v>7</v>
      </c>
    </row>
    <row r="127" customFormat="false" ht="15" hidden="false" customHeight="false" outlineLevel="0" collapsed="false">
      <c r="A127" s="5" t="n">
        <f aca="false">RANDBETWEEN(2,164)</f>
        <v>3</v>
      </c>
      <c r="B127" s="5" t="n">
        <f aca="false" t="array" ref="B127:B127">INDEX(Data_DBD!$C:$C,$A127)</f>
        <v>3</v>
      </c>
      <c r="C127" s="5" t="n">
        <f aca="false" t="array" ref="C127:C127">INDEX(Data_DBD!$E:$E,$A127)</f>
        <v>1</v>
      </c>
      <c r="D127" s="5" t="str">
        <f aca="false" t="array" ref="D127:D127">INDEX(Data_DBD!$F:$F,$A127)</f>
        <v>Sedang</v>
      </c>
      <c r="H127" s="5" t="n">
        <v>105</v>
      </c>
      <c r="I127" s="5" t="n">
        <v>3</v>
      </c>
      <c r="J127" s="5" t="n">
        <v>1</v>
      </c>
      <c r="K127" s="5" t="s">
        <v>115</v>
      </c>
    </row>
    <row r="128" customFormat="false" ht="15" hidden="false" customHeight="false" outlineLevel="0" collapsed="false">
      <c r="A128" s="5" t="n">
        <f aca="false">RANDBETWEEN(2,164)</f>
        <v>101</v>
      </c>
      <c r="B128" s="5" t="n">
        <f aca="false" t="array" ref="B128:B128">INDEX(Data_DBD!$C:$C,$A128)</f>
        <v>5</v>
      </c>
      <c r="C128" s="5" t="n">
        <f aca="false" t="array" ref="C128:C128">INDEX(Data_DBD!$E:$E,$A128)</f>
        <v>0</v>
      </c>
      <c r="D128" s="5" t="str">
        <f aca="false" t="array" ref="D128:D128">INDEX(Data_DBD!$F:$F,$A128)</f>
        <v>Sedang</v>
      </c>
      <c r="H128" s="5" t="n">
        <v>14</v>
      </c>
      <c r="I128" s="5" t="n">
        <v>4</v>
      </c>
      <c r="J128" s="5" t="n">
        <v>1</v>
      </c>
      <c r="K128" s="5" t="s">
        <v>20</v>
      </c>
    </row>
    <row r="129" customFormat="false" ht="15" hidden="false" customHeight="false" outlineLevel="0" collapsed="false">
      <c r="A129" s="5" t="n">
        <f aca="false">RANDBETWEEN(2,164)</f>
        <v>107</v>
      </c>
      <c r="B129" s="5" t="n">
        <f aca="false" t="array" ref="B129:B129">INDEX(Data_DBD!$C:$C,$A129)</f>
        <v>5</v>
      </c>
      <c r="C129" s="5" t="n">
        <f aca="false" t="array" ref="C129:C129">INDEX(Data_DBD!$E:$E,$A129)</f>
        <v>0</v>
      </c>
      <c r="D129" s="5" t="str">
        <f aca="false" t="array" ref="D129:D129">INDEX(Data_DBD!$F:$F,$A129)</f>
        <v>Sedang</v>
      </c>
      <c r="H129" s="5" t="n">
        <v>145</v>
      </c>
      <c r="I129" s="5" t="n">
        <v>4</v>
      </c>
      <c r="J129" s="5" t="n">
        <v>1</v>
      </c>
      <c r="K129" s="5" t="s">
        <v>115</v>
      </c>
    </row>
    <row r="130" customFormat="false" ht="15" hidden="false" customHeight="false" outlineLevel="0" collapsed="false">
      <c r="A130" s="5" t="n">
        <f aca="false">RANDBETWEEN(2,164)</f>
        <v>92</v>
      </c>
      <c r="B130" s="5" t="n">
        <f aca="false" t="array" ref="B130:B130">INDEX(Data_DBD!$C:$C,$A130)</f>
        <v>7</v>
      </c>
      <c r="C130" s="5" t="n">
        <f aca="false" t="array" ref="C130:C130">INDEX(Data_DBD!$E:$E,$A130)</f>
        <v>0</v>
      </c>
      <c r="D130" s="5" t="str">
        <f aca="false" t="array" ref="D130:D130">INDEX(Data_DBD!$F:$F,$A130)</f>
        <v>Sedang</v>
      </c>
      <c r="H130" s="5" t="n">
        <v>131</v>
      </c>
      <c r="I130" s="5" t="n">
        <v>2</v>
      </c>
      <c r="J130" s="5" t="n">
        <v>0</v>
      </c>
      <c r="K130" s="5" t="s">
        <v>115</v>
      </c>
    </row>
    <row r="131" customFormat="false" ht="15" hidden="false" customHeight="false" outlineLevel="0" collapsed="false">
      <c r="A131" s="5" t="n">
        <f aca="false">RANDBETWEEN(2,164)</f>
        <v>131</v>
      </c>
      <c r="B131" s="5" t="n">
        <f aca="false" t="array" ref="B131:B131">INDEX(Data_DBD!$C:$C,$A131)</f>
        <v>2</v>
      </c>
      <c r="C131" s="5" t="n">
        <f aca="false" t="array" ref="C131:C131">INDEX(Data_DBD!$E:$E,$A131)</f>
        <v>0</v>
      </c>
      <c r="D131" s="5" t="str">
        <f aca="false" t="array" ref="D131:D131">INDEX(Data_DBD!$F:$F,$A131)</f>
        <v>Tinggi</v>
      </c>
      <c r="H131" s="5" t="n">
        <v>158</v>
      </c>
      <c r="I131" s="5" t="n">
        <v>2</v>
      </c>
      <c r="J131" s="5" t="n">
        <v>0</v>
      </c>
      <c r="K131" s="5" t="s">
        <v>115</v>
      </c>
    </row>
    <row r="132" customFormat="false" ht="15" hidden="false" customHeight="false" outlineLevel="0" collapsed="false">
      <c r="A132" s="5" t="n">
        <f aca="false">RANDBETWEEN(2,164)</f>
        <v>53</v>
      </c>
      <c r="B132" s="5" t="n">
        <f aca="false" t="array" ref="B132:B132">INDEX(Data_DBD!$C:$C,$A132)</f>
        <v>4</v>
      </c>
      <c r="C132" s="5" t="n">
        <f aca="false" t="array" ref="C132:C132">INDEX(Data_DBD!$E:$E,$A132)</f>
        <v>1</v>
      </c>
      <c r="D132" s="5" t="str">
        <f aca="false" t="array" ref="D132:D132">INDEX(Data_DBD!$F:$F,$A132)</f>
        <v>Sedang</v>
      </c>
      <c r="H132" s="5" t="n">
        <v>40</v>
      </c>
      <c r="I132" s="5" t="n">
        <v>3</v>
      </c>
      <c r="J132" s="5" t="n">
        <v>1</v>
      </c>
      <c r="K132" s="5" t="s">
        <v>7</v>
      </c>
    </row>
    <row r="133" customFormat="false" ht="15" hidden="false" customHeight="false" outlineLevel="0" collapsed="false">
      <c r="A133" s="5" t="n">
        <f aca="false">RANDBETWEEN(2,164)</f>
        <v>113</v>
      </c>
      <c r="B133" s="5" t="n">
        <f aca="false" t="array" ref="B133:B133">INDEX(Data_DBD!$C:$C,$A133)</f>
        <v>1</v>
      </c>
      <c r="C133" s="5" t="n">
        <f aca="false" t="array" ref="C133:C133">INDEX(Data_DBD!$E:$E,$A133)</f>
        <v>1</v>
      </c>
      <c r="D133" s="5" t="str">
        <f aca="false" t="array" ref="D133:D133">INDEX(Data_DBD!$F:$F,$A133)</f>
        <v>Tinggi</v>
      </c>
      <c r="H133" s="5" t="n">
        <v>106</v>
      </c>
      <c r="I133" s="5" t="n">
        <v>3</v>
      </c>
      <c r="J133" s="5" t="n">
        <v>1</v>
      </c>
      <c r="K133" s="5" t="s">
        <v>115</v>
      </c>
    </row>
    <row r="134" customFormat="false" ht="15" hidden="false" customHeight="false" outlineLevel="0" collapsed="false">
      <c r="A134" s="5" t="n">
        <f aca="false">RANDBETWEEN(2,164)</f>
        <v>119</v>
      </c>
      <c r="B134" s="5" t="n">
        <f aca="false" t="array" ref="B134:B134">INDEX(Data_DBD!$C:$C,$A134)</f>
        <v>7</v>
      </c>
      <c r="C134" s="5" t="n">
        <f aca="false" t="array" ref="C134:C134">INDEX(Data_DBD!$E:$E,$A134)</f>
        <v>0</v>
      </c>
      <c r="D134" s="5" t="str">
        <f aca="false" t="array" ref="D134:D134">INDEX(Data_DBD!$F:$F,$A134)</f>
        <v>Tinggi</v>
      </c>
      <c r="H134" s="5" t="n">
        <v>76</v>
      </c>
      <c r="I134" s="5" t="n">
        <v>2</v>
      </c>
      <c r="J134" s="5" t="n">
        <v>0</v>
      </c>
      <c r="K134" s="5" t="s">
        <v>7</v>
      </c>
    </row>
    <row r="135" customFormat="false" ht="15" hidden="false" customHeight="false" outlineLevel="0" collapsed="false">
      <c r="A135" s="5" t="n">
        <f aca="false">RANDBETWEEN(2,164)</f>
        <v>120</v>
      </c>
      <c r="B135" s="5" t="n">
        <f aca="false" t="array" ref="B135:B135">INDEX(Data_DBD!$C:$C,$A135)</f>
        <v>4</v>
      </c>
      <c r="C135" s="5" t="n">
        <f aca="false" t="array" ref="C135:C135">INDEX(Data_DBD!$E:$E,$A135)</f>
        <v>1</v>
      </c>
      <c r="D135" s="5" t="str">
        <f aca="false" t="array" ref="D135:D135">INDEX(Data_DBD!$F:$F,$A135)</f>
        <v>Tinggi</v>
      </c>
      <c r="H135" s="5" t="n">
        <v>83</v>
      </c>
      <c r="I135" s="5" t="n">
        <v>3</v>
      </c>
      <c r="J135" s="5" t="n">
        <v>0</v>
      </c>
      <c r="K135" s="5" t="s">
        <v>7</v>
      </c>
    </row>
    <row r="136" customFormat="false" ht="15" hidden="false" customHeight="false" outlineLevel="0" collapsed="false">
      <c r="A136" s="5" t="n">
        <f aca="false">RANDBETWEEN(2,164)</f>
        <v>30</v>
      </c>
      <c r="B136" s="5" t="n">
        <f aca="false" t="array" ref="B136:B136">INDEX(Data_DBD!$C:$C,$A136)</f>
        <v>2</v>
      </c>
      <c r="C136" s="5" t="n">
        <f aca="false" t="array" ref="C136:C136">INDEX(Data_DBD!$E:$E,$A136)</f>
        <v>1</v>
      </c>
      <c r="D136" s="5" t="str">
        <f aca="false" t="array" ref="D136:D136">INDEX(Data_DBD!$F:$F,$A136)</f>
        <v>Sedang</v>
      </c>
      <c r="H136" s="5" t="n">
        <v>47</v>
      </c>
      <c r="I136" s="5" t="n">
        <v>2</v>
      </c>
      <c r="J136" s="5" t="n">
        <v>0</v>
      </c>
      <c r="K136" s="5" t="s">
        <v>7</v>
      </c>
    </row>
    <row r="137" customFormat="false" ht="15" hidden="false" customHeight="false" outlineLevel="0" collapsed="false">
      <c r="A137" s="5" t="n">
        <f aca="false">RANDBETWEEN(2,164)</f>
        <v>150</v>
      </c>
      <c r="B137" s="5" t="n">
        <f aca="false" t="array" ref="B137:B137">INDEX(Data_DBD!$C:$C,$A137)</f>
        <v>5</v>
      </c>
      <c r="C137" s="5" t="n">
        <f aca="false" t="array" ref="C137:C137">INDEX(Data_DBD!$E:$E,$A137)</f>
        <v>1</v>
      </c>
      <c r="D137" s="5" t="str">
        <f aca="false" t="array" ref="D137:D137">INDEX(Data_DBD!$F:$F,$A137)</f>
        <v>Tinggi</v>
      </c>
      <c r="H137" s="5" t="n">
        <v>7</v>
      </c>
      <c r="I137" s="5" t="n">
        <v>1</v>
      </c>
      <c r="J137" s="5" t="n">
        <v>1</v>
      </c>
      <c r="K137" s="5" t="s">
        <v>7</v>
      </c>
    </row>
    <row r="138" customFormat="false" ht="15" hidden="false" customHeight="false" outlineLevel="0" collapsed="false">
      <c r="A138" s="5" t="n">
        <f aca="false">RANDBETWEEN(2,164)</f>
        <v>81</v>
      </c>
      <c r="B138" s="5" t="n">
        <f aca="false" t="array" ref="B138:B138">INDEX(Data_DBD!$C:$C,$A138)</f>
        <v>5</v>
      </c>
      <c r="C138" s="5" t="n">
        <f aca="false" t="array" ref="C138:C138">INDEX(Data_DBD!$E:$E,$A138)</f>
        <v>1</v>
      </c>
      <c r="D138" s="5" t="str">
        <f aca="false" t="array" ref="D138:D138">INDEX(Data_DBD!$F:$F,$A138)</f>
        <v>Sedang</v>
      </c>
      <c r="H138" s="5" t="n">
        <v>70</v>
      </c>
      <c r="I138" s="5" t="n">
        <v>3</v>
      </c>
      <c r="J138" s="5" t="n">
        <v>1</v>
      </c>
      <c r="K138" s="5" t="s">
        <v>7</v>
      </c>
    </row>
    <row r="139" customFormat="false" ht="15" hidden="false" customHeight="false" outlineLevel="0" collapsed="false">
      <c r="A139" s="5" t="n">
        <f aca="false">RANDBETWEEN(2,164)</f>
        <v>19</v>
      </c>
      <c r="B139" s="5" t="n">
        <f aca="false" t="array" ref="B139:B139">INDEX(Data_DBD!$C:$C,$A139)</f>
        <v>4</v>
      </c>
      <c r="C139" s="5" t="n">
        <f aca="false" t="array" ref="C139:C139">INDEX(Data_DBD!$E:$E,$A139)</f>
        <v>0</v>
      </c>
      <c r="D139" s="5" t="str">
        <f aca="false" t="array" ref="D139:D139">INDEX(Data_DBD!$F:$F,$A139)</f>
        <v>Rendah</v>
      </c>
      <c r="H139" s="5" t="n">
        <v>61</v>
      </c>
      <c r="I139" s="5" t="n">
        <v>3</v>
      </c>
      <c r="J139" s="5" t="n">
        <v>1</v>
      </c>
      <c r="K139" s="5" t="s">
        <v>7</v>
      </c>
    </row>
    <row r="140" customFormat="false" ht="15" hidden="false" customHeight="false" outlineLevel="0" collapsed="false">
      <c r="A140" s="5" t="n">
        <f aca="false">RANDBETWEEN(2,164)</f>
        <v>79</v>
      </c>
      <c r="B140" s="5" t="n">
        <f aca="false" t="array" ref="B140:B140">INDEX(Data_DBD!$C:$C,$A140)</f>
        <v>3</v>
      </c>
      <c r="C140" s="5" t="n">
        <f aca="false" t="array" ref="C140:C140">INDEX(Data_DBD!$E:$E,$A140)</f>
        <v>0</v>
      </c>
      <c r="D140" s="5" t="str">
        <f aca="false" t="array" ref="D140:D140">INDEX(Data_DBD!$F:$F,$A140)</f>
        <v>Sedang</v>
      </c>
      <c r="H140" s="5" t="n">
        <v>163</v>
      </c>
      <c r="I140" s="5" t="n">
        <v>4</v>
      </c>
      <c r="J140" s="5" t="n">
        <v>1</v>
      </c>
      <c r="K140" s="5" t="s">
        <v>20</v>
      </c>
    </row>
    <row r="141" customFormat="false" ht="15" hidden="false" customHeight="false" outlineLevel="0" collapsed="false">
      <c r="A141" s="5" t="n">
        <f aca="false">RANDBETWEEN(2,164)</f>
        <v>39</v>
      </c>
      <c r="B141" s="5" t="n">
        <f aca="false" t="array" ref="B141:B141">INDEX(Data_DBD!$C:$C,$A141)</f>
        <v>5</v>
      </c>
      <c r="C141" s="5" t="n">
        <f aca="false" t="array" ref="C141:C141">INDEX(Data_DBD!$E:$E,$A141)</f>
        <v>1</v>
      </c>
      <c r="D141" s="5" t="str">
        <f aca="false" t="array" ref="D141:D141">INDEX(Data_DBD!$F:$F,$A141)</f>
        <v>Sedang</v>
      </c>
      <c r="H141" s="5" t="n">
        <v>137</v>
      </c>
      <c r="I141" s="5" t="n">
        <v>1</v>
      </c>
      <c r="J141" s="5" t="n">
        <v>1</v>
      </c>
      <c r="K141" s="5" t="s">
        <v>115</v>
      </c>
    </row>
    <row r="142" customFormat="false" ht="15" hidden="false" customHeight="false" outlineLevel="0" collapsed="false">
      <c r="A142" s="5" t="n">
        <f aca="false">RANDBETWEEN(2,164)</f>
        <v>106</v>
      </c>
      <c r="B142" s="5" t="n">
        <f aca="false" t="array" ref="B142:B142">INDEX(Data_DBD!$C:$C,$A142)</f>
        <v>3</v>
      </c>
      <c r="C142" s="5" t="n">
        <f aca="false" t="array" ref="C142:C142">INDEX(Data_DBD!$E:$E,$A142)</f>
        <v>1</v>
      </c>
      <c r="D142" s="5" t="str">
        <f aca="false" t="array" ref="D142:D142">INDEX(Data_DBD!$F:$F,$A142)</f>
        <v>Sedang</v>
      </c>
      <c r="H142" s="5" t="n">
        <v>139</v>
      </c>
      <c r="I142" s="5" t="n">
        <v>7</v>
      </c>
      <c r="J142" s="5" t="n">
        <v>0</v>
      </c>
      <c r="K142" s="5" t="s">
        <v>115</v>
      </c>
    </row>
    <row r="143" customFormat="false" ht="15" hidden="false" customHeight="false" outlineLevel="0" collapsed="false">
      <c r="A143" s="5" t="n">
        <f aca="false">RANDBETWEEN(2,164)</f>
        <v>118</v>
      </c>
      <c r="B143" s="5" t="n">
        <f aca="false" t="array" ref="B143:B143">INDEX(Data_DBD!$C:$C,$A143)</f>
        <v>4</v>
      </c>
      <c r="C143" s="5" t="n">
        <f aca="false" t="array" ref="C143:C143">INDEX(Data_DBD!$E:$E,$A143)</f>
        <v>1</v>
      </c>
      <c r="D143" s="5" t="str">
        <f aca="false" t="array" ref="D143:D143">INDEX(Data_DBD!$F:$F,$A143)</f>
        <v>Tinggi</v>
      </c>
      <c r="H143" s="5" t="n">
        <v>86</v>
      </c>
      <c r="I143" s="5" t="n">
        <v>3</v>
      </c>
      <c r="J143" s="5" t="n">
        <v>0</v>
      </c>
      <c r="K143" s="5" t="s">
        <v>7</v>
      </c>
    </row>
    <row r="144" customFormat="false" ht="15" hidden="false" customHeight="false" outlineLevel="0" collapsed="false">
      <c r="A144" s="5" t="n">
        <f aca="false">RANDBETWEEN(2,164)</f>
        <v>116</v>
      </c>
      <c r="B144" s="5" t="n">
        <f aca="false" t="array" ref="B144:B144">INDEX(Data_DBD!$C:$C,$A144)</f>
        <v>4</v>
      </c>
      <c r="C144" s="5" t="n">
        <f aca="false" t="array" ref="C144:C144">INDEX(Data_DBD!$E:$E,$A144)</f>
        <v>1</v>
      </c>
      <c r="D144" s="5" t="str">
        <f aca="false" t="array" ref="D144:D144">INDEX(Data_DBD!$F:$F,$A144)</f>
        <v>Tinggi</v>
      </c>
      <c r="H144" s="5" t="n">
        <v>93</v>
      </c>
      <c r="I144" s="5" t="n">
        <v>4</v>
      </c>
      <c r="J144" s="5" t="n">
        <v>0</v>
      </c>
      <c r="K144" s="5" t="s">
        <v>115</v>
      </c>
    </row>
    <row r="145" customFormat="false" ht="15" hidden="false" customHeight="false" outlineLevel="0" collapsed="false">
      <c r="A145" s="5" t="n">
        <f aca="false">RANDBETWEEN(2,164)</f>
        <v>156</v>
      </c>
      <c r="B145" s="5" t="n">
        <f aca="false" t="array" ref="B145:B145">INDEX(Data_DBD!$C:$C,$A145)</f>
        <v>2</v>
      </c>
      <c r="C145" s="5" t="n">
        <f aca="false" t="array" ref="C145:C145">INDEX(Data_DBD!$E:$E,$A145)</f>
        <v>0</v>
      </c>
      <c r="D145" s="5" t="str">
        <f aca="false" t="array" ref="D145:D145">INDEX(Data_DBD!$F:$F,$A145)</f>
        <v>Tinggi</v>
      </c>
      <c r="H145" s="5" t="n">
        <v>104</v>
      </c>
      <c r="I145" s="5" t="n">
        <v>4</v>
      </c>
      <c r="J145" s="5" t="n">
        <v>1</v>
      </c>
      <c r="K145" s="5" t="s">
        <v>115</v>
      </c>
    </row>
    <row r="146" customFormat="false" ht="15" hidden="false" customHeight="false" outlineLevel="0" collapsed="false">
      <c r="A146" s="5" t="n">
        <f aca="false">RANDBETWEEN(2,164)</f>
        <v>61</v>
      </c>
      <c r="B146" s="5" t="n">
        <f aca="false" t="array" ref="B146:B146">INDEX(Data_DBD!$C:$C,$A146)</f>
        <v>3</v>
      </c>
      <c r="C146" s="5" t="n">
        <f aca="false" t="array" ref="C146:C146">INDEX(Data_DBD!$E:$E,$A146)</f>
        <v>1</v>
      </c>
      <c r="D146" s="5" t="str">
        <f aca="false" t="array" ref="D146:D146">INDEX(Data_DBD!$F:$F,$A146)</f>
        <v>Sedang</v>
      </c>
      <c r="H146" s="5" t="n">
        <v>15</v>
      </c>
      <c r="I146" s="5" t="n">
        <v>2</v>
      </c>
      <c r="J146" s="5" t="n">
        <v>0</v>
      </c>
      <c r="K146" s="5" t="s">
        <v>20</v>
      </c>
    </row>
    <row r="147" customFormat="false" ht="15" hidden="false" customHeight="false" outlineLevel="0" collapsed="false">
      <c r="A147" s="5" t="n">
        <f aca="false">RANDBETWEEN(2,164)</f>
        <v>131</v>
      </c>
      <c r="B147" s="5" t="n">
        <f aca="false" t="array" ref="B147:B147">INDEX(Data_DBD!$C:$C,$A147)</f>
        <v>2</v>
      </c>
      <c r="C147" s="5" t="n">
        <f aca="false" t="array" ref="C147:C147">INDEX(Data_DBD!$E:$E,$A147)</f>
        <v>0</v>
      </c>
      <c r="D147" s="5" t="str">
        <f aca="false" t="array" ref="D147:D147">INDEX(Data_DBD!$F:$F,$A147)</f>
        <v>Tinggi</v>
      </c>
      <c r="H147" s="5" t="n">
        <v>35</v>
      </c>
      <c r="I147" s="5" t="n">
        <v>3</v>
      </c>
      <c r="J147" s="5" t="n">
        <v>1</v>
      </c>
      <c r="K147" s="5" t="s">
        <v>20</v>
      </c>
    </row>
    <row r="148" customFormat="false" ht="15" hidden="false" customHeight="false" outlineLevel="0" collapsed="false">
      <c r="A148" s="5" t="n">
        <f aca="false">RANDBETWEEN(2,164)</f>
        <v>91</v>
      </c>
      <c r="B148" s="5" t="n">
        <f aca="false" t="array" ref="B148:B148">INDEX(Data_DBD!$C:$C,$A148)</f>
        <v>1</v>
      </c>
      <c r="C148" s="5" t="n">
        <f aca="false" t="array" ref="C148:C148">INDEX(Data_DBD!$E:$E,$A148)</f>
        <v>1</v>
      </c>
      <c r="D148" s="5" t="str">
        <f aca="false" t="array" ref="D148:D148">INDEX(Data_DBD!$F:$F,$A148)</f>
        <v>Sedang</v>
      </c>
      <c r="H148" s="5" t="n">
        <v>7</v>
      </c>
      <c r="I148" s="5" t="n">
        <v>1</v>
      </c>
      <c r="J148" s="5" t="n">
        <v>1</v>
      </c>
      <c r="K148" s="5" t="s">
        <v>7</v>
      </c>
    </row>
    <row r="149" customFormat="false" ht="15" hidden="false" customHeight="false" outlineLevel="0" collapsed="false">
      <c r="A149" s="5" t="n">
        <f aca="false">RANDBETWEEN(2,164)</f>
        <v>53</v>
      </c>
      <c r="B149" s="5" t="n">
        <f aca="false" t="array" ref="B149:B149">INDEX(Data_DBD!$C:$C,$A149)</f>
        <v>4</v>
      </c>
      <c r="C149" s="5" t="n">
        <f aca="false" t="array" ref="C149:C149">INDEX(Data_DBD!$E:$E,$A149)</f>
        <v>1</v>
      </c>
      <c r="D149" s="5" t="str">
        <f aca="false" t="array" ref="D149:D149">INDEX(Data_DBD!$F:$F,$A149)</f>
        <v>Sedang</v>
      </c>
      <c r="H149" s="5" t="n">
        <v>95</v>
      </c>
      <c r="I149" s="5" t="n">
        <v>3</v>
      </c>
      <c r="J149" s="5" t="n">
        <v>1</v>
      </c>
      <c r="K149" s="5" t="s">
        <v>115</v>
      </c>
    </row>
    <row r="150" customFormat="false" ht="15" hidden="false" customHeight="false" outlineLevel="0" collapsed="false">
      <c r="A150" s="5" t="n">
        <f aca="false">RANDBETWEEN(2,164)</f>
        <v>162</v>
      </c>
      <c r="B150" s="5" t="n">
        <f aca="false" t="array" ref="B150:B150">INDEX(Data_DBD!$C:$C,$A150)</f>
        <v>3</v>
      </c>
      <c r="C150" s="5" t="n">
        <f aca="false" t="array" ref="C150:C150">INDEX(Data_DBD!$E:$E,$A150)</f>
        <v>1</v>
      </c>
      <c r="D150" s="5" t="str">
        <f aca="false" t="array" ref="D150:D150">INDEX(Data_DBD!$F:$F,$A150)</f>
        <v>Rendah</v>
      </c>
      <c r="H150" s="5" t="n">
        <v>10</v>
      </c>
      <c r="I150" s="5" t="n">
        <v>5</v>
      </c>
      <c r="J150" s="5" t="n">
        <v>0</v>
      </c>
      <c r="K150" s="5" t="s">
        <v>7</v>
      </c>
    </row>
    <row r="151" customFormat="false" ht="15" hidden="false" customHeight="false" outlineLevel="0" collapsed="false">
      <c r="A151" s="5" t="n">
        <f aca="false">RANDBETWEEN(2,164)</f>
        <v>135</v>
      </c>
      <c r="B151" s="5" t="n">
        <f aca="false" t="array" ref="B151:B151">INDEX(Data_DBD!$C:$C,$A151)</f>
        <v>2</v>
      </c>
      <c r="C151" s="5" t="n">
        <f aca="false" t="array" ref="C151:C151">INDEX(Data_DBD!$E:$E,$A151)</f>
        <v>0</v>
      </c>
      <c r="D151" s="5" t="str">
        <f aca="false" t="array" ref="D151:D151">INDEX(Data_DBD!$F:$F,$A151)</f>
        <v>Tinggi</v>
      </c>
      <c r="H151" s="5" t="n">
        <v>151</v>
      </c>
      <c r="I151" s="5" t="n">
        <v>3</v>
      </c>
      <c r="J151" s="5" t="n">
        <v>0</v>
      </c>
      <c r="K151" s="5" t="s">
        <v>115</v>
      </c>
    </row>
    <row r="152" customFormat="false" ht="15" hidden="false" customHeight="false" outlineLevel="0" collapsed="false">
      <c r="A152" s="5" t="n">
        <f aca="false">RANDBETWEEN(2,164)</f>
        <v>40</v>
      </c>
      <c r="B152" s="5" t="n">
        <f aca="false" t="array" ref="B152:B152">INDEX(Data_DBD!$C:$C,$A152)</f>
        <v>3</v>
      </c>
      <c r="C152" s="5" t="n">
        <f aca="false" t="array" ref="C152:C152">INDEX(Data_DBD!$E:$E,$A152)</f>
        <v>1</v>
      </c>
      <c r="D152" s="5" t="str">
        <f aca="false" t="array" ref="D152:D152">INDEX(Data_DBD!$F:$F,$A152)</f>
        <v>Sedang</v>
      </c>
      <c r="H152" s="5" t="n">
        <v>110</v>
      </c>
      <c r="I152" s="5" t="n">
        <v>2</v>
      </c>
      <c r="J152" s="5" t="n">
        <v>1</v>
      </c>
      <c r="K152" s="5" t="s">
        <v>115</v>
      </c>
    </row>
    <row r="153" customFormat="false" ht="15" hidden="false" customHeight="false" outlineLevel="0" collapsed="false">
      <c r="A153" s="5" t="n">
        <f aca="false">RANDBETWEEN(2,164)</f>
        <v>153</v>
      </c>
      <c r="B153" s="5" t="n">
        <f aca="false" t="array" ref="B153:B153">INDEX(Data_DBD!$C:$C,$A153)</f>
        <v>7</v>
      </c>
      <c r="C153" s="5" t="n">
        <f aca="false" t="array" ref="C153:C153">INDEX(Data_DBD!$E:$E,$A153)</f>
        <v>1</v>
      </c>
      <c r="D153" s="5" t="str">
        <f aca="false" t="array" ref="D153:D153">INDEX(Data_DBD!$F:$F,$A153)</f>
        <v>Tinggi</v>
      </c>
      <c r="H153" s="5" t="n">
        <v>108</v>
      </c>
      <c r="I153" s="5" t="n">
        <v>7</v>
      </c>
      <c r="J153" s="5" t="n">
        <v>1</v>
      </c>
      <c r="K153" s="5" t="s">
        <v>115</v>
      </c>
    </row>
    <row r="154" customFormat="false" ht="15" hidden="false" customHeight="false" outlineLevel="0" collapsed="false">
      <c r="A154" s="5" t="n">
        <f aca="false">RANDBETWEEN(2,164)</f>
        <v>17</v>
      </c>
      <c r="B154" s="5" t="n">
        <f aca="false" t="array" ref="B154:B154">INDEX(Data_DBD!$C:$C,$A154)</f>
        <v>3</v>
      </c>
      <c r="C154" s="5" t="n">
        <f aca="false" t="array" ref="C154:C154">INDEX(Data_DBD!$E:$E,$A154)</f>
        <v>0</v>
      </c>
      <c r="D154" s="5" t="str">
        <f aca="false" t="array" ref="D154:D154">INDEX(Data_DBD!$F:$F,$A154)</f>
        <v>Rendah</v>
      </c>
      <c r="H154" s="5" t="n">
        <v>164</v>
      </c>
      <c r="I154" s="5" t="n">
        <v>6</v>
      </c>
      <c r="J154" s="5" t="n">
        <v>0</v>
      </c>
      <c r="K154" s="5" t="s">
        <v>20</v>
      </c>
    </row>
    <row r="155" customFormat="false" ht="15" hidden="false" customHeight="false" outlineLevel="0" collapsed="false">
      <c r="A155" s="5" t="n">
        <f aca="false">RANDBETWEEN(2,164)</f>
        <v>22</v>
      </c>
      <c r="B155" s="5" t="n">
        <f aca="false" t="array" ref="B155:B155">INDEX(Data_DBD!$C:$C,$A155)</f>
        <v>3</v>
      </c>
      <c r="C155" s="5" t="n">
        <f aca="false" t="array" ref="C155:C155">INDEX(Data_DBD!$E:$E,$A155)</f>
        <v>0</v>
      </c>
      <c r="D155" s="5" t="str">
        <f aca="false" t="array" ref="D155:D155">INDEX(Data_DBD!$F:$F,$A155)</f>
        <v>Sedang</v>
      </c>
      <c r="H155" s="5" t="n">
        <v>47</v>
      </c>
      <c r="I155" s="5" t="n">
        <v>2</v>
      </c>
      <c r="J155" s="5" t="n">
        <v>0</v>
      </c>
      <c r="K155" s="5" t="s">
        <v>7</v>
      </c>
    </row>
    <row r="156" customFormat="false" ht="15.75" hidden="false" customHeight="true" outlineLevel="0" collapsed="false">
      <c r="A156" s="5" t="n">
        <f aca="false">RANDBETWEEN(2,164)</f>
        <v>127</v>
      </c>
      <c r="B156" s="5" t="n">
        <f aca="false" t="array" ref="B156:B156">INDEX(Data_DBD!$C:$C,$A156)</f>
        <v>2</v>
      </c>
      <c r="C156" s="5" t="n">
        <f aca="false" t="array" ref="C156:C156">INDEX(Data_DBD!$E:$E,$A156)</f>
        <v>0</v>
      </c>
      <c r="D156" s="5" t="str">
        <f aca="false" t="array" ref="D156:D156">INDEX(Data_DBD!$F:$F,$A156)</f>
        <v>Tinggi</v>
      </c>
      <c r="H156" s="5" t="n">
        <v>18</v>
      </c>
      <c r="I156" s="5" t="n">
        <v>4</v>
      </c>
      <c r="J156" s="5" t="n">
        <v>1</v>
      </c>
      <c r="K156" s="5" t="s">
        <v>20</v>
      </c>
      <c r="U156" s="7" t="s">
        <v>274</v>
      </c>
    </row>
    <row r="157" customFormat="false" ht="15.75" hidden="false" customHeight="true" outlineLevel="0" collapsed="false">
      <c r="A157" s="5" t="n">
        <f aca="false">RANDBETWEEN(2,164)</f>
        <v>135</v>
      </c>
      <c r="B157" s="5" t="n">
        <f aca="false" t="array" ref="B157:B157">INDEX(Data_DBD!$C:$C,$A157)</f>
        <v>2</v>
      </c>
      <c r="C157" s="5" t="n">
        <f aca="false" t="array" ref="C157:C157">INDEX(Data_DBD!$E:$E,$A157)</f>
        <v>0</v>
      </c>
      <c r="D157" s="5" t="str">
        <f aca="false" t="array" ref="D157:D157">INDEX(Data_DBD!$F:$F,$A157)</f>
        <v>Tinggi</v>
      </c>
      <c r="H157" s="5" t="n">
        <v>10</v>
      </c>
      <c r="I157" s="5" t="n">
        <v>5</v>
      </c>
      <c r="J157" s="5" t="n">
        <v>0</v>
      </c>
      <c r="K157" s="5" t="s">
        <v>7</v>
      </c>
      <c r="U157" s="8" t="s">
        <v>177</v>
      </c>
    </row>
    <row r="158" customFormat="false" ht="15.75" hidden="false" customHeight="true" outlineLevel="0" collapsed="false">
      <c r="A158" s="5" t="n">
        <f aca="false">RANDBETWEEN(2,164)</f>
        <v>9</v>
      </c>
      <c r="B158" s="5" t="n">
        <f aca="false" t="array" ref="B158:B158">INDEX(Data_DBD!$C:$C,$A158)</f>
        <v>6</v>
      </c>
      <c r="C158" s="5" t="n">
        <f aca="false" t="array" ref="C158:C158">INDEX(Data_DBD!$E:$E,$A158)</f>
        <v>1</v>
      </c>
      <c r="D158" s="5" t="str">
        <f aca="false" t="array" ref="D158:D158">INDEX(Data_DBD!$F:$F,$A158)</f>
        <v>Sedang</v>
      </c>
      <c r="H158" s="5" t="n">
        <v>129</v>
      </c>
      <c r="I158" s="5" t="n">
        <v>3</v>
      </c>
      <c r="J158" s="5" t="n">
        <v>0</v>
      </c>
      <c r="K158" s="5" t="s">
        <v>115</v>
      </c>
      <c r="U158" s="9" t="s">
        <v>214</v>
      </c>
    </row>
    <row r="159" customFormat="false" ht="15.75" hidden="false" customHeight="true" outlineLevel="0" collapsed="false">
      <c r="A159" s="5" t="n">
        <f aca="false">RANDBETWEEN(2,164)</f>
        <v>10</v>
      </c>
      <c r="B159" s="5" t="n">
        <f aca="false" t="array" ref="B159:B159">INDEX(Data_DBD!$C:$C,$A159)</f>
        <v>5</v>
      </c>
      <c r="C159" s="5" t="n">
        <f aca="false" t="array" ref="C159:C159">INDEX(Data_DBD!$E:$E,$A159)</f>
        <v>0</v>
      </c>
      <c r="D159" s="5" t="str">
        <f aca="false" t="array" ref="D159:D159">INDEX(Data_DBD!$F:$F,$A159)</f>
        <v>Sedang</v>
      </c>
      <c r="H159" s="5" t="n">
        <v>94</v>
      </c>
      <c r="I159" s="5" t="n">
        <v>4</v>
      </c>
      <c r="J159" s="5" t="n">
        <v>0</v>
      </c>
      <c r="K159" s="5" t="s">
        <v>115</v>
      </c>
      <c r="U159" s="9" t="s">
        <v>215</v>
      </c>
    </row>
    <row r="160" customFormat="false" ht="15.75" hidden="false" customHeight="true" outlineLevel="0" collapsed="false">
      <c r="A160" s="5" t="n">
        <f aca="false">RANDBETWEEN(2,164)</f>
        <v>96</v>
      </c>
      <c r="B160" s="5" t="n">
        <f aca="false" t="array" ref="B160:B160">INDEX(Data_DBD!$C:$C,$A160)</f>
        <v>4</v>
      </c>
      <c r="C160" s="5" t="n">
        <f aca="false" t="array" ref="C160:C160">INDEX(Data_DBD!$E:$E,$A160)</f>
        <v>0</v>
      </c>
      <c r="D160" s="5" t="str">
        <f aca="false" t="array" ref="D160:D160">INDEX(Data_DBD!$F:$F,$A160)</f>
        <v>Sedang</v>
      </c>
      <c r="H160" s="5" t="n">
        <v>155</v>
      </c>
      <c r="I160" s="5" t="n">
        <v>5</v>
      </c>
      <c r="J160" s="5" t="n">
        <v>1</v>
      </c>
      <c r="K160" s="5" t="s">
        <v>115</v>
      </c>
      <c r="U160" s="8" t="s">
        <v>180</v>
      </c>
    </row>
    <row r="161" customFormat="false" ht="15.75" hidden="false" customHeight="true" outlineLevel="0" collapsed="false">
      <c r="A161" s="5" t="n">
        <f aca="false">RANDBETWEEN(2,164)</f>
        <v>105</v>
      </c>
      <c r="B161" s="5" t="n">
        <f aca="false" t="array" ref="B161:B161">INDEX(Data_DBD!$C:$C,$A161)</f>
        <v>3</v>
      </c>
      <c r="C161" s="5" t="n">
        <f aca="false" t="array" ref="C161:C161">INDEX(Data_DBD!$E:$E,$A161)</f>
        <v>1</v>
      </c>
      <c r="D161" s="5" t="str">
        <f aca="false" t="array" ref="D161:D161">INDEX(Data_DBD!$F:$F,$A161)</f>
        <v>Sedang</v>
      </c>
      <c r="H161" s="5" t="n">
        <v>111</v>
      </c>
      <c r="I161" s="5" t="n">
        <v>4</v>
      </c>
      <c r="J161" s="5" t="n">
        <v>0</v>
      </c>
      <c r="K161" s="5" t="s">
        <v>115</v>
      </c>
      <c r="U161" s="9" t="s">
        <v>275</v>
      </c>
    </row>
    <row r="162" customFormat="false" ht="15.75" hidden="false" customHeight="true" outlineLevel="0" collapsed="false">
      <c r="A162" s="5" t="n">
        <f aca="false">RANDBETWEEN(2,164)</f>
        <v>141</v>
      </c>
      <c r="B162" s="5" t="n">
        <f aca="false" t="array" ref="B162:B162">INDEX(Data_DBD!$C:$C,$A162)</f>
        <v>2</v>
      </c>
      <c r="C162" s="5" t="n">
        <f aca="false" t="array" ref="C162:C162">INDEX(Data_DBD!$E:$E,$A162)</f>
        <v>0</v>
      </c>
      <c r="D162" s="5" t="str">
        <f aca="false" t="array" ref="D162:D162">INDEX(Data_DBD!$F:$F,$A162)</f>
        <v>Tinggi</v>
      </c>
      <c r="H162" s="5" t="n">
        <v>157</v>
      </c>
      <c r="I162" s="5" t="n">
        <v>4</v>
      </c>
      <c r="J162" s="5" t="n">
        <v>1</v>
      </c>
      <c r="K162" s="5" t="s">
        <v>115</v>
      </c>
      <c r="U162" s="9" t="s">
        <v>247</v>
      </c>
    </row>
    <row r="163" customFormat="false" ht="15.75" hidden="false" customHeight="true" outlineLevel="0" collapsed="false">
      <c r="A163" s="5" t="n">
        <f aca="false">RANDBETWEEN(2,164)</f>
        <v>101</v>
      </c>
      <c r="B163" s="5" t="n">
        <f aca="false" t="array" ref="B163:B163">INDEX(Data_DBD!$C:$C,$A163)</f>
        <v>5</v>
      </c>
      <c r="C163" s="5" t="n">
        <f aca="false" t="array" ref="C163:C163">INDEX(Data_DBD!$E:$E,$A163)</f>
        <v>0</v>
      </c>
      <c r="D163" s="5" t="str">
        <f aca="false" t="array" ref="D163:D163">INDEX(Data_DBD!$F:$F,$A163)</f>
        <v>Sedang</v>
      </c>
      <c r="H163" s="5" t="n">
        <v>120</v>
      </c>
      <c r="I163" s="5" t="n">
        <v>4</v>
      </c>
      <c r="J163" s="5" t="n">
        <v>1</v>
      </c>
      <c r="K163" s="5" t="s">
        <v>115</v>
      </c>
      <c r="U163" s="8" t="s">
        <v>183</v>
      </c>
    </row>
    <row r="164" customFormat="false" ht="15.75" hidden="false" customHeight="true" outlineLevel="0" collapsed="false">
      <c r="A164" s="5" t="n">
        <f aca="false">RANDBETWEEN(2,164)</f>
        <v>107</v>
      </c>
      <c r="B164" s="5" t="n">
        <f aca="false" t="array" ref="B164:B164">INDEX(Data_DBD!$C:$C,$A164)</f>
        <v>5</v>
      </c>
      <c r="C164" s="5" t="n">
        <f aca="false" t="array" ref="C164:C164">INDEX(Data_DBD!$E:$E,$A164)</f>
        <v>0</v>
      </c>
      <c r="D164" s="5" t="str">
        <f aca="false" t="array" ref="D164:D164">INDEX(Data_DBD!$F:$F,$A164)</f>
        <v>Sedang</v>
      </c>
      <c r="H164" s="5" t="n">
        <v>132</v>
      </c>
      <c r="I164" s="5" t="n">
        <v>3</v>
      </c>
      <c r="J164" s="5" t="n">
        <v>1</v>
      </c>
      <c r="K164" s="5" t="s">
        <v>115</v>
      </c>
      <c r="U164" s="9" t="s">
        <v>276</v>
      </c>
    </row>
    <row r="165" customFormat="false" ht="15" hidden="false" customHeight="false" outlineLevel="0" collapsed="false">
      <c r="I165" s="0" t="n">
        <f aca="false">AVERAGE(I2:I164)</f>
        <v>3.37423312883436</v>
      </c>
      <c r="J165" s="0" t="n">
        <f aca="false">AVERAGE(J2:J164)</f>
        <v>0.576687116564417</v>
      </c>
    </row>
    <row r="166" customFormat="false" ht="15" hidden="false" customHeight="false" outlineLevel="0" collapsed="false">
      <c r="B166" s="0" t="n">
        <v>55</v>
      </c>
    </row>
    <row r="168" customFormat="false" ht="15" hidden="false" customHeight="false" outlineLevel="0" collapsed="false">
      <c r="I168" s="11" t="s">
        <v>186</v>
      </c>
      <c r="M168" s="11" t="s">
        <v>188</v>
      </c>
    </row>
    <row r="169" customFormat="false" ht="15" hidden="false" customHeight="false" outlineLevel="0" collapsed="false">
      <c r="I169" s="5" t="s">
        <v>189</v>
      </c>
      <c r="J169" s="5" t="n">
        <f aca="false">AVERAGEIF($I$2:$I$164,"&lt;="&amp;$I$165)</f>
        <v>2.44943820224719</v>
      </c>
      <c r="K169" s="5" t="n">
        <f aca="false">AVERAGEIF($I$2:$I$164,"&gt;"&amp;$I$165)</f>
        <v>4.48648648648649</v>
      </c>
      <c r="M169" s="5" t="s">
        <v>191</v>
      </c>
      <c r="N169" s="5" t="n">
        <f aca="false">AVERAGEIF($J$2:$J$164,"&lt;="&amp;$J$165)</f>
        <v>0</v>
      </c>
      <c r="O169" s="5" t="n">
        <f aca="false">AVERAGEIF($J$2:$J$164,"&gt;"&amp;$J$165)</f>
        <v>1</v>
      </c>
    </row>
    <row r="170" customFormat="false" ht="15" hidden="false" customHeight="false" outlineLevel="0" collapsed="false">
      <c r="I170" s="5" t="str">
        <f aca="false" t="array" ref="I170:I332">IF($I$2:$I$164&lt;$J$169,"kiri",IF($I$2:$I$164&lt;$K$169,"tengah","kanan"))</f>
        <v>tengah</v>
      </c>
      <c r="J170" s="5" t="s">
        <v>277</v>
      </c>
      <c r="K170" s="5"/>
      <c r="M170" s="5" t="str">
        <f aca="false" t="array" ref="M170:M332">IF($J$2:$J$164&lt;$N$169,"kiri",IF($J$2:$J$164&lt;$O$169,"tengah","kanan"))</f>
        <v>kanan</v>
      </c>
      <c r="N170" s="5" t="s">
        <v>195</v>
      </c>
      <c r="O170" s="5"/>
    </row>
    <row r="171" customFormat="false" ht="15" hidden="false" customHeight="false" outlineLevel="0" collapsed="false">
      <c r="I171" s="5" t="str">
        <v>tengah</v>
      </c>
      <c r="J171" s="5" t="n">
        <f aca="false">COUNTIFS($I$170:$I$332,"Kanan",$K$2:$K$164,"Tinggi")</f>
        <v>10</v>
      </c>
      <c r="K171" s="5" t="n">
        <f aca="false">J171/27</f>
        <v>0.37037037037037</v>
      </c>
      <c r="M171" s="5" t="str">
        <v>kanan</v>
      </c>
      <c r="N171" s="5" t="n">
        <f aca="false">COUNTIFS($M$170:$M$332,"Kanan",$K$2:$K$164,"Tinggi")</f>
        <v>42</v>
      </c>
      <c r="O171" s="5" t="n">
        <f aca="false">N171/94</f>
        <v>0.446808510638298</v>
      </c>
    </row>
    <row r="172" customFormat="false" ht="15" hidden="false" customHeight="false" outlineLevel="0" collapsed="false">
      <c r="I172" s="5" t="str">
        <v>tengah</v>
      </c>
      <c r="J172" s="5" t="n">
        <f aca="false">COUNTIFS($I$170:$I$332,"Kanan",$K$2:$K$164,"Sedang")</f>
        <v>13</v>
      </c>
      <c r="K172" s="5" t="n">
        <f aca="false">J172/27</f>
        <v>0.481481481481481</v>
      </c>
      <c r="M172" s="5" t="str">
        <v>tengah</v>
      </c>
      <c r="N172" s="5" t="n">
        <f aca="false">COUNTIFS($M$170:$M$332,"Kanan",$K$2:$K$164,"Sedang")</f>
        <v>40</v>
      </c>
      <c r="O172" s="5" t="n">
        <f aca="false">N172/94</f>
        <v>0.425531914893617</v>
      </c>
    </row>
    <row r="173" customFormat="false" ht="15" hidden="false" customHeight="false" outlineLevel="0" collapsed="false">
      <c r="I173" s="5" t="str">
        <v>tengah</v>
      </c>
      <c r="J173" s="5" t="n">
        <f aca="false">COUNTIFS($I$170:$I$332,"Kanan",$K$2:$K$164,"Rendah")</f>
        <v>4</v>
      </c>
      <c r="K173" s="5" t="n">
        <f aca="false">J173/27</f>
        <v>0.148148148148148</v>
      </c>
      <c r="M173" s="5" t="str">
        <v>tengah</v>
      </c>
      <c r="N173" s="5" t="n">
        <f aca="false">COUNTIFS($M$170:$M$332,"Kanan",$K$2:$K$164,"Rendah")</f>
        <v>12</v>
      </c>
      <c r="O173" s="5" t="n">
        <f aca="false">N173/94</f>
        <v>0.127659574468085</v>
      </c>
    </row>
    <row r="174" customFormat="false" ht="15" hidden="false" customHeight="false" outlineLevel="0" collapsed="false">
      <c r="I174" s="5" t="str">
        <v>kanan</v>
      </c>
      <c r="J174" s="5" t="s">
        <v>196</v>
      </c>
      <c r="K174" s="5" t="n">
        <f aca="false">-(IFERROR(K171*LOG(K171,2),0)+IFERROR(K172*LOG(K172,2),0)+IFERROR(K173*LOG(K173,2),0))</f>
        <v>1.44655426939651</v>
      </c>
      <c r="M174" s="5" t="str">
        <v>tengah</v>
      </c>
      <c r="N174" s="5" t="s">
        <v>196</v>
      </c>
      <c r="O174" s="5" t="n">
        <f aca="false">-(IFERROR(O171*LOG(O171,2),0)+IFERROR(O172*LOG(O172,2),0)+IFERROR(O173*LOG(O173,2),0))</f>
        <v>1.42295049464725</v>
      </c>
    </row>
    <row r="175" customFormat="false" ht="15" hidden="false" customHeight="false" outlineLevel="0" collapsed="false">
      <c r="I175" s="5" t="str">
        <v>tengah</v>
      </c>
      <c r="J175" s="5"/>
      <c r="K175" s="5" t="n">
        <f aca="false">SUM(J171:J173)/163</f>
        <v>0.165644171779141</v>
      </c>
      <c r="M175" s="5" t="str">
        <v>tengah</v>
      </c>
      <c r="N175" s="5"/>
      <c r="O175" s="5" t="n">
        <f aca="false">SUM(N171:N173)/163</f>
        <v>0.576687116564417</v>
      </c>
    </row>
    <row r="176" customFormat="false" ht="15" hidden="false" customHeight="false" outlineLevel="0" collapsed="false">
      <c r="I176" s="5" t="str">
        <v>tengah</v>
      </c>
      <c r="J176" s="5"/>
      <c r="K176" s="12" t="n">
        <f aca="false">K174*K175</f>
        <v>0.239613283887766</v>
      </c>
      <c r="M176" s="5" t="str">
        <v>tengah</v>
      </c>
      <c r="N176" s="5"/>
      <c r="O176" s="12" t="n">
        <f aca="false">O174*O175</f>
        <v>0.820597217772034</v>
      </c>
    </row>
    <row r="177" customFormat="false" ht="15" hidden="false" customHeight="false" outlineLevel="0" collapsed="false">
      <c r="I177" s="5" t="str">
        <v>tengah</v>
      </c>
      <c r="J177" s="5"/>
      <c r="K177" s="5"/>
      <c r="M177" s="5" t="str">
        <v>tengah</v>
      </c>
      <c r="N177" s="5"/>
      <c r="O177" s="5"/>
    </row>
    <row r="178" customFormat="false" ht="15" hidden="false" customHeight="false" outlineLevel="0" collapsed="false">
      <c r="I178" s="5" t="str">
        <v>kanan</v>
      </c>
      <c r="J178" s="5"/>
      <c r="K178" s="5"/>
      <c r="M178" s="5" t="str">
        <v>tengah</v>
      </c>
      <c r="N178" s="5"/>
      <c r="O178" s="5"/>
    </row>
    <row r="179" customFormat="false" ht="15" hidden="false" customHeight="false" outlineLevel="0" collapsed="false">
      <c r="I179" s="5" t="str">
        <v>kanan</v>
      </c>
      <c r="J179" s="5" t="s">
        <v>220</v>
      </c>
      <c r="K179" s="5"/>
      <c r="M179" s="5" t="str">
        <v>tengah</v>
      </c>
      <c r="N179" s="5" t="s">
        <v>200</v>
      </c>
      <c r="O179" s="5"/>
    </row>
    <row r="180" customFormat="false" ht="15" hidden="false" customHeight="false" outlineLevel="0" collapsed="false">
      <c r="I180" s="5" t="str">
        <v>tengah</v>
      </c>
      <c r="J180" s="5" t="n">
        <f aca="false">COUNTIFS($I$170:$I$332,"Kiri",$K$2:$K$164,"Tinggi")</f>
        <v>20</v>
      </c>
      <c r="K180" s="5" t="n">
        <f aca="false">J180/42</f>
        <v>0.476190476190476</v>
      </c>
      <c r="M180" s="5" t="str">
        <v>kanan</v>
      </c>
      <c r="N180" s="5" t="n">
        <f aca="false">COUNTIFS($N$170:$N$332,"Kiri",$K$2:$K$164,"Tinggi")</f>
        <v>0</v>
      </c>
      <c r="O180" s="5" t="e">
        <f aca="false">N180/57</f>
        <v>#VALUE!</v>
      </c>
    </row>
    <row r="181" customFormat="false" ht="15" hidden="false" customHeight="false" outlineLevel="0" collapsed="false">
      <c r="I181" s="5" t="str">
        <v>kiri</v>
      </c>
      <c r="J181" s="5" t="n">
        <f aca="false">COUNTIFS($I$170:$I$332,"Kiri",$K$2:$K$164,"Sedang")</f>
        <v>18</v>
      </c>
      <c r="K181" s="5" t="n">
        <f aca="false">J181/42</f>
        <v>0.428571428571429</v>
      </c>
      <c r="M181" s="5" t="str">
        <v>tengah</v>
      </c>
      <c r="N181" s="5" t="n">
        <f aca="false">COUNTIFS($N$170:$N$332,"Kiri",$K$2:$K$164,"Sedang")</f>
        <v>0</v>
      </c>
      <c r="O181" s="5" t="e">
        <f aca="false">N181/57</f>
        <v>#VALUE!</v>
      </c>
    </row>
    <row r="182" customFormat="false" ht="15" hidden="false" customHeight="false" outlineLevel="0" collapsed="false">
      <c r="I182" s="5" t="str">
        <v>kanan</v>
      </c>
      <c r="J182" s="5" t="n">
        <f aca="false">COUNTIFS($I$170:$I$332,"Kiri",$K$2:$K$164,"Rendah")</f>
        <v>4</v>
      </c>
      <c r="K182" s="5" t="n">
        <f aca="false">J182/42</f>
        <v>0.0952380952380952</v>
      </c>
      <c r="M182" s="5" t="str">
        <v>kanan</v>
      </c>
      <c r="N182" s="5" t="n">
        <f aca="false">COUNTIFS($N$170:$N$332,"Kiri",$K$2:$K$164,"Rendah")</f>
        <v>0</v>
      </c>
      <c r="O182" s="5" t="e">
        <f aca="false">N182/57</f>
        <v>#VALUE!</v>
      </c>
    </row>
    <row r="183" customFormat="false" ht="15" hidden="false" customHeight="false" outlineLevel="0" collapsed="false">
      <c r="I183" s="5" t="str">
        <v>kiri</v>
      </c>
      <c r="J183" s="5" t="s">
        <v>196</v>
      </c>
      <c r="K183" s="5" t="n">
        <f aca="false">-(IFERROR(K180*LOG(K180,2),0)+IFERROR(K181*LOG(K181,2),0)+IFERROR(K182*LOG(K182,2),0))</f>
        <v>1.35666951983331</v>
      </c>
      <c r="M183" s="5" t="str">
        <v>kanan</v>
      </c>
      <c r="N183" s="5" t="s">
        <v>196</v>
      </c>
      <c r="O183" s="5" t="n">
        <f aca="false">-(IFERROR(O180*LOG(O180,2),0)+IFERROR(O181*LOG(O181,2),0)+IFERROR(O182*LOG(O182,2),0))</f>
        <v>-0</v>
      </c>
    </row>
    <row r="184" customFormat="false" ht="15" hidden="false" customHeight="false" outlineLevel="0" collapsed="false">
      <c r="I184" s="5" t="str">
        <v>kiri</v>
      </c>
      <c r="J184" s="5"/>
      <c r="K184" s="5" t="n">
        <f aca="false">SUM(J180:J182)/163</f>
        <v>0.257668711656442</v>
      </c>
      <c r="M184" s="5" t="str">
        <v>kanan</v>
      </c>
      <c r="N184" s="5"/>
      <c r="O184" s="5" t="e">
        <f aca="false">SUM(N180:N182)/163</f>
        <v>#VALUE!</v>
      </c>
    </row>
    <row r="185" customFormat="false" ht="15" hidden="false" customHeight="false" outlineLevel="0" collapsed="false">
      <c r="I185" s="5" t="str">
        <v>kiri</v>
      </c>
      <c r="J185" s="5"/>
      <c r="K185" s="12" t="n">
        <f aca="false">K183*K184</f>
        <v>0.349571287319013</v>
      </c>
      <c r="M185" s="5" t="str">
        <v>tengah</v>
      </c>
      <c r="N185" s="5"/>
      <c r="O185" s="12" t="e">
        <f aca="false">O183*O184</f>
        <v>#VALUE!</v>
      </c>
    </row>
    <row r="186" customFormat="false" ht="15" hidden="false" customHeight="false" outlineLevel="0" collapsed="false">
      <c r="I186" s="5" t="str">
        <v>tengah</v>
      </c>
      <c r="J186" s="5"/>
      <c r="K186" s="5"/>
      <c r="M186" s="5" t="str">
        <v>tengah</v>
      </c>
      <c r="N186" s="5"/>
      <c r="O186" s="5"/>
    </row>
    <row r="187" customFormat="false" ht="15" hidden="false" customHeight="false" outlineLevel="0" collapsed="false">
      <c r="I187" s="5" t="str">
        <v>kiri</v>
      </c>
      <c r="J187" s="5"/>
      <c r="K187" s="5"/>
      <c r="M187" s="5" t="str">
        <v>kanan</v>
      </c>
      <c r="N187" s="5"/>
      <c r="O187" s="5"/>
    </row>
    <row r="188" customFormat="false" ht="15" hidden="false" customHeight="false" outlineLevel="0" collapsed="false">
      <c r="I188" s="5" t="str">
        <v>tengah</v>
      </c>
      <c r="J188" s="5" t="s">
        <v>201</v>
      </c>
      <c r="K188" s="5"/>
      <c r="M188" s="5" t="str">
        <v>tengah</v>
      </c>
      <c r="N188" s="5" t="s">
        <v>201</v>
      </c>
      <c r="O188" s="5"/>
    </row>
    <row r="189" customFormat="false" ht="15" hidden="false" customHeight="false" outlineLevel="0" collapsed="false">
      <c r="I189" s="5" t="str">
        <v>tengah</v>
      </c>
      <c r="J189" s="5" t="n">
        <f aca="false">COUNTIFS($I$170:$I$332,"Tengah",$K$2:$K$164,"Tinggi")</f>
        <v>43</v>
      </c>
      <c r="K189" s="5" t="n">
        <f aca="false">J189/94</f>
        <v>0.457446808510638</v>
      </c>
      <c r="M189" s="5" t="str">
        <v>tengah</v>
      </c>
      <c r="N189" s="5" t="n">
        <f aca="false">COUNTIFS($M$170:$M$332,"Tengah",$K$2:$K$164,"Tinggi")</f>
        <v>31</v>
      </c>
      <c r="O189" s="5" t="n">
        <f aca="false">N189/69</f>
        <v>0.449275362318841</v>
      </c>
    </row>
    <row r="190" customFormat="false" ht="15" hidden="false" customHeight="false" outlineLevel="0" collapsed="false">
      <c r="I190" s="5" t="str">
        <v>tengah</v>
      </c>
      <c r="J190" s="5" t="n">
        <f aca="false">COUNTIFS($I$170:$I$332,"Tengah",$K$2:$K$164,"Sedang")</f>
        <v>41</v>
      </c>
      <c r="K190" s="5" t="n">
        <f aca="false">J190/94</f>
        <v>0.436170212765957</v>
      </c>
      <c r="M190" s="5" t="str">
        <v>tengah</v>
      </c>
      <c r="N190" s="5" t="n">
        <f aca="false">COUNTIFS($M$170:$M$332,"Tengah",$K$2:$K$164,"Sedang")</f>
        <v>32</v>
      </c>
      <c r="O190" s="5" t="n">
        <f aca="false">N190/69</f>
        <v>0.463768115942029</v>
      </c>
    </row>
    <row r="191" customFormat="false" ht="15" hidden="false" customHeight="false" outlineLevel="0" collapsed="false">
      <c r="I191" s="5" t="str">
        <v>kiri</v>
      </c>
      <c r="J191" s="5" t="n">
        <f aca="false">COUNTIFS($I$170:$I$332,"Tengah",$K$2:$K$164,"Rendah")</f>
        <v>10</v>
      </c>
      <c r="K191" s="5" t="n">
        <f aca="false">J191/94</f>
        <v>0.106382978723404</v>
      </c>
      <c r="M191" s="5" t="str">
        <v>kanan</v>
      </c>
      <c r="N191" s="5" t="n">
        <f aca="false">COUNTIFS($M$170:$M$332,"Tengah",$K$2:$K$164,"Rendah")</f>
        <v>6</v>
      </c>
      <c r="O191" s="5" t="n">
        <f aca="false">N191/69</f>
        <v>0.0869565217391304</v>
      </c>
    </row>
    <row r="192" customFormat="false" ht="15" hidden="false" customHeight="false" outlineLevel="0" collapsed="false">
      <c r="I192" s="5" t="str">
        <v>kanan</v>
      </c>
      <c r="J192" s="5" t="s">
        <v>196</v>
      </c>
      <c r="K192" s="5" t="n">
        <f aca="false">-(IFERROR(K189*LOG(K189,2),0)+IFERROR(K190*LOG(K190,2),0)+IFERROR(K191*LOG(K191,2),0))</f>
        <v>1.38216015390737</v>
      </c>
      <c r="M192" s="5" t="str">
        <v>tengah</v>
      </c>
      <c r="N192" s="5" t="s">
        <v>196</v>
      </c>
      <c r="O192" s="5" t="n">
        <f aca="false">-(IFERROR(O189*LOG(O189,2),0)+IFERROR(O190*LOG(O190,2),0)+IFERROR(O191*LOG(O191,2),0))</f>
        <v>1.3391061868315</v>
      </c>
    </row>
    <row r="193" customFormat="false" ht="15" hidden="false" customHeight="false" outlineLevel="0" collapsed="false">
      <c r="I193" s="5" t="str">
        <v>tengah</v>
      </c>
      <c r="J193" s="5"/>
      <c r="K193" s="5" t="n">
        <f aca="false">SUM(J189:J191)/163</f>
        <v>0.576687116564417</v>
      </c>
      <c r="M193" s="5" t="str">
        <v>tengah</v>
      </c>
      <c r="N193" s="5"/>
      <c r="O193" s="5" t="n">
        <f aca="false">SUM(N189:N191)/163</f>
        <v>0.423312883435583</v>
      </c>
    </row>
    <row r="194" customFormat="false" ht="15" hidden="false" customHeight="false" outlineLevel="0" collapsed="false">
      <c r="I194" s="5" t="str">
        <v>tengah</v>
      </c>
      <c r="J194" s="5"/>
      <c r="K194" s="12" t="n">
        <f aca="false">K192*K193</f>
        <v>0.797073953787072</v>
      </c>
      <c r="M194" s="5" t="str">
        <v>kanan</v>
      </c>
      <c r="N194" s="5"/>
      <c r="O194" s="12" t="n">
        <f aca="false">O192*O193</f>
        <v>0.566860901174071</v>
      </c>
    </row>
    <row r="195" customFormat="false" ht="15" hidden="false" customHeight="false" outlineLevel="0" collapsed="false">
      <c r="I195" s="5" t="str">
        <v>tengah</v>
      </c>
      <c r="J195" s="5"/>
      <c r="K195" s="5"/>
      <c r="M195" s="5" t="str">
        <v>tengah</v>
      </c>
      <c r="N195" s="5"/>
      <c r="O195" s="5"/>
    </row>
    <row r="196" customFormat="false" ht="15" hidden="false" customHeight="false" outlineLevel="0" collapsed="false">
      <c r="I196" s="5" t="str">
        <v>tengah</v>
      </c>
      <c r="J196" s="5" t="s">
        <v>202</v>
      </c>
      <c r="K196" s="5"/>
      <c r="M196" s="5" t="str">
        <v>kanan</v>
      </c>
      <c r="N196" s="5" t="s">
        <v>202</v>
      </c>
      <c r="O196" s="5"/>
    </row>
    <row r="197" customFormat="false" ht="15" hidden="false" customHeight="false" outlineLevel="0" collapsed="false">
      <c r="I197" s="5" t="str">
        <v>tengah</v>
      </c>
      <c r="J197" s="13" t="n">
        <f aca="false">P5-(K176+K185+K194)</f>
        <v>0.00449145176453203</v>
      </c>
      <c r="K197" s="5"/>
      <c r="M197" s="5" t="str">
        <v>kanan</v>
      </c>
      <c r="N197" s="13" t="e">
        <f aca="false">P5-(O176+O185+O194)</f>
        <v>#VALUE!</v>
      </c>
      <c r="O197" s="5"/>
    </row>
    <row r="198" customFormat="false" ht="15" hidden="false" customHeight="false" outlineLevel="0" collapsed="false">
      <c r="I198" s="5" t="str">
        <v>tengah</v>
      </c>
      <c r="J198" s="5"/>
      <c r="K198" s="5"/>
      <c r="M198" s="5" t="str">
        <v>tengah</v>
      </c>
      <c r="N198" s="5"/>
      <c r="O198" s="5"/>
    </row>
    <row r="199" customFormat="false" ht="15" hidden="false" customHeight="false" outlineLevel="0" collapsed="false">
      <c r="I199" s="5" t="str">
        <v>kiri</v>
      </c>
      <c r="J199" s="5"/>
      <c r="K199" s="5"/>
      <c r="M199" s="5" t="str">
        <v>kanan</v>
      </c>
      <c r="N199" s="5"/>
      <c r="O199" s="5"/>
    </row>
    <row r="200" customFormat="false" ht="15" hidden="false" customHeight="false" outlineLevel="0" collapsed="false">
      <c r="I200" s="5" t="str">
        <v>kiri</v>
      </c>
      <c r="J200" s="5"/>
      <c r="K200" s="5"/>
      <c r="M200" s="5" t="str">
        <v>kanan</v>
      </c>
      <c r="N200" s="5"/>
      <c r="O200" s="5"/>
    </row>
    <row r="201" customFormat="false" ht="15" hidden="false" customHeight="false" outlineLevel="0" collapsed="false">
      <c r="I201" s="5" t="str">
        <v>tengah</v>
      </c>
      <c r="J201" s="5"/>
      <c r="K201" s="5"/>
      <c r="M201" s="5" t="str">
        <v>kanan</v>
      </c>
      <c r="N201" s="5"/>
      <c r="O201" s="5"/>
    </row>
    <row r="202" customFormat="false" ht="15" hidden="false" customHeight="false" outlineLevel="0" collapsed="false">
      <c r="I202" s="5" t="str">
        <v>kiri</v>
      </c>
      <c r="J202" s="5"/>
      <c r="K202" s="5"/>
      <c r="M202" s="5" t="str">
        <v>tengah</v>
      </c>
      <c r="N202" s="5"/>
      <c r="O202" s="5"/>
    </row>
    <row r="203" customFormat="false" ht="15" hidden="false" customHeight="false" outlineLevel="0" collapsed="false">
      <c r="I203" s="5" t="str">
        <v>tengah</v>
      </c>
      <c r="J203" s="5"/>
      <c r="K203" s="5"/>
      <c r="M203" s="5" t="str">
        <v>kanan</v>
      </c>
      <c r="N203" s="5"/>
      <c r="O203" s="5"/>
    </row>
    <row r="204" customFormat="false" ht="15" hidden="false" customHeight="false" outlineLevel="0" collapsed="false">
      <c r="I204" s="5" t="str">
        <v>kiri</v>
      </c>
      <c r="J204" s="5"/>
      <c r="K204" s="5"/>
      <c r="M204" s="5" t="str">
        <v>kanan</v>
      </c>
      <c r="N204" s="5"/>
      <c r="O204" s="5"/>
    </row>
    <row r="205" customFormat="false" ht="15" hidden="false" customHeight="false" outlineLevel="0" collapsed="false">
      <c r="I205" s="5" t="str">
        <v>tengah</v>
      </c>
      <c r="J205" s="5"/>
      <c r="K205" s="5"/>
      <c r="M205" s="5" t="str">
        <v>tengah</v>
      </c>
      <c r="N205" s="5"/>
      <c r="O205" s="5"/>
    </row>
    <row r="206" customFormat="false" ht="15" hidden="false" customHeight="false" outlineLevel="0" collapsed="false">
      <c r="I206" s="5" t="str">
        <v>kiri</v>
      </c>
      <c r="J206" s="5"/>
      <c r="K206" s="5"/>
      <c r="M206" s="5" t="str">
        <v>kanan</v>
      </c>
      <c r="N206" s="5"/>
      <c r="O206" s="5"/>
    </row>
    <row r="207" customFormat="false" ht="15" hidden="false" customHeight="false" outlineLevel="0" collapsed="false">
      <c r="I207" s="5" t="str">
        <v>tengah</v>
      </c>
      <c r="J207" s="5"/>
      <c r="K207" s="5"/>
      <c r="M207" s="5" t="str">
        <v>tengah</v>
      </c>
      <c r="N207" s="5"/>
      <c r="O207" s="5"/>
    </row>
    <row r="208" customFormat="false" ht="15" hidden="false" customHeight="false" outlineLevel="0" collapsed="false">
      <c r="I208" s="5" t="str">
        <v>tengah</v>
      </c>
      <c r="J208" s="5"/>
      <c r="K208" s="5"/>
      <c r="M208" s="5" t="str">
        <v>tengah</v>
      </c>
      <c r="N208" s="5"/>
      <c r="O208" s="5"/>
    </row>
    <row r="209" customFormat="false" ht="15" hidden="false" customHeight="false" outlineLevel="0" collapsed="false">
      <c r="I209" s="5" t="str">
        <v>kanan</v>
      </c>
      <c r="J209" s="5"/>
      <c r="K209" s="5"/>
      <c r="M209" s="5" t="str">
        <v>tengah</v>
      </c>
      <c r="N209" s="5"/>
      <c r="O209" s="5"/>
    </row>
    <row r="210" customFormat="false" ht="15" hidden="false" customHeight="false" outlineLevel="0" collapsed="false">
      <c r="I210" s="5" t="str">
        <v>tengah</v>
      </c>
      <c r="J210" s="5"/>
      <c r="K210" s="5"/>
      <c r="M210" s="5" t="str">
        <v>tengah</v>
      </c>
      <c r="N210" s="5"/>
      <c r="O210" s="5"/>
    </row>
    <row r="211" customFormat="false" ht="15" hidden="false" customHeight="false" outlineLevel="0" collapsed="false">
      <c r="I211" s="5" t="str">
        <v>kiri</v>
      </c>
      <c r="J211" s="5"/>
      <c r="K211" s="5"/>
      <c r="M211" s="5" t="str">
        <v>tengah</v>
      </c>
      <c r="N211" s="5"/>
      <c r="O211" s="5"/>
    </row>
    <row r="212" customFormat="false" ht="15" hidden="false" customHeight="false" outlineLevel="0" collapsed="false">
      <c r="I212" s="5" t="str">
        <v>kiri</v>
      </c>
      <c r="J212" s="5"/>
      <c r="K212" s="5"/>
      <c r="M212" s="5" t="str">
        <v>kanan</v>
      </c>
      <c r="N212" s="5"/>
      <c r="O212" s="5"/>
    </row>
    <row r="213" customFormat="false" ht="15" hidden="false" customHeight="false" outlineLevel="0" collapsed="false">
      <c r="I213" s="5" t="str">
        <v>tengah</v>
      </c>
      <c r="J213" s="5"/>
      <c r="K213" s="5"/>
      <c r="M213" s="5" t="str">
        <v>kanan</v>
      </c>
      <c r="N213" s="5"/>
      <c r="O213" s="5"/>
    </row>
    <row r="214" customFormat="false" ht="15" hidden="false" customHeight="false" outlineLevel="0" collapsed="false">
      <c r="I214" s="5" t="str">
        <v>kanan</v>
      </c>
      <c r="J214" s="5"/>
      <c r="K214" s="5"/>
      <c r="M214" s="5" t="str">
        <v>kanan</v>
      </c>
      <c r="N214" s="5"/>
      <c r="O214" s="5"/>
    </row>
    <row r="215" customFormat="false" ht="15" hidden="false" customHeight="false" outlineLevel="0" collapsed="false">
      <c r="I215" s="5" t="str">
        <v>tengah</v>
      </c>
      <c r="J215" s="5"/>
      <c r="K215" s="5"/>
      <c r="M215" s="5" t="str">
        <v>tengah</v>
      </c>
      <c r="N215" s="5"/>
      <c r="O215" s="5"/>
    </row>
    <row r="216" customFormat="false" ht="15" hidden="false" customHeight="false" outlineLevel="0" collapsed="false">
      <c r="I216" s="5" t="str">
        <v>tengah</v>
      </c>
      <c r="J216" s="5"/>
      <c r="K216" s="5"/>
      <c r="M216" s="5" t="str">
        <v>kanan</v>
      </c>
      <c r="N216" s="5"/>
      <c r="O216" s="5"/>
    </row>
    <row r="217" customFormat="false" ht="15" hidden="false" customHeight="false" outlineLevel="0" collapsed="false">
      <c r="I217" s="5" t="str">
        <v>tengah</v>
      </c>
      <c r="J217" s="5"/>
      <c r="K217" s="5"/>
      <c r="M217" s="5" t="str">
        <v>kanan</v>
      </c>
      <c r="N217" s="5"/>
      <c r="O217" s="5"/>
    </row>
    <row r="218" customFormat="false" ht="15" hidden="false" customHeight="false" outlineLevel="0" collapsed="false">
      <c r="I218" s="5" t="str">
        <v>kiri</v>
      </c>
      <c r="J218" s="5"/>
      <c r="K218" s="5"/>
      <c r="M218" s="5" t="str">
        <v>kanan</v>
      </c>
      <c r="N218" s="5"/>
      <c r="O218" s="5"/>
    </row>
    <row r="219" customFormat="false" ht="15" hidden="false" customHeight="false" outlineLevel="0" collapsed="false">
      <c r="I219" s="5" t="str">
        <v>tengah</v>
      </c>
      <c r="J219" s="5"/>
      <c r="K219" s="5"/>
      <c r="M219" s="5" t="str">
        <v>kanan</v>
      </c>
      <c r="N219" s="5"/>
      <c r="O219" s="5"/>
    </row>
    <row r="220" customFormat="false" ht="15" hidden="false" customHeight="false" outlineLevel="0" collapsed="false">
      <c r="I220" s="5" t="str">
        <v>kiri</v>
      </c>
      <c r="J220" s="5"/>
      <c r="K220" s="5"/>
      <c r="M220" s="5" t="str">
        <v>kanan</v>
      </c>
      <c r="N220" s="5"/>
      <c r="O220" s="5"/>
    </row>
    <row r="221" customFormat="false" ht="15" hidden="false" customHeight="false" outlineLevel="0" collapsed="false">
      <c r="I221" s="5" t="str">
        <v>kiri</v>
      </c>
      <c r="J221" s="5"/>
      <c r="K221" s="5"/>
      <c r="M221" s="5" t="str">
        <v>kanan</v>
      </c>
      <c r="N221" s="5"/>
      <c r="O221" s="5"/>
    </row>
    <row r="222" customFormat="false" ht="15" hidden="false" customHeight="false" outlineLevel="0" collapsed="false">
      <c r="I222" s="5" t="str">
        <v>tengah</v>
      </c>
      <c r="J222" s="5"/>
      <c r="K222" s="5"/>
      <c r="M222" s="5" t="str">
        <v>tengah</v>
      </c>
      <c r="N222" s="5"/>
      <c r="O222" s="5"/>
    </row>
    <row r="223" customFormat="false" ht="15" hidden="false" customHeight="false" outlineLevel="0" collapsed="false">
      <c r="I223" s="5" t="str">
        <v>kanan</v>
      </c>
      <c r="J223" s="5"/>
      <c r="K223" s="5"/>
      <c r="M223" s="5" t="str">
        <v>kanan</v>
      </c>
      <c r="N223" s="5"/>
      <c r="O223" s="5"/>
    </row>
    <row r="224" customFormat="false" ht="15" hidden="false" customHeight="false" outlineLevel="0" collapsed="false">
      <c r="I224" s="5" t="str">
        <v>tengah</v>
      </c>
      <c r="J224" s="5"/>
      <c r="K224" s="5"/>
      <c r="M224" s="5" t="str">
        <v>kanan</v>
      </c>
      <c r="N224" s="5"/>
      <c r="O224" s="5"/>
    </row>
    <row r="225" customFormat="false" ht="15" hidden="false" customHeight="false" outlineLevel="0" collapsed="false">
      <c r="I225" s="5" t="str">
        <v>kiri</v>
      </c>
      <c r="J225" s="5"/>
      <c r="K225" s="5"/>
      <c r="M225" s="5" t="str">
        <v>kanan</v>
      </c>
      <c r="N225" s="5"/>
      <c r="O225" s="5"/>
    </row>
    <row r="226" customFormat="false" ht="15" hidden="false" customHeight="false" outlineLevel="0" collapsed="false">
      <c r="I226" s="5" t="str">
        <v>tengah</v>
      </c>
      <c r="J226" s="5"/>
      <c r="K226" s="5"/>
      <c r="M226" s="5" t="str">
        <v>tengah</v>
      </c>
      <c r="N226" s="5"/>
      <c r="O226" s="5"/>
    </row>
    <row r="227" customFormat="false" ht="15" hidden="false" customHeight="false" outlineLevel="0" collapsed="false">
      <c r="I227" s="5" t="str">
        <v>tengah</v>
      </c>
      <c r="J227" s="5"/>
      <c r="K227" s="5"/>
      <c r="M227" s="5" t="str">
        <v>kanan</v>
      </c>
      <c r="N227" s="5"/>
      <c r="O227" s="5"/>
    </row>
    <row r="228" customFormat="false" ht="15" hidden="false" customHeight="false" outlineLevel="0" collapsed="false">
      <c r="I228" s="5" t="str">
        <v>kiri</v>
      </c>
      <c r="J228" s="5"/>
      <c r="K228" s="5"/>
      <c r="M228" s="5" t="str">
        <v>kanan</v>
      </c>
      <c r="N228" s="5"/>
      <c r="O228" s="5"/>
    </row>
    <row r="229" customFormat="false" ht="15" hidden="false" customHeight="false" outlineLevel="0" collapsed="false">
      <c r="I229" s="5" t="str">
        <v>tengah</v>
      </c>
      <c r="J229" s="5"/>
      <c r="K229" s="5"/>
      <c r="M229" s="5" t="str">
        <v>kanan</v>
      </c>
      <c r="N229" s="5"/>
      <c r="O229" s="5"/>
    </row>
    <row r="230" customFormat="false" ht="15" hidden="false" customHeight="false" outlineLevel="0" collapsed="false">
      <c r="I230" s="5" t="str">
        <v>kanan</v>
      </c>
      <c r="J230" s="5"/>
      <c r="K230" s="5"/>
      <c r="M230" s="5" t="str">
        <v>tengah</v>
      </c>
      <c r="N230" s="5"/>
      <c r="O230" s="5"/>
    </row>
    <row r="231" customFormat="false" ht="15" hidden="false" customHeight="false" outlineLevel="0" collapsed="false">
      <c r="I231" s="5" t="str">
        <v>tengah</v>
      </c>
      <c r="J231" s="5"/>
      <c r="K231" s="5"/>
      <c r="M231" s="5" t="str">
        <v>kanan</v>
      </c>
      <c r="N231" s="5"/>
      <c r="O231" s="5"/>
    </row>
    <row r="232" customFormat="false" ht="15" hidden="false" customHeight="false" outlineLevel="0" collapsed="false">
      <c r="I232" s="5" t="str">
        <v>kanan</v>
      </c>
      <c r="J232" s="5"/>
      <c r="K232" s="5"/>
      <c r="M232" s="5" t="str">
        <v>kanan</v>
      </c>
      <c r="N232" s="5"/>
      <c r="O232" s="5"/>
    </row>
    <row r="233" customFormat="false" ht="15" hidden="false" customHeight="false" outlineLevel="0" collapsed="false">
      <c r="I233" s="5" t="str">
        <v>tengah</v>
      </c>
      <c r="J233" s="5"/>
      <c r="K233" s="5"/>
      <c r="M233" s="5" t="str">
        <v>tengah</v>
      </c>
      <c r="N233" s="5"/>
      <c r="O233" s="5"/>
    </row>
    <row r="234" customFormat="false" ht="15" hidden="false" customHeight="false" outlineLevel="0" collapsed="false">
      <c r="I234" s="5" t="str">
        <v>tengah</v>
      </c>
      <c r="J234" s="5"/>
      <c r="K234" s="5"/>
      <c r="M234" s="5" t="str">
        <v>kanan</v>
      </c>
      <c r="N234" s="5"/>
      <c r="O234" s="5"/>
    </row>
    <row r="235" customFormat="false" ht="15" hidden="false" customHeight="false" outlineLevel="0" collapsed="false">
      <c r="I235" s="5" t="str">
        <v>kanan</v>
      </c>
      <c r="J235" s="5"/>
      <c r="K235" s="5"/>
      <c r="M235" s="5" t="str">
        <v>tengah</v>
      </c>
      <c r="N235" s="5"/>
      <c r="O235" s="5"/>
    </row>
    <row r="236" customFormat="false" ht="15" hidden="false" customHeight="false" outlineLevel="0" collapsed="false">
      <c r="I236" s="5" t="str">
        <v>tengah</v>
      </c>
      <c r="J236" s="5"/>
      <c r="K236" s="5"/>
      <c r="M236" s="5" t="str">
        <v>tengah</v>
      </c>
      <c r="N236" s="5"/>
      <c r="O236" s="5"/>
    </row>
    <row r="237" customFormat="false" ht="15" hidden="false" customHeight="false" outlineLevel="0" collapsed="false">
      <c r="I237" s="5" t="str">
        <v>kiri</v>
      </c>
      <c r="J237" s="5"/>
      <c r="K237" s="5"/>
      <c r="M237" s="5" t="str">
        <v>kanan</v>
      </c>
      <c r="N237" s="5"/>
      <c r="O237" s="5"/>
    </row>
    <row r="238" customFormat="false" ht="15" hidden="false" customHeight="false" outlineLevel="0" collapsed="false">
      <c r="I238" s="5" t="str">
        <v>kiri</v>
      </c>
      <c r="J238" s="5"/>
      <c r="K238" s="5"/>
      <c r="M238" s="5" t="str">
        <v>tengah</v>
      </c>
      <c r="N238" s="5"/>
      <c r="O238" s="5"/>
    </row>
    <row r="239" customFormat="false" ht="15" hidden="false" customHeight="false" outlineLevel="0" collapsed="false">
      <c r="I239" s="5" t="str">
        <v>tengah</v>
      </c>
      <c r="J239" s="5"/>
      <c r="K239" s="5"/>
      <c r="M239" s="5" t="str">
        <v>kanan</v>
      </c>
      <c r="N239" s="5"/>
      <c r="O239" s="5"/>
    </row>
    <row r="240" customFormat="false" ht="15" hidden="false" customHeight="false" outlineLevel="0" collapsed="false">
      <c r="I240" s="5" t="str">
        <v>kiri</v>
      </c>
      <c r="J240" s="5"/>
      <c r="K240" s="5"/>
      <c r="M240" s="5" t="str">
        <v>tengah</v>
      </c>
      <c r="N240" s="5"/>
      <c r="O240" s="5"/>
    </row>
    <row r="241" customFormat="false" ht="15" hidden="false" customHeight="false" outlineLevel="0" collapsed="false">
      <c r="I241" s="5" t="str">
        <v>tengah</v>
      </c>
      <c r="J241" s="5"/>
      <c r="K241" s="5"/>
      <c r="M241" s="5" t="str">
        <v>tengah</v>
      </c>
      <c r="N241" s="5"/>
      <c r="O241" s="5"/>
    </row>
    <row r="242" customFormat="false" ht="15" hidden="false" customHeight="false" outlineLevel="0" collapsed="false">
      <c r="I242" s="5" t="str">
        <v>kiri</v>
      </c>
      <c r="J242" s="5"/>
      <c r="K242" s="5"/>
      <c r="M242" s="5" t="str">
        <v>kanan</v>
      </c>
      <c r="N242" s="5"/>
      <c r="O242" s="5"/>
    </row>
    <row r="243" customFormat="false" ht="15" hidden="false" customHeight="false" outlineLevel="0" collapsed="false">
      <c r="I243" s="5" t="str">
        <v>kiri</v>
      </c>
      <c r="J243" s="5"/>
      <c r="K243" s="5"/>
      <c r="M243" s="5" t="str">
        <v>kanan</v>
      </c>
      <c r="N243" s="5"/>
      <c r="O243" s="5"/>
    </row>
    <row r="244" customFormat="false" ht="15" hidden="false" customHeight="false" outlineLevel="0" collapsed="false">
      <c r="I244" s="5" t="str">
        <v>kiri</v>
      </c>
      <c r="J244" s="5"/>
      <c r="K244" s="5"/>
      <c r="M244" s="5" t="str">
        <v>kanan</v>
      </c>
      <c r="N244" s="5"/>
      <c r="O244" s="5"/>
    </row>
    <row r="245" customFormat="false" ht="15" hidden="false" customHeight="false" outlineLevel="0" collapsed="false">
      <c r="I245" s="5" t="str">
        <v>kanan</v>
      </c>
      <c r="J245" s="5"/>
      <c r="K245" s="5"/>
      <c r="M245" s="5" t="str">
        <v>kanan</v>
      </c>
      <c r="N245" s="5"/>
      <c r="O245" s="5"/>
    </row>
    <row r="246" customFormat="false" ht="15" hidden="false" customHeight="false" outlineLevel="0" collapsed="false">
      <c r="I246" s="5" t="str">
        <v>tengah</v>
      </c>
      <c r="J246" s="5"/>
      <c r="K246" s="5"/>
      <c r="M246" s="5" t="str">
        <v>kanan</v>
      </c>
      <c r="N246" s="5"/>
      <c r="O246" s="5"/>
    </row>
    <row r="247" customFormat="false" ht="15" hidden="false" customHeight="false" outlineLevel="0" collapsed="false">
      <c r="I247" s="5" t="str">
        <v>kanan</v>
      </c>
      <c r="J247" s="5"/>
      <c r="K247" s="5"/>
      <c r="M247" s="5" t="str">
        <v>kanan</v>
      </c>
      <c r="N247" s="5"/>
      <c r="O247" s="5"/>
    </row>
    <row r="248" customFormat="false" ht="15" hidden="false" customHeight="false" outlineLevel="0" collapsed="false">
      <c r="I248" s="5" t="str">
        <v>tengah</v>
      </c>
      <c r="J248" s="5"/>
      <c r="K248" s="5"/>
      <c r="M248" s="5" t="str">
        <v>kanan</v>
      </c>
      <c r="N248" s="5"/>
      <c r="O248" s="5"/>
    </row>
    <row r="249" customFormat="false" ht="15" hidden="false" customHeight="false" outlineLevel="0" collapsed="false">
      <c r="I249" s="5" t="str">
        <v>tengah</v>
      </c>
      <c r="J249" s="5"/>
      <c r="K249" s="5"/>
      <c r="M249" s="5" t="str">
        <v>tengah</v>
      </c>
      <c r="N249" s="5"/>
      <c r="O249" s="5"/>
    </row>
    <row r="250" customFormat="false" ht="15" hidden="false" customHeight="false" outlineLevel="0" collapsed="false">
      <c r="I250" s="5" t="str">
        <v>tengah</v>
      </c>
      <c r="J250" s="5"/>
      <c r="K250" s="5"/>
      <c r="M250" s="5" t="str">
        <v>kanan</v>
      </c>
      <c r="N250" s="5"/>
      <c r="O250" s="5"/>
    </row>
    <row r="251" customFormat="false" ht="15" hidden="false" customHeight="false" outlineLevel="0" collapsed="false">
      <c r="I251" s="5" t="str">
        <v>kanan</v>
      </c>
      <c r="J251" s="5"/>
      <c r="K251" s="5"/>
      <c r="M251" s="5" t="str">
        <v>kanan</v>
      </c>
      <c r="N251" s="5"/>
      <c r="O251" s="5"/>
    </row>
    <row r="252" customFormat="false" ht="15" hidden="false" customHeight="false" outlineLevel="0" collapsed="false">
      <c r="I252" s="5" t="str">
        <v>tengah</v>
      </c>
      <c r="J252" s="5"/>
      <c r="K252" s="5"/>
      <c r="M252" s="5" t="str">
        <v>kanan</v>
      </c>
      <c r="N252" s="5"/>
      <c r="O252" s="5"/>
    </row>
    <row r="253" customFormat="false" ht="15" hidden="false" customHeight="false" outlineLevel="0" collapsed="false">
      <c r="I253" s="5" t="str">
        <v>kanan</v>
      </c>
      <c r="J253" s="5"/>
      <c r="K253" s="5"/>
      <c r="M253" s="5" t="str">
        <v>kanan</v>
      </c>
      <c r="N253" s="5"/>
      <c r="O253" s="5"/>
    </row>
    <row r="254" customFormat="false" ht="15" hidden="false" customHeight="false" outlineLevel="0" collapsed="false">
      <c r="I254" s="5" t="str">
        <v>kiri</v>
      </c>
      <c r="J254" s="5"/>
      <c r="K254" s="5"/>
      <c r="M254" s="5" t="str">
        <v>tengah</v>
      </c>
      <c r="N254" s="5"/>
      <c r="O254" s="5"/>
    </row>
    <row r="255" customFormat="false" ht="15" hidden="false" customHeight="false" outlineLevel="0" collapsed="false">
      <c r="I255" s="5" t="str">
        <v>kanan</v>
      </c>
      <c r="J255" s="5"/>
      <c r="K255" s="5"/>
      <c r="M255" s="5" t="str">
        <v>kanan</v>
      </c>
      <c r="N255" s="5"/>
      <c r="O255" s="5"/>
    </row>
    <row r="256" customFormat="false" ht="15" hidden="false" customHeight="false" outlineLevel="0" collapsed="false">
      <c r="I256" s="5" t="str">
        <v>tengah</v>
      </c>
      <c r="J256" s="5"/>
      <c r="K256" s="5"/>
      <c r="M256" s="5" t="str">
        <v>tengah</v>
      </c>
      <c r="N256" s="5"/>
      <c r="O256" s="5"/>
    </row>
    <row r="257" customFormat="false" ht="15" hidden="false" customHeight="false" outlineLevel="0" collapsed="false">
      <c r="I257" s="5" t="str">
        <v>tengah</v>
      </c>
      <c r="J257" s="5"/>
      <c r="K257" s="5"/>
      <c r="M257" s="5" t="str">
        <v>tengah</v>
      </c>
      <c r="N257" s="5"/>
      <c r="O257" s="5"/>
    </row>
    <row r="258" customFormat="false" ht="15" hidden="false" customHeight="false" outlineLevel="0" collapsed="false">
      <c r="I258" s="5" t="str">
        <v>kiri</v>
      </c>
      <c r="J258" s="5"/>
      <c r="K258" s="5"/>
      <c r="M258" s="5" t="str">
        <v>kanan</v>
      </c>
      <c r="N258" s="5"/>
      <c r="O258" s="5"/>
    </row>
    <row r="259" customFormat="false" ht="15" hidden="false" customHeight="false" outlineLevel="0" collapsed="false">
      <c r="I259" s="5" t="str">
        <v>kiri</v>
      </c>
      <c r="J259" s="5"/>
      <c r="K259" s="5"/>
      <c r="M259" s="5" t="str">
        <v>tengah</v>
      </c>
      <c r="N259" s="5"/>
      <c r="O259" s="5"/>
    </row>
    <row r="260" customFormat="false" ht="15" hidden="false" customHeight="false" outlineLevel="0" collapsed="false">
      <c r="I260" s="5" t="str">
        <v>kiri</v>
      </c>
      <c r="J260" s="5"/>
      <c r="K260" s="5"/>
      <c r="M260" s="5" t="str">
        <v>tengah</v>
      </c>
      <c r="N260" s="5"/>
      <c r="O260" s="5"/>
    </row>
    <row r="261" customFormat="false" ht="15" hidden="false" customHeight="false" outlineLevel="0" collapsed="false">
      <c r="I261" s="5" t="str">
        <v>tengah</v>
      </c>
      <c r="J261" s="5"/>
      <c r="K261" s="5"/>
      <c r="M261" s="5" t="str">
        <v>tengah</v>
      </c>
      <c r="N261" s="5"/>
      <c r="O261" s="5"/>
    </row>
    <row r="262" customFormat="false" ht="15" hidden="false" customHeight="false" outlineLevel="0" collapsed="false">
      <c r="I262" s="5" t="str">
        <v>tengah</v>
      </c>
      <c r="J262" s="5"/>
      <c r="K262" s="5"/>
      <c r="M262" s="5" t="str">
        <v>kanan</v>
      </c>
      <c r="N262" s="5"/>
      <c r="O262" s="5"/>
    </row>
    <row r="263" customFormat="false" ht="15" hidden="false" customHeight="false" outlineLevel="0" collapsed="false">
      <c r="I263" s="5" t="str">
        <v>tengah</v>
      </c>
      <c r="J263" s="5"/>
      <c r="K263" s="5"/>
      <c r="M263" s="5" t="str">
        <v>kanan</v>
      </c>
      <c r="N263" s="5"/>
      <c r="O263" s="5"/>
    </row>
    <row r="264" customFormat="false" ht="15" hidden="false" customHeight="false" outlineLevel="0" collapsed="false">
      <c r="I264" s="5" t="str">
        <v>tengah</v>
      </c>
      <c r="J264" s="5"/>
      <c r="K264" s="5"/>
      <c r="M264" s="5" t="str">
        <v>kanan</v>
      </c>
      <c r="N264" s="5"/>
      <c r="O264" s="5"/>
    </row>
    <row r="265" customFormat="false" ht="15" hidden="false" customHeight="false" outlineLevel="0" collapsed="false">
      <c r="I265" s="5" t="str">
        <v>kiri</v>
      </c>
      <c r="J265" s="5"/>
      <c r="K265" s="5"/>
      <c r="M265" s="5" t="str">
        <v>tengah</v>
      </c>
      <c r="N265" s="5"/>
      <c r="O265" s="5"/>
    </row>
    <row r="266" customFormat="false" ht="15" hidden="false" customHeight="false" outlineLevel="0" collapsed="false">
      <c r="I266" s="5" t="str">
        <v>kanan</v>
      </c>
      <c r="J266" s="5"/>
      <c r="K266" s="5"/>
      <c r="M266" s="5" t="str">
        <v>kanan</v>
      </c>
      <c r="N266" s="5"/>
      <c r="O266" s="5"/>
    </row>
    <row r="267" customFormat="false" ht="15" hidden="false" customHeight="false" outlineLevel="0" collapsed="false">
      <c r="I267" s="5" t="str">
        <v>tengah</v>
      </c>
      <c r="J267" s="5"/>
      <c r="K267" s="5"/>
      <c r="M267" s="5" t="str">
        <v>kanan</v>
      </c>
      <c r="N267" s="5"/>
      <c r="O267" s="5"/>
    </row>
    <row r="268" customFormat="false" ht="15" hidden="false" customHeight="false" outlineLevel="0" collapsed="false">
      <c r="I268" s="5" t="str">
        <v>tengah</v>
      </c>
      <c r="J268" s="5"/>
      <c r="K268" s="5"/>
      <c r="M268" s="5" t="str">
        <v>tengah</v>
      </c>
      <c r="N268" s="5"/>
      <c r="O268" s="5"/>
    </row>
    <row r="269" customFormat="false" ht="15" hidden="false" customHeight="false" outlineLevel="0" collapsed="false">
      <c r="I269" s="5" t="str">
        <v>tengah</v>
      </c>
      <c r="J269" s="5"/>
      <c r="K269" s="5"/>
      <c r="M269" s="5" t="str">
        <v>kanan</v>
      </c>
      <c r="N269" s="5"/>
      <c r="O269" s="5"/>
    </row>
    <row r="270" customFormat="false" ht="15" hidden="false" customHeight="false" outlineLevel="0" collapsed="false">
      <c r="I270" s="5" t="str">
        <v>tengah</v>
      </c>
      <c r="J270" s="5"/>
      <c r="K270" s="5"/>
      <c r="M270" s="5" t="str">
        <v>kanan</v>
      </c>
      <c r="N270" s="5"/>
      <c r="O270" s="5"/>
    </row>
    <row r="271" customFormat="false" ht="15" hidden="false" customHeight="false" outlineLevel="0" collapsed="false">
      <c r="I271" s="5" t="str">
        <v>tengah</v>
      </c>
      <c r="J271" s="5"/>
      <c r="K271" s="5"/>
      <c r="M271" s="5" t="str">
        <v>kanan</v>
      </c>
      <c r="N271" s="5"/>
      <c r="O271" s="5"/>
    </row>
    <row r="272" customFormat="false" ht="15" hidden="false" customHeight="false" outlineLevel="0" collapsed="false">
      <c r="I272" s="5" t="str">
        <v>tengah</v>
      </c>
      <c r="J272" s="5"/>
      <c r="K272" s="5"/>
      <c r="M272" s="5" t="str">
        <v>tengah</v>
      </c>
      <c r="N272" s="5"/>
      <c r="O272" s="5"/>
    </row>
    <row r="273" customFormat="false" ht="15" hidden="false" customHeight="false" outlineLevel="0" collapsed="false">
      <c r="I273" s="5" t="str">
        <v>tengah</v>
      </c>
      <c r="J273" s="5"/>
      <c r="K273" s="5"/>
      <c r="M273" s="5" t="str">
        <v>kanan</v>
      </c>
      <c r="N273" s="5"/>
      <c r="O273" s="5"/>
    </row>
    <row r="274" customFormat="false" ht="15" hidden="false" customHeight="false" outlineLevel="0" collapsed="false">
      <c r="I274" s="5" t="str">
        <v>kiri</v>
      </c>
      <c r="J274" s="5"/>
      <c r="K274" s="5"/>
      <c r="M274" s="5" t="str">
        <v>kanan</v>
      </c>
      <c r="N274" s="5"/>
      <c r="O274" s="5"/>
    </row>
    <row r="275" customFormat="false" ht="15" hidden="false" customHeight="false" outlineLevel="0" collapsed="false">
      <c r="I275" s="5" t="str">
        <v>kiri</v>
      </c>
      <c r="J275" s="5"/>
      <c r="K275" s="5"/>
      <c r="M275" s="5" t="str">
        <v>tengah</v>
      </c>
      <c r="N275" s="5"/>
      <c r="O275" s="5"/>
    </row>
    <row r="276" customFormat="false" ht="15" hidden="false" customHeight="false" outlineLevel="0" collapsed="false">
      <c r="I276" s="5" t="str">
        <v>kiri</v>
      </c>
      <c r="J276" s="5"/>
      <c r="K276" s="5"/>
      <c r="M276" s="5" t="str">
        <v>kanan</v>
      </c>
      <c r="N276" s="5"/>
      <c r="O276" s="5"/>
    </row>
    <row r="277" customFormat="false" ht="15" hidden="false" customHeight="false" outlineLevel="0" collapsed="false">
      <c r="I277" s="5" t="str">
        <v>tengah</v>
      </c>
      <c r="J277" s="5"/>
      <c r="K277" s="5"/>
      <c r="M277" s="5" t="str">
        <v>kanan</v>
      </c>
      <c r="N277" s="5"/>
      <c r="O277" s="5"/>
    </row>
    <row r="278" customFormat="false" ht="15" hidden="false" customHeight="false" outlineLevel="0" collapsed="false">
      <c r="I278" s="5" t="str">
        <v>tengah</v>
      </c>
      <c r="J278" s="5"/>
      <c r="K278" s="5"/>
      <c r="M278" s="5" t="str">
        <v>tengah</v>
      </c>
      <c r="N278" s="5"/>
      <c r="O278" s="5"/>
    </row>
    <row r="279" customFormat="false" ht="15" hidden="false" customHeight="false" outlineLevel="0" collapsed="false">
      <c r="I279" s="5" t="str">
        <v>tengah</v>
      </c>
      <c r="J279" s="5"/>
      <c r="K279" s="5"/>
      <c r="M279" s="5" t="str">
        <v>kanan</v>
      </c>
      <c r="N279" s="5"/>
      <c r="O279" s="5"/>
    </row>
    <row r="280" customFormat="false" ht="15" hidden="false" customHeight="false" outlineLevel="0" collapsed="false">
      <c r="I280" s="5" t="str">
        <v>tengah</v>
      </c>
      <c r="J280" s="5"/>
      <c r="K280" s="5"/>
      <c r="M280" s="5" t="str">
        <v>tengah</v>
      </c>
      <c r="N280" s="5"/>
      <c r="O280" s="5"/>
    </row>
    <row r="281" customFormat="false" ht="15" hidden="false" customHeight="false" outlineLevel="0" collapsed="false">
      <c r="I281" s="5" t="str">
        <v>tengah</v>
      </c>
      <c r="J281" s="5"/>
      <c r="K281" s="5"/>
      <c r="M281" s="5" t="str">
        <v>kanan</v>
      </c>
      <c r="N281" s="5"/>
      <c r="O281" s="5"/>
    </row>
    <row r="282" customFormat="false" ht="15" hidden="false" customHeight="false" outlineLevel="0" collapsed="false">
      <c r="I282" s="5" t="str">
        <v>tengah</v>
      </c>
      <c r="J282" s="5"/>
      <c r="K282" s="5"/>
      <c r="M282" s="5" t="str">
        <v>kanan</v>
      </c>
      <c r="N282" s="5"/>
      <c r="O282" s="5"/>
    </row>
    <row r="283" customFormat="false" ht="15" hidden="false" customHeight="false" outlineLevel="0" collapsed="false">
      <c r="I283" s="5" t="str">
        <v>tengah</v>
      </c>
      <c r="J283" s="5"/>
      <c r="K283" s="5"/>
      <c r="M283" s="5" t="str">
        <v>kanan</v>
      </c>
      <c r="N283" s="5"/>
      <c r="O283" s="5"/>
    </row>
    <row r="284" customFormat="false" ht="15" hidden="false" customHeight="false" outlineLevel="0" collapsed="false">
      <c r="I284" s="5" t="str">
        <v>kanan</v>
      </c>
      <c r="J284" s="5"/>
      <c r="K284" s="5"/>
      <c r="M284" s="5" t="str">
        <v>kanan</v>
      </c>
      <c r="N284" s="5"/>
      <c r="O284" s="5"/>
    </row>
    <row r="285" customFormat="false" ht="15" hidden="false" customHeight="false" outlineLevel="0" collapsed="false">
      <c r="I285" s="5" t="str">
        <v>tengah</v>
      </c>
      <c r="J285" s="5"/>
      <c r="K285" s="5"/>
      <c r="M285" s="5" t="str">
        <v>kanan</v>
      </c>
      <c r="N285" s="5"/>
      <c r="O285" s="5"/>
    </row>
    <row r="286" customFormat="false" ht="15" hidden="false" customHeight="false" outlineLevel="0" collapsed="false">
      <c r="I286" s="5" t="str">
        <v>tengah</v>
      </c>
      <c r="J286" s="5"/>
      <c r="K286" s="5"/>
      <c r="M286" s="5" t="str">
        <v>kanan</v>
      </c>
      <c r="N286" s="5"/>
      <c r="O286" s="5"/>
    </row>
    <row r="287" customFormat="false" ht="15" hidden="false" customHeight="false" outlineLevel="0" collapsed="false">
      <c r="I287" s="5" t="str">
        <v>kanan</v>
      </c>
      <c r="J287" s="5"/>
      <c r="K287" s="5"/>
      <c r="M287" s="5" t="str">
        <v>tengah</v>
      </c>
      <c r="N287" s="5"/>
      <c r="O287" s="5"/>
    </row>
    <row r="288" customFormat="false" ht="15" hidden="false" customHeight="false" outlineLevel="0" collapsed="false">
      <c r="I288" s="5" t="str">
        <v>kanan</v>
      </c>
      <c r="J288" s="5"/>
      <c r="K288" s="5"/>
      <c r="M288" s="5" t="str">
        <v>tengah</v>
      </c>
      <c r="N288" s="5"/>
      <c r="O288" s="5"/>
    </row>
    <row r="289" customFormat="false" ht="15" hidden="false" customHeight="false" outlineLevel="0" collapsed="false">
      <c r="I289" s="5" t="str">
        <v>tengah</v>
      </c>
      <c r="J289" s="5"/>
      <c r="K289" s="5"/>
      <c r="M289" s="5" t="str">
        <v>kanan</v>
      </c>
      <c r="N289" s="5"/>
      <c r="O289" s="5"/>
    </row>
    <row r="290" customFormat="false" ht="15" hidden="false" customHeight="false" outlineLevel="0" collapsed="false">
      <c r="I290" s="5" t="str">
        <v>tengah</v>
      </c>
      <c r="J290" s="5"/>
      <c r="K290" s="5"/>
      <c r="M290" s="5" t="str">
        <v>kanan</v>
      </c>
      <c r="N290" s="5"/>
      <c r="O290" s="5"/>
    </row>
    <row r="291" customFormat="false" ht="15" hidden="false" customHeight="false" outlineLevel="0" collapsed="false">
      <c r="I291" s="5" t="str">
        <v>tengah</v>
      </c>
      <c r="J291" s="5"/>
      <c r="K291" s="5"/>
      <c r="M291" s="5" t="str">
        <v>tengah</v>
      </c>
      <c r="N291" s="5"/>
      <c r="O291" s="5"/>
    </row>
    <row r="292" customFormat="false" ht="15" hidden="false" customHeight="false" outlineLevel="0" collapsed="false">
      <c r="I292" s="5" t="str">
        <v>kanan</v>
      </c>
      <c r="J292" s="5"/>
      <c r="K292" s="5"/>
      <c r="M292" s="5" t="str">
        <v>kanan</v>
      </c>
      <c r="N292" s="5"/>
      <c r="O292" s="5"/>
    </row>
    <row r="293" customFormat="false" ht="15" hidden="false" customHeight="false" outlineLevel="0" collapsed="false">
      <c r="I293" s="5" t="str">
        <v>tengah</v>
      </c>
      <c r="J293" s="5"/>
      <c r="K293" s="5"/>
      <c r="M293" s="5" t="str">
        <v>kanan</v>
      </c>
      <c r="N293" s="5"/>
      <c r="O293" s="5"/>
    </row>
    <row r="294" customFormat="false" ht="15" hidden="false" customHeight="false" outlineLevel="0" collapsed="false">
      <c r="I294" s="5" t="str">
        <v>tengah</v>
      </c>
      <c r="J294" s="5"/>
      <c r="K294" s="5"/>
      <c r="M294" s="5" t="str">
        <v>tengah</v>
      </c>
      <c r="N294" s="5"/>
      <c r="O294" s="5"/>
    </row>
    <row r="295" customFormat="false" ht="15" hidden="false" customHeight="false" outlineLevel="0" collapsed="false">
      <c r="I295" s="5" t="str">
        <v>tengah</v>
      </c>
      <c r="J295" s="5"/>
      <c r="K295" s="5"/>
      <c r="M295" s="5" t="str">
        <v>kanan</v>
      </c>
      <c r="N295" s="5"/>
      <c r="O295" s="5"/>
    </row>
    <row r="296" customFormat="false" ht="15" hidden="false" customHeight="false" outlineLevel="0" collapsed="false">
      <c r="I296" s="5" t="str">
        <v>tengah</v>
      </c>
      <c r="J296" s="5"/>
      <c r="K296" s="5"/>
      <c r="M296" s="5" t="str">
        <v>kanan</v>
      </c>
      <c r="N296" s="5"/>
      <c r="O296" s="5"/>
    </row>
    <row r="297" customFormat="false" ht="15" hidden="false" customHeight="false" outlineLevel="0" collapsed="false">
      <c r="I297" s="5" t="str">
        <v>tengah</v>
      </c>
      <c r="J297" s="5"/>
      <c r="K297" s="5"/>
      <c r="M297" s="5" t="str">
        <v>kanan</v>
      </c>
      <c r="N297" s="5"/>
      <c r="O297" s="5"/>
    </row>
    <row r="298" customFormat="false" ht="15" hidden="false" customHeight="false" outlineLevel="0" collapsed="false">
      <c r="I298" s="5" t="str">
        <v>kiri</v>
      </c>
      <c r="J298" s="5"/>
      <c r="K298" s="5"/>
      <c r="M298" s="5" t="str">
        <v>tengah</v>
      </c>
      <c r="N298" s="5"/>
      <c r="O298" s="5"/>
    </row>
    <row r="299" customFormat="false" ht="15" hidden="false" customHeight="false" outlineLevel="0" collapsed="false">
      <c r="I299" s="5" t="str">
        <v>kiri</v>
      </c>
      <c r="J299" s="5"/>
      <c r="K299" s="5"/>
      <c r="M299" s="5" t="str">
        <v>tengah</v>
      </c>
      <c r="N299" s="5"/>
      <c r="O299" s="5"/>
    </row>
    <row r="300" customFormat="false" ht="15" hidden="false" customHeight="false" outlineLevel="0" collapsed="false">
      <c r="I300" s="5" t="str">
        <v>tengah</v>
      </c>
      <c r="J300" s="5"/>
      <c r="K300" s="5"/>
      <c r="M300" s="5" t="str">
        <v>kanan</v>
      </c>
      <c r="N300" s="5"/>
      <c r="O300" s="5"/>
    </row>
    <row r="301" customFormat="false" ht="15" hidden="false" customHeight="false" outlineLevel="0" collapsed="false">
      <c r="I301" s="5" t="str">
        <v>tengah</v>
      </c>
      <c r="J301" s="5"/>
      <c r="K301" s="5"/>
      <c r="M301" s="5" t="str">
        <v>kanan</v>
      </c>
      <c r="N301" s="5"/>
      <c r="O301" s="5"/>
    </row>
    <row r="302" customFormat="false" ht="15" hidden="false" customHeight="false" outlineLevel="0" collapsed="false">
      <c r="I302" s="5" t="str">
        <v>kiri</v>
      </c>
      <c r="J302" s="5"/>
      <c r="K302" s="5"/>
      <c r="M302" s="5" t="str">
        <v>tengah</v>
      </c>
      <c r="N302" s="5"/>
      <c r="O302" s="5"/>
    </row>
    <row r="303" customFormat="false" ht="15" hidden="false" customHeight="false" outlineLevel="0" collapsed="false">
      <c r="I303" s="5" t="str">
        <v>tengah</v>
      </c>
      <c r="J303" s="5"/>
      <c r="K303" s="5"/>
      <c r="M303" s="5" t="str">
        <v>tengah</v>
      </c>
      <c r="N303" s="5"/>
      <c r="O303" s="5"/>
    </row>
    <row r="304" customFormat="false" ht="15" hidden="false" customHeight="false" outlineLevel="0" collapsed="false">
      <c r="I304" s="5" t="str">
        <v>kiri</v>
      </c>
      <c r="J304" s="5"/>
      <c r="K304" s="5"/>
      <c r="M304" s="5" t="str">
        <v>tengah</v>
      </c>
      <c r="N304" s="5"/>
      <c r="O304" s="5"/>
    </row>
    <row r="305" customFormat="false" ht="15" hidden="false" customHeight="false" outlineLevel="0" collapsed="false">
      <c r="I305" s="5" t="str">
        <v>kiri</v>
      </c>
      <c r="J305" s="5"/>
      <c r="K305" s="5"/>
      <c r="M305" s="5" t="str">
        <v>kanan</v>
      </c>
      <c r="N305" s="5"/>
      <c r="O305" s="5"/>
    </row>
    <row r="306" customFormat="false" ht="15" hidden="false" customHeight="false" outlineLevel="0" collapsed="false">
      <c r="I306" s="5" t="str">
        <v>tengah</v>
      </c>
      <c r="J306" s="5"/>
      <c r="K306" s="5"/>
      <c r="M306" s="5" t="str">
        <v>kanan</v>
      </c>
      <c r="N306" s="5"/>
      <c r="O306" s="5"/>
    </row>
    <row r="307" customFormat="false" ht="15" hidden="false" customHeight="false" outlineLevel="0" collapsed="false">
      <c r="I307" s="5" t="str">
        <v>tengah</v>
      </c>
      <c r="J307" s="5"/>
      <c r="K307" s="5"/>
      <c r="M307" s="5" t="str">
        <v>kanan</v>
      </c>
      <c r="N307" s="5"/>
      <c r="O307" s="5"/>
    </row>
    <row r="308" customFormat="false" ht="15" hidden="false" customHeight="false" outlineLevel="0" collapsed="false">
      <c r="I308" s="5" t="str">
        <v>tengah</v>
      </c>
      <c r="J308" s="5"/>
      <c r="K308" s="5"/>
      <c r="M308" s="5" t="str">
        <v>kanan</v>
      </c>
      <c r="N308" s="5"/>
      <c r="O308" s="5"/>
    </row>
    <row r="309" customFormat="false" ht="15" hidden="false" customHeight="false" outlineLevel="0" collapsed="false">
      <c r="I309" s="5" t="str">
        <v>kiri</v>
      </c>
      <c r="J309" s="5"/>
      <c r="K309" s="5"/>
      <c r="M309" s="5" t="str">
        <v>kanan</v>
      </c>
      <c r="N309" s="5"/>
      <c r="O309" s="5"/>
    </row>
    <row r="310" customFormat="false" ht="15" hidden="false" customHeight="false" outlineLevel="0" collapsed="false">
      <c r="I310" s="5" t="str">
        <v>kanan</v>
      </c>
      <c r="J310" s="5"/>
      <c r="K310" s="5"/>
      <c r="M310" s="5" t="str">
        <v>tengah</v>
      </c>
      <c r="N310" s="5"/>
      <c r="O310" s="5"/>
    </row>
    <row r="311" customFormat="false" ht="15" hidden="false" customHeight="false" outlineLevel="0" collapsed="false">
      <c r="I311" s="5" t="str">
        <v>tengah</v>
      </c>
      <c r="J311" s="5"/>
      <c r="K311" s="5"/>
      <c r="M311" s="5" t="str">
        <v>tengah</v>
      </c>
      <c r="N311" s="5"/>
      <c r="O311" s="5"/>
    </row>
    <row r="312" customFormat="false" ht="15" hidden="false" customHeight="false" outlineLevel="0" collapsed="false">
      <c r="I312" s="5" t="str">
        <v>tengah</v>
      </c>
      <c r="J312" s="5"/>
      <c r="K312" s="5"/>
      <c r="M312" s="5" t="str">
        <v>tengah</v>
      </c>
      <c r="N312" s="5"/>
      <c r="O312" s="5"/>
    </row>
    <row r="313" customFormat="false" ht="15" hidden="false" customHeight="false" outlineLevel="0" collapsed="false">
      <c r="I313" s="5" t="str">
        <v>tengah</v>
      </c>
      <c r="J313" s="5"/>
      <c r="K313" s="5"/>
      <c r="M313" s="5" t="str">
        <v>kanan</v>
      </c>
      <c r="N313" s="5"/>
      <c r="O313" s="5"/>
    </row>
    <row r="314" customFormat="false" ht="15" hidden="false" customHeight="false" outlineLevel="0" collapsed="false">
      <c r="I314" s="5" t="str">
        <v>kiri</v>
      </c>
      <c r="J314" s="5"/>
      <c r="K314" s="5"/>
      <c r="M314" s="5" t="str">
        <v>tengah</v>
      </c>
      <c r="N314" s="5"/>
      <c r="O314" s="5"/>
    </row>
    <row r="315" customFormat="false" ht="15" hidden="false" customHeight="false" outlineLevel="0" collapsed="false">
      <c r="I315" s="5" t="str">
        <v>tengah</v>
      </c>
      <c r="J315" s="5"/>
      <c r="K315" s="5"/>
      <c r="M315" s="5" t="str">
        <v>kanan</v>
      </c>
      <c r="N315" s="5"/>
      <c r="O315" s="5"/>
    </row>
    <row r="316" customFormat="false" ht="15" hidden="false" customHeight="false" outlineLevel="0" collapsed="false">
      <c r="I316" s="5" t="str">
        <v>kiri</v>
      </c>
      <c r="J316" s="5"/>
      <c r="K316" s="5"/>
      <c r="M316" s="5" t="str">
        <v>kanan</v>
      </c>
      <c r="N316" s="5"/>
      <c r="O316" s="5"/>
    </row>
    <row r="317" customFormat="false" ht="15" hidden="false" customHeight="false" outlineLevel="0" collapsed="false">
      <c r="I317" s="5" t="str">
        <v>tengah</v>
      </c>
      <c r="J317" s="5"/>
      <c r="K317" s="5"/>
      <c r="M317" s="5" t="str">
        <v>kanan</v>
      </c>
      <c r="N317" s="5"/>
      <c r="O317" s="5"/>
    </row>
    <row r="318" customFormat="false" ht="15" hidden="false" customHeight="false" outlineLevel="0" collapsed="false">
      <c r="I318" s="5" t="str">
        <v>kanan</v>
      </c>
      <c r="J318" s="5"/>
      <c r="K318" s="5"/>
      <c r="M318" s="5" t="str">
        <v>tengah</v>
      </c>
      <c r="N318" s="5"/>
      <c r="O318" s="5"/>
    </row>
    <row r="319" customFormat="false" ht="15" hidden="false" customHeight="false" outlineLevel="0" collapsed="false">
      <c r="I319" s="5" t="str">
        <v>tengah</v>
      </c>
      <c r="J319" s="5"/>
      <c r="K319" s="5"/>
      <c r="M319" s="5" t="str">
        <v>tengah</v>
      </c>
      <c r="N319" s="5"/>
      <c r="O319" s="5"/>
    </row>
    <row r="320" customFormat="false" ht="15" hidden="false" customHeight="false" outlineLevel="0" collapsed="false">
      <c r="I320" s="5" t="str">
        <v>kiri</v>
      </c>
      <c r="J320" s="5"/>
      <c r="K320" s="5"/>
      <c r="M320" s="5" t="str">
        <v>kanan</v>
      </c>
      <c r="N320" s="5"/>
      <c r="O320" s="5"/>
    </row>
    <row r="321" customFormat="false" ht="15" hidden="false" customHeight="false" outlineLevel="0" collapsed="false">
      <c r="I321" s="5" t="str">
        <v>kanan</v>
      </c>
      <c r="J321" s="5"/>
      <c r="K321" s="5"/>
      <c r="M321" s="5" t="str">
        <v>kanan</v>
      </c>
      <c r="N321" s="5"/>
      <c r="O321" s="5"/>
    </row>
    <row r="322" customFormat="false" ht="15" hidden="false" customHeight="false" outlineLevel="0" collapsed="false">
      <c r="I322" s="5" t="str">
        <v>kanan</v>
      </c>
      <c r="J322" s="5"/>
      <c r="K322" s="5"/>
      <c r="M322" s="5" t="str">
        <v>tengah</v>
      </c>
      <c r="N322" s="5"/>
      <c r="O322" s="5"/>
    </row>
    <row r="323" customFormat="false" ht="15" hidden="false" customHeight="false" outlineLevel="0" collapsed="false">
      <c r="I323" s="5" t="str">
        <v>kiri</v>
      </c>
      <c r="J323" s="5"/>
      <c r="K323" s="5"/>
      <c r="M323" s="5" t="str">
        <v>tengah</v>
      </c>
      <c r="N323" s="5"/>
      <c r="O323" s="5"/>
    </row>
    <row r="324" customFormat="false" ht="15" hidden="false" customHeight="false" outlineLevel="0" collapsed="false">
      <c r="I324" s="5" t="str">
        <v>tengah</v>
      </c>
      <c r="J324" s="5"/>
      <c r="K324" s="5"/>
      <c r="M324" s="5" t="str">
        <v>kanan</v>
      </c>
      <c r="N324" s="5"/>
      <c r="O324" s="5"/>
    </row>
    <row r="325" customFormat="false" ht="15" hidden="false" customHeight="false" outlineLevel="0" collapsed="false">
      <c r="I325" s="5" t="str">
        <v>kanan</v>
      </c>
      <c r="J325" s="5"/>
      <c r="K325" s="5"/>
      <c r="M325" s="5" t="str">
        <v>tengah</v>
      </c>
      <c r="N325" s="5"/>
      <c r="O325" s="5"/>
    </row>
    <row r="326" customFormat="false" ht="15" hidden="false" customHeight="false" outlineLevel="0" collapsed="false">
      <c r="I326" s="5" t="str">
        <v>tengah</v>
      </c>
      <c r="J326" s="5"/>
      <c r="K326" s="5"/>
      <c r="M326" s="5" t="str">
        <v>tengah</v>
      </c>
      <c r="N326" s="5"/>
      <c r="O326" s="5"/>
    </row>
    <row r="327" customFormat="false" ht="15" hidden="false" customHeight="false" outlineLevel="0" collapsed="false">
      <c r="I327" s="5" t="str">
        <v>tengah</v>
      </c>
      <c r="J327" s="5"/>
      <c r="K327" s="5"/>
      <c r="M327" s="5" t="str">
        <v>tengah</v>
      </c>
      <c r="N327" s="5"/>
      <c r="O327" s="5"/>
    </row>
    <row r="328" customFormat="false" ht="15" hidden="false" customHeight="false" outlineLevel="0" collapsed="false">
      <c r="I328" s="5" t="str">
        <v>kanan</v>
      </c>
      <c r="J328" s="5"/>
      <c r="K328" s="5"/>
      <c r="M328" s="5" t="str">
        <v>kanan</v>
      </c>
      <c r="N328" s="5"/>
      <c r="O328" s="5"/>
    </row>
    <row r="329" customFormat="false" ht="15" hidden="false" customHeight="false" outlineLevel="0" collapsed="false">
      <c r="I329" s="5" t="str">
        <v>tengah</v>
      </c>
      <c r="J329" s="5"/>
      <c r="K329" s="5"/>
      <c r="M329" s="5" t="str">
        <v>tengah</v>
      </c>
      <c r="N329" s="5"/>
      <c r="O329" s="5"/>
    </row>
    <row r="330" customFormat="false" ht="15" hidden="false" customHeight="false" outlineLevel="0" collapsed="false">
      <c r="I330" s="5" t="str">
        <v>tengah</v>
      </c>
      <c r="J330" s="5"/>
      <c r="K330" s="5"/>
      <c r="M330" s="5" t="str">
        <v>kanan</v>
      </c>
      <c r="N330" s="5"/>
      <c r="O330" s="5"/>
    </row>
    <row r="331" customFormat="false" ht="15" hidden="false" customHeight="false" outlineLevel="0" collapsed="false">
      <c r="I331" s="5" t="str">
        <v>tengah</v>
      </c>
      <c r="J331" s="5"/>
      <c r="K331" s="5"/>
      <c r="M331" s="5" t="str">
        <v>kanan</v>
      </c>
      <c r="N331" s="5"/>
      <c r="O331" s="5"/>
    </row>
    <row r="332" customFormat="false" ht="15" hidden="false" customHeight="false" outlineLevel="0" collapsed="false">
      <c r="I332" s="5" t="str">
        <v>tengah</v>
      </c>
      <c r="J332" s="5"/>
      <c r="K332" s="5"/>
      <c r="M332" s="5" t="str">
        <v>kanan</v>
      </c>
      <c r="N332" s="5"/>
      <c r="O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2"/>
  <sheetViews>
    <sheetView showFormulas="false" showGridLines="true" showRowColHeaders="true" showZeros="true" rightToLeft="false" tabSelected="false" showOutlineSymbols="true" defaultGridColor="true" view="normal" topLeftCell="H154" colorId="64" zoomScale="95" zoomScaleNormal="95" zoomScalePageLayoutView="100" workbookViewId="0">
      <selection pane="topLeft" activeCell="P160" activeCellId="0" sqref="P160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0" width="13.29"/>
    <col collapsed="false" customWidth="true" hidden="false" outlineLevel="0" max="3" min="3" style="0" width="13.86"/>
    <col collapsed="false" customWidth="true" hidden="false" outlineLevel="0" max="5" min="5" style="0" width="14.29"/>
    <col collapsed="false" customWidth="true" hidden="false" outlineLevel="0" max="6" min="6" style="0" width="13.29"/>
    <col collapsed="false" customWidth="true" hidden="false" outlineLevel="0" max="7" min="7" style="0" width="13.86"/>
    <col collapsed="false" customWidth="true" hidden="false" outlineLevel="0" max="9" min="9" style="0" width="16.14"/>
  </cols>
  <sheetData>
    <row r="1" customFormat="false" ht="15" hidden="false" customHeight="false" outlineLevel="0" collapsed="false">
      <c r="A1" s="4" t="s">
        <v>173</v>
      </c>
      <c r="B1" s="4" t="s">
        <v>4</v>
      </c>
      <c r="C1" s="4" t="s">
        <v>5</v>
      </c>
      <c r="E1" s="4" t="s">
        <v>173</v>
      </c>
      <c r="F1" s="4" t="s">
        <v>4</v>
      </c>
      <c r="G1" s="4" t="s">
        <v>5</v>
      </c>
      <c r="I1" s="4" t="s">
        <v>174</v>
      </c>
      <c r="J1" s="3"/>
      <c r="K1" s="3"/>
    </row>
    <row r="2" customFormat="false" ht="15" hidden="false" customHeight="false" outlineLevel="0" collapsed="false">
      <c r="A2" s="5" t="n">
        <f aca="false">RANDBETWEEN(2,164)</f>
        <v>88</v>
      </c>
      <c r="B2" s="5" t="n">
        <f aca="false" t="array" ref="B2:B2">INDEX(Data_DBD!$E:$E,$A2)</f>
        <v>1</v>
      </c>
      <c r="C2" s="5" t="str">
        <f aca="false" t="array" ref="C2:C2">INDEX(Data_DBD!$F:$F,$A2)</f>
        <v>Sedang</v>
      </c>
      <c r="E2" s="5" t="n">
        <v>140</v>
      </c>
      <c r="F2" s="5" t="n">
        <v>1</v>
      </c>
      <c r="G2" s="5" t="s">
        <v>115</v>
      </c>
      <c r="I2" s="3" t="s">
        <v>115</v>
      </c>
      <c r="J2" s="3" t="n">
        <f aca="false">COUNTIF(G2:G164,"Tinggi")</f>
        <v>62</v>
      </c>
      <c r="K2" s="3" t="n">
        <f aca="false">J2/163</f>
        <v>0.380368098159509</v>
      </c>
    </row>
    <row r="3" customFormat="false" ht="15" hidden="false" customHeight="false" outlineLevel="0" collapsed="false">
      <c r="A3" s="5" t="n">
        <f aca="false">RANDBETWEEN(2,164)</f>
        <v>41</v>
      </c>
      <c r="B3" s="5" t="n">
        <f aca="false" t="array" ref="B3:B3">INDEX(Data_DBD!$E:$E,$A3)</f>
        <v>0</v>
      </c>
      <c r="C3" s="5" t="str">
        <f aca="false" t="array" ref="C3:C3">INDEX(Data_DBD!$F:$F,$A3)</f>
        <v>Sedang</v>
      </c>
      <c r="E3" s="5" t="n">
        <v>64</v>
      </c>
      <c r="F3" s="5" t="n">
        <v>0</v>
      </c>
      <c r="G3" s="5" t="s">
        <v>7</v>
      </c>
      <c r="I3" s="3" t="s">
        <v>7</v>
      </c>
      <c r="J3" s="3" t="n">
        <f aca="false">COUNTIF(G2:G164,"Sedang")</f>
        <v>83</v>
      </c>
      <c r="K3" s="3" t="n">
        <f aca="false">J3/163</f>
        <v>0.50920245398773</v>
      </c>
    </row>
    <row r="4" customFormat="false" ht="15" hidden="false" customHeight="false" outlineLevel="0" collapsed="false">
      <c r="A4" s="5" t="n">
        <f aca="false">RANDBETWEEN(2,164)</f>
        <v>162</v>
      </c>
      <c r="B4" s="5" t="n">
        <f aca="false" t="array" ref="B4:B4">INDEX(Data_DBD!$E:$E,$A4)</f>
        <v>1</v>
      </c>
      <c r="C4" s="5" t="str">
        <f aca="false" t="array" ref="C4:C4">INDEX(Data_DBD!$F:$F,$A4)</f>
        <v>Rendah</v>
      </c>
      <c r="E4" s="5" t="n">
        <v>122</v>
      </c>
      <c r="F4" s="5" t="n">
        <v>1</v>
      </c>
      <c r="G4" s="5" t="s">
        <v>115</v>
      </c>
      <c r="I4" s="3" t="s">
        <v>20</v>
      </c>
      <c r="J4" s="3" t="n">
        <f aca="false">COUNTIF(G2:G164,"Rendah")</f>
        <v>18</v>
      </c>
      <c r="K4" s="3" t="n">
        <f aca="false">J4/163</f>
        <v>0.110429447852761</v>
      </c>
    </row>
    <row r="5" customFormat="false" ht="15" hidden="false" customHeight="false" outlineLevel="0" collapsed="false">
      <c r="A5" s="5" t="n">
        <f aca="false">RANDBETWEEN(2,164)</f>
        <v>92</v>
      </c>
      <c r="B5" s="5" t="n">
        <f aca="false" t="array" ref="B5:B5">INDEX(Data_DBD!$E:$E,$A5)</f>
        <v>0</v>
      </c>
      <c r="C5" s="5" t="str">
        <f aca="false" t="array" ref="C5:C5">INDEX(Data_DBD!$F:$F,$A5)</f>
        <v>Sedang</v>
      </c>
      <c r="E5" s="5" t="n">
        <v>15</v>
      </c>
      <c r="F5" s="5" t="n">
        <v>0</v>
      </c>
      <c r="G5" s="5" t="s">
        <v>20</v>
      </c>
      <c r="I5" s="6" t="s">
        <v>175</v>
      </c>
      <c r="J5" s="0" t="n">
        <f aca="false">-(IFERROR(K2*LOG(K2,2),0)+IFERROR(K3*LOG(K3,2),0)+IFERROR(K4*LOG(K4,2),0))</f>
        <v>1.37727358937376</v>
      </c>
    </row>
    <row r="6" customFormat="false" ht="15" hidden="false" customHeight="false" outlineLevel="0" collapsed="false">
      <c r="A6" s="5" t="n">
        <f aca="false">RANDBETWEEN(2,164)</f>
        <v>49</v>
      </c>
      <c r="B6" s="5" t="n">
        <f aca="false" t="array" ref="B6:B6">INDEX(Data_DBD!$E:$E,$A6)</f>
        <v>0</v>
      </c>
      <c r="C6" s="5" t="str">
        <f aca="false" t="array" ref="C6:C6">INDEX(Data_DBD!$F:$F,$A6)</f>
        <v>Sedang</v>
      </c>
      <c r="E6" s="5" t="n">
        <v>38</v>
      </c>
      <c r="F6" s="5" t="n">
        <v>1</v>
      </c>
      <c r="G6" s="5" t="s">
        <v>20</v>
      </c>
    </row>
    <row r="7" customFormat="false" ht="15" hidden="false" customHeight="false" outlineLevel="0" collapsed="false">
      <c r="A7" s="5" t="n">
        <f aca="false">RANDBETWEEN(2,164)</f>
        <v>89</v>
      </c>
      <c r="B7" s="5" t="n">
        <f aca="false" t="array" ref="B7:B7">INDEX(Data_DBD!$E:$E,$A7)</f>
        <v>0</v>
      </c>
      <c r="C7" s="5" t="str">
        <f aca="false" t="array" ref="C7:C7">INDEX(Data_DBD!$F:$F,$A7)</f>
        <v>Sedang</v>
      </c>
      <c r="E7" s="5" t="n">
        <v>77</v>
      </c>
      <c r="F7" s="5" t="n">
        <v>1</v>
      </c>
      <c r="G7" s="5" t="s">
        <v>7</v>
      </c>
    </row>
    <row r="8" customFormat="false" ht="15" hidden="false" customHeight="false" outlineLevel="0" collapsed="false">
      <c r="A8" s="5" t="n">
        <f aca="false">RANDBETWEEN(2,164)</f>
        <v>24</v>
      </c>
      <c r="B8" s="5" t="n">
        <f aca="false" t="array" ref="B8:B8">INDEX(Data_DBD!$E:$E,$A8)</f>
        <v>0</v>
      </c>
      <c r="C8" s="5" t="str">
        <f aca="false" t="array" ref="C8:C8">INDEX(Data_DBD!$F:$F,$A8)</f>
        <v>Sedang</v>
      </c>
      <c r="E8" s="5" t="n">
        <v>42</v>
      </c>
      <c r="F8" s="5" t="n">
        <v>1</v>
      </c>
      <c r="G8" s="5" t="s">
        <v>7</v>
      </c>
    </row>
    <row r="9" customFormat="false" ht="15" hidden="false" customHeight="false" outlineLevel="0" collapsed="false">
      <c r="A9" s="5" t="n">
        <f aca="false">RANDBETWEEN(2,164)</f>
        <v>81</v>
      </c>
      <c r="B9" s="5" t="n">
        <f aca="false" t="array" ref="B9:B9">INDEX(Data_DBD!$E:$E,$A9)</f>
        <v>1</v>
      </c>
      <c r="C9" s="5" t="str">
        <f aca="false" t="array" ref="C9:C9">INDEX(Data_DBD!$F:$F,$A9)</f>
        <v>Sedang</v>
      </c>
      <c r="E9" s="5" t="n">
        <v>117</v>
      </c>
      <c r="F9" s="5" t="n">
        <v>1</v>
      </c>
      <c r="G9" s="5" t="s">
        <v>115</v>
      </c>
    </row>
    <row r="10" customFormat="false" ht="15" hidden="false" customHeight="false" outlineLevel="0" collapsed="false">
      <c r="A10" s="5" t="n">
        <f aca="false">RANDBETWEEN(2,164)</f>
        <v>146</v>
      </c>
      <c r="B10" s="5" t="n">
        <f aca="false" t="array" ref="B10:B10">INDEX(Data_DBD!$E:$E,$A10)</f>
        <v>1</v>
      </c>
      <c r="C10" s="5" t="str">
        <f aca="false" t="array" ref="C10:C10">INDEX(Data_DBD!$F:$F,$A10)</f>
        <v>Tinggi</v>
      </c>
      <c r="E10" s="5" t="n">
        <v>131</v>
      </c>
      <c r="F10" s="5" t="n">
        <v>0</v>
      </c>
      <c r="G10" s="5" t="s">
        <v>115</v>
      </c>
    </row>
    <row r="11" customFormat="false" ht="15" hidden="false" customHeight="false" outlineLevel="0" collapsed="false">
      <c r="A11" s="5" t="n">
        <f aca="false">RANDBETWEEN(2,164)</f>
        <v>76</v>
      </c>
      <c r="B11" s="5" t="n">
        <f aca="false" t="array" ref="B11:B11">INDEX(Data_DBD!$E:$E,$A11)</f>
        <v>0</v>
      </c>
      <c r="C11" s="5" t="str">
        <f aca="false" t="array" ref="C11:C11">INDEX(Data_DBD!$F:$F,$A11)</f>
        <v>Rendah</v>
      </c>
      <c r="E11" s="5" t="n">
        <v>16</v>
      </c>
      <c r="F11" s="5" t="n">
        <v>1</v>
      </c>
      <c r="G11" s="5" t="s">
        <v>20</v>
      </c>
    </row>
    <row r="12" customFormat="false" ht="15" hidden="false" customHeight="false" outlineLevel="0" collapsed="false">
      <c r="A12" s="5" t="n">
        <f aca="false">RANDBETWEEN(2,164)</f>
        <v>18</v>
      </c>
      <c r="B12" s="5" t="n">
        <f aca="false" t="array" ref="B12:B12">INDEX(Data_DBD!$E:$E,$A12)</f>
        <v>1</v>
      </c>
      <c r="C12" s="5" t="str">
        <f aca="false" t="array" ref="C12:C12">INDEX(Data_DBD!$F:$F,$A12)</f>
        <v>Rendah</v>
      </c>
      <c r="E12" s="5" t="n">
        <v>95</v>
      </c>
      <c r="F12" s="5" t="n">
        <v>1</v>
      </c>
      <c r="G12" s="5" t="s">
        <v>115</v>
      </c>
    </row>
    <row r="13" customFormat="false" ht="15" hidden="false" customHeight="false" outlineLevel="0" collapsed="false">
      <c r="A13" s="5" t="n">
        <f aca="false">RANDBETWEEN(2,164)</f>
        <v>62</v>
      </c>
      <c r="B13" s="5" t="n">
        <f aca="false" t="array" ref="B13:B13">INDEX(Data_DBD!$E:$E,$A13)</f>
        <v>1</v>
      </c>
      <c r="C13" s="5" t="str">
        <f aca="false" t="array" ref="C13:C13">INDEX(Data_DBD!$F:$F,$A13)</f>
        <v>Sedang</v>
      </c>
      <c r="E13" s="5" t="n">
        <v>72</v>
      </c>
      <c r="F13" s="5" t="n">
        <v>1</v>
      </c>
      <c r="G13" s="5" t="s">
        <v>7</v>
      </c>
    </row>
    <row r="14" customFormat="false" ht="15" hidden="false" customHeight="false" outlineLevel="0" collapsed="false">
      <c r="A14" s="5" t="n">
        <f aca="false">RANDBETWEEN(2,164)</f>
        <v>93</v>
      </c>
      <c r="B14" s="5" t="n">
        <f aca="false" t="array" ref="B14:B14">INDEX(Data_DBD!$E:$E,$A14)</f>
        <v>0</v>
      </c>
      <c r="C14" s="5" t="str">
        <f aca="false" t="array" ref="C14:C14">INDEX(Data_DBD!$F:$F,$A14)</f>
        <v>Sedang</v>
      </c>
      <c r="E14" s="5" t="n">
        <v>28</v>
      </c>
      <c r="F14" s="5" t="n">
        <v>1</v>
      </c>
      <c r="G14" s="5" t="s">
        <v>7</v>
      </c>
    </row>
    <row r="15" customFormat="false" ht="15" hidden="false" customHeight="false" outlineLevel="0" collapsed="false">
      <c r="A15" s="5" t="n">
        <f aca="false">RANDBETWEEN(2,164)</f>
        <v>112</v>
      </c>
      <c r="B15" s="5" t="n">
        <f aca="false" t="array" ref="B15:B15">INDEX(Data_DBD!$E:$E,$A15)</f>
        <v>1</v>
      </c>
      <c r="C15" s="5" t="str">
        <f aca="false" t="array" ref="C15:C15">INDEX(Data_DBD!$F:$F,$A15)</f>
        <v>Tinggi</v>
      </c>
      <c r="E15" s="5" t="n">
        <v>64</v>
      </c>
      <c r="F15" s="5" t="n">
        <v>0</v>
      </c>
      <c r="G15" s="5" t="s">
        <v>7</v>
      </c>
    </row>
    <row r="16" customFormat="false" ht="15" hidden="false" customHeight="false" outlineLevel="0" collapsed="false">
      <c r="A16" s="5" t="n">
        <f aca="false">RANDBETWEEN(2,164)</f>
        <v>145</v>
      </c>
      <c r="B16" s="5" t="n">
        <f aca="false" t="array" ref="B16:B16">INDEX(Data_DBD!$E:$E,$A16)</f>
        <v>1</v>
      </c>
      <c r="C16" s="5" t="str">
        <f aca="false" t="array" ref="C16:C16">INDEX(Data_DBD!$F:$F,$A16)</f>
        <v>Tinggi</v>
      </c>
      <c r="E16" s="5" t="n">
        <v>100</v>
      </c>
      <c r="F16" s="5" t="n">
        <v>0</v>
      </c>
      <c r="G16" s="5" t="s">
        <v>115</v>
      </c>
    </row>
    <row r="17" customFormat="false" ht="15" hidden="false" customHeight="false" outlineLevel="0" collapsed="false">
      <c r="A17" s="5" t="n">
        <f aca="false">RANDBETWEEN(2,164)</f>
        <v>8</v>
      </c>
      <c r="B17" s="5" t="n">
        <f aca="false" t="array" ref="B17:B17">INDEX(Data_DBD!$E:$E,$A17)</f>
        <v>0</v>
      </c>
      <c r="C17" s="5" t="str">
        <f aca="false" t="array" ref="C17:C17">INDEX(Data_DBD!$F:$F,$A17)</f>
        <v>Sedang</v>
      </c>
      <c r="E17" s="5" t="n">
        <v>85</v>
      </c>
      <c r="F17" s="5" t="n">
        <v>0</v>
      </c>
      <c r="G17" s="5" t="s">
        <v>7</v>
      </c>
    </row>
    <row r="18" customFormat="false" ht="15" hidden="false" customHeight="false" outlineLevel="0" collapsed="false">
      <c r="A18" s="5" t="n">
        <f aca="false">RANDBETWEEN(2,164)</f>
        <v>117</v>
      </c>
      <c r="B18" s="5" t="n">
        <f aca="false" t="array" ref="B18:B18">INDEX(Data_DBD!$E:$E,$A18)</f>
        <v>1</v>
      </c>
      <c r="C18" s="5" t="str">
        <f aca="false" t="array" ref="C18:C18">INDEX(Data_DBD!$F:$F,$A18)</f>
        <v>Tinggi</v>
      </c>
      <c r="E18" s="5" t="n">
        <v>29</v>
      </c>
      <c r="F18" s="5" t="n">
        <v>1</v>
      </c>
      <c r="G18" s="5" t="s">
        <v>7</v>
      </c>
    </row>
    <row r="19" customFormat="false" ht="15" hidden="false" customHeight="false" outlineLevel="0" collapsed="false">
      <c r="A19" s="5" t="n">
        <f aca="false">RANDBETWEEN(2,164)</f>
        <v>34</v>
      </c>
      <c r="B19" s="5" t="n">
        <f aca="false" t="array" ref="B19:B19">INDEX(Data_DBD!$E:$E,$A19)</f>
        <v>0</v>
      </c>
      <c r="C19" s="5" t="str">
        <f aca="false" t="array" ref="C19:C19">INDEX(Data_DBD!$F:$F,$A19)</f>
        <v>Sedang</v>
      </c>
      <c r="E19" s="5" t="n">
        <v>64</v>
      </c>
      <c r="F19" s="5" t="n">
        <v>0</v>
      </c>
      <c r="G19" s="5" t="s">
        <v>7</v>
      </c>
    </row>
    <row r="20" customFormat="false" ht="15" hidden="false" customHeight="false" outlineLevel="0" collapsed="false">
      <c r="A20" s="5" t="n">
        <f aca="false">RANDBETWEEN(2,164)</f>
        <v>27</v>
      </c>
      <c r="B20" s="5" t="n">
        <f aca="false" t="array" ref="B20:B20">INDEX(Data_DBD!$E:$E,$A20)</f>
        <v>1</v>
      </c>
      <c r="C20" s="5" t="str">
        <f aca="false" t="array" ref="C20:C20">INDEX(Data_DBD!$F:$F,$A20)</f>
        <v>Sedang</v>
      </c>
      <c r="E20" s="5" t="n">
        <v>46</v>
      </c>
      <c r="F20" s="5" t="n">
        <v>0</v>
      </c>
      <c r="G20" s="5" t="s">
        <v>7</v>
      </c>
    </row>
    <row r="21" customFormat="false" ht="15" hidden="false" customHeight="false" outlineLevel="0" collapsed="false">
      <c r="A21" s="5" t="n">
        <f aca="false">RANDBETWEEN(2,164)</f>
        <v>101</v>
      </c>
      <c r="B21" s="5" t="n">
        <f aca="false" t="array" ref="B21:B21">INDEX(Data_DBD!$E:$E,$A21)</f>
        <v>0</v>
      </c>
      <c r="C21" s="5" t="str">
        <f aca="false" t="array" ref="C21:C21">INDEX(Data_DBD!$F:$F,$A21)</f>
        <v>Sedang</v>
      </c>
      <c r="E21" s="5" t="n">
        <v>126</v>
      </c>
      <c r="F21" s="5" t="n">
        <v>1</v>
      </c>
      <c r="G21" s="5" t="s">
        <v>115</v>
      </c>
    </row>
    <row r="22" customFormat="false" ht="15" hidden="false" customHeight="false" outlineLevel="0" collapsed="false">
      <c r="A22" s="5" t="n">
        <f aca="false">RANDBETWEEN(2,164)</f>
        <v>27</v>
      </c>
      <c r="B22" s="5" t="n">
        <f aca="false" t="array" ref="B22:B22">INDEX(Data_DBD!$E:$E,$A22)</f>
        <v>1</v>
      </c>
      <c r="C22" s="5" t="str">
        <f aca="false" t="array" ref="C22:C22">INDEX(Data_DBD!$F:$F,$A22)</f>
        <v>Sedang</v>
      </c>
      <c r="E22" s="5" t="n">
        <v>93</v>
      </c>
      <c r="F22" s="5" t="n">
        <v>0</v>
      </c>
      <c r="G22" s="5" t="s">
        <v>115</v>
      </c>
    </row>
    <row r="23" customFormat="false" ht="15" hidden="false" customHeight="false" outlineLevel="0" collapsed="false">
      <c r="A23" s="5" t="n">
        <f aca="false">RANDBETWEEN(2,164)</f>
        <v>29</v>
      </c>
      <c r="B23" s="5" t="n">
        <f aca="false" t="array" ref="B23:B23">INDEX(Data_DBD!$E:$E,$A23)</f>
        <v>1</v>
      </c>
      <c r="C23" s="5" t="str">
        <f aca="false" t="array" ref="C23:C23">INDEX(Data_DBD!$F:$F,$A23)</f>
        <v>Sedang</v>
      </c>
      <c r="E23" s="5" t="n">
        <v>54</v>
      </c>
      <c r="F23" s="5" t="n">
        <v>0</v>
      </c>
      <c r="G23" s="5" t="s">
        <v>7</v>
      </c>
    </row>
    <row r="24" customFormat="false" ht="15" hidden="false" customHeight="false" outlineLevel="0" collapsed="false">
      <c r="A24" s="5" t="n">
        <f aca="false">RANDBETWEEN(2,164)</f>
        <v>143</v>
      </c>
      <c r="B24" s="5" t="n">
        <f aca="false" t="array" ref="B24:B24">INDEX(Data_DBD!$E:$E,$A24)</f>
        <v>1</v>
      </c>
      <c r="C24" s="5" t="str">
        <f aca="false" t="array" ref="C24:C24">INDEX(Data_DBD!$F:$F,$A24)</f>
        <v>Tinggi</v>
      </c>
      <c r="E24" s="5" t="n">
        <v>116</v>
      </c>
      <c r="F24" s="5" t="n">
        <v>1</v>
      </c>
      <c r="G24" s="5" t="s">
        <v>115</v>
      </c>
    </row>
    <row r="25" customFormat="false" ht="15" hidden="false" customHeight="false" outlineLevel="0" collapsed="false">
      <c r="A25" s="5" t="n">
        <f aca="false">RANDBETWEEN(2,164)</f>
        <v>44</v>
      </c>
      <c r="B25" s="5" t="n">
        <f aca="false" t="array" ref="B25:B25">INDEX(Data_DBD!$E:$E,$A25)</f>
        <v>1</v>
      </c>
      <c r="C25" s="5" t="str">
        <f aca="false" t="array" ref="C25:C25">INDEX(Data_DBD!$F:$F,$A25)</f>
        <v>Sedang</v>
      </c>
      <c r="E25" s="5" t="n">
        <v>45</v>
      </c>
      <c r="F25" s="5" t="n">
        <v>1</v>
      </c>
      <c r="G25" s="5" t="s">
        <v>7</v>
      </c>
    </row>
    <row r="26" customFormat="false" ht="15" hidden="false" customHeight="false" outlineLevel="0" collapsed="false">
      <c r="A26" s="5" t="n">
        <f aca="false">RANDBETWEEN(2,164)</f>
        <v>164</v>
      </c>
      <c r="B26" s="5" t="n">
        <f aca="false" t="array" ref="B26:B26">INDEX(Data_DBD!$E:$E,$A26)</f>
        <v>0</v>
      </c>
      <c r="C26" s="5" t="str">
        <f aca="false" t="array" ref="C26:C26">INDEX(Data_DBD!$F:$F,$A26)</f>
        <v>Rendah</v>
      </c>
      <c r="E26" s="5" t="n">
        <v>123</v>
      </c>
      <c r="F26" s="5" t="n">
        <v>0</v>
      </c>
      <c r="G26" s="5" t="s">
        <v>115</v>
      </c>
    </row>
    <row r="27" customFormat="false" ht="15" hidden="false" customHeight="false" outlineLevel="0" collapsed="false">
      <c r="A27" s="5" t="n">
        <f aca="false">RANDBETWEEN(2,164)</f>
        <v>130</v>
      </c>
      <c r="B27" s="5" t="n">
        <f aca="false" t="array" ref="B27:B27">INDEX(Data_DBD!$E:$E,$A27)</f>
        <v>0</v>
      </c>
      <c r="C27" s="5" t="str">
        <f aca="false" t="array" ref="C27:C27">INDEX(Data_DBD!$F:$F,$A27)</f>
        <v>Tinggi</v>
      </c>
      <c r="E27" s="5" t="n">
        <v>6</v>
      </c>
      <c r="F27" s="5" t="n">
        <v>0</v>
      </c>
      <c r="G27" s="5" t="s">
        <v>7</v>
      </c>
    </row>
    <row r="28" customFormat="false" ht="15" hidden="false" customHeight="false" outlineLevel="0" collapsed="false">
      <c r="A28" s="5" t="n">
        <f aca="false">RANDBETWEEN(2,164)</f>
        <v>102</v>
      </c>
      <c r="B28" s="5" t="n">
        <f aca="false" t="array" ref="B28:B28">INDEX(Data_DBD!$E:$E,$A28)</f>
        <v>0</v>
      </c>
      <c r="C28" s="5" t="str">
        <f aca="false" t="array" ref="C28:C28">INDEX(Data_DBD!$F:$F,$A28)</f>
        <v>Sedang</v>
      </c>
      <c r="E28" s="5" t="n">
        <v>42</v>
      </c>
      <c r="F28" s="5" t="n">
        <v>1</v>
      </c>
      <c r="G28" s="5" t="s">
        <v>7</v>
      </c>
    </row>
    <row r="29" customFormat="false" ht="15" hidden="false" customHeight="false" outlineLevel="0" collapsed="false">
      <c r="A29" s="5" t="n">
        <f aca="false">RANDBETWEEN(2,164)</f>
        <v>137</v>
      </c>
      <c r="B29" s="5" t="n">
        <f aca="false" t="array" ref="B29:B29">INDEX(Data_DBD!$E:$E,$A29)</f>
        <v>1</v>
      </c>
      <c r="C29" s="5" t="str">
        <f aca="false" t="array" ref="C29:C29">INDEX(Data_DBD!$F:$F,$A29)</f>
        <v>Tinggi</v>
      </c>
      <c r="E29" s="5" t="n">
        <v>31</v>
      </c>
      <c r="F29" s="5" t="n">
        <v>1</v>
      </c>
      <c r="G29" s="5" t="s">
        <v>7</v>
      </c>
    </row>
    <row r="30" customFormat="false" ht="15" hidden="false" customHeight="false" outlineLevel="0" collapsed="false">
      <c r="A30" s="5" t="n">
        <f aca="false">RANDBETWEEN(2,164)</f>
        <v>36</v>
      </c>
      <c r="B30" s="5" t="n">
        <f aca="false" t="array" ref="B30:B30">INDEX(Data_DBD!$E:$E,$A30)</f>
        <v>1</v>
      </c>
      <c r="C30" s="5" t="str">
        <f aca="false" t="array" ref="C30:C30">INDEX(Data_DBD!$F:$F,$A30)</f>
        <v>Rendah</v>
      </c>
      <c r="E30" s="5" t="n">
        <v>162</v>
      </c>
      <c r="F30" s="5" t="n">
        <v>1</v>
      </c>
      <c r="G30" s="5" t="s">
        <v>20</v>
      </c>
    </row>
    <row r="31" customFormat="false" ht="15" hidden="false" customHeight="false" outlineLevel="0" collapsed="false">
      <c r="A31" s="5" t="n">
        <f aca="false">RANDBETWEEN(2,164)</f>
        <v>23</v>
      </c>
      <c r="B31" s="5" t="n">
        <f aca="false" t="array" ref="B31:B31">INDEX(Data_DBD!$E:$E,$A31)</f>
        <v>1</v>
      </c>
      <c r="C31" s="5" t="str">
        <f aca="false" t="array" ref="C31:C31">INDEX(Data_DBD!$F:$F,$A31)</f>
        <v>Sedang</v>
      </c>
      <c r="E31" s="5" t="n">
        <v>128</v>
      </c>
      <c r="F31" s="5" t="n">
        <v>0</v>
      </c>
      <c r="G31" s="5" t="s">
        <v>115</v>
      </c>
    </row>
    <row r="32" customFormat="false" ht="15" hidden="false" customHeight="false" outlineLevel="0" collapsed="false">
      <c r="A32" s="5" t="n">
        <f aca="false">RANDBETWEEN(2,164)</f>
        <v>86</v>
      </c>
      <c r="B32" s="5" t="n">
        <f aca="false" t="array" ref="B32:B32">INDEX(Data_DBD!$E:$E,$A32)</f>
        <v>0</v>
      </c>
      <c r="C32" s="5" t="str">
        <f aca="false" t="array" ref="C32:C32">INDEX(Data_DBD!$F:$F,$A32)</f>
        <v>Sedang</v>
      </c>
      <c r="E32" s="5" t="n">
        <v>105</v>
      </c>
      <c r="F32" s="5" t="n">
        <v>1</v>
      </c>
      <c r="G32" s="5" t="s">
        <v>115</v>
      </c>
    </row>
    <row r="33" customFormat="false" ht="15" hidden="false" customHeight="false" outlineLevel="0" collapsed="false">
      <c r="A33" s="5" t="n">
        <f aca="false">RANDBETWEEN(2,164)</f>
        <v>6</v>
      </c>
      <c r="B33" s="5" t="n">
        <f aca="false" t="array" ref="B33:B33">INDEX(Data_DBD!$E:$E,$A33)</f>
        <v>0</v>
      </c>
      <c r="C33" s="5" t="str">
        <f aca="false" t="array" ref="C33:C33">INDEX(Data_DBD!$F:$F,$A33)</f>
        <v>Sedang</v>
      </c>
      <c r="E33" s="5" t="n">
        <v>117</v>
      </c>
      <c r="F33" s="5" t="n">
        <v>1</v>
      </c>
      <c r="G33" s="5" t="s">
        <v>115</v>
      </c>
    </row>
    <row r="34" customFormat="false" ht="15" hidden="false" customHeight="false" outlineLevel="0" collapsed="false">
      <c r="A34" s="5" t="n">
        <f aca="false">RANDBETWEEN(2,164)</f>
        <v>155</v>
      </c>
      <c r="B34" s="5" t="n">
        <f aca="false" t="array" ref="B34:B34">INDEX(Data_DBD!$E:$E,$A34)</f>
        <v>1</v>
      </c>
      <c r="C34" s="5" t="str">
        <f aca="false" t="array" ref="C34:C34">INDEX(Data_DBD!$F:$F,$A34)</f>
        <v>Tinggi</v>
      </c>
      <c r="E34" s="5" t="n">
        <v>39</v>
      </c>
      <c r="F34" s="5" t="n">
        <v>1</v>
      </c>
      <c r="G34" s="5" t="s">
        <v>7</v>
      </c>
    </row>
    <row r="35" customFormat="false" ht="15" hidden="false" customHeight="false" outlineLevel="0" collapsed="false">
      <c r="A35" s="5" t="n">
        <f aca="false">RANDBETWEEN(2,164)</f>
        <v>85</v>
      </c>
      <c r="B35" s="5" t="n">
        <f aca="false" t="array" ref="B35:B35">INDEX(Data_DBD!$E:$E,$A35)</f>
        <v>0</v>
      </c>
      <c r="C35" s="5" t="str">
        <f aca="false" t="array" ref="C35:C35">INDEX(Data_DBD!$F:$F,$A35)</f>
        <v>Sedang</v>
      </c>
      <c r="E35" s="5" t="n">
        <v>76</v>
      </c>
      <c r="F35" s="5" t="n">
        <v>0</v>
      </c>
      <c r="G35" s="5" t="s">
        <v>7</v>
      </c>
    </row>
    <row r="36" customFormat="false" ht="15" hidden="false" customHeight="false" outlineLevel="0" collapsed="false">
      <c r="A36" s="5" t="n">
        <f aca="false">RANDBETWEEN(2,164)</f>
        <v>28</v>
      </c>
      <c r="B36" s="5" t="n">
        <f aca="false" t="array" ref="B36:B36">INDEX(Data_DBD!$E:$E,$A36)</f>
        <v>1</v>
      </c>
      <c r="C36" s="5" t="str">
        <f aca="false" t="array" ref="C36:C36">INDEX(Data_DBD!$F:$F,$A36)</f>
        <v>Sedang</v>
      </c>
      <c r="E36" s="5" t="n">
        <v>56</v>
      </c>
      <c r="F36" s="5" t="n">
        <v>0</v>
      </c>
      <c r="G36" s="5" t="s">
        <v>7</v>
      </c>
    </row>
    <row r="37" customFormat="false" ht="15" hidden="false" customHeight="false" outlineLevel="0" collapsed="false">
      <c r="A37" s="5" t="n">
        <f aca="false">RANDBETWEEN(2,164)</f>
        <v>142</v>
      </c>
      <c r="B37" s="5" t="n">
        <f aca="false" t="array" ref="B37:B37">INDEX(Data_DBD!$E:$E,$A37)</f>
        <v>1</v>
      </c>
      <c r="C37" s="5" t="str">
        <f aca="false" t="array" ref="C37:C37">INDEX(Data_DBD!$F:$F,$A37)</f>
        <v>Tinggi</v>
      </c>
      <c r="E37" s="5" t="n">
        <v>30</v>
      </c>
      <c r="F37" s="5" t="n">
        <v>1</v>
      </c>
      <c r="G37" s="5" t="s">
        <v>7</v>
      </c>
    </row>
    <row r="38" customFormat="false" ht="15" hidden="false" customHeight="false" outlineLevel="0" collapsed="false">
      <c r="A38" s="5" t="n">
        <f aca="false">RANDBETWEEN(2,164)</f>
        <v>108</v>
      </c>
      <c r="B38" s="5" t="n">
        <f aca="false" t="array" ref="B38:B38">INDEX(Data_DBD!$E:$E,$A38)</f>
        <v>1</v>
      </c>
      <c r="C38" s="5" t="str">
        <f aca="false" t="array" ref="C38:C38">INDEX(Data_DBD!$F:$F,$A38)</f>
        <v>Tinggi</v>
      </c>
      <c r="E38" s="5" t="n">
        <v>33</v>
      </c>
      <c r="F38" s="5" t="n">
        <v>1</v>
      </c>
      <c r="G38" s="5" t="s">
        <v>7</v>
      </c>
    </row>
    <row r="39" customFormat="false" ht="15" hidden="false" customHeight="false" outlineLevel="0" collapsed="false">
      <c r="A39" s="5" t="n">
        <f aca="false">RANDBETWEEN(2,164)</f>
        <v>120</v>
      </c>
      <c r="B39" s="5" t="n">
        <f aca="false" t="array" ref="B39:B39">INDEX(Data_DBD!$E:$E,$A39)</f>
        <v>1</v>
      </c>
      <c r="C39" s="5" t="str">
        <f aca="false" t="array" ref="C39:C39">INDEX(Data_DBD!$F:$F,$A39)</f>
        <v>Tinggi</v>
      </c>
      <c r="E39" s="5" t="n">
        <v>89</v>
      </c>
      <c r="F39" s="5" t="n">
        <v>0</v>
      </c>
      <c r="G39" s="5" t="s">
        <v>7</v>
      </c>
    </row>
    <row r="40" customFormat="false" ht="15" hidden="false" customHeight="false" outlineLevel="0" collapsed="false">
      <c r="A40" s="5" t="n">
        <f aca="false">RANDBETWEEN(2,164)</f>
        <v>59</v>
      </c>
      <c r="B40" s="5" t="n">
        <f aca="false" t="array" ref="B40:B40">INDEX(Data_DBD!$E:$E,$A40)</f>
        <v>0</v>
      </c>
      <c r="C40" s="5" t="str">
        <f aca="false" t="array" ref="C40:C40">INDEX(Data_DBD!$F:$F,$A40)</f>
        <v>Sedang</v>
      </c>
      <c r="E40" s="5" t="n">
        <v>120</v>
      </c>
      <c r="F40" s="5" t="n">
        <v>1</v>
      </c>
      <c r="G40" s="5" t="s">
        <v>115</v>
      </c>
    </row>
    <row r="41" customFormat="false" ht="15" hidden="false" customHeight="false" outlineLevel="0" collapsed="false">
      <c r="A41" s="5" t="n">
        <f aca="false">RANDBETWEEN(2,164)</f>
        <v>79</v>
      </c>
      <c r="B41" s="5" t="n">
        <f aca="false" t="array" ref="B41:B41">INDEX(Data_DBD!$E:$E,$A41)</f>
        <v>0</v>
      </c>
      <c r="C41" s="5" t="str">
        <f aca="false" t="array" ref="C41:C41">INDEX(Data_DBD!$F:$F,$A41)</f>
        <v>Sedang</v>
      </c>
      <c r="E41" s="5" t="n">
        <v>29</v>
      </c>
      <c r="F41" s="5" t="n">
        <v>1</v>
      </c>
      <c r="G41" s="5" t="s">
        <v>7</v>
      </c>
    </row>
    <row r="42" customFormat="false" ht="15" hidden="false" customHeight="false" outlineLevel="0" collapsed="false">
      <c r="A42" s="5" t="n">
        <f aca="false">RANDBETWEEN(2,164)</f>
        <v>164</v>
      </c>
      <c r="B42" s="5" t="n">
        <f aca="false" t="array" ref="B42:B42">INDEX(Data_DBD!$E:$E,$A42)</f>
        <v>0</v>
      </c>
      <c r="C42" s="5" t="str">
        <f aca="false" t="array" ref="C42:C42">INDEX(Data_DBD!$F:$F,$A42)</f>
        <v>Rendah</v>
      </c>
      <c r="E42" s="5" t="n">
        <v>93</v>
      </c>
      <c r="F42" s="5" t="n">
        <v>0</v>
      </c>
      <c r="G42" s="5" t="s">
        <v>115</v>
      </c>
    </row>
    <row r="43" customFormat="false" ht="15" hidden="false" customHeight="false" outlineLevel="0" collapsed="false">
      <c r="A43" s="5" t="n">
        <f aca="false">RANDBETWEEN(2,164)</f>
        <v>105</v>
      </c>
      <c r="B43" s="5" t="n">
        <f aca="false" t="array" ref="B43:B43">INDEX(Data_DBD!$E:$E,$A43)</f>
        <v>1</v>
      </c>
      <c r="C43" s="5" t="str">
        <f aca="false" t="array" ref="C43:C43">INDEX(Data_DBD!$F:$F,$A43)</f>
        <v>Sedang</v>
      </c>
      <c r="E43" s="5" t="n">
        <v>37</v>
      </c>
      <c r="F43" s="5" t="n">
        <v>1</v>
      </c>
      <c r="G43" s="5" t="s">
        <v>20</v>
      </c>
    </row>
    <row r="44" customFormat="false" ht="15" hidden="false" customHeight="false" outlineLevel="0" collapsed="false">
      <c r="A44" s="5" t="n">
        <f aca="false">RANDBETWEEN(2,164)</f>
        <v>38</v>
      </c>
      <c r="B44" s="5" t="n">
        <f aca="false" t="array" ref="B44:B44">INDEX(Data_DBD!$E:$E,$A44)</f>
        <v>1</v>
      </c>
      <c r="C44" s="5" t="str">
        <f aca="false" t="array" ref="C44:C44">INDEX(Data_DBD!$F:$F,$A44)</f>
        <v>Rendah</v>
      </c>
      <c r="E44" s="5" t="n">
        <v>46</v>
      </c>
      <c r="F44" s="5" t="n">
        <v>0</v>
      </c>
      <c r="G44" s="5" t="s">
        <v>7</v>
      </c>
    </row>
    <row r="45" customFormat="false" ht="15" hidden="false" customHeight="false" outlineLevel="0" collapsed="false">
      <c r="A45" s="5" t="n">
        <f aca="false">RANDBETWEEN(2,164)</f>
        <v>129</v>
      </c>
      <c r="B45" s="5" t="n">
        <f aca="false" t="array" ref="B45:B45">INDEX(Data_DBD!$E:$E,$A45)</f>
        <v>0</v>
      </c>
      <c r="C45" s="5" t="str">
        <f aca="false" t="array" ref="C45:C45">INDEX(Data_DBD!$F:$F,$A45)</f>
        <v>Tinggi</v>
      </c>
      <c r="E45" s="5" t="n">
        <v>26</v>
      </c>
      <c r="F45" s="5" t="n">
        <v>1</v>
      </c>
      <c r="G45" s="5" t="s">
        <v>7</v>
      </c>
    </row>
    <row r="46" customFormat="false" ht="15" hidden="false" customHeight="false" outlineLevel="0" collapsed="false">
      <c r="A46" s="5" t="n">
        <f aca="false">RANDBETWEEN(2,164)</f>
        <v>59</v>
      </c>
      <c r="B46" s="5" t="n">
        <f aca="false" t="array" ref="B46:B46">INDEX(Data_DBD!$E:$E,$A46)</f>
        <v>0</v>
      </c>
      <c r="C46" s="5" t="str">
        <f aca="false" t="array" ref="C46:C46">INDEX(Data_DBD!$F:$F,$A46)</f>
        <v>Sedang</v>
      </c>
      <c r="E46" s="5" t="n">
        <v>141</v>
      </c>
      <c r="F46" s="5" t="n">
        <v>0</v>
      </c>
      <c r="G46" s="5" t="s">
        <v>115</v>
      </c>
    </row>
    <row r="47" customFormat="false" ht="15" hidden="false" customHeight="false" outlineLevel="0" collapsed="false">
      <c r="A47" s="5" t="n">
        <f aca="false">RANDBETWEEN(2,164)</f>
        <v>71</v>
      </c>
      <c r="B47" s="5" t="n">
        <f aca="false" t="array" ref="B47:B47">INDEX(Data_DBD!$E:$E,$A47)</f>
        <v>0</v>
      </c>
      <c r="C47" s="5" t="str">
        <f aca="false" t="array" ref="C47:C47">INDEX(Data_DBD!$F:$F,$A47)</f>
        <v>Rendah</v>
      </c>
      <c r="E47" s="5" t="n">
        <v>90</v>
      </c>
      <c r="F47" s="5" t="n">
        <v>0</v>
      </c>
      <c r="G47" s="5" t="s">
        <v>115</v>
      </c>
    </row>
    <row r="48" customFormat="false" ht="15" hidden="false" customHeight="false" outlineLevel="0" collapsed="false">
      <c r="A48" s="5" t="n">
        <f aca="false">RANDBETWEEN(2,164)</f>
        <v>151</v>
      </c>
      <c r="B48" s="5" t="n">
        <f aca="false" t="array" ref="B48:B48">INDEX(Data_DBD!$E:$E,$A48)</f>
        <v>0</v>
      </c>
      <c r="C48" s="5" t="str">
        <f aca="false" t="array" ref="C48:C48">INDEX(Data_DBD!$F:$F,$A48)</f>
        <v>Tinggi</v>
      </c>
      <c r="E48" s="5" t="n">
        <v>80</v>
      </c>
      <c r="F48" s="5" t="n">
        <v>1</v>
      </c>
      <c r="G48" s="5" t="s">
        <v>7</v>
      </c>
    </row>
    <row r="49" customFormat="false" ht="15" hidden="false" customHeight="false" outlineLevel="0" collapsed="false">
      <c r="A49" s="5" t="n">
        <f aca="false">RANDBETWEEN(2,164)</f>
        <v>107</v>
      </c>
      <c r="B49" s="5" t="n">
        <f aca="false" t="array" ref="B49:B49">INDEX(Data_DBD!$E:$E,$A49)</f>
        <v>0</v>
      </c>
      <c r="C49" s="5" t="str">
        <f aca="false" t="array" ref="C49:C49">INDEX(Data_DBD!$F:$F,$A49)</f>
        <v>Sedang</v>
      </c>
      <c r="E49" s="5" t="n">
        <v>76</v>
      </c>
      <c r="F49" s="5" t="n">
        <v>0</v>
      </c>
      <c r="G49" s="5" t="s">
        <v>7</v>
      </c>
    </row>
    <row r="50" customFormat="false" ht="15" hidden="false" customHeight="false" outlineLevel="0" collapsed="false">
      <c r="A50" s="5" t="n">
        <f aca="false">RANDBETWEEN(2,164)</f>
        <v>117</v>
      </c>
      <c r="B50" s="5" t="n">
        <f aca="false" t="array" ref="B50:B50">INDEX(Data_DBD!$E:$E,$A50)</f>
        <v>1</v>
      </c>
      <c r="C50" s="5" t="str">
        <f aca="false" t="array" ref="C50:C50">INDEX(Data_DBD!$F:$F,$A50)</f>
        <v>Tinggi</v>
      </c>
      <c r="E50" s="5" t="n">
        <v>159</v>
      </c>
      <c r="F50" s="5" t="n">
        <v>0</v>
      </c>
      <c r="G50" s="5" t="s">
        <v>115</v>
      </c>
    </row>
    <row r="51" customFormat="false" ht="15" hidden="false" customHeight="false" outlineLevel="0" collapsed="false">
      <c r="A51" s="5" t="n">
        <f aca="false">RANDBETWEEN(2,164)</f>
        <v>68</v>
      </c>
      <c r="B51" s="5" t="n">
        <f aca="false" t="array" ref="B51:B51">INDEX(Data_DBD!$E:$E,$A51)</f>
        <v>0</v>
      </c>
      <c r="C51" s="5" t="str">
        <f aca="false" t="array" ref="C51:C51">INDEX(Data_DBD!$F:$F,$A51)</f>
        <v>Rendah</v>
      </c>
      <c r="E51" s="5" t="n">
        <v>86</v>
      </c>
      <c r="F51" s="5" t="n">
        <v>0</v>
      </c>
      <c r="G51" s="5" t="s">
        <v>7</v>
      </c>
    </row>
    <row r="52" customFormat="false" ht="15" hidden="false" customHeight="false" outlineLevel="0" collapsed="false">
      <c r="A52" s="5" t="n">
        <f aca="false">RANDBETWEEN(2,164)</f>
        <v>27</v>
      </c>
      <c r="B52" s="5" t="n">
        <f aca="false" t="array" ref="B52:B52">INDEX(Data_DBD!$E:$E,$A52)</f>
        <v>1</v>
      </c>
      <c r="C52" s="5" t="str">
        <f aca="false" t="array" ref="C52:C52">INDEX(Data_DBD!$F:$F,$A52)</f>
        <v>Sedang</v>
      </c>
      <c r="E52" s="5" t="n">
        <v>69</v>
      </c>
      <c r="F52" s="5" t="n">
        <v>1</v>
      </c>
      <c r="G52" s="5" t="s">
        <v>7</v>
      </c>
    </row>
    <row r="53" customFormat="false" ht="15" hidden="false" customHeight="false" outlineLevel="0" collapsed="false">
      <c r="A53" s="5" t="n">
        <f aca="false">RANDBETWEEN(2,164)</f>
        <v>161</v>
      </c>
      <c r="B53" s="5" t="n">
        <f aca="false" t="array" ref="B53:B53">INDEX(Data_DBD!$E:$E,$A53)</f>
        <v>1</v>
      </c>
      <c r="C53" s="5" t="str">
        <f aca="false" t="array" ref="C53:C53">INDEX(Data_DBD!$F:$F,$A53)</f>
        <v>Tinggi</v>
      </c>
      <c r="E53" s="5" t="n">
        <v>60</v>
      </c>
      <c r="F53" s="5" t="n">
        <v>0</v>
      </c>
      <c r="G53" s="5" t="s">
        <v>7</v>
      </c>
    </row>
    <row r="54" customFormat="false" ht="15" hidden="false" customHeight="false" outlineLevel="0" collapsed="false">
      <c r="A54" s="5" t="n">
        <f aca="false">RANDBETWEEN(2,164)</f>
        <v>18</v>
      </c>
      <c r="B54" s="5" t="n">
        <f aca="false" t="array" ref="B54:B54">INDEX(Data_DBD!$E:$E,$A54)</f>
        <v>1</v>
      </c>
      <c r="C54" s="5" t="str">
        <f aca="false" t="array" ref="C54:C54">INDEX(Data_DBD!$F:$F,$A54)</f>
        <v>Rendah</v>
      </c>
      <c r="E54" s="5" t="n">
        <v>73</v>
      </c>
      <c r="F54" s="5" t="n">
        <v>1</v>
      </c>
      <c r="G54" s="5" t="s">
        <v>7</v>
      </c>
    </row>
    <row r="55" customFormat="false" ht="15" hidden="false" customHeight="false" outlineLevel="0" collapsed="false">
      <c r="A55" s="5" t="n">
        <f aca="false">RANDBETWEEN(2,164)</f>
        <v>25</v>
      </c>
      <c r="B55" s="5" t="n">
        <f aca="false" t="array" ref="B55:B55">INDEX(Data_DBD!$E:$E,$A55)</f>
        <v>0</v>
      </c>
      <c r="C55" s="5" t="str">
        <f aca="false" t="array" ref="C55:C55">INDEX(Data_DBD!$F:$F,$A55)</f>
        <v>Sedang</v>
      </c>
      <c r="E55" s="5" t="n">
        <v>73</v>
      </c>
      <c r="F55" s="5" t="n">
        <v>1</v>
      </c>
      <c r="G55" s="5" t="s">
        <v>7</v>
      </c>
    </row>
    <row r="56" customFormat="false" ht="15" hidden="false" customHeight="false" outlineLevel="0" collapsed="false">
      <c r="A56" s="5" t="n">
        <f aca="false">RANDBETWEEN(2,164)</f>
        <v>58</v>
      </c>
      <c r="B56" s="5" t="n">
        <f aca="false" t="array" ref="B56:B56">INDEX(Data_DBD!$E:$E,$A56)</f>
        <v>0</v>
      </c>
      <c r="C56" s="5" t="str">
        <f aca="false" t="array" ref="C56:C56">INDEX(Data_DBD!$F:$F,$A56)</f>
        <v>Sedang</v>
      </c>
      <c r="E56" s="5" t="n">
        <v>69</v>
      </c>
      <c r="F56" s="5" t="n">
        <v>1</v>
      </c>
      <c r="G56" s="5" t="s">
        <v>7</v>
      </c>
    </row>
    <row r="57" customFormat="false" ht="15" hidden="false" customHeight="false" outlineLevel="0" collapsed="false">
      <c r="A57" s="5" t="n">
        <f aca="false">RANDBETWEEN(2,164)</f>
        <v>133</v>
      </c>
      <c r="B57" s="5" t="n">
        <f aca="false" t="array" ref="B57:B57">INDEX(Data_DBD!$E:$E,$A57)</f>
        <v>0</v>
      </c>
      <c r="C57" s="5" t="str">
        <f aca="false" t="array" ref="C57:C57">INDEX(Data_DBD!$F:$F,$A57)</f>
        <v>Tinggi</v>
      </c>
      <c r="E57" s="5" t="n">
        <v>95</v>
      </c>
      <c r="F57" s="5" t="n">
        <v>1</v>
      </c>
      <c r="G57" s="5" t="s">
        <v>115</v>
      </c>
    </row>
    <row r="58" customFormat="false" ht="15" hidden="false" customHeight="false" outlineLevel="0" collapsed="false">
      <c r="A58" s="5" t="n">
        <f aca="false">RANDBETWEEN(2,164)</f>
        <v>39</v>
      </c>
      <c r="B58" s="5" t="n">
        <f aca="false" t="array" ref="B58:B58">INDEX(Data_DBD!$E:$E,$A58)</f>
        <v>1</v>
      </c>
      <c r="C58" s="5" t="str">
        <f aca="false" t="array" ref="C58:C58">INDEX(Data_DBD!$F:$F,$A58)</f>
        <v>Sedang</v>
      </c>
      <c r="E58" s="5" t="n">
        <v>113</v>
      </c>
      <c r="F58" s="5" t="n">
        <v>1</v>
      </c>
      <c r="G58" s="5" t="s">
        <v>115</v>
      </c>
    </row>
    <row r="59" customFormat="false" ht="15" hidden="false" customHeight="false" outlineLevel="0" collapsed="false">
      <c r="A59" s="5" t="n">
        <f aca="false">RANDBETWEEN(2,164)</f>
        <v>143</v>
      </c>
      <c r="B59" s="5" t="n">
        <f aca="false" t="array" ref="B59:B59">INDEX(Data_DBD!$E:$E,$A59)</f>
        <v>1</v>
      </c>
      <c r="C59" s="5" t="str">
        <f aca="false" t="array" ref="C59:C59">INDEX(Data_DBD!$F:$F,$A59)</f>
        <v>Tinggi</v>
      </c>
      <c r="E59" s="5" t="n">
        <v>47</v>
      </c>
      <c r="F59" s="5" t="n">
        <v>0</v>
      </c>
      <c r="G59" s="5" t="s">
        <v>7</v>
      </c>
    </row>
    <row r="60" customFormat="false" ht="15" hidden="false" customHeight="false" outlineLevel="0" collapsed="false">
      <c r="A60" s="5" t="n">
        <f aca="false">RANDBETWEEN(2,164)</f>
        <v>27</v>
      </c>
      <c r="B60" s="5" t="n">
        <f aca="false" t="array" ref="B60:B60">INDEX(Data_DBD!$E:$E,$A60)</f>
        <v>1</v>
      </c>
      <c r="C60" s="5" t="str">
        <f aca="false" t="array" ref="C60:C60">INDEX(Data_DBD!$F:$F,$A60)</f>
        <v>Sedang</v>
      </c>
      <c r="E60" s="5" t="n">
        <v>83</v>
      </c>
      <c r="F60" s="5" t="n">
        <v>0</v>
      </c>
      <c r="G60" s="5" t="s">
        <v>7</v>
      </c>
    </row>
    <row r="61" customFormat="false" ht="15" hidden="false" customHeight="false" outlineLevel="0" collapsed="false">
      <c r="A61" s="5" t="n">
        <f aca="false">RANDBETWEEN(2,164)</f>
        <v>134</v>
      </c>
      <c r="B61" s="5" t="n">
        <f aca="false" t="array" ref="B61:B61">INDEX(Data_DBD!$E:$E,$A61)</f>
        <v>1</v>
      </c>
      <c r="C61" s="5" t="str">
        <f aca="false" t="array" ref="C61:C61">INDEX(Data_DBD!$F:$F,$A61)</f>
        <v>Tinggi</v>
      </c>
      <c r="E61" s="5" t="n">
        <v>45</v>
      </c>
      <c r="F61" s="5" t="n">
        <v>1</v>
      </c>
      <c r="G61" s="5" t="s">
        <v>7</v>
      </c>
    </row>
    <row r="62" customFormat="false" ht="15" hidden="false" customHeight="false" outlineLevel="0" collapsed="false">
      <c r="A62" s="5" t="n">
        <f aca="false">RANDBETWEEN(2,164)</f>
        <v>83</v>
      </c>
      <c r="B62" s="5" t="n">
        <f aca="false" t="array" ref="B62:B62">INDEX(Data_DBD!$E:$E,$A62)</f>
        <v>0</v>
      </c>
      <c r="C62" s="5" t="str">
        <f aca="false" t="array" ref="C62:C62">INDEX(Data_DBD!$F:$F,$A62)</f>
        <v>Sedang</v>
      </c>
      <c r="E62" s="5" t="n">
        <v>135</v>
      </c>
      <c r="F62" s="5" t="n">
        <v>0</v>
      </c>
      <c r="G62" s="5" t="s">
        <v>115</v>
      </c>
    </row>
    <row r="63" customFormat="false" ht="15" hidden="false" customHeight="false" outlineLevel="0" collapsed="false">
      <c r="A63" s="5" t="n">
        <f aca="false">RANDBETWEEN(2,164)</f>
        <v>143</v>
      </c>
      <c r="B63" s="5" t="n">
        <f aca="false" t="array" ref="B63:B63">INDEX(Data_DBD!$E:$E,$A63)</f>
        <v>1</v>
      </c>
      <c r="C63" s="5" t="str">
        <f aca="false" t="array" ref="C63:C63">INDEX(Data_DBD!$F:$F,$A63)</f>
        <v>Tinggi</v>
      </c>
      <c r="E63" s="5" t="n">
        <v>133</v>
      </c>
      <c r="F63" s="5" t="n">
        <v>0</v>
      </c>
      <c r="G63" s="5" t="s">
        <v>115</v>
      </c>
    </row>
    <row r="64" customFormat="false" ht="15" hidden="false" customHeight="false" outlineLevel="0" collapsed="false">
      <c r="A64" s="5" t="n">
        <f aca="false">RANDBETWEEN(2,164)</f>
        <v>25</v>
      </c>
      <c r="B64" s="5" t="n">
        <f aca="false" t="array" ref="B64:B64">INDEX(Data_DBD!$E:$E,$A64)</f>
        <v>0</v>
      </c>
      <c r="C64" s="5" t="str">
        <f aca="false" t="array" ref="C64:C64">INDEX(Data_DBD!$F:$F,$A64)</f>
        <v>Sedang</v>
      </c>
      <c r="E64" s="5" t="n">
        <v>41</v>
      </c>
      <c r="F64" s="5" t="n">
        <v>0</v>
      </c>
      <c r="G64" s="5" t="s">
        <v>7</v>
      </c>
    </row>
    <row r="65" customFormat="false" ht="15" hidden="false" customHeight="false" outlineLevel="0" collapsed="false">
      <c r="A65" s="5" t="n">
        <f aca="false">RANDBETWEEN(2,164)</f>
        <v>152</v>
      </c>
      <c r="B65" s="5" t="n">
        <f aca="false" t="array" ref="B65:B65">INDEX(Data_DBD!$E:$E,$A65)</f>
        <v>1</v>
      </c>
      <c r="C65" s="5" t="str">
        <f aca="false" t="array" ref="C65:C65">INDEX(Data_DBD!$F:$F,$A65)</f>
        <v>Tinggi</v>
      </c>
      <c r="E65" s="5" t="n">
        <v>109</v>
      </c>
      <c r="F65" s="5" t="n">
        <v>1</v>
      </c>
      <c r="G65" s="5" t="s">
        <v>115</v>
      </c>
    </row>
    <row r="66" customFormat="false" ht="15" hidden="false" customHeight="false" outlineLevel="0" collapsed="false">
      <c r="A66" s="5" t="n">
        <f aca="false">RANDBETWEEN(2,164)</f>
        <v>68</v>
      </c>
      <c r="B66" s="5" t="n">
        <f aca="false" t="array" ref="B66:B66">INDEX(Data_DBD!$E:$E,$A66)</f>
        <v>0</v>
      </c>
      <c r="C66" s="5" t="str">
        <f aca="false" t="array" ref="C66:C66">INDEX(Data_DBD!$F:$F,$A66)</f>
        <v>Rendah</v>
      </c>
      <c r="E66" s="5" t="n">
        <v>161</v>
      </c>
      <c r="F66" s="5" t="n">
        <v>1</v>
      </c>
      <c r="G66" s="5" t="s">
        <v>115</v>
      </c>
    </row>
    <row r="67" customFormat="false" ht="15" hidden="false" customHeight="false" outlineLevel="0" collapsed="false">
      <c r="A67" s="5" t="n">
        <f aca="false">RANDBETWEEN(2,164)</f>
        <v>46</v>
      </c>
      <c r="B67" s="5" t="n">
        <f aca="false" t="array" ref="B67:B67">INDEX(Data_DBD!$E:$E,$A67)</f>
        <v>0</v>
      </c>
      <c r="C67" s="5" t="str">
        <f aca="false" t="array" ref="C67:C67">INDEX(Data_DBD!$F:$F,$A67)</f>
        <v>Sedang</v>
      </c>
      <c r="E67" s="5" t="n">
        <v>36</v>
      </c>
      <c r="F67" s="5" t="n">
        <v>1</v>
      </c>
      <c r="G67" s="5" t="s">
        <v>20</v>
      </c>
    </row>
    <row r="68" customFormat="false" ht="15" hidden="false" customHeight="false" outlineLevel="0" collapsed="false">
      <c r="A68" s="5" t="n">
        <f aca="false">RANDBETWEEN(2,164)</f>
        <v>7</v>
      </c>
      <c r="B68" s="5" t="n">
        <f aca="false" t="array" ref="B68:B68">INDEX(Data_DBD!$E:$E,$A68)</f>
        <v>1</v>
      </c>
      <c r="C68" s="5" t="str">
        <f aca="false" t="array" ref="C68:C68">INDEX(Data_DBD!$F:$F,$A68)</f>
        <v>Sedang</v>
      </c>
      <c r="E68" s="5" t="n">
        <v>106</v>
      </c>
      <c r="F68" s="5" t="n">
        <v>1</v>
      </c>
      <c r="G68" s="5" t="s">
        <v>115</v>
      </c>
    </row>
    <row r="69" customFormat="false" ht="15" hidden="false" customHeight="false" outlineLevel="0" collapsed="false">
      <c r="A69" s="5" t="n">
        <f aca="false">RANDBETWEEN(2,164)</f>
        <v>149</v>
      </c>
      <c r="B69" s="5" t="n">
        <f aca="false" t="array" ref="B69:B69">INDEX(Data_DBD!$E:$E,$A69)</f>
        <v>0</v>
      </c>
      <c r="C69" s="5" t="str">
        <f aca="false" t="array" ref="C69:C69">INDEX(Data_DBD!$F:$F,$A69)</f>
        <v>Tinggi</v>
      </c>
      <c r="E69" s="5" t="n">
        <v>50</v>
      </c>
      <c r="F69" s="5" t="n">
        <v>0</v>
      </c>
      <c r="G69" s="5" t="s">
        <v>7</v>
      </c>
    </row>
    <row r="70" customFormat="false" ht="15" hidden="false" customHeight="false" outlineLevel="0" collapsed="false">
      <c r="A70" s="5" t="n">
        <f aca="false">RANDBETWEEN(2,164)</f>
        <v>143</v>
      </c>
      <c r="B70" s="5" t="n">
        <f aca="false" t="array" ref="B70:B70">INDEX(Data_DBD!$E:$E,$A70)</f>
        <v>1</v>
      </c>
      <c r="C70" s="5" t="str">
        <f aca="false" t="array" ref="C70:C70">INDEX(Data_DBD!$F:$F,$A70)</f>
        <v>Tinggi</v>
      </c>
      <c r="E70" s="5" t="n">
        <v>71</v>
      </c>
      <c r="F70" s="5" t="n">
        <v>0</v>
      </c>
      <c r="G70" s="5" t="s">
        <v>7</v>
      </c>
    </row>
    <row r="71" customFormat="false" ht="15" hidden="false" customHeight="false" outlineLevel="0" collapsed="false">
      <c r="A71" s="5" t="n">
        <f aca="false">RANDBETWEEN(2,164)</f>
        <v>11</v>
      </c>
      <c r="B71" s="5" t="n">
        <f aca="false" t="array" ref="B71:B71">INDEX(Data_DBD!$E:$E,$A71)</f>
        <v>1</v>
      </c>
      <c r="C71" s="5" t="str">
        <f aca="false" t="array" ref="C71:C71">INDEX(Data_DBD!$F:$F,$A71)</f>
        <v>Sedang</v>
      </c>
      <c r="E71" s="5" t="n">
        <v>161</v>
      </c>
      <c r="F71" s="5" t="n">
        <v>1</v>
      </c>
      <c r="G71" s="5" t="s">
        <v>115</v>
      </c>
    </row>
    <row r="72" customFormat="false" ht="15" hidden="false" customHeight="false" outlineLevel="0" collapsed="false">
      <c r="A72" s="5" t="n">
        <f aca="false">RANDBETWEEN(2,164)</f>
        <v>130</v>
      </c>
      <c r="B72" s="5" t="n">
        <f aca="false" t="array" ref="B72:B72">INDEX(Data_DBD!$E:$E,$A72)</f>
        <v>0</v>
      </c>
      <c r="C72" s="5" t="str">
        <f aca="false" t="array" ref="C72:C72">INDEX(Data_DBD!$F:$F,$A72)</f>
        <v>Tinggi</v>
      </c>
      <c r="E72" s="5" t="n">
        <v>62</v>
      </c>
      <c r="F72" s="5" t="n">
        <v>1</v>
      </c>
      <c r="G72" s="5" t="s">
        <v>7</v>
      </c>
    </row>
    <row r="73" customFormat="false" ht="15" hidden="false" customHeight="false" outlineLevel="0" collapsed="false">
      <c r="A73" s="5" t="n">
        <f aca="false">RANDBETWEEN(2,164)</f>
        <v>24</v>
      </c>
      <c r="B73" s="5" t="n">
        <f aca="false" t="array" ref="B73:B73">INDEX(Data_DBD!$E:$E,$A73)</f>
        <v>0</v>
      </c>
      <c r="C73" s="5" t="str">
        <f aca="false" t="array" ref="C73:C73">INDEX(Data_DBD!$F:$F,$A73)</f>
        <v>Sedang</v>
      </c>
      <c r="E73" s="5" t="n">
        <v>83</v>
      </c>
      <c r="F73" s="5" t="n">
        <v>0</v>
      </c>
      <c r="G73" s="5" t="s">
        <v>7</v>
      </c>
    </row>
    <row r="74" customFormat="false" ht="15" hidden="false" customHeight="false" outlineLevel="0" collapsed="false">
      <c r="A74" s="5" t="n">
        <f aca="false">RANDBETWEEN(2,164)</f>
        <v>8</v>
      </c>
      <c r="B74" s="5" t="n">
        <f aca="false" t="array" ref="B74:B74">INDEX(Data_DBD!$E:$E,$A74)</f>
        <v>0</v>
      </c>
      <c r="C74" s="5" t="str">
        <f aca="false" t="array" ref="C74:C74">INDEX(Data_DBD!$F:$F,$A74)</f>
        <v>Sedang</v>
      </c>
      <c r="E74" s="5" t="n">
        <v>130</v>
      </c>
      <c r="F74" s="5" t="n">
        <v>0</v>
      </c>
      <c r="G74" s="5" t="s">
        <v>115</v>
      </c>
    </row>
    <row r="75" customFormat="false" ht="15" hidden="false" customHeight="false" outlineLevel="0" collapsed="false">
      <c r="A75" s="5" t="n">
        <f aca="false">RANDBETWEEN(2,164)</f>
        <v>156</v>
      </c>
      <c r="B75" s="5" t="n">
        <f aca="false" t="array" ref="B75:B75">INDEX(Data_DBD!$E:$E,$A75)</f>
        <v>0</v>
      </c>
      <c r="C75" s="5" t="str">
        <f aca="false" t="array" ref="C75:C75">INDEX(Data_DBD!$F:$F,$A75)</f>
        <v>Tinggi</v>
      </c>
      <c r="E75" s="5" t="n">
        <v>72</v>
      </c>
      <c r="F75" s="5" t="n">
        <v>1</v>
      </c>
      <c r="G75" s="5" t="s">
        <v>7</v>
      </c>
    </row>
    <row r="76" customFormat="false" ht="15" hidden="false" customHeight="false" outlineLevel="0" collapsed="false">
      <c r="A76" s="5" t="n">
        <f aca="false">RANDBETWEEN(2,164)</f>
        <v>126</v>
      </c>
      <c r="B76" s="5" t="n">
        <f aca="false" t="array" ref="B76:B76">INDEX(Data_DBD!$E:$E,$A76)</f>
        <v>1</v>
      </c>
      <c r="C76" s="5" t="str">
        <f aca="false" t="array" ref="C76:C76">INDEX(Data_DBD!$F:$F,$A76)</f>
        <v>Tinggi</v>
      </c>
      <c r="E76" s="5" t="n">
        <v>127</v>
      </c>
      <c r="F76" s="5" t="n">
        <v>0</v>
      </c>
      <c r="G76" s="5" t="s">
        <v>115</v>
      </c>
    </row>
    <row r="77" customFormat="false" ht="15" hidden="false" customHeight="false" outlineLevel="0" collapsed="false">
      <c r="A77" s="5" t="n">
        <f aca="false">RANDBETWEEN(2,164)</f>
        <v>20</v>
      </c>
      <c r="B77" s="5" t="n">
        <f aca="false" t="array" ref="B77:B77">INDEX(Data_DBD!$E:$E,$A77)</f>
        <v>0</v>
      </c>
      <c r="C77" s="5" t="str">
        <f aca="false" t="array" ref="C77:C77">INDEX(Data_DBD!$F:$F,$A77)</f>
        <v>Rendah</v>
      </c>
      <c r="E77" s="5" t="n">
        <v>84</v>
      </c>
      <c r="F77" s="5" t="n">
        <v>1</v>
      </c>
      <c r="G77" s="5" t="s">
        <v>7</v>
      </c>
    </row>
    <row r="78" customFormat="false" ht="15" hidden="false" customHeight="false" outlineLevel="0" collapsed="false">
      <c r="A78" s="5" t="n">
        <f aca="false">RANDBETWEEN(2,164)</f>
        <v>137</v>
      </c>
      <c r="B78" s="5" t="n">
        <f aca="false" t="array" ref="B78:B78">INDEX(Data_DBD!$E:$E,$A78)</f>
        <v>1</v>
      </c>
      <c r="C78" s="5" t="str">
        <f aca="false" t="array" ref="C78:C78">INDEX(Data_DBD!$F:$F,$A78)</f>
        <v>Tinggi</v>
      </c>
      <c r="E78" s="5" t="n">
        <v>134</v>
      </c>
      <c r="F78" s="5" t="n">
        <v>1</v>
      </c>
      <c r="G78" s="5" t="s">
        <v>115</v>
      </c>
    </row>
    <row r="79" customFormat="false" ht="15" hidden="false" customHeight="false" outlineLevel="0" collapsed="false">
      <c r="A79" s="5" t="n">
        <f aca="false">RANDBETWEEN(2,164)</f>
        <v>129</v>
      </c>
      <c r="B79" s="5" t="n">
        <f aca="false" t="array" ref="B79:B79">INDEX(Data_DBD!$E:$E,$A79)</f>
        <v>0</v>
      </c>
      <c r="C79" s="5" t="str">
        <f aca="false" t="array" ref="C79:C79">INDEX(Data_DBD!$F:$F,$A79)</f>
        <v>Tinggi</v>
      </c>
      <c r="E79" s="5" t="n">
        <v>32</v>
      </c>
      <c r="F79" s="5" t="n">
        <v>0</v>
      </c>
      <c r="G79" s="5" t="s">
        <v>7</v>
      </c>
    </row>
    <row r="80" customFormat="false" ht="15" hidden="false" customHeight="false" outlineLevel="0" collapsed="false">
      <c r="A80" s="5" t="n">
        <f aca="false">RANDBETWEEN(2,164)</f>
        <v>40</v>
      </c>
      <c r="B80" s="5" t="n">
        <f aca="false" t="array" ref="B80:B80">INDEX(Data_DBD!$E:$E,$A80)</f>
        <v>1</v>
      </c>
      <c r="C80" s="5" t="str">
        <f aca="false" t="array" ref="C80:C80">INDEX(Data_DBD!$F:$F,$A80)</f>
        <v>Sedang</v>
      </c>
      <c r="E80" s="5" t="n">
        <v>38</v>
      </c>
      <c r="F80" s="5" t="n">
        <v>1</v>
      </c>
      <c r="G80" s="5" t="s">
        <v>20</v>
      </c>
    </row>
    <row r="81" customFormat="false" ht="15" hidden="false" customHeight="false" outlineLevel="0" collapsed="false">
      <c r="A81" s="5" t="n">
        <f aca="false">RANDBETWEEN(2,164)</f>
        <v>142</v>
      </c>
      <c r="B81" s="5" t="n">
        <f aca="false" t="array" ref="B81:B81">INDEX(Data_DBD!$E:$E,$A81)</f>
        <v>1</v>
      </c>
      <c r="C81" s="5" t="str">
        <f aca="false" t="array" ref="C81:C81">INDEX(Data_DBD!$F:$F,$A81)</f>
        <v>Tinggi</v>
      </c>
      <c r="E81" s="5" t="n">
        <v>128</v>
      </c>
      <c r="F81" s="5" t="n">
        <v>0</v>
      </c>
      <c r="G81" s="5" t="s">
        <v>115</v>
      </c>
    </row>
    <row r="82" customFormat="false" ht="15" hidden="false" customHeight="false" outlineLevel="0" collapsed="false">
      <c r="A82" s="5" t="n">
        <f aca="false">RANDBETWEEN(2,164)</f>
        <v>133</v>
      </c>
      <c r="B82" s="5" t="n">
        <f aca="false" t="array" ref="B82:B82">INDEX(Data_DBD!$E:$E,$A82)</f>
        <v>0</v>
      </c>
      <c r="C82" s="5" t="str">
        <f aca="false" t="array" ref="C82:C82">INDEX(Data_DBD!$F:$F,$A82)</f>
        <v>Tinggi</v>
      </c>
      <c r="E82" s="5" t="n">
        <v>156</v>
      </c>
      <c r="F82" s="5" t="n">
        <v>0</v>
      </c>
      <c r="G82" s="5" t="s">
        <v>115</v>
      </c>
    </row>
    <row r="83" customFormat="false" ht="15" hidden="false" customHeight="false" outlineLevel="0" collapsed="false">
      <c r="A83" s="5" t="n">
        <f aca="false">RANDBETWEEN(2,164)</f>
        <v>39</v>
      </c>
      <c r="B83" s="5" t="n">
        <f aca="false" t="array" ref="B83:B83">INDEX(Data_DBD!$E:$E,$A83)</f>
        <v>1</v>
      </c>
      <c r="C83" s="5" t="str">
        <f aca="false" t="array" ref="C83:C83">INDEX(Data_DBD!$F:$F,$A83)</f>
        <v>Sedang</v>
      </c>
      <c r="E83" s="5" t="n">
        <v>27</v>
      </c>
      <c r="F83" s="5" t="n">
        <v>1</v>
      </c>
      <c r="G83" s="5" t="s">
        <v>7</v>
      </c>
    </row>
    <row r="84" customFormat="false" ht="15" hidden="false" customHeight="false" outlineLevel="0" collapsed="false">
      <c r="A84" s="5" t="n">
        <f aca="false">RANDBETWEEN(2,164)</f>
        <v>123</v>
      </c>
      <c r="B84" s="5" t="n">
        <f aca="false" t="array" ref="B84:B84">INDEX(Data_DBD!$E:$E,$A84)</f>
        <v>0</v>
      </c>
      <c r="C84" s="5" t="str">
        <f aca="false" t="array" ref="C84:C84">INDEX(Data_DBD!$F:$F,$A84)</f>
        <v>Tinggi</v>
      </c>
      <c r="E84" s="5" t="n">
        <v>78</v>
      </c>
      <c r="F84" s="5" t="n">
        <v>0</v>
      </c>
      <c r="G84" s="5" t="s">
        <v>7</v>
      </c>
    </row>
    <row r="85" customFormat="false" ht="15" hidden="false" customHeight="false" outlineLevel="0" collapsed="false">
      <c r="A85" s="5" t="n">
        <f aca="false">RANDBETWEEN(2,164)</f>
        <v>112</v>
      </c>
      <c r="B85" s="5" t="n">
        <f aca="false" t="array" ref="B85:B85">INDEX(Data_DBD!$E:$E,$A85)</f>
        <v>1</v>
      </c>
      <c r="C85" s="5" t="str">
        <f aca="false" t="array" ref="C85:C85">INDEX(Data_DBD!$F:$F,$A85)</f>
        <v>Tinggi</v>
      </c>
      <c r="E85" s="5" t="n">
        <v>142</v>
      </c>
      <c r="F85" s="5" t="n">
        <v>1</v>
      </c>
      <c r="G85" s="5" t="s">
        <v>115</v>
      </c>
    </row>
    <row r="86" customFormat="false" ht="15" hidden="false" customHeight="false" outlineLevel="0" collapsed="false">
      <c r="A86" s="5" t="n">
        <f aca="false">RANDBETWEEN(2,164)</f>
        <v>114</v>
      </c>
      <c r="B86" s="5" t="n">
        <f aca="false" t="array" ref="B86:B86">INDEX(Data_DBD!$E:$E,$A86)</f>
        <v>1</v>
      </c>
      <c r="C86" s="5" t="str">
        <f aca="false" t="array" ref="C86:C86">INDEX(Data_DBD!$F:$F,$A86)</f>
        <v>Tinggi</v>
      </c>
      <c r="E86" s="5" t="n">
        <v>51</v>
      </c>
      <c r="F86" s="5" t="n">
        <v>0</v>
      </c>
      <c r="G86" s="5" t="s">
        <v>7</v>
      </c>
    </row>
    <row r="87" customFormat="false" ht="15" hidden="false" customHeight="false" outlineLevel="0" collapsed="false">
      <c r="A87" s="5" t="n">
        <f aca="false">RANDBETWEEN(2,164)</f>
        <v>137</v>
      </c>
      <c r="B87" s="5" t="n">
        <f aca="false" t="array" ref="B87:B87">INDEX(Data_DBD!$E:$E,$A87)</f>
        <v>1</v>
      </c>
      <c r="C87" s="5" t="str">
        <f aca="false" t="array" ref="C87:C87">INDEX(Data_DBD!$F:$F,$A87)</f>
        <v>Tinggi</v>
      </c>
      <c r="E87" s="5" t="n">
        <v>151</v>
      </c>
      <c r="F87" s="5" t="n">
        <v>0</v>
      </c>
      <c r="G87" s="5" t="s">
        <v>115</v>
      </c>
    </row>
    <row r="88" customFormat="false" ht="15" hidden="false" customHeight="false" outlineLevel="0" collapsed="false">
      <c r="A88" s="5" t="n">
        <f aca="false">RANDBETWEEN(2,164)</f>
        <v>144</v>
      </c>
      <c r="B88" s="5" t="n">
        <f aca="false" t="array" ref="B88:B88">INDEX(Data_DBD!$E:$E,$A88)</f>
        <v>1</v>
      </c>
      <c r="C88" s="5" t="str">
        <f aca="false" t="array" ref="C88:C88">INDEX(Data_DBD!$F:$F,$A88)</f>
        <v>Tinggi</v>
      </c>
      <c r="E88" s="5" t="n">
        <v>120</v>
      </c>
      <c r="F88" s="5" t="n">
        <v>1</v>
      </c>
      <c r="G88" s="5" t="s">
        <v>115</v>
      </c>
    </row>
    <row r="89" customFormat="false" ht="15" hidden="false" customHeight="false" outlineLevel="0" collapsed="false">
      <c r="A89" s="5" t="n">
        <f aca="false">RANDBETWEEN(2,164)</f>
        <v>111</v>
      </c>
      <c r="B89" s="5" t="n">
        <f aca="false" t="array" ref="B89:B89">INDEX(Data_DBD!$E:$E,$A89)</f>
        <v>0</v>
      </c>
      <c r="C89" s="5" t="str">
        <f aca="false" t="array" ref="C89:C89">INDEX(Data_DBD!$F:$F,$A89)</f>
        <v>Tinggi</v>
      </c>
      <c r="E89" s="5" t="n">
        <v>34</v>
      </c>
      <c r="F89" s="5" t="n">
        <v>0</v>
      </c>
      <c r="G89" s="5" t="s">
        <v>7</v>
      </c>
    </row>
    <row r="90" customFormat="false" ht="15" hidden="false" customHeight="false" outlineLevel="0" collapsed="false">
      <c r="A90" s="5" t="n">
        <f aca="false">RANDBETWEEN(2,164)</f>
        <v>120</v>
      </c>
      <c r="B90" s="5" t="n">
        <f aca="false" t="array" ref="B90:B90">INDEX(Data_DBD!$E:$E,$A90)</f>
        <v>1</v>
      </c>
      <c r="C90" s="5" t="str">
        <f aca="false" t="array" ref="C90:C90">INDEX(Data_DBD!$F:$F,$A90)</f>
        <v>Tinggi</v>
      </c>
      <c r="E90" s="5" t="n">
        <v>137</v>
      </c>
      <c r="F90" s="5" t="n">
        <v>1</v>
      </c>
      <c r="G90" s="5" t="s">
        <v>115</v>
      </c>
    </row>
    <row r="91" customFormat="false" ht="15" hidden="false" customHeight="false" outlineLevel="0" collapsed="false">
      <c r="A91" s="5" t="n">
        <f aca="false">RANDBETWEEN(2,164)</f>
        <v>129</v>
      </c>
      <c r="B91" s="5" t="n">
        <f aca="false" t="array" ref="B91:B91">INDEX(Data_DBD!$E:$E,$A91)</f>
        <v>0</v>
      </c>
      <c r="C91" s="5" t="str">
        <f aca="false" t="array" ref="C91:C91">INDEX(Data_DBD!$F:$F,$A91)</f>
        <v>Tinggi</v>
      </c>
      <c r="E91" s="5" t="n">
        <v>2</v>
      </c>
      <c r="F91" s="5" t="n">
        <v>0</v>
      </c>
      <c r="G91" s="5" t="s">
        <v>7</v>
      </c>
    </row>
    <row r="92" customFormat="false" ht="15" hidden="false" customHeight="false" outlineLevel="0" collapsed="false">
      <c r="A92" s="5" t="n">
        <f aca="false">RANDBETWEEN(2,164)</f>
        <v>107</v>
      </c>
      <c r="B92" s="5" t="n">
        <f aca="false" t="array" ref="B92:B92">INDEX(Data_DBD!$E:$E,$A92)</f>
        <v>0</v>
      </c>
      <c r="C92" s="5" t="str">
        <f aca="false" t="array" ref="C92:C92">INDEX(Data_DBD!$F:$F,$A92)</f>
        <v>Sedang</v>
      </c>
      <c r="E92" s="5" t="n">
        <v>137</v>
      </c>
      <c r="F92" s="5" t="n">
        <v>1</v>
      </c>
      <c r="G92" s="5" t="s">
        <v>115</v>
      </c>
    </row>
    <row r="93" customFormat="false" ht="15" hidden="false" customHeight="false" outlineLevel="0" collapsed="false">
      <c r="A93" s="5" t="n">
        <f aca="false">RANDBETWEEN(2,164)</f>
        <v>89</v>
      </c>
      <c r="B93" s="5" t="n">
        <f aca="false" t="array" ref="B93:B93">INDEX(Data_DBD!$E:$E,$A93)</f>
        <v>0</v>
      </c>
      <c r="C93" s="5" t="str">
        <f aca="false" t="array" ref="C93:C93">INDEX(Data_DBD!$F:$F,$A93)</f>
        <v>Sedang</v>
      </c>
      <c r="E93" s="5" t="n">
        <v>45</v>
      </c>
      <c r="F93" s="5" t="n">
        <v>1</v>
      </c>
      <c r="G93" s="5" t="s">
        <v>7</v>
      </c>
    </row>
    <row r="94" customFormat="false" ht="15" hidden="false" customHeight="false" outlineLevel="0" collapsed="false">
      <c r="A94" s="5" t="n">
        <f aca="false">RANDBETWEEN(2,164)</f>
        <v>145</v>
      </c>
      <c r="B94" s="5" t="n">
        <f aca="false" t="array" ref="B94:B94">INDEX(Data_DBD!$E:$E,$A94)</f>
        <v>1</v>
      </c>
      <c r="C94" s="5" t="str">
        <f aca="false" t="array" ref="C94:C94">INDEX(Data_DBD!$F:$F,$A94)</f>
        <v>Tinggi</v>
      </c>
      <c r="E94" s="5" t="n">
        <v>164</v>
      </c>
      <c r="F94" s="5" t="n">
        <v>0</v>
      </c>
      <c r="G94" s="5" t="s">
        <v>20</v>
      </c>
    </row>
    <row r="95" customFormat="false" ht="15" hidden="false" customHeight="false" outlineLevel="0" collapsed="false">
      <c r="A95" s="5" t="n">
        <f aca="false">RANDBETWEEN(2,164)</f>
        <v>30</v>
      </c>
      <c r="B95" s="5" t="n">
        <f aca="false" t="array" ref="B95:B95">INDEX(Data_DBD!$E:$E,$A95)</f>
        <v>1</v>
      </c>
      <c r="C95" s="5" t="str">
        <f aca="false" t="array" ref="C95:C95">INDEX(Data_DBD!$F:$F,$A95)</f>
        <v>Sedang</v>
      </c>
      <c r="E95" s="5" t="n">
        <v>110</v>
      </c>
      <c r="F95" s="5" t="n">
        <v>1</v>
      </c>
      <c r="G95" s="5" t="s">
        <v>115</v>
      </c>
    </row>
    <row r="96" customFormat="false" ht="15" hidden="false" customHeight="false" outlineLevel="0" collapsed="false">
      <c r="A96" s="5" t="n">
        <f aca="false">RANDBETWEEN(2,164)</f>
        <v>60</v>
      </c>
      <c r="B96" s="5" t="n">
        <f aca="false" t="array" ref="B96:B96">INDEX(Data_DBD!$E:$E,$A96)</f>
        <v>0</v>
      </c>
      <c r="C96" s="5" t="str">
        <f aca="false" t="array" ref="C96:C96">INDEX(Data_DBD!$F:$F,$A96)</f>
        <v>Sedang</v>
      </c>
      <c r="E96" s="5" t="n">
        <v>20</v>
      </c>
      <c r="F96" s="5" t="n">
        <v>0</v>
      </c>
      <c r="G96" s="5" t="s">
        <v>20</v>
      </c>
    </row>
    <row r="97" customFormat="false" ht="15" hidden="false" customHeight="false" outlineLevel="0" collapsed="false">
      <c r="A97" s="5" t="n">
        <f aca="false">RANDBETWEEN(2,164)</f>
        <v>123</v>
      </c>
      <c r="B97" s="5" t="n">
        <f aca="false" t="array" ref="B97:B97">INDEX(Data_DBD!$E:$E,$A97)</f>
        <v>0</v>
      </c>
      <c r="C97" s="5" t="str">
        <f aca="false" t="array" ref="C97:C97">INDEX(Data_DBD!$F:$F,$A97)</f>
        <v>Tinggi</v>
      </c>
      <c r="E97" s="5" t="n">
        <v>68</v>
      </c>
      <c r="F97" s="5" t="n">
        <v>0</v>
      </c>
      <c r="G97" s="5" t="s">
        <v>7</v>
      </c>
    </row>
    <row r="98" customFormat="false" ht="15" hidden="false" customHeight="false" outlineLevel="0" collapsed="false">
      <c r="A98" s="5" t="n">
        <f aca="false">RANDBETWEEN(2,164)</f>
        <v>63</v>
      </c>
      <c r="B98" s="5" t="n">
        <f aca="false" t="array" ref="B98:B98">INDEX(Data_DBD!$E:$E,$A98)</f>
        <v>0</v>
      </c>
      <c r="C98" s="5" t="str">
        <f aca="false" t="array" ref="C98:C98">INDEX(Data_DBD!$F:$F,$A98)</f>
        <v>Sedang</v>
      </c>
      <c r="E98" s="5" t="n">
        <v>89</v>
      </c>
      <c r="F98" s="5" t="n">
        <v>0</v>
      </c>
      <c r="G98" s="5" t="s">
        <v>7</v>
      </c>
    </row>
    <row r="99" customFormat="false" ht="15" hidden="false" customHeight="false" outlineLevel="0" collapsed="false">
      <c r="A99" s="5" t="n">
        <f aca="false">RANDBETWEEN(2,164)</f>
        <v>6</v>
      </c>
      <c r="B99" s="5" t="n">
        <f aca="false" t="array" ref="B99:B99">INDEX(Data_DBD!$E:$E,$A99)</f>
        <v>0</v>
      </c>
      <c r="C99" s="5" t="str">
        <f aca="false" t="array" ref="C99:C99">INDEX(Data_DBD!$F:$F,$A99)</f>
        <v>Sedang</v>
      </c>
      <c r="E99" s="5" t="n">
        <v>23</v>
      </c>
      <c r="F99" s="5" t="n">
        <v>1</v>
      </c>
      <c r="G99" s="5" t="s">
        <v>7</v>
      </c>
    </row>
    <row r="100" customFormat="false" ht="15" hidden="false" customHeight="false" outlineLevel="0" collapsed="false">
      <c r="A100" s="5" t="n">
        <f aca="false">RANDBETWEEN(2,164)</f>
        <v>105</v>
      </c>
      <c r="B100" s="5" t="n">
        <f aca="false" t="array" ref="B100:B100">INDEX(Data_DBD!$E:$E,$A100)</f>
        <v>1</v>
      </c>
      <c r="C100" s="5" t="str">
        <f aca="false" t="array" ref="C100:C100">INDEX(Data_DBD!$F:$F,$A100)</f>
        <v>Sedang</v>
      </c>
      <c r="E100" s="5" t="n">
        <v>82</v>
      </c>
      <c r="F100" s="5" t="n">
        <v>1</v>
      </c>
      <c r="G100" s="5" t="s">
        <v>7</v>
      </c>
    </row>
    <row r="101" customFormat="false" ht="15" hidden="false" customHeight="false" outlineLevel="0" collapsed="false">
      <c r="A101" s="5" t="n">
        <f aca="false">RANDBETWEEN(2,164)</f>
        <v>74</v>
      </c>
      <c r="B101" s="5" t="n">
        <f aca="false" t="array" ref="B101:B101">INDEX(Data_DBD!$E:$E,$A101)</f>
        <v>0</v>
      </c>
      <c r="C101" s="5" t="str">
        <f aca="false" t="array" ref="C101:C101">INDEX(Data_DBD!$F:$F,$A101)</f>
        <v>Rendah</v>
      </c>
      <c r="E101" s="5" t="n">
        <v>82</v>
      </c>
      <c r="F101" s="5" t="n">
        <v>1</v>
      </c>
      <c r="G101" s="5" t="s">
        <v>7</v>
      </c>
    </row>
    <row r="102" customFormat="false" ht="15" hidden="false" customHeight="false" outlineLevel="0" collapsed="false">
      <c r="A102" s="5" t="n">
        <f aca="false">RANDBETWEEN(2,164)</f>
        <v>97</v>
      </c>
      <c r="B102" s="5" t="n">
        <f aca="false" t="array" ref="B102:B102">INDEX(Data_DBD!$E:$E,$A102)</f>
        <v>1</v>
      </c>
      <c r="C102" s="5" t="str">
        <f aca="false" t="array" ref="C102:C102">INDEX(Data_DBD!$F:$F,$A102)</f>
        <v>Sedang</v>
      </c>
      <c r="E102" s="5" t="n">
        <v>94</v>
      </c>
      <c r="F102" s="5" t="n">
        <v>0</v>
      </c>
      <c r="G102" s="5" t="s">
        <v>115</v>
      </c>
    </row>
    <row r="103" customFormat="false" ht="15" hidden="false" customHeight="false" outlineLevel="0" collapsed="false">
      <c r="A103" s="5" t="n">
        <f aca="false">RANDBETWEEN(2,164)</f>
        <v>163</v>
      </c>
      <c r="B103" s="5" t="n">
        <f aca="false" t="array" ref="B103:B103">INDEX(Data_DBD!$E:$E,$A103)</f>
        <v>1</v>
      </c>
      <c r="C103" s="5" t="str">
        <f aca="false" t="array" ref="C103:C103">INDEX(Data_DBD!$F:$F,$A103)</f>
        <v>Rendah</v>
      </c>
      <c r="E103" s="5" t="n">
        <v>40</v>
      </c>
      <c r="F103" s="5" t="n">
        <v>1</v>
      </c>
      <c r="G103" s="5" t="s">
        <v>7</v>
      </c>
    </row>
    <row r="104" customFormat="false" ht="15" hidden="false" customHeight="false" outlineLevel="0" collapsed="false">
      <c r="A104" s="5" t="n">
        <f aca="false">RANDBETWEEN(2,164)</f>
        <v>156</v>
      </c>
      <c r="B104" s="5" t="n">
        <f aca="false" t="array" ref="B104:B104">INDEX(Data_DBD!$E:$E,$A104)</f>
        <v>0</v>
      </c>
      <c r="C104" s="5" t="str">
        <f aca="false" t="array" ref="C104:C104">INDEX(Data_DBD!$F:$F,$A104)</f>
        <v>Tinggi</v>
      </c>
      <c r="E104" s="5" t="n">
        <v>32</v>
      </c>
      <c r="F104" s="5" t="n">
        <v>0</v>
      </c>
      <c r="G104" s="5" t="s">
        <v>7</v>
      </c>
    </row>
    <row r="105" customFormat="false" ht="15" hidden="false" customHeight="false" outlineLevel="0" collapsed="false">
      <c r="A105" s="5" t="n">
        <f aca="false">RANDBETWEEN(2,164)</f>
        <v>138</v>
      </c>
      <c r="B105" s="5" t="n">
        <f aca="false" t="array" ref="B105:B105">INDEX(Data_DBD!$E:$E,$A105)</f>
        <v>1</v>
      </c>
      <c r="C105" s="5" t="str">
        <f aca="false" t="array" ref="C105:C105">INDEX(Data_DBD!$F:$F,$A105)</f>
        <v>Tinggi</v>
      </c>
      <c r="E105" s="5" t="n">
        <v>15</v>
      </c>
      <c r="F105" s="5" t="n">
        <v>0</v>
      </c>
      <c r="G105" s="5" t="s">
        <v>20</v>
      </c>
    </row>
    <row r="106" customFormat="false" ht="15" hidden="false" customHeight="false" outlineLevel="0" collapsed="false">
      <c r="A106" s="5" t="n">
        <f aca="false">RANDBETWEEN(2,164)</f>
        <v>118</v>
      </c>
      <c r="B106" s="5" t="n">
        <f aca="false" t="array" ref="B106:B106">INDEX(Data_DBD!$E:$E,$A106)</f>
        <v>1</v>
      </c>
      <c r="C106" s="5" t="str">
        <f aca="false" t="array" ref="C106:C106">INDEX(Data_DBD!$F:$F,$A106)</f>
        <v>Tinggi</v>
      </c>
      <c r="E106" s="5" t="n">
        <v>77</v>
      </c>
      <c r="F106" s="5" t="n">
        <v>1</v>
      </c>
      <c r="G106" s="5" t="s">
        <v>7</v>
      </c>
    </row>
    <row r="107" customFormat="false" ht="15" hidden="false" customHeight="false" outlineLevel="0" collapsed="false">
      <c r="A107" s="5" t="n">
        <f aca="false">RANDBETWEEN(2,164)</f>
        <v>68</v>
      </c>
      <c r="B107" s="5" t="n">
        <f aca="false" t="array" ref="B107:B107">INDEX(Data_DBD!$E:$E,$A107)</f>
        <v>0</v>
      </c>
      <c r="C107" s="5" t="str">
        <f aca="false" t="array" ref="C107:C107">INDEX(Data_DBD!$F:$F,$A107)</f>
        <v>Rendah</v>
      </c>
      <c r="E107" s="5" t="n">
        <v>87</v>
      </c>
      <c r="F107" s="5" t="n">
        <v>0</v>
      </c>
      <c r="G107" s="5" t="s">
        <v>7</v>
      </c>
    </row>
    <row r="108" customFormat="false" ht="15" hidden="false" customHeight="false" outlineLevel="0" collapsed="false">
      <c r="A108" s="5" t="n">
        <f aca="false">RANDBETWEEN(2,164)</f>
        <v>34</v>
      </c>
      <c r="B108" s="5" t="n">
        <f aca="false" t="array" ref="B108:B108">INDEX(Data_DBD!$E:$E,$A108)</f>
        <v>0</v>
      </c>
      <c r="C108" s="5" t="str">
        <f aca="false" t="array" ref="C108:C108">INDEX(Data_DBD!$F:$F,$A108)</f>
        <v>Sedang</v>
      </c>
      <c r="E108" s="5" t="n">
        <v>148</v>
      </c>
      <c r="F108" s="5" t="n">
        <v>1</v>
      </c>
      <c r="G108" s="5" t="s">
        <v>115</v>
      </c>
    </row>
    <row r="109" customFormat="false" ht="15" hidden="false" customHeight="false" outlineLevel="0" collapsed="false">
      <c r="A109" s="5" t="n">
        <f aca="false">RANDBETWEEN(2,164)</f>
        <v>7</v>
      </c>
      <c r="B109" s="5" t="n">
        <f aca="false" t="array" ref="B109:B109">INDEX(Data_DBD!$E:$E,$A109)</f>
        <v>1</v>
      </c>
      <c r="C109" s="5" t="str">
        <f aca="false" t="array" ref="C109:C109">INDEX(Data_DBD!$F:$F,$A109)</f>
        <v>Sedang</v>
      </c>
      <c r="E109" s="5" t="n">
        <v>7</v>
      </c>
      <c r="F109" s="5" t="n">
        <v>1</v>
      </c>
      <c r="G109" s="5" t="s">
        <v>7</v>
      </c>
    </row>
    <row r="110" customFormat="false" ht="15" hidden="false" customHeight="false" outlineLevel="0" collapsed="false">
      <c r="A110" s="5" t="n">
        <f aca="false">RANDBETWEEN(2,164)</f>
        <v>28</v>
      </c>
      <c r="B110" s="5" t="n">
        <f aca="false" t="array" ref="B110:B110">INDEX(Data_DBD!$E:$E,$A110)</f>
        <v>1</v>
      </c>
      <c r="C110" s="5" t="str">
        <f aca="false" t="array" ref="C110:C110">INDEX(Data_DBD!$F:$F,$A110)</f>
        <v>Sedang</v>
      </c>
      <c r="E110" s="5" t="n">
        <v>74</v>
      </c>
      <c r="F110" s="5" t="n">
        <v>0</v>
      </c>
      <c r="G110" s="5" t="s">
        <v>7</v>
      </c>
    </row>
    <row r="111" customFormat="false" ht="15" hidden="false" customHeight="false" outlineLevel="0" collapsed="false">
      <c r="A111" s="5" t="n">
        <f aca="false">RANDBETWEEN(2,164)</f>
        <v>152</v>
      </c>
      <c r="B111" s="5" t="n">
        <f aca="false" t="array" ref="B111:B111">INDEX(Data_DBD!$E:$E,$A111)</f>
        <v>1</v>
      </c>
      <c r="C111" s="5" t="str">
        <f aca="false" t="array" ref="C111:C111">INDEX(Data_DBD!$F:$F,$A111)</f>
        <v>Tinggi</v>
      </c>
      <c r="E111" s="5" t="n">
        <v>14</v>
      </c>
      <c r="F111" s="5" t="n">
        <v>1</v>
      </c>
      <c r="G111" s="5" t="s">
        <v>20</v>
      </c>
    </row>
    <row r="112" customFormat="false" ht="15" hidden="false" customHeight="false" outlineLevel="0" collapsed="false">
      <c r="A112" s="5" t="n">
        <f aca="false">RANDBETWEEN(2,164)</f>
        <v>145</v>
      </c>
      <c r="B112" s="5" t="n">
        <f aca="false" t="array" ref="B112:B112">INDEX(Data_DBD!$E:$E,$A112)</f>
        <v>1</v>
      </c>
      <c r="C112" s="5" t="str">
        <f aca="false" t="array" ref="C112:C112">INDEX(Data_DBD!$F:$F,$A112)</f>
        <v>Tinggi</v>
      </c>
      <c r="E112" s="5" t="n">
        <v>26</v>
      </c>
      <c r="F112" s="5" t="n">
        <v>1</v>
      </c>
      <c r="G112" s="5" t="s">
        <v>7</v>
      </c>
    </row>
    <row r="113" customFormat="false" ht="15" hidden="false" customHeight="false" outlineLevel="0" collapsed="false">
      <c r="A113" s="5" t="n">
        <f aca="false">RANDBETWEEN(2,164)</f>
        <v>145</v>
      </c>
      <c r="B113" s="5" t="n">
        <f aca="false" t="array" ref="B113:B113">INDEX(Data_DBD!$E:$E,$A113)</f>
        <v>1</v>
      </c>
      <c r="C113" s="5" t="str">
        <f aca="false" t="array" ref="C113:C113">INDEX(Data_DBD!$F:$F,$A113)</f>
        <v>Tinggi</v>
      </c>
      <c r="E113" s="5" t="n">
        <v>129</v>
      </c>
      <c r="F113" s="5" t="n">
        <v>0</v>
      </c>
      <c r="G113" s="5" t="s">
        <v>115</v>
      </c>
    </row>
    <row r="114" customFormat="false" ht="15" hidden="false" customHeight="false" outlineLevel="0" collapsed="false">
      <c r="A114" s="5" t="n">
        <f aca="false">RANDBETWEEN(2,164)</f>
        <v>47</v>
      </c>
      <c r="B114" s="5" t="n">
        <f aca="false" t="array" ref="B114:B114">INDEX(Data_DBD!$E:$E,$A114)</f>
        <v>0</v>
      </c>
      <c r="C114" s="5" t="str">
        <f aca="false" t="array" ref="C114:C114">INDEX(Data_DBD!$F:$F,$A114)</f>
        <v>Sedang</v>
      </c>
      <c r="E114" s="5" t="n">
        <v>159</v>
      </c>
      <c r="F114" s="5" t="n">
        <v>0</v>
      </c>
      <c r="G114" s="5" t="s">
        <v>115</v>
      </c>
    </row>
    <row r="115" customFormat="false" ht="15" hidden="false" customHeight="false" outlineLevel="0" collapsed="false">
      <c r="A115" s="5" t="n">
        <f aca="false">RANDBETWEEN(2,164)</f>
        <v>14</v>
      </c>
      <c r="B115" s="5" t="n">
        <f aca="false" t="array" ref="B115:B115">INDEX(Data_DBD!$E:$E,$A115)</f>
        <v>1</v>
      </c>
      <c r="C115" s="5" t="str">
        <f aca="false" t="array" ref="C115:C115">INDEX(Data_DBD!$F:$F,$A115)</f>
        <v>Rendah</v>
      </c>
      <c r="E115" s="5" t="n">
        <v>46</v>
      </c>
      <c r="F115" s="5" t="n">
        <v>0</v>
      </c>
      <c r="G115" s="5" t="s">
        <v>7</v>
      </c>
    </row>
    <row r="116" customFormat="false" ht="15" hidden="false" customHeight="false" outlineLevel="0" collapsed="false">
      <c r="A116" s="5" t="n">
        <f aca="false">RANDBETWEEN(2,164)</f>
        <v>136</v>
      </c>
      <c r="B116" s="5" t="n">
        <f aca="false" t="array" ref="B116:B116">INDEX(Data_DBD!$E:$E,$A116)</f>
        <v>0</v>
      </c>
      <c r="C116" s="5" t="str">
        <f aca="false" t="array" ref="C116:C116">INDEX(Data_DBD!$F:$F,$A116)</f>
        <v>Tinggi</v>
      </c>
      <c r="E116" s="5" t="n">
        <v>37</v>
      </c>
      <c r="F116" s="5" t="n">
        <v>1</v>
      </c>
      <c r="G116" s="5" t="s">
        <v>20</v>
      </c>
    </row>
    <row r="117" customFormat="false" ht="15" hidden="false" customHeight="false" outlineLevel="0" collapsed="false">
      <c r="A117" s="5" t="n">
        <f aca="false">RANDBETWEEN(2,164)</f>
        <v>158</v>
      </c>
      <c r="B117" s="5" t="n">
        <f aca="false" t="array" ref="B117:B117">INDEX(Data_DBD!$E:$E,$A117)</f>
        <v>0</v>
      </c>
      <c r="C117" s="5" t="str">
        <f aca="false" t="array" ref="C117:C117">INDEX(Data_DBD!$F:$F,$A117)</f>
        <v>Tinggi</v>
      </c>
      <c r="E117" s="5" t="n">
        <v>66</v>
      </c>
      <c r="F117" s="5" t="n">
        <v>1</v>
      </c>
      <c r="G117" s="5" t="s">
        <v>7</v>
      </c>
    </row>
    <row r="118" customFormat="false" ht="15" hidden="false" customHeight="false" outlineLevel="0" collapsed="false">
      <c r="A118" s="5" t="n">
        <f aca="false">RANDBETWEEN(2,164)</f>
        <v>112</v>
      </c>
      <c r="B118" s="5" t="n">
        <f aca="false" t="array" ref="B118:B118">INDEX(Data_DBD!$E:$E,$A118)</f>
        <v>1</v>
      </c>
      <c r="C118" s="5" t="str">
        <f aca="false" t="array" ref="C118:C118">INDEX(Data_DBD!$F:$F,$A118)</f>
        <v>Tinggi</v>
      </c>
      <c r="E118" s="5" t="n">
        <v>104</v>
      </c>
      <c r="F118" s="5" t="n">
        <v>1</v>
      </c>
      <c r="G118" s="5" t="s">
        <v>115</v>
      </c>
    </row>
    <row r="119" customFormat="false" ht="15" hidden="false" customHeight="false" outlineLevel="0" collapsed="false">
      <c r="A119" s="5" t="n">
        <f aca="false">RANDBETWEEN(2,164)</f>
        <v>105</v>
      </c>
      <c r="B119" s="5" t="n">
        <f aca="false" t="array" ref="B119:B119">INDEX(Data_DBD!$E:$E,$A119)</f>
        <v>1</v>
      </c>
      <c r="C119" s="5" t="str">
        <f aca="false" t="array" ref="C119:C119">INDEX(Data_DBD!$F:$F,$A119)</f>
        <v>Sedang</v>
      </c>
      <c r="E119" s="5" t="n">
        <v>113</v>
      </c>
      <c r="F119" s="5" t="n">
        <v>1</v>
      </c>
      <c r="G119" s="5" t="s">
        <v>115</v>
      </c>
    </row>
    <row r="120" customFormat="false" ht="15" hidden="false" customHeight="false" outlineLevel="0" collapsed="false">
      <c r="A120" s="5" t="n">
        <f aca="false">RANDBETWEEN(2,164)</f>
        <v>65</v>
      </c>
      <c r="B120" s="5" t="n">
        <f aca="false" t="array" ref="B120:B120">INDEX(Data_DBD!$E:$E,$A120)</f>
        <v>0</v>
      </c>
      <c r="C120" s="5" t="str">
        <f aca="false" t="array" ref="C120:C120">INDEX(Data_DBD!$F:$F,$A120)</f>
        <v>Sedang</v>
      </c>
      <c r="E120" s="5" t="n">
        <v>30</v>
      </c>
      <c r="F120" s="5" t="n">
        <v>1</v>
      </c>
      <c r="G120" s="5" t="s">
        <v>7</v>
      </c>
    </row>
    <row r="121" customFormat="false" ht="15" hidden="false" customHeight="false" outlineLevel="0" collapsed="false">
      <c r="A121" s="5" t="n">
        <f aca="false">RANDBETWEEN(2,164)</f>
        <v>136</v>
      </c>
      <c r="B121" s="5" t="n">
        <f aca="false" t="array" ref="B121:B121">INDEX(Data_DBD!$E:$E,$A121)</f>
        <v>0</v>
      </c>
      <c r="C121" s="5" t="str">
        <f aca="false" t="array" ref="C121:C121">INDEX(Data_DBD!$F:$F,$A121)</f>
        <v>Tinggi</v>
      </c>
      <c r="E121" s="5" t="n">
        <v>43</v>
      </c>
      <c r="F121" s="5" t="n">
        <v>0</v>
      </c>
      <c r="G121" s="5" t="s">
        <v>7</v>
      </c>
    </row>
    <row r="122" customFormat="false" ht="15" hidden="false" customHeight="false" outlineLevel="0" collapsed="false">
      <c r="A122" s="5" t="n">
        <f aca="false">RANDBETWEEN(2,164)</f>
        <v>72</v>
      </c>
      <c r="B122" s="5" t="n">
        <f aca="false" t="array" ref="B122:B122">INDEX(Data_DBD!$E:$E,$A122)</f>
        <v>1</v>
      </c>
      <c r="C122" s="5" t="str">
        <f aca="false" t="array" ref="C122:C122">INDEX(Data_DBD!$F:$F,$A122)</f>
        <v>Rendah</v>
      </c>
      <c r="E122" s="5" t="n">
        <v>142</v>
      </c>
      <c r="F122" s="5" t="n">
        <v>1</v>
      </c>
      <c r="G122" s="5" t="s">
        <v>115</v>
      </c>
    </row>
    <row r="123" customFormat="false" ht="15" hidden="false" customHeight="false" outlineLevel="0" collapsed="false">
      <c r="A123" s="5" t="n">
        <f aca="false">RANDBETWEEN(2,164)</f>
        <v>138</v>
      </c>
      <c r="B123" s="5" t="n">
        <f aca="false" t="array" ref="B123:B123">INDEX(Data_DBD!$E:$E,$A123)</f>
        <v>1</v>
      </c>
      <c r="C123" s="5" t="str">
        <f aca="false" t="array" ref="C123:C123">INDEX(Data_DBD!$F:$F,$A123)</f>
        <v>Tinggi</v>
      </c>
      <c r="E123" s="5" t="n">
        <v>39</v>
      </c>
      <c r="F123" s="5" t="n">
        <v>1</v>
      </c>
      <c r="G123" s="5" t="s">
        <v>7</v>
      </c>
    </row>
    <row r="124" customFormat="false" ht="15" hidden="false" customHeight="false" outlineLevel="0" collapsed="false">
      <c r="A124" s="5" t="n">
        <f aca="false">RANDBETWEEN(2,164)</f>
        <v>148</v>
      </c>
      <c r="B124" s="5" t="n">
        <f aca="false" t="array" ref="B124:B124">INDEX(Data_DBD!$E:$E,$A124)</f>
        <v>1</v>
      </c>
      <c r="C124" s="5" t="str">
        <f aca="false" t="array" ref="C124:C124">INDEX(Data_DBD!$F:$F,$A124)</f>
        <v>Tinggi</v>
      </c>
      <c r="E124" s="5" t="n">
        <v>140</v>
      </c>
      <c r="F124" s="5" t="n">
        <v>1</v>
      </c>
      <c r="G124" s="5" t="s">
        <v>115</v>
      </c>
    </row>
    <row r="125" customFormat="false" ht="15" hidden="false" customHeight="false" outlineLevel="0" collapsed="false">
      <c r="A125" s="5" t="n">
        <f aca="false">RANDBETWEEN(2,164)</f>
        <v>26</v>
      </c>
      <c r="B125" s="5" t="n">
        <f aca="false" t="array" ref="B125:B125">INDEX(Data_DBD!$E:$E,$A125)</f>
        <v>1</v>
      </c>
      <c r="C125" s="5" t="str">
        <f aca="false" t="array" ref="C125:C125">INDEX(Data_DBD!$F:$F,$A125)</f>
        <v>Sedang</v>
      </c>
      <c r="E125" s="5" t="n">
        <v>119</v>
      </c>
      <c r="F125" s="5" t="n">
        <v>0</v>
      </c>
      <c r="G125" s="5" t="s">
        <v>115</v>
      </c>
    </row>
    <row r="126" customFormat="false" ht="15" hidden="false" customHeight="false" outlineLevel="0" collapsed="false">
      <c r="A126" s="5" t="n">
        <f aca="false">RANDBETWEEN(2,164)</f>
        <v>130</v>
      </c>
      <c r="B126" s="5" t="n">
        <f aca="false" t="array" ref="B126:B126">INDEX(Data_DBD!$E:$E,$A126)</f>
        <v>0</v>
      </c>
      <c r="C126" s="5" t="str">
        <f aca="false" t="array" ref="C126:C126">INDEX(Data_DBD!$F:$F,$A126)</f>
        <v>Tinggi</v>
      </c>
      <c r="E126" s="5" t="n">
        <v>25</v>
      </c>
      <c r="F126" s="5" t="n">
        <v>0</v>
      </c>
      <c r="G126" s="5" t="s">
        <v>7</v>
      </c>
    </row>
    <row r="127" customFormat="false" ht="15" hidden="false" customHeight="false" outlineLevel="0" collapsed="false">
      <c r="A127" s="5" t="n">
        <f aca="false">RANDBETWEEN(2,164)</f>
        <v>149</v>
      </c>
      <c r="B127" s="5" t="n">
        <f aca="false" t="array" ref="B127:B127">INDEX(Data_DBD!$E:$E,$A127)</f>
        <v>0</v>
      </c>
      <c r="C127" s="5" t="str">
        <f aca="false" t="array" ref="C127:C127">INDEX(Data_DBD!$F:$F,$A127)</f>
        <v>Tinggi</v>
      </c>
      <c r="E127" s="5" t="n">
        <v>97</v>
      </c>
      <c r="F127" s="5" t="n">
        <v>1</v>
      </c>
      <c r="G127" s="5" t="s">
        <v>115</v>
      </c>
    </row>
    <row r="128" customFormat="false" ht="15" hidden="false" customHeight="false" outlineLevel="0" collapsed="false">
      <c r="A128" s="5" t="n">
        <f aca="false">RANDBETWEEN(2,164)</f>
        <v>53</v>
      </c>
      <c r="B128" s="5" t="n">
        <f aca="false" t="array" ref="B128:B128">INDEX(Data_DBD!$E:$E,$A128)</f>
        <v>1</v>
      </c>
      <c r="C128" s="5" t="str">
        <f aca="false" t="array" ref="C128:C128">INDEX(Data_DBD!$F:$F,$A128)</f>
        <v>Sedang</v>
      </c>
      <c r="E128" s="5" t="n">
        <v>112</v>
      </c>
      <c r="F128" s="5" t="n">
        <v>1</v>
      </c>
      <c r="G128" s="5" t="s">
        <v>115</v>
      </c>
    </row>
    <row r="129" customFormat="false" ht="15" hidden="false" customHeight="false" outlineLevel="0" collapsed="false">
      <c r="A129" s="5" t="n">
        <f aca="false">RANDBETWEEN(2,164)</f>
        <v>145</v>
      </c>
      <c r="B129" s="5" t="n">
        <f aca="false" t="array" ref="B129:B129">INDEX(Data_DBD!$E:$E,$A129)</f>
        <v>1</v>
      </c>
      <c r="C129" s="5" t="str">
        <f aca="false" t="array" ref="C129:C129">INDEX(Data_DBD!$F:$F,$A129)</f>
        <v>Tinggi</v>
      </c>
      <c r="E129" s="5" t="n">
        <v>66</v>
      </c>
      <c r="F129" s="5" t="n">
        <v>1</v>
      </c>
      <c r="G129" s="5" t="s">
        <v>7</v>
      </c>
    </row>
    <row r="130" customFormat="false" ht="15" hidden="false" customHeight="false" outlineLevel="0" collapsed="false">
      <c r="A130" s="5" t="n">
        <f aca="false">RANDBETWEEN(2,164)</f>
        <v>113</v>
      </c>
      <c r="B130" s="5" t="n">
        <f aca="false" t="array" ref="B130:B130">INDEX(Data_DBD!$E:$E,$A130)</f>
        <v>1</v>
      </c>
      <c r="C130" s="5" t="str">
        <f aca="false" t="array" ref="C130:C130">INDEX(Data_DBD!$F:$F,$A130)</f>
        <v>Tinggi</v>
      </c>
      <c r="E130" s="5" t="n">
        <v>90</v>
      </c>
      <c r="F130" s="5" t="n">
        <v>0</v>
      </c>
      <c r="G130" s="5" t="s">
        <v>115</v>
      </c>
    </row>
    <row r="131" customFormat="false" ht="15" hidden="false" customHeight="false" outlineLevel="0" collapsed="false">
      <c r="A131" s="5" t="n">
        <f aca="false">RANDBETWEEN(2,164)</f>
        <v>25</v>
      </c>
      <c r="B131" s="5" t="n">
        <f aca="false" t="array" ref="B131:B131">INDEX(Data_DBD!$E:$E,$A131)</f>
        <v>0</v>
      </c>
      <c r="C131" s="5" t="str">
        <f aca="false" t="array" ref="C131:C131">INDEX(Data_DBD!$F:$F,$A131)</f>
        <v>Sedang</v>
      </c>
      <c r="E131" s="5" t="n">
        <v>11</v>
      </c>
      <c r="F131" s="5" t="n">
        <v>1</v>
      </c>
      <c r="G131" s="5" t="s">
        <v>7</v>
      </c>
    </row>
    <row r="132" customFormat="false" ht="15" hidden="false" customHeight="false" outlineLevel="0" collapsed="false">
      <c r="A132" s="5" t="n">
        <f aca="false">RANDBETWEEN(2,164)</f>
        <v>106</v>
      </c>
      <c r="B132" s="5" t="n">
        <f aca="false" t="array" ref="B132:B132">INDEX(Data_DBD!$E:$E,$A132)</f>
        <v>1</v>
      </c>
      <c r="C132" s="5" t="str">
        <f aca="false" t="array" ref="C132:C132">INDEX(Data_DBD!$F:$F,$A132)</f>
        <v>Sedang</v>
      </c>
      <c r="E132" s="5" t="n">
        <v>31</v>
      </c>
      <c r="F132" s="5" t="n">
        <v>1</v>
      </c>
      <c r="G132" s="5" t="s">
        <v>7</v>
      </c>
    </row>
    <row r="133" customFormat="false" ht="15" hidden="false" customHeight="false" outlineLevel="0" collapsed="false">
      <c r="A133" s="5" t="n">
        <f aca="false">RANDBETWEEN(2,164)</f>
        <v>100</v>
      </c>
      <c r="B133" s="5" t="n">
        <f aca="false" t="array" ref="B133:B133">INDEX(Data_DBD!$E:$E,$A133)</f>
        <v>0</v>
      </c>
      <c r="C133" s="5" t="str">
        <f aca="false" t="array" ref="C133:C133">INDEX(Data_DBD!$F:$F,$A133)</f>
        <v>Sedang</v>
      </c>
      <c r="E133" s="5" t="n">
        <v>47</v>
      </c>
      <c r="F133" s="5" t="n">
        <v>0</v>
      </c>
      <c r="G133" s="5" t="s">
        <v>7</v>
      </c>
    </row>
    <row r="134" customFormat="false" ht="15" hidden="false" customHeight="false" outlineLevel="0" collapsed="false">
      <c r="A134" s="5" t="n">
        <f aca="false">RANDBETWEEN(2,164)</f>
        <v>62</v>
      </c>
      <c r="B134" s="5" t="n">
        <f aca="false" t="array" ref="B134:B134">INDEX(Data_DBD!$E:$E,$A134)</f>
        <v>1</v>
      </c>
      <c r="C134" s="5" t="str">
        <f aca="false" t="array" ref="C134:C134">INDEX(Data_DBD!$F:$F,$A134)</f>
        <v>Sedang</v>
      </c>
      <c r="E134" s="5" t="n">
        <v>37</v>
      </c>
      <c r="F134" s="5" t="n">
        <v>1</v>
      </c>
      <c r="G134" s="5" t="s">
        <v>20</v>
      </c>
    </row>
    <row r="135" customFormat="false" ht="15" hidden="false" customHeight="false" outlineLevel="0" collapsed="false">
      <c r="A135" s="5" t="n">
        <f aca="false">RANDBETWEEN(2,164)</f>
        <v>66</v>
      </c>
      <c r="B135" s="5" t="n">
        <f aca="false" t="array" ref="B135:B135">INDEX(Data_DBD!$E:$E,$A135)</f>
        <v>1</v>
      </c>
      <c r="C135" s="5" t="str">
        <f aca="false" t="array" ref="C135:C135">INDEX(Data_DBD!$F:$F,$A135)</f>
        <v>Sedang</v>
      </c>
      <c r="E135" s="5" t="n">
        <v>85</v>
      </c>
      <c r="F135" s="5" t="n">
        <v>0</v>
      </c>
      <c r="G135" s="5" t="s">
        <v>7</v>
      </c>
    </row>
    <row r="136" customFormat="false" ht="15" hidden="false" customHeight="false" outlineLevel="0" collapsed="false">
      <c r="A136" s="5" t="n">
        <f aca="false">RANDBETWEEN(2,164)</f>
        <v>125</v>
      </c>
      <c r="B136" s="5" t="n">
        <f aca="false" t="array" ref="B136:B136">INDEX(Data_DBD!$E:$E,$A136)</f>
        <v>0</v>
      </c>
      <c r="C136" s="5" t="str">
        <f aca="false" t="array" ref="C136:C136">INDEX(Data_DBD!$F:$F,$A136)</f>
        <v>Tinggi</v>
      </c>
      <c r="E136" s="5" t="n">
        <v>26</v>
      </c>
      <c r="F136" s="5" t="n">
        <v>1</v>
      </c>
      <c r="G136" s="5" t="s">
        <v>7</v>
      </c>
    </row>
    <row r="137" customFormat="false" ht="15" hidden="false" customHeight="false" outlineLevel="0" collapsed="false">
      <c r="A137" s="5" t="n">
        <f aca="false">RANDBETWEEN(2,164)</f>
        <v>136</v>
      </c>
      <c r="B137" s="5" t="n">
        <f aca="false" t="array" ref="B137:B137">INDEX(Data_DBD!$E:$E,$A137)</f>
        <v>0</v>
      </c>
      <c r="C137" s="5" t="str">
        <f aca="false" t="array" ref="C137:C137">INDEX(Data_DBD!$F:$F,$A137)</f>
        <v>Tinggi</v>
      </c>
      <c r="E137" s="5" t="n">
        <v>113</v>
      </c>
      <c r="F137" s="5" t="n">
        <v>1</v>
      </c>
      <c r="G137" s="5" t="s">
        <v>115</v>
      </c>
    </row>
    <row r="138" customFormat="false" ht="15" hidden="false" customHeight="false" outlineLevel="0" collapsed="false">
      <c r="A138" s="5" t="n">
        <f aca="false">RANDBETWEEN(2,164)</f>
        <v>12</v>
      </c>
      <c r="B138" s="5" t="n">
        <f aca="false" t="array" ref="B138:B138">INDEX(Data_DBD!$E:$E,$A138)</f>
        <v>0</v>
      </c>
      <c r="C138" s="5" t="str">
        <f aca="false" t="array" ref="C138:C138">INDEX(Data_DBD!$F:$F,$A138)</f>
        <v>Sedang</v>
      </c>
      <c r="E138" s="5" t="n">
        <v>140</v>
      </c>
      <c r="F138" s="5" t="n">
        <v>1</v>
      </c>
      <c r="G138" s="5" t="s">
        <v>115</v>
      </c>
    </row>
    <row r="139" customFormat="false" ht="15" hidden="false" customHeight="false" outlineLevel="0" collapsed="false">
      <c r="A139" s="5" t="n">
        <f aca="false">RANDBETWEEN(2,164)</f>
        <v>33</v>
      </c>
      <c r="B139" s="5" t="n">
        <f aca="false" t="array" ref="B139:B139">INDEX(Data_DBD!$E:$E,$A139)</f>
        <v>1</v>
      </c>
      <c r="C139" s="5" t="str">
        <f aca="false" t="array" ref="C139:C139">INDEX(Data_DBD!$F:$F,$A139)</f>
        <v>Sedang</v>
      </c>
      <c r="E139" s="5" t="n">
        <v>15</v>
      </c>
      <c r="F139" s="5" t="n">
        <v>0</v>
      </c>
      <c r="G139" s="5" t="s">
        <v>20</v>
      </c>
    </row>
    <row r="140" customFormat="false" ht="15" hidden="false" customHeight="false" outlineLevel="0" collapsed="false">
      <c r="A140" s="5" t="n">
        <f aca="false">RANDBETWEEN(2,164)</f>
        <v>145</v>
      </c>
      <c r="B140" s="5" t="n">
        <f aca="false" t="array" ref="B140:B140">INDEX(Data_DBD!$E:$E,$A140)</f>
        <v>1</v>
      </c>
      <c r="C140" s="5" t="str">
        <f aca="false" t="array" ref="C140:C140">INDEX(Data_DBD!$F:$F,$A140)</f>
        <v>Tinggi</v>
      </c>
      <c r="E140" s="5" t="n">
        <v>63</v>
      </c>
      <c r="F140" s="5" t="n">
        <v>0</v>
      </c>
      <c r="G140" s="5" t="s">
        <v>7</v>
      </c>
    </row>
    <row r="141" customFormat="false" ht="15" hidden="false" customHeight="false" outlineLevel="0" collapsed="false">
      <c r="A141" s="5" t="n">
        <f aca="false">RANDBETWEEN(2,164)</f>
        <v>51</v>
      </c>
      <c r="B141" s="5" t="n">
        <f aca="false" t="array" ref="B141:B141">INDEX(Data_DBD!$E:$E,$A141)</f>
        <v>0</v>
      </c>
      <c r="C141" s="5" t="str">
        <f aca="false" t="array" ref="C141:C141">INDEX(Data_DBD!$F:$F,$A141)</f>
        <v>Sedang</v>
      </c>
      <c r="E141" s="5" t="n">
        <v>38</v>
      </c>
      <c r="F141" s="5" t="n">
        <v>1</v>
      </c>
      <c r="G141" s="5" t="s">
        <v>20</v>
      </c>
    </row>
    <row r="142" customFormat="false" ht="15" hidden="false" customHeight="false" outlineLevel="0" collapsed="false">
      <c r="A142" s="5" t="n">
        <f aca="false">RANDBETWEEN(2,164)</f>
        <v>127</v>
      </c>
      <c r="B142" s="5" t="n">
        <f aca="false" t="array" ref="B142:B142">INDEX(Data_DBD!$E:$E,$A142)</f>
        <v>0</v>
      </c>
      <c r="C142" s="5" t="str">
        <f aca="false" t="array" ref="C142:C142">INDEX(Data_DBD!$F:$F,$A142)</f>
        <v>Tinggi</v>
      </c>
      <c r="E142" s="5" t="n">
        <v>40</v>
      </c>
      <c r="F142" s="5" t="n">
        <v>1</v>
      </c>
      <c r="G142" s="5" t="s">
        <v>7</v>
      </c>
    </row>
    <row r="143" customFormat="false" ht="15" hidden="false" customHeight="false" outlineLevel="0" collapsed="false">
      <c r="A143" s="5" t="n">
        <f aca="false">RANDBETWEEN(2,164)</f>
        <v>145</v>
      </c>
      <c r="B143" s="5" t="n">
        <f aca="false" t="array" ref="B143:B143">INDEX(Data_DBD!$E:$E,$A143)</f>
        <v>1</v>
      </c>
      <c r="C143" s="5" t="str">
        <f aca="false" t="array" ref="C143:C143">INDEX(Data_DBD!$F:$F,$A143)</f>
        <v>Tinggi</v>
      </c>
      <c r="E143" s="5" t="n">
        <v>151</v>
      </c>
      <c r="F143" s="5" t="n">
        <v>0</v>
      </c>
      <c r="G143" s="5" t="s">
        <v>115</v>
      </c>
    </row>
    <row r="144" customFormat="false" ht="15" hidden="false" customHeight="false" outlineLevel="0" collapsed="false">
      <c r="A144" s="5" t="n">
        <f aca="false">RANDBETWEEN(2,164)</f>
        <v>136</v>
      </c>
      <c r="B144" s="5" t="n">
        <f aca="false" t="array" ref="B144:B144">INDEX(Data_DBD!$E:$E,$A144)</f>
        <v>0</v>
      </c>
      <c r="C144" s="5" t="str">
        <f aca="false" t="array" ref="C144:C144">INDEX(Data_DBD!$F:$F,$A144)</f>
        <v>Tinggi</v>
      </c>
      <c r="E144" s="5" t="n">
        <v>110</v>
      </c>
      <c r="F144" s="5" t="n">
        <v>1</v>
      </c>
      <c r="G144" s="5" t="s">
        <v>115</v>
      </c>
    </row>
    <row r="145" customFormat="false" ht="15" hidden="false" customHeight="false" outlineLevel="0" collapsed="false">
      <c r="A145" s="5" t="n">
        <f aca="false">RANDBETWEEN(2,164)</f>
        <v>93</v>
      </c>
      <c r="B145" s="5" t="n">
        <f aca="false" t="array" ref="B145:B145">INDEX(Data_DBD!$E:$E,$A145)</f>
        <v>0</v>
      </c>
      <c r="C145" s="5" t="str">
        <f aca="false" t="array" ref="C145:C145">INDEX(Data_DBD!$F:$F,$A145)</f>
        <v>Sedang</v>
      </c>
      <c r="E145" s="5" t="n">
        <v>39</v>
      </c>
      <c r="F145" s="5" t="n">
        <v>1</v>
      </c>
      <c r="G145" s="5" t="s">
        <v>7</v>
      </c>
    </row>
    <row r="146" customFormat="false" ht="15" hidden="false" customHeight="false" outlineLevel="0" collapsed="false">
      <c r="A146" s="5" t="n">
        <f aca="false">RANDBETWEEN(2,164)</f>
        <v>14</v>
      </c>
      <c r="B146" s="5" t="n">
        <f aca="false" t="array" ref="B146:B146">INDEX(Data_DBD!$E:$E,$A146)</f>
        <v>1</v>
      </c>
      <c r="C146" s="5" t="str">
        <f aca="false" t="array" ref="C146:C146">INDEX(Data_DBD!$F:$F,$A146)</f>
        <v>Rendah</v>
      </c>
      <c r="E146" s="5" t="n">
        <v>100</v>
      </c>
      <c r="F146" s="5" t="n">
        <v>0</v>
      </c>
      <c r="G146" s="5" t="s">
        <v>115</v>
      </c>
    </row>
    <row r="147" customFormat="false" ht="15" hidden="false" customHeight="false" outlineLevel="0" collapsed="false">
      <c r="A147" s="5" t="n">
        <f aca="false">RANDBETWEEN(2,164)</f>
        <v>21</v>
      </c>
      <c r="B147" s="5" t="n">
        <f aca="false" t="array" ref="B147:B147">INDEX(Data_DBD!$E:$E,$A147)</f>
        <v>1</v>
      </c>
      <c r="C147" s="5" t="str">
        <f aca="false" t="array" ref="C147:C147">INDEX(Data_DBD!$F:$F,$A147)</f>
        <v>Sedang</v>
      </c>
      <c r="E147" s="5" t="n">
        <v>57</v>
      </c>
      <c r="F147" s="5" t="n">
        <v>1</v>
      </c>
      <c r="G147" s="5" t="s">
        <v>7</v>
      </c>
    </row>
    <row r="148" customFormat="false" ht="15" hidden="false" customHeight="false" outlineLevel="0" collapsed="false">
      <c r="A148" s="5" t="n">
        <f aca="false">RANDBETWEEN(2,164)</f>
        <v>137</v>
      </c>
      <c r="B148" s="5" t="n">
        <f aca="false" t="array" ref="B148:B148">INDEX(Data_DBD!$E:$E,$A148)</f>
        <v>1</v>
      </c>
      <c r="C148" s="5" t="str">
        <f aca="false" t="array" ref="C148:C148">INDEX(Data_DBD!$F:$F,$A148)</f>
        <v>Tinggi</v>
      </c>
      <c r="E148" s="5" t="n">
        <v>74</v>
      </c>
      <c r="F148" s="5" t="n">
        <v>0</v>
      </c>
      <c r="G148" s="5" t="s">
        <v>7</v>
      </c>
    </row>
    <row r="149" customFormat="false" ht="15" hidden="false" customHeight="false" outlineLevel="0" collapsed="false">
      <c r="A149" s="5" t="n">
        <f aca="false">RANDBETWEEN(2,164)</f>
        <v>64</v>
      </c>
      <c r="B149" s="5" t="n">
        <f aca="false" t="array" ref="B149:B149">INDEX(Data_DBD!$E:$E,$A149)</f>
        <v>0</v>
      </c>
      <c r="C149" s="5" t="str">
        <f aca="false" t="array" ref="C149:C149">INDEX(Data_DBD!$F:$F,$A149)</f>
        <v>Sedang</v>
      </c>
      <c r="E149" s="5" t="n">
        <v>85</v>
      </c>
      <c r="F149" s="5" t="n">
        <v>0</v>
      </c>
      <c r="G149" s="5" t="s">
        <v>7</v>
      </c>
    </row>
    <row r="150" customFormat="false" ht="15" hidden="false" customHeight="false" outlineLevel="0" collapsed="false">
      <c r="A150" s="5" t="n">
        <f aca="false">RANDBETWEEN(2,164)</f>
        <v>39</v>
      </c>
      <c r="B150" s="5" t="n">
        <f aca="false" t="array" ref="B150:B150">INDEX(Data_DBD!$E:$E,$A150)</f>
        <v>1</v>
      </c>
      <c r="C150" s="5" t="str">
        <f aca="false" t="array" ref="C150:C150">INDEX(Data_DBD!$F:$F,$A150)</f>
        <v>Sedang</v>
      </c>
      <c r="E150" s="5" t="n">
        <v>53</v>
      </c>
      <c r="F150" s="5" t="n">
        <v>1</v>
      </c>
      <c r="G150" s="5" t="s">
        <v>7</v>
      </c>
    </row>
    <row r="151" customFormat="false" ht="15" hidden="false" customHeight="false" outlineLevel="0" collapsed="false">
      <c r="A151" s="5" t="n">
        <f aca="false">RANDBETWEEN(2,164)</f>
        <v>47</v>
      </c>
      <c r="B151" s="5" t="n">
        <f aca="false" t="array" ref="B151:B151">INDEX(Data_DBD!$E:$E,$A151)</f>
        <v>0</v>
      </c>
      <c r="C151" s="5" t="str">
        <f aca="false" t="array" ref="C151:C151">INDEX(Data_DBD!$F:$F,$A151)</f>
        <v>Sedang</v>
      </c>
      <c r="E151" s="5" t="n">
        <v>119</v>
      </c>
      <c r="F151" s="5" t="n">
        <v>0</v>
      </c>
      <c r="G151" s="5" t="s">
        <v>115</v>
      </c>
    </row>
    <row r="152" customFormat="false" ht="15" hidden="false" customHeight="false" outlineLevel="0" collapsed="false">
      <c r="A152" s="5" t="n">
        <f aca="false">RANDBETWEEN(2,164)</f>
        <v>111</v>
      </c>
      <c r="B152" s="5" t="n">
        <f aca="false" t="array" ref="B152:B152">INDEX(Data_DBD!$E:$E,$A152)</f>
        <v>0</v>
      </c>
      <c r="C152" s="5" t="str">
        <f aca="false" t="array" ref="C152:C152">INDEX(Data_DBD!$F:$F,$A152)</f>
        <v>Tinggi</v>
      </c>
      <c r="E152" s="5" t="n">
        <v>136</v>
      </c>
      <c r="F152" s="5" t="n">
        <v>0</v>
      </c>
      <c r="G152" s="5" t="s">
        <v>115</v>
      </c>
    </row>
    <row r="153" customFormat="false" ht="15" hidden="false" customHeight="false" outlineLevel="0" collapsed="false">
      <c r="A153" s="5" t="n">
        <f aca="false">RANDBETWEEN(2,164)</f>
        <v>77</v>
      </c>
      <c r="B153" s="5" t="n">
        <f aca="false" t="array" ref="B153:B153">INDEX(Data_DBD!$E:$E,$A153)</f>
        <v>1</v>
      </c>
      <c r="C153" s="5" t="str">
        <f aca="false" t="array" ref="C153:C153">INDEX(Data_DBD!$F:$F,$A153)</f>
        <v>Sedang</v>
      </c>
      <c r="E153" s="5" t="n">
        <v>62</v>
      </c>
      <c r="F153" s="5" t="n">
        <v>1</v>
      </c>
      <c r="G153" s="5" t="s">
        <v>7</v>
      </c>
    </row>
    <row r="154" customFormat="false" ht="15" hidden="false" customHeight="false" outlineLevel="0" collapsed="false">
      <c r="A154" s="5" t="n">
        <f aca="false">RANDBETWEEN(2,164)</f>
        <v>132</v>
      </c>
      <c r="B154" s="5" t="n">
        <f aca="false" t="array" ref="B154:B154">INDEX(Data_DBD!$E:$E,$A154)</f>
        <v>1</v>
      </c>
      <c r="C154" s="5" t="str">
        <f aca="false" t="array" ref="C154:C154">INDEX(Data_DBD!$F:$F,$A154)</f>
        <v>Tinggi</v>
      </c>
      <c r="E154" s="5" t="n">
        <v>15</v>
      </c>
      <c r="F154" s="5" t="n">
        <v>0</v>
      </c>
      <c r="G154" s="5" t="s">
        <v>20</v>
      </c>
    </row>
    <row r="155" customFormat="false" ht="15" hidden="false" customHeight="false" outlineLevel="0" collapsed="false">
      <c r="A155" s="5" t="n">
        <f aca="false">RANDBETWEEN(2,164)</f>
        <v>147</v>
      </c>
      <c r="B155" s="5" t="n">
        <f aca="false" t="array" ref="B155:B155">INDEX(Data_DBD!$E:$E,$A155)</f>
        <v>1</v>
      </c>
      <c r="C155" s="5" t="str">
        <f aca="false" t="array" ref="C155:C155">INDEX(Data_DBD!$F:$F,$A155)</f>
        <v>Tinggi</v>
      </c>
      <c r="E155" s="5" t="n">
        <v>104</v>
      </c>
      <c r="F155" s="5" t="n">
        <v>1</v>
      </c>
      <c r="G155" s="5" t="s">
        <v>115</v>
      </c>
    </row>
    <row r="156" customFormat="false" ht="15" hidden="false" customHeight="false" outlineLevel="0" collapsed="false">
      <c r="A156" s="5" t="n">
        <f aca="false">RANDBETWEEN(2,164)</f>
        <v>29</v>
      </c>
      <c r="B156" s="5" t="n">
        <f aca="false" t="array" ref="B156:B156">INDEX(Data_DBD!$E:$E,$A156)</f>
        <v>1</v>
      </c>
      <c r="C156" s="5" t="str">
        <f aca="false" t="array" ref="C156:C156">INDEX(Data_DBD!$F:$F,$A156)</f>
        <v>Sedang</v>
      </c>
      <c r="E156" s="5" t="n">
        <v>114</v>
      </c>
      <c r="F156" s="5" t="n">
        <v>1</v>
      </c>
      <c r="G156" s="5" t="s">
        <v>115</v>
      </c>
    </row>
    <row r="157" customFormat="false" ht="15" hidden="false" customHeight="false" outlineLevel="0" collapsed="false">
      <c r="A157" s="5" t="n">
        <f aca="false">RANDBETWEEN(2,164)</f>
        <v>33</v>
      </c>
      <c r="B157" s="5" t="n">
        <f aca="false" t="array" ref="B157:B157">INDEX(Data_DBD!$E:$E,$A157)</f>
        <v>1</v>
      </c>
      <c r="C157" s="5" t="str">
        <f aca="false" t="array" ref="C157:C157">INDEX(Data_DBD!$F:$F,$A157)</f>
        <v>Sedang</v>
      </c>
      <c r="E157" s="5" t="n">
        <v>164</v>
      </c>
      <c r="F157" s="5" t="n">
        <v>0</v>
      </c>
      <c r="G157" s="5" t="s">
        <v>20</v>
      </c>
    </row>
    <row r="158" customFormat="false" ht="15" hidden="false" customHeight="false" outlineLevel="0" collapsed="false">
      <c r="A158" s="5" t="n">
        <f aca="false">RANDBETWEEN(2,164)</f>
        <v>119</v>
      </c>
      <c r="B158" s="5" t="n">
        <f aca="false" t="array" ref="B158:B158">INDEX(Data_DBD!$E:$E,$A158)</f>
        <v>0</v>
      </c>
      <c r="C158" s="5" t="str">
        <f aca="false" t="array" ref="C158:C158">INDEX(Data_DBD!$F:$F,$A158)</f>
        <v>Tinggi</v>
      </c>
      <c r="E158" s="5" t="n">
        <v>136</v>
      </c>
      <c r="F158" s="5" t="n">
        <v>0</v>
      </c>
      <c r="G158" s="5" t="s">
        <v>115</v>
      </c>
    </row>
    <row r="159" customFormat="false" ht="15.75" hidden="false" customHeight="true" outlineLevel="0" collapsed="false">
      <c r="A159" s="5" t="n">
        <f aca="false">RANDBETWEEN(2,164)</f>
        <v>150</v>
      </c>
      <c r="B159" s="5" t="n">
        <f aca="false" t="array" ref="B159:B159">INDEX(Data_DBD!$E:$E,$A159)</f>
        <v>1</v>
      </c>
      <c r="C159" s="5" t="str">
        <f aca="false" t="array" ref="C159:C159">INDEX(Data_DBD!$F:$F,$A159)</f>
        <v>Tinggi</v>
      </c>
      <c r="E159" s="5" t="n">
        <v>150</v>
      </c>
      <c r="F159" s="5" t="n">
        <v>1</v>
      </c>
      <c r="G159" s="5" t="s">
        <v>115</v>
      </c>
      <c r="P159" s="7" t="s">
        <v>278</v>
      </c>
    </row>
    <row r="160" customFormat="false" ht="15.75" hidden="false" customHeight="true" outlineLevel="0" collapsed="false">
      <c r="A160" s="5" t="n">
        <f aca="false">RANDBETWEEN(2,164)</f>
        <v>27</v>
      </c>
      <c r="B160" s="5" t="n">
        <f aca="false" t="array" ref="B160:B160">INDEX(Data_DBD!$E:$E,$A160)</f>
        <v>1</v>
      </c>
      <c r="C160" s="5" t="str">
        <f aca="false" t="array" ref="C160:C160">INDEX(Data_DBD!$F:$F,$A160)</f>
        <v>Sedang</v>
      </c>
      <c r="E160" s="5" t="n">
        <v>6</v>
      </c>
      <c r="F160" s="5" t="n">
        <v>0</v>
      </c>
      <c r="G160" s="5" t="s">
        <v>7</v>
      </c>
      <c r="P160" s="8" t="s">
        <v>222</v>
      </c>
    </row>
    <row r="161" customFormat="false" ht="15.75" hidden="false" customHeight="true" outlineLevel="0" collapsed="false">
      <c r="A161" s="5" t="n">
        <f aca="false">RANDBETWEEN(2,164)</f>
        <v>109</v>
      </c>
      <c r="B161" s="5" t="n">
        <f aca="false" t="array" ref="B161:B161">INDEX(Data_DBD!$E:$E,$A161)</f>
        <v>1</v>
      </c>
      <c r="C161" s="5" t="str">
        <f aca="false" t="array" ref="C161:C161">INDEX(Data_DBD!$F:$F,$A161)</f>
        <v>Tinggi</v>
      </c>
      <c r="E161" s="5" t="n">
        <v>137</v>
      </c>
      <c r="F161" s="5" t="n">
        <v>1</v>
      </c>
      <c r="G161" s="5" t="s">
        <v>115</v>
      </c>
      <c r="P161" s="9" t="s">
        <v>223</v>
      </c>
    </row>
    <row r="162" customFormat="false" ht="15.75" hidden="false" customHeight="true" outlineLevel="0" collapsed="false">
      <c r="A162" s="5" t="n">
        <f aca="false">RANDBETWEEN(2,164)</f>
        <v>142</v>
      </c>
      <c r="B162" s="5" t="n">
        <f aca="false" t="array" ref="B162:B162">INDEX(Data_DBD!$E:$E,$A162)</f>
        <v>1</v>
      </c>
      <c r="C162" s="5" t="str">
        <f aca="false" t="array" ref="C162:C162">INDEX(Data_DBD!$F:$F,$A162)</f>
        <v>Tinggi</v>
      </c>
      <c r="E162" s="5" t="n">
        <v>20</v>
      </c>
      <c r="F162" s="5" t="n">
        <v>0</v>
      </c>
      <c r="G162" s="5" t="s">
        <v>20</v>
      </c>
      <c r="P162" s="9" t="s">
        <v>247</v>
      </c>
    </row>
    <row r="163" customFormat="false" ht="15.75" hidden="false" customHeight="true" outlineLevel="0" collapsed="false">
      <c r="A163" s="5" t="n">
        <f aca="false">RANDBETWEEN(2,164)</f>
        <v>82</v>
      </c>
      <c r="B163" s="5" t="n">
        <f aca="false" t="array" ref="B163:B163">INDEX(Data_DBD!$E:$E,$A163)</f>
        <v>1</v>
      </c>
      <c r="C163" s="5" t="str">
        <f aca="false" t="array" ref="C163:C163">INDEX(Data_DBD!$F:$F,$A163)</f>
        <v>Sedang</v>
      </c>
      <c r="E163" s="5" t="n">
        <v>74</v>
      </c>
      <c r="F163" s="5" t="n">
        <v>0</v>
      </c>
      <c r="G163" s="5" t="s">
        <v>7</v>
      </c>
      <c r="P163" s="8" t="s">
        <v>180</v>
      </c>
    </row>
    <row r="164" customFormat="false" ht="15.75" hidden="false" customHeight="true" outlineLevel="0" collapsed="false">
      <c r="A164" s="5" t="n">
        <f aca="false">RANDBETWEEN(2,164)</f>
        <v>151</v>
      </c>
      <c r="B164" s="5" t="n">
        <f aca="false" t="array" ref="B164:B164">INDEX(Data_DBD!$E:$E,$A164)</f>
        <v>0</v>
      </c>
      <c r="C164" s="5" t="str">
        <f aca="false" t="array" ref="C164:C164">INDEX(Data_DBD!$F:$F,$A164)</f>
        <v>Tinggi</v>
      </c>
      <c r="E164" s="5" t="n">
        <v>136</v>
      </c>
      <c r="F164" s="5" t="n">
        <v>0</v>
      </c>
      <c r="G164" s="5" t="s">
        <v>115</v>
      </c>
      <c r="P164" s="9" t="s">
        <v>279</v>
      </c>
    </row>
    <row r="165" customFormat="false" ht="15" hidden="false" customHeight="false" outlineLevel="0" collapsed="false">
      <c r="F165" s="10" t="n">
        <f aca="false">AVERAGE(F2:F164)</f>
        <v>0.539877300613497</v>
      </c>
    </row>
    <row r="166" customFormat="false" ht="15" hidden="false" customHeight="false" outlineLevel="0" collapsed="false">
      <c r="B166" s="0" t="n">
        <v>2</v>
      </c>
    </row>
    <row r="168" customFormat="false" ht="15" hidden="false" customHeight="false" outlineLevel="0" collapsed="false">
      <c r="E168" s="11" t="s">
        <v>188</v>
      </c>
    </row>
    <row r="169" customFormat="false" ht="15" hidden="false" customHeight="false" outlineLevel="0" collapsed="false">
      <c r="E169" s="5" t="s">
        <v>191</v>
      </c>
      <c r="F169" s="5" t="n">
        <f aca="false">AVERAGEIF($F$2:$F$164,"&lt;="&amp;$F$165)</f>
        <v>0</v>
      </c>
      <c r="G169" s="5" t="n">
        <f aca="false">AVERAGEIF($F$2:$F$164,"&gt;"&amp;$F$165)</f>
        <v>1</v>
      </c>
    </row>
    <row r="170" customFormat="false" ht="15" hidden="false" customHeight="false" outlineLevel="0" collapsed="false">
      <c r="E170" s="5" t="str">
        <f aca="false" t="array" ref="E170:E332">IF($F$2:$F$164&lt;$F$169,"kiri",IF($F$2:$F$164&lt;$G$169,"tengah","kanan"))</f>
        <v>kanan</v>
      </c>
      <c r="F170" s="5" t="s">
        <v>195</v>
      </c>
      <c r="G170" s="5"/>
    </row>
    <row r="171" customFormat="false" ht="15" hidden="false" customHeight="false" outlineLevel="0" collapsed="false">
      <c r="E171" s="5" t="str">
        <v>tengah</v>
      </c>
      <c r="F171" s="5" t="n">
        <f aca="false">COUNTIFS($E$170:$E$332,"Kanan",$G$2:$G$164,"Tinggi")</f>
        <v>35</v>
      </c>
      <c r="G171" s="5" t="n">
        <f aca="false">F171/88</f>
        <v>0.397727272727273</v>
      </c>
    </row>
    <row r="172" customFormat="false" ht="15" hidden="false" customHeight="false" outlineLevel="0" collapsed="false">
      <c r="E172" s="5" t="str">
        <v>kanan</v>
      </c>
      <c r="F172" s="5" t="n">
        <f aca="false">COUNTIFS($E$170:$E$332,"Kanan",$G$2:$G$164,"Sedang")</f>
        <v>43</v>
      </c>
      <c r="G172" s="5" t="n">
        <f aca="false">F172/88</f>
        <v>0.488636363636364</v>
      </c>
    </row>
    <row r="173" customFormat="false" ht="15" hidden="false" customHeight="false" outlineLevel="0" collapsed="false">
      <c r="E173" s="5" t="str">
        <v>tengah</v>
      </c>
      <c r="F173" s="5" t="n">
        <f aca="false">COUNTIFS($E$170:$E$332,"Kanan",$G$2:$G$164,"Rendah")</f>
        <v>10</v>
      </c>
      <c r="G173" s="5" t="n">
        <f aca="false">F173/88</f>
        <v>0.113636363636364</v>
      </c>
    </row>
    <row r="174" customFormat="false" ht="15" hidden="false" customHeight="false" outlineLevel="0" collapsed="false">
      <c r="E174" s="5" t="str">
        <v>kanan</v>
      </c>
      <c r="F174" s="5" t="s">
        <v>196</v>
      </c>
      <c r="G174" s="5" t="n">
        <f aca="false">-(IFERROR(G171*LOG(G171,2),0)+IFERROR(G172*LOG(G172,2),0)+IFERROR(G173*LOG(G173,2),0))</f>
        <v>1.39041376643119</v>
      </c>
    </row>
    <row r="175" customFormat="false" ht="15" hidden="false" customHeight="false" outlineLevel="0" collapsed="false">
      <c r="E175" s="5" t="str">
        <v>kanan</v>
      </c>
      <c r="F175" s="5"/>
      <c r="G175" s="5" t="n">
        <f aca="false">SUM(F171:F173)/163</f>
        <v>0.539877300613497</v>
      </c>
    </row>
    <row r="176" customFormat="false" ht="15" hidden="false" customHeight="false" outlineLevel="0" collapsed="false">
      <c r="E176" s="5" t="str">
        <v>kanan</v>
      </c>
      <c r="F176" s="5"/>
      <c r="G176" s="12" t="n">
        <f aca="false">G174*G175</f>
        <v>0.750652830956715</v>
      </c>
    </row>
    <row r="177" customFormat="false" ht="15" hidden="false" customHeight="false" outlineLevel="0" collapsed="false">
      <c r="E177" s="5" t="str">
        <v>kanan</v>
      </c>
      <c r="F177" s="5"/>
      <c r="G177" s="5"/>
    </row>
    <row r="178" customFormat="false" ht="15" hidden="false" customHeight="false" outlineLevel="0" collapsed="false">
      <c r="E178" s="5" t="str">
        <v>tengah</v>
      </c>
      <c r="F178" s="5"/>
      <c r="G178" s="5"/>
    </row>
    <row r="179" customFormat="false" ht="15" hidden="false" customHeight="false" outlineLevel="0" collapsed="false">
      <c r="E179" s="5" t="str">
        <v>kanan</v>
      </c>
      <c r="F179" s="5" t="s">
        <v>200</v>
      </c>
      <c r="G179" s="5"/>
    </row>
    <row r="180" customFormat="false" ht="15" hidden="false" customHeight="false" outlineLevel="0" collapsed="false">
      <c r="E180" s="5" t="str">
        <v>kanan</v>
      </c>
      <c r="F180" s="5" t="n">
        <f aca="false">COUNTIFS($E$170:$E$332,"Kiri",$G$2:$G$164,"Tinggi")</f>
        <v>0</v>
      </c>
      <c r="G180" s="5" t="n">
        <f aca="false">F180/88</f>
        <v>0</v>
      </c>
    </row>
    <row r="181" customFormat="false" ht="15" hidden="false" customHeight="false" outlineLevel="0" collapsed="false">
      <c r="E181" s="5" t="str">
        <v>kanan</v>
      </c>
      <c r="F181" s="5" t="n">
        <f aca="false">COUNTIFS($E$170:$E$332,"Kiri",$G$2:$G$164,"Sedang")</f>
        <v>0</v>
      </c>
      <c r="G181" s="5" t="n">
        <f aca="false">F181/88</f>
        <v>0</v>
      </c>
    </row>
    <row r="182" customFormat="false" ht="15" hidden="false" customHeight="false" outlineLevel="0" collapsed="false">
      <c r="E182" s="5" t="str">
        <v>kanan</v>
      </c>
      <c r="F182" s="5" t="n">
        <f aca="false">COUNTIFS($E$170:$E$332,"Kiri",$G$2:$G$164,"Rendah")</f>
        <v>0</v>
      </c>
      <c r="G182" s="5" t="n">
        <f aca="false">F182/88</f>
        <v>0</v>
      </c>
    </row>
    <row r="183" customFormat="false" ht="15" hidden="false" customHeight="false" outlineLevel="0" collapsed="false">
      <c r="E183" s="5" t="str">
        <v>tengah</v>
      </c>
      <c r="F183" s="5" t="s">
        <v>196</v>
      </c>
      <c r="G183" s="5" t="n">
        <f aca="false">-(IFERROR(G180*LOG(G180,2),0)+IFERROR(G181*LOG(G181,2),0)+IFERROR(G182*LOG(G182,2),0))</f>
        <v>-0</v>
      </c>
    </row>
    <row r="184" customFormat="false" ht="15" hidden="false" customHeight="false" outlineLevel="0" collapsed="false">
      <c r="E184" s="5" t="str">
        <v>tengah</v>
      </c>
      <c r="F184" s="5"/>
      <c r="G184" s="5" t="n">
        <f aca="false">SUM(F180:F182)/163</f>
        <v>0</v>
      </c>
    </row>
    <row r="185" customFormat="false" ht="15" hidden="false" customHeight="false" outlineLevel="0" collapsed="false">
      <c r="E185" s="5" t="str">
        <v>tengah</v>
      </c>
      <c r="F185" s="5"/>
      <c r="G185" s="12" t="n">
        <f aca="false">G183*G184</f>
        <v>-0</v>
      </c>
    </row>
    <row r="186" customFormat="false" ht="15" hidden="false" customHeight="false" outlineLevel="0" collapsed="false">
      <c r="E186" s="5" t="str">
        <v>kanan</v>
      </c>
      <c r="F186" s="5"/>
      <c r="G186" s="5"/>
    </row>
    <row r="187" customFormat="false" ht="15" hidden="false" customHeight="false" outlineLevel="0" collapsed="false">
      <c r="E187" s="5" t="str">
        <v>tengah</v>
      </c>
      <c r="F187" s="5"/>
      <c r="G187" s="5"/>
    </row>
    <row r="188" customFormat="false" ht="15" hidden="false" customHeight="false" outlineLevel="0" collapsed="false">
      <c r="E188" s="5" t="str">
        <v>tengah</v>
      </c>
      <c r="F188" s="5" t="s">
        <v>201</v>
      </c>
      <c r="G188" s="5"/>
    </row>
    <row r="189" customFormat="false" ht="15" hidden="false" customHeight="false" outlineLevel="0" collapsed="false">
      <c r="E189" s="5" t="str">
        <v>kanan</v>
      </c>
      <c r="F189" s="5" t="n">
        <f aca="false">COUNTIFS($E$170:$E$332,"Tengah",$G$2:$G$164,"Tinggi")</f>
        <v>27</v>
      </c>
      <c r="G189" s="5" t="n">
        <f aca="false">F189/75</f>
        <v>0.36</v>
      </c>
    </row>
    <row r="190" customFormat="false" ht="15" hidden="false" customHeight="false" outlineLevel="0" collapsed="false">
      <c r="E190" s="5" t="str">
        <v>tengah</v>
      </c>
      <c r="F190" s="5" t="n">
        <f aca="false">COUNTIFS($E$170:$E$332,"Tengah",$G$2:$G$164,"Sedang")</f>
        <v>40</v>
      </c>
      <c r="G190" s="5" t="n">
        <f aca="false">F190/75</f>
        <v>0.533333333333333</v>
      </c>
    </row>
    <row r="191" customFormat="false" ht="15" hidden="false" customHeight="false" outlineLevel="0" collapsed="false">
      <c r="E191" s="5" t="str">
        <v>tengah</v>
      </c>
      <c r="F191" s="5" t="n">
        <f aca="false">COUNTIFS($E$170:$E$332,"Tengah",$G$2:$G$164,"Rendah")</f>
        <v>8</v>
      </c>
      <c r="G191" s="5" t="n">
        <f aca="false">F191/75</f>
        <v>0.106666666666667</v>
      </c>
    </row>
    <row r="192" customFormat="false" ht="15" hidden="false" customHeight="false" outlineLevel="0" collapsed="false">
      <c r="E192" s="5" t="str">
        <v>kanan</v>
      </c>
      <c r="F192" s="5" t="s">
        <v>196</v>
      </c>
      <c r="G192" s="5" t="n">
        <f aca="false">-(IFERROR(G189*LOG(G189,2),0)+IFERROR(G190*LOG(G190,2),0)+IFERROR(G191*LOG(G191,2),0))</f>
        <v>1.35869753911044</v>
      </c>
    </row>
    <row r="193" customFormat="false" ht="15" hidden="false" customHeight="false" outlineLevel="0" collapsed="false">
      <c r="E193" s="5" t="str">
        <v>kanan</v>
      </c>
      <c r="F193" s="5"/>
      <c r="G193" s="5" t="n">
        <f aca="false">SUM(F189:F191)/163</f>
        <v>0.460122699386503</v>
      </c>
    </row>
    <row r="194" customFormat="false" ht="15" hidden="false" customHeight="false" outlineLevel="0" collapsed="false">
      <c r="E194" s="5" t="str">
        <v>tengah</v>
      </c>
      <c r="F194" s="5"/>
      <c r="G194" s="12" t="n">
        <f aca="false">G192*G193</f>
        <v>0.625167579345294</v>
      </c>
    </row>
    <row r="195" customFormat="false" ht="15" hidden="false" customHeight="false" outlineLevel="0" collapsed="false">
      <c r="E195" s="5" t="str">
        <v>tengah</v>
      </c>
      <c r="F195" s="5"/>
      <c r="G195" s="5"/>
    </row>
    <row r="196" customFormat="false" ht="15" hidden="false" customHeight="false" outlineLevel="0" collapsed="false">
      <c r="E196" s="5" t="str">
        <v>kanan</v>
      </c>
      <c r="F196" s="5" t="s">
        <v>202</v>
      </c>
      <c r="G196" s="5"/>
    </row>
    <row r="197" customFormat="false" ht="15" hidden="false" customHeight="false" outlineLevel="0" collapsed="false">
      <c r="E197" s="5" t="str">
        <v>kanan</v>
      </c>
      <c r="F197" s="13" t="n">
        <f aca="false">J5-(G176+G185+G194)</f>
        <v>0.00145317907175202</v>
      </c>
      <c r="G197" s="5"/>
    </row>
    <row r="198" customFormat="false" ht="15" hidden="false" customHeight="false" outlineLevel="0" collapsed="false">
      <c r="E198" s="5" t="str">
        <v>kanan</v>
      </c>
      <c r="F198" s="5"/>
      <c r="G198" s="5"/>
    </row>
    <row r="199" customFormat="false" ht="15" hidden="false" customHeight="false" outlineLevel="0" collapsed="false">
      <c r="E199" s="5" t="str">
        <v>tengah</v>
      </c>
      <c r="F199" s="5"/>
      <c r="G199" s="5"/>
    </row>
    <row r="200" customFormat="false" ht="15" hidden="false" customHeight="false" outlineLevel="0" collapsed="false">
      <c r="E200" s="5" t="str">
        <v>kanan</v>
      </c>
      <c r="F200" s="5"/>
      <c r="G200" s="5"/>
    </row>
    <row r="201" customFormat="false" ht="15" hidden="false" customHeight="false" outlineLevel="0" collapsed="false">
      <c r="E201" s="5" t="str">
        <v>kanan</v>
      </c>
      <c r="F201" s="5"/>
      <c r="G201" s="5"/>
    </row>
    <row r="202" customFormat="false" ht="15" hidden="false" customHeight="false" outlineLevel="0" collapsed="false">
      <c r="E202" s="5" t="str">
        <v>kanan</v>
      </c>
      <c r="F202" s="5"/>
      <c r="G202" s="5"/>
    </row>
    <row r="203" customFormat="false" ht="15" hidden="false" customHeight="false" outlineLevel="0" collapsed="false">
      <c r="E203" s="5" t="str">
        <v>tengah</v>
      </c>
      <c r="F203" s="5"/>
      <c r="G203" s="5"/>
    </row>
    <row r="204" customFormat="false" ht="15" hidden="false" customHeight="false" outlineLevel="0" collapsed="false">
      <c r="E204" s="5" t="str">
        <v>tengah</v>
      </c>
      <c r="F204" s="5"/>
      <c r="G204" s="5"/>
    </row>
    <row r="205" customFormat="false" ht="15" hidden="false" customHeight="false" outlineLevel="0" collapsed="false">
      <c r="E205" s="5" t="str">
        <v>kanan</v>
      </c>
      <c r="F205" s="5"/>
      <c r="G205" s="5"/>
    </row>
    <row r="206" customFormat="false" ht="15" hidden="false" customHeight="false" outlineLevel="0" collapsed="false">
      <c r="E206" s="5" t="str">
        <v>kanan</v>
      </c>
      <c r="F206" s="5"/>
      <c r="G206" s="5"/>
    </row>
    <row r="207" customFormat="false" ht="15" hidden="false" customHeight="false" outlineLevel="0" collapsed="false">
      <c r="E207" s="5" t="str">
        <v>tengah</v>
      </c>
      <c r="F207" s="5"/>
      <c r="G207" s="5"/>
    </row>
    <row r="208" customFormat="false" ht="15" hidden="false" customHeight="false" outlineLevel="0" collapsed="false">
      <c r="E208" s="5" t="str">
        <v>kanan</v>
      </c>
      <c r="F208" s="5"/>
      <c r="G208" s="5"/>
    </row>
    <row r="209" customFormat="false" ht="15" hidden="false" customHeight="false" outlineLevel="0" collapsed="false">
      <c r="E209" s="5" t="str">
        <v>kanan</v>
      </c>
      <c r="F209" s="5"/>
      <c r="G209" s="5"/>
    </row>
    <row r="210" customFormat="false" ht="15" hidden="false" customHeight="false" outlineLevel="0" collapsed="false">
      <c r="E210" s="5" t="str">
        <v>tengah</v>
      </c>
      <c r="F210" s="5"/>
      <c r="G210" s="5"/>
    </row>
    <row r="211" customFormat="false" ht="15" hidden="false" customHeight="false" outlineLevel="0" collapsed="false">
      <c r="E211" s="5" t="str">
        <v>kanan</v>
      </c>
      <c r="F211" s="5"/>
      <c r="G211" s="5"/>
    </row>
    <row r="212" customFormat="false" ht="15" hidden="false" customHeight="false" outlineLevel="0" collapsed="false">
      <c r="E212" s="5" t="str">
        <v>tengah</v>
      </c>
      <c r="F212" s="5"/>
      <c r="G212" s="5"/>
    </row>
    <row r="213" customFormat="false" ht="15" hidden="false" customHeight="false" outlineLevel="0" collapsed="false">
      <c r="E213" s="5" t="str">
        <v>kanan</v>
      </c>
      <c r="F213" s="5"/>
      <c r="G213" s="5"/>
    </row>
    <row r="214" customFormat="false" ht="15" hidden="false" customHeight="false" outlineLevel="0" collapsed="false">
      <c r="E214" s="5" t="str">
        <v>tengah</v>
      </c>
      <c r="F214" s="5"/>
      <c r="G214" s="5"/>
    </row>
    <row r="215" customFormat="false" ht="15" hidden="false" customHeight="false" outlineLevel="0" collapsed="false">
      <c r="E215" s="5" t="str">
        <v>tengah</v>
      </c>
      <c r="F215" s="5"/>
      <c r="G215" s="5"/>
    </row>
    <row r="216" customFormat="false" ht="15" hidden="false" customHeight="false" outlineLevel="0" collapsed="false">
      <c r="E216" s="5" t="str">
        <v>kanan</v>
      </c>
      <c r="F216" s="5"/>
      <c r="G216" s="5"/>
    </row>
    <row r="217" customFormat="false" ht="15" hidden="false" customHeight="false" outlineLevel="0" collapsed="false">
      <c r="E217" s="5" t="str">
        <v>tengah</v>
      </c>
      <c r="F217" s="5"/>
      <c r="G217" s="5"/>
    </row>
    <row r="218" customFormat="false" ht="15" hidden="false" customHeight="false" outlineLevel="0" collapsed="false">
      <c r="E218" s="5" t="str">
        <v>tengah</v>
      </c>
      <c r="F218" s="5"/>
      <c r="G218" s="5"/>
    </row>
    <row r="219" customFormat="false" ht="15" hidden="false" customHeight="false" outlineLevel="0" collapsed="false">
      <c r="E219" s="5" t="str">
        <v>tengah</v>
      </c>
      <c r="F219" s="5"/>
      <c r="G219" s="5"/>
    </row>
    <row r="220" customFormat="false" ht="15" hidden="false" customHeight="false" outlineLevel="0" collapsed="false">
      <c r="E220" s="5" t="str">
        <v>kanan</v>
      </c>
      <c r="F220" s="5"/>
      <c r="G220" s="5"/>
    </row>
    <row r="221" customFormat="false" ht="15" hidden="false" customHeight="false" outlineLevel="0" collapsed="false">
      <c r="E221" s="5" t="str">
        <v>tengah</v>
      </c>
      <c r="F221" s="5"/>
      <c r="G221" s="5"/>
    </row>
    <row r="222" customFormat="false" ht="15" hidden="false" customHeight="false" outlineLevel="0" collapsed="false">
      <c r="E222" s="5" t="str">
        <v>kanan</v>
      </c>
      <c r="F222" s="5"/>
      <c r="G222" s="5"/>
    </row>
    <row r="223" customFormat="false" ht="15" hidden="false" customHeight="false" outlineLevel="0" collapsed="false">
      <c r="E223" s="5" t="str">
        <v>kanan</v>
      </c>
      <c r="F223" s="5"/>
      <c r="G223" s="5"/>
    </row>
    <row r="224" customFormat="false" ht="15" hidden="false" customHeight="false" outlineLevel="0" collapsed="false">
      <c r="E224" s="5" t="str">
        <v>kanan</v>
      </c>
      <c r="F224" s="5"/>
      <c r="G224" s="5"/>
    </row>
    <row r="225" customFormat="false" ht="15" hidden="false" customHeight="false" outlineLevel="0" collapsed="false">
      <c r="E225" s="5" t="str">
        <v>kanan</v>
      </c>
      <c r="F225" s="5"/>
      <c r="G225" s="5"/>
    </row>
    <row r="226" customFormat="false" ht="15" hidden="false" customHeight="false" outlineLevel="0" collapsed="false">
      <c r="E226" s="5" t="str">
        <v>kanan</v>
      </c>
      <c r="F226" s="5"/>
      <c r="G226" s="5"/>
    </row>
    <row r="227" customFormat="false" ht="15" hidden="false" customHeight="false" outlineLevel="0" collapsed="false">
      <c r="E227" s="5" t="str">
        <v>tengah</v>
      </c>
      <c r="F227" s="5"/>
      <c r="G227" s="5"/>
    </row>
    <row r="228" customFormat="false" ht="15" hidden="false" customHeight="false" outlineLevel="0" collapsed="false">
      <c r="E228" s="5" t="str">
        <v>tengah</v>
      </c>
      <c r="F228" s="5"/>
      <c r="G228" s="5"/>
    </row>
    <row r="229" customFormat="false" ht="15" hidden="false" customHeight="false" outlineLevel="0" collapsed="false">
      <c r="E229" s="5" t="str">
        <v>kanan</v>
      </c>
      <c r="F229" s="5"/>
      <c r="G229" s="5"/>
    </row>
    <row r="230" customFormat="false" ht="15" hidden="false" customHeight="false" outlineLevel="0" collapsed="false">
      <c r="E230" s="5" t="str">
        <v>tengah</v>
      </c>
      <c r="F230" s="5"/>
      <c r="G230" s="5"/>
    </row>
    <row r="231" customFormat="false" ht="15" hidden="false" customHeight="false" outlineLevel="0" collapsed="false">
      <c r="E231" s="5" t="str">
        <v>tengah</v>
      </c>
      <c r="F231" s="5"/>
      <c r="G231" s="5"/>
    </row>
    <row r="232" customFormat="false" ht="15" hidden="false" customHeight="false" outlineLevel="0" collapsed="false">
      <c r="E232" s="5" t="str">
        <v>tengah</v>
      </c>
      <c r="F232" s="5"/>
      <c r="G232" s="5"/>
    </row>
    <row r="233" customFormat="false" ht="15" hidden="false" customHeight="false" outlineLevel="0" collapsed="false">
      <c r="E233" s="5" t="str">
        <v>kanan</v>
      </c>
      <c r="F233" s="5"/>
      <c r="G233" s="5"/>
    </row>
    <row r="234" customFormat="false" ht="15" hidden="false" customHeight="false" outlineLevel="0" collapsed="false">
      <c r="E234" s="5" t="str">
        <v>kanan</v>
      </c>
      <c r="F234" s="5"/>
      <c r="G234" s="5"/>
    </row>
    <row r="235" customFormat="false" ht="15" hidden="false" customHeight="false" outlineLevel="0" collapsed="false">
      <c r="E235" s="5" t="str">
        <v>kanan</v>
      </c>
      <c r="F235" s="5"/>
      <c r="G235" s="5"/>
    </row>
    <row r="236" customFormat="false" ht="15" hidden="false" customHeight="false" outlineLevel="0" collapsed="false">
      <c r="E236" s="5" t="str">
        <v>kanan</v>
      </c>
      <c r="F236" s="5"/>
      <c r="G236" s="5"/>
    </row>
    <row r="237" customFormat="false" ht="15" hidden="false" customHeight="false" outlineLevel="0" collapsed="false">
      <c r="E237" s="5" t="str">
        <v>tengah</v>
      </c>
      <c r="F237" s="5"/>
      <c r="G237" s="5"/>
    </row>
    <row r="238" customFormat="false" ht="15" hidden="false" customHeight="false" outlineLevel="0" collapsed="false">
      <c r="E238" s="5" t="str">
        <v>tengah</v>
      </c>
      <c r="F238" s="5"/>
      <c r="G238" s="5"/>
    </row>
    <row r="239" customFormat="false" ht="15" hidden="false" customHeight="false" outlineLevel="0" collapsed="false">
      <c r="E239" s="5" t="str">
        <v>kanan</v>
      </c>
      <c r="F239" s="5"/>
      <c r="G239" s="5"/>
    </row>
    <row r="240" customFormat="false" ht="15" hidden="false" customHeight="false" outlineLevel="0" collapsed="false">
      <c r="E240" s="5" t="str">
        <v>kanan</v>
      </c>
      <c r="F240" s="5"/>
      <c r="G240" s="5"/>
    </row>
    <row r="241" customFormat="false" ht="15" hidden="false" customHeight="false" outlineLevel="0" collapsed="false">
      <c r="E241" s="5" t="str">
        <v>tengah</v>
      </c>
      <c r="F241" s="5"/>
      <c r="G241" s="5"/>
    </row>
    <row r="242" customFormat="false" ht="15" hidden="false" customHeight="false" outlineLevel="0" collapsed="false">
      <c r="E242" s="5" t="str">
        <v>tengah</v>
      </c>
      <c r="F242" s="5"/>
      <c r="G242" s="5"/>
    </row>
    <row r="243" customFormat="false" ht="15" hidden="false" customHeight="false" outlineLevel="0" collapsed="false">
      <c r="E243" s="5" t="str">
        <v>kanan</v>
      </c>
      <c r="F243" s="5"/>
      <c r="G243" s="5"/>
    </row>
    <row r="244" customFormat="false" ht="15" hidden="false" customHeight="false" outlineLevel="0" collapsed="false">
      <c r="E244" s="5" t="str">
        <v>tengah</v>
      </c>
      <c r="F244" s="5"/>
      <c r="G244" s="5"/>
    </row>
    <row r="245" customFormat="false" ht="15" hidden="false" customHeight="false" outlineLevel="0" collapsed="false">
      <c r="E245" s="5" t="str">
        <v>kanan</v>
      </c>
      <c r="F245" s="5"/>
      <c r="G245" s="5"/>
    </row>
    <row r="246" customFormat="false" ht="15" hidden="false" customHeight="false" outlineLevel="0" collapsed="false">
      <c r="E246" s="5" t="str">
        <v>kanan</v>
      </c>
      <c r="F246" s="5"/>
      <c r="G246" s="5"/>
    </row>
    <row r="247" customFormat="false" ht="15" hidden="false" customHeight="false" outlineLevel="0" collapsed="false">
      <c r="E247" s="5" t="str">
        <v>tengah</v>
      </c>
      <c r="F247" s="5"/>
      <c r="G247" s="5"/>
    </row>
    <row r="248" customFormat="false" ht="15" hidden="false" customHeight="false" outlineLevel="0" collapsed="false">
      <c r="E248" s="5" t="str">
        <v>kanan</v>
      </c>
      <c r="F248" s="5"/>
      <c r="G248" s="5"/>
    </row>
    <row r="249" customFormat="false" ht="15" hidden="false" customHeight="false" outlineLevel="0" collapsed="false">
      <c r="E249" s="5" t="str">
        <v>tengah</v>
      </c>
      <c r="F249" s="5"/>
      <c r="G249" s="5"/>
    </row>
    <row r="250" customFormat="false" ht="15" hidden="false" customHeight="false" outlineLevel="0" collapsed="false">
      <c r="E250" s="5" t="str">
        <v>tengah</v>
      </c>
      <c r="F250" s="5"/>
      <c r="G250" s="5"/>
    </row>
    <row r="251" customFormat="false" ht="15" hidden="false" customHeight="false" outlineLevel="0" collapsed="false">
      <c r="E251" s="5" t="str">
        <v>kanan</v>
      </c>
      <c r="F251" s="5"/>
      <c r="G251" s="5"/>
    </row>
    <row r="252" customFormat="false" ht="15" hidden="false" customHeight="false" outlineLevel="0" collapsed="false">
      <c r="E252" s="5" t="str">
        <v>tengah</v>
      </c>
      <c r="F252" s="5"/>
      <c r="G252" s="5"/>
    </row>
    <row r="253" customFormat="false" ht="15" hidden="false" customHeight="false" outlineLevel="0" collapsed="false">
      <c r="E253" s="5" t="str">
        <v>kanan</v>
      </c>
      <c r="F253" s="5"/>
      <c r="G253" s="5"/>
    </row>
    <row r="254" customFormat="false" ht="15" hidden="false" customHeight="false" outlineLevel="0" collapsed="false">
      <c r="E254" s="5" t="str">
        <v>tengah</v>
      </c>
      <c r="F254" s="5"/>
      <c r="G254" s="5"/>
    </row>
    <row r="255" customFormat="false" ht="15" hidden="false" customHeight="false" outlineLevel="0" collapsed="false">
      <c r="E255" s="5" t="str">
        <v>tengah</v>
      </c>
      <c r="F255" s="5"/>
      <c r="G255" s="5"/>
    </row>
    <row r="256" customFormat="false" ht="15" hidden="false" customHeight="false" outlineLevel="0" collapsed="false">
      <c r="E256" s="5" t="str">
        <v>kanan</v>
      </c>
      <c r="F256" s="5"/>
      <c r="G256" s="5"/>
    </row>
    <row r="257" customFormat="false" ht="15" hidden="false" customHeight="false" outlineLevel="0" collapsed="false">
      <c r="E257" s="5" t="str">
        <v>tengah</v>
      </c>
      <c r="F257" s="5"/>
      <c r="G257" s="5"/>
    </row>
    <row r="258" customFormat="false" ht="15" hidden="false" customHeight="false" outlineLevel="0" collapsed="false">
      <c r="E258" s="5" t="str">
        <v>kanan</v>
      </c>
      <c r="F258" s="5"/>
      <c r="G258" s="5"/>
    </row>
    <row r="259" customFormat="false" ht="15" hidden="false" customHeight="false" outlineLevel="0" collapsed="false">
      <c r="E259" s="5" t="str">
        <v>tengah</v>
      </c>
      <c r="F259" s="5"/>
      <c r="G259" s="5"/>
    </row>
    <row r="260" customFormat="false" ht="15" hidden="false" customHeight="false" outlineLevel="0" collapsed="false">
      <c r="E260" s="5" t="str">
        <v>kanan</v>
      </c>
      <c r="F260" s="5"/>
      <c r="G260" s="5"/>
    </row>
    <row r="261" customFormat="false" ht="15" hidden="false" customHeight="false" outlineLevel="0" collapsed="false">
      <c r="E261" s="5" t="str">
        <v>kanan</v>
      </c>
      <c r="F261" s="5"/>
      <c r="G261" s="5"/>
    </row>
    <row r="262" customFormat="false" ht="15" hidden="false" customHeight="false" outlineLevel="0" collapsed="false">
      <c r="E262" s="5" t="str">
        <v>tengah</v>
      </c>
      <c r="F262" s="5"/>
      <c r="G262" s="5"/>
    </row>
    <row r="263" customFormat="false" ht="15" hidden="false" customHeight="false" outlineLevel="0" collapsed="false">
      <c r="E263" s="5" t="str">
        <v>kanan</v>
      </c>
      <c r="F263" s="5"/>
      <c r="G263" s="5"/>
    </row>
    <row r="264" customFormat="false" ht="15" hidden="false" customHeight="false" outlineLevel="0" collapsed="false">
      <c r="E264" s="5" t="str">
        <v>tengah</v>
      </c>
      <c r="F264" s="5"/>
      <c r="G264" s="5"/>
    </row>
    <row r="265" customFormat="false" ht="15" hidden="false" customHeight="false" outlineLevel="0" collapsed="false">
      <c r="E265" s="5" t="str">
        <v>tengah</v>
      </c>
      <c r="F265" s="5"/>
      <c r="G265" s="5"/>
    </row>
    <row r="266" customFormat="false" ht="15" hidden="false" customHeight="false" outlineLevel="0" collapsed="false">
      <c r="E266" s="5" t="str">
        <v>tengah</v>
      </c>
      <c r="F266" s="5"/>
      <c r="G266" s="5"/>
    </row>
    <row r="267" customFormat="false" ht="15" hidden="false" customHeight="false" outlineLevel="0" collapsed="false">
      <c r="E267" s="5" t="str">
        <v>kanan</v>
      </c>
      <c r="F267" s="5"/>
      <c r="G267" s="5"/>
    </row>
    <row r="268" customFormat="false" ht="15" hidden="false" customHeight="false" outlineLevel="0" collapsed="false">
      <c r="E268" s="5" t="str">
        <v>kanan</v>
      </c>
      <c r="F268" s="5"/>
      <c r="G268" s="5"/>
    </row>
    <row r="269" customFormat="false" ht="15" hidden="false" customHeight="false" outlineLevel="0" collapsed="false">
      <c r="E269" s="5" t="str">
        <v>kanan</v>
      </c>
      <c r="F269" s="5"/>
      <c r="G269" s="5"/>
    </row>
    <row r="270" customFormat="false" ht="15" hidden="false" customHeight="false" outlineLevel="0" collapsed="false">
      <c r="E270" s="5" t="str">
        <v>tengah</v>
      </c>
      <c r="F270" s="5"/>
      <c r="G270" s="5"/>
    </row>
    <row r="271" customFormat="false" ht="15" hidden="false" customHeight="false" outlineLevel="0" collapsed="false">
      <c r="E271" s="5" t="str">
        <v>kanan</v>
      </c>
      <c r="F271" s="5"/>
      <c r="G271" s="5"/>
    </row>
    <row r="272" customFormat="false" ht="15" hidden="false" customHeight="false" outlineLevel="0" collapsed="false">
      <c r="E272" s="5" t="str">
        <v>tengah</v>
      </c>
      <c r="F272" s="5"/>
      <c r="G272" s="5"/>
    </row>
    <row r="273" customFormat="false" ht="15" hidden="false" customHeight="false" outlineLevel="0" collapsed="false">
      <c r="E273" s="5" t="str">
        <v>tengah</v>
      </c>
      <c r="F273" s="5"/>
      <c r="G273" s="5"/>
    </row>
    <row r="274" customFormat="false" ht="15" hidden="false" customHeight="false" outlineLevel="0" collapsed="false">
      <c r="E274" s="5" t="str">
        <v>kanan</v>
      </c>
      <c r="F274" s="5"/>
      <c r="G274" s="5"/>
    </row>
    <row r="275" customFormat="false" ht="15" hidden="false" customHeight="false" outlineLevel="0" collapsed="false">
      <c r="E275" s="5" t="str">
        <v>tengah</v>
      </c>
      <c r="F275" s="5"/>
      <c r="G275" s="5"/>
    </row>
    <row r="276" customFormat="false" ht="15" hidden="false" customHeight="false" outlineLevel="0" collapsed="false">
      <c r="E276" s="5" t="str">
        <v>kanan</v>
      </c>
      <c r="F276" s="5"/>
      <c r="G276" s="5"/>
    </row>
    <row r="277" customFormat="false" ht="15" hidden="false" customHeight="false" outlineLevel="0" collapsed="false">
      <c r="E277" s="5" t="str">
        <v>kanan</v>
      </c>
      <c r="F277" s="5"/>
      <c r="G277" s="5"/>
    </row>
    <row r="278" customFormat="false" ht="15" hidden="false" customHeight="false" outlineLevel="0" collapsed="false">
      <c r="E278" s="5" t="str">
        <v>tengah</v>
      </c>
      <c r="F278" s="5"/>
      <c r="G278" s="5"/>
    </row>
    <row r="279" customFormat="false" ht="15" hidden="false" customHeight="false" outlineLevel="0" collapsed="false">
      <c r="E279" s="5" t="str">
        <v>kanan</v>
      </c>
      <c r="F279" s="5"/>
      <c r="G279" s="5"/>
    </row>
    <row r="280" customFormat="false" ht="15" hidden="false" customHeight="false" outlineLevel="0" collapsed="false">
      <c r="E280" s="5" t="str">
        <v>kanan</v>
      </c>
      <c r="F280" s="5"/>
      <c r="G280" s="5"/>
    </row>
    <row r="281" customFormat="false" ht="15" hidden="false" customHeight="false" outlineLevel="0" collapsed="false">
      <c r="E281" s="5" t="str">
        <v>tengah</v>
      </c>
      <c r="F281" s="5"/>
      <c r="G281" s="5"/>
    </row>
    <row r="282" customFormat="false" ht="15" hidden="false" customHeight="false" outlineLevel="0" collapsed="false">
      <c r="E282" s="5" t="str">
        <v>tengah</v>
      </c>
      <c r="F282" s="5"/>
      <c r="G282" s="5"/>
    </row>
    <row r="283" customFormat="false" ht="15" hidden="false" customHeight="false" outlineLevel="0" collapsed="false">
      <c r="E283" s="5" t="str">
        <v>tengah</v>
      </c>
      <c r="F283" s="5"/>
      <c r="G283" s="5"/>
    </row>
    <row r="284" customFormat="false" ht="15" hidden="false" customHeight="false" outlineLevel="0" collapsed="false">
      <c r="E284" s="5" t="str">
        <v>kanan</v>
      </c>
      <c r="F284" s="5"/>
      <c r="G284" s="5"/>
    </row>
    <row r="285" customFormat="false" ht="15" hidden="false" customHeight="false" outlineLevel="0" collapsed="false">
      <c r="E285" s="5" t="str">
        <v>kanan</v>
      </c>
      <c r="F285" s="5"/>
      <c r="G285" s="5"/>
    </row>
    <row r="286" customFormat="false" ht="15" hidden="false" customHeight="false" outlineLevel="0" collapsed="false">
      <c r="E286" s="5" t="str">
        <v>kanan</v>
      </c>
      <c r="F286" s="5"/>
      <c r="G286" s="5"/>
    </row>
    <row r="287" customFormat="false" ht="15" hidden="false" customHeight="false" outlineLevel="0" collapsed="false">
      <c r="E287" s="5" t="str">
        <v>kanan</v>
      </c>
      <c r="F287" s="5"/>
      <c r="G287" s="5"/>
    </row>
    <row r="288" customFormat="false" ht="15" hidden="false" customHeight="false" outlineLevel="0" collapsed="false">
      <c r="E288" s="5" t="str">
        <v>kanan</v>
      </c>
      <c r="F288" s="5"/>
      <c r="G288" s="5"/>
    </row>
    <row r="289" customFormat="false" ht="15" hidden="false" customHeight="false" outlineLevel="0" collapsed="false">
      <c r="E289" s="5" t="str">
        <v>tengah</v>
      </c>
      <c r="F289" s="5"/>
      <c r="G289" s="5"/>
    </row>
    <row r="290" customFormat="false" ht="15" hidden="false" customHeight="false" outlineLevel="0" collapsed="false">
      <c r="E290" s="5" t="str">
        <v>kanan</v>
      </c>
      <c r="F290" s="5"/>
      <c r="G290" s="5"/>
    </row>
    <row r="291" customFormat="false" ht="15" hidden="false" customHeight="false" outlineLevel="0" collapsed="false">
      <c r="E291" s="5" t="str">
        <v>kanan</v>
      </c>
      <c r="F291" s="5"/>
      <c r="G291" s="5"/>
    </row>
    <row r="292" customFormat="false" ht="15" hidden="false" customHeight="false" outlineLevel="0" collapsed="false">
      <c r="E292" s="5" t="str">
        <v>kanan</v>
      </c>
      <c r="F292" s="5"/>
      <c r="G292" s="5"/>
    </row>
    <row r="293" customFormat="false" ht="15" hidden="false" customHeight="false" outlineLevel="0" collapsed="false">
      <c r="E293" s="5" t="str">
        <v>tengah</v>
      </c>
      <c r="F293" s="5"/>
      <c r="G293" s="5"/>
    </row>
    <row r="294" customFormat="false" ht="15" hidden="false" customHeight="false" outlineLevel="0" collapsed="false">
      <c r="E294" s="5" t="str">
        <v>tengah</v>
      </c>
      <c r="F294" s="5"/>
      <c r="G294" s="5"/>
    </row>
    <row r="295" customFormat="false" ht="15" hidden="false" customHeight="false" outlineLevel="0" collapsed="false">
      <c r="E295" s="5" t="str">
        <v>kanan</v>
      </c>
      <c r="F295" s="5"/>
      <c r="G295" s="5"/>
    </row>
    <row r="296" customFormat="false" ht="15" hidden="false" customHeight="false" outlineLevel="0" collapsed="false">
      <c r="E296" s="5" t="str">
        <v>kanan</v>
      </c>
      <c r="F296" s="5"/>
      <c r="G296" s="5"/>
    </row>
    <row r="297" customFormat="false" ht="15" hidden="false" customHeight="false" outlineLevel="0" collapsed="false">
      <c r="E297" s="5" t="str">
        <v>kanan</v>
      </c>
      <c r="F297" s="5"/>
      <c r="G297" s="5"/>
    </row>
    <row r="298" customFormat="false" ht="15" hidden="false" customHeight="false" outlineLevel="0" collapsed="false">
      <c r="E298" s="5" t="str">
        <v>tengah</v>
      </c>
      <c r="F298" s="5"/>
      <c r="G298" s="5"/>
    </row>
    <row r="299" customFormat="false" ht="15" hidden="false" customHeight="false" outlineLevel="0" collapsed="false">
      <c r="E299" s="5" t="str">
        <v>kanan</v>
      </c>
      <c r="F299" s="5"/>
      <c r="G299" s="5"/>
    </row>
    <row r="300" customFormat="false" ht="15" hidden="false" customHeight="false" outlineLevel="0" collapsed="false">
      <c r="E300" s="5" t="str">
        <v>kanan</v>
      </c>
      <c r="F300" s="5"/>
      <c r="G300" s="5"/>
    </row>
    <row r="301" customFormat="false" ht="15" hidden="false" customHeight="false" outlineLevel="0" collapsed="false">
      <c r="E301" s="5" t="str">
        <v>tengah</v>
      </c>
      <c r="F301" s="5"/>
      <c r="G301" s="5"/>
    </row>
    <row r="302" customFormat="false" ht="15" hidden="false" customHeight="false" outlineLevel="0" collapsed="false">
      <c r="E302" s="5" t="str">
        <v>kanan</v>
      </c>
      <c r="F302" s="5"/>
      <c r="G302" s="5"/>
    </row>
    <row r="303" customFormat="false" ht="15" hidden="false" customHeight="false" outlineLevel="0" collapsed="false">
      <c r="E303" s="5" t="str">
        <v>tengah</v>
      </c>
      <c r="F303" s="5"/>
      <c r="G303" s="5"/>
    </row>
    <row r="304" customFormat="false" ht="15" hidden="false" customHeight="false" outlineLevel="0" collapsed="false">
      <c r="E304" s="5" t="str">
        <v>kanan</v>
      </c>
      <c r="F304" s="5"/>
      <c r="G304" s="5"/>
    </row>
    <row r="305" customFormat="false" ht="15" hidden="false" customHeight="false" outlineLevel="0" collapsed="false">
      <c r="E305" s="5" t="str">
        <v>kanan</v>
      </c>
      <c r="F305" s="5"/>
      <c r="G305" s="5"/>
    </row>
    <row r="306" customFormat="false" ht="15" hidden="false" customHeight="false" outlineLevel="0" collapsed="false">
      <c r="E306" s="5" t="str">
        <v>kanan</v>
      </c>
      <c r="F306" s="5"/>
      <c r="G306" s="5"/>
    </row>
    <row r="307" customFormat="false" ht="15" hidden="false" customHeight="false" outlineLevel="0" collapsed="false">
      <c r="E307" s="5" t="str">
        <v>tengah</v>
      </c>
      <c r="F307" s="5"/>
      <c r="G307" s="5"/>
    </row>
    <row r="308" customFormat="false" ht="15" hidden="false" customHeight="false" outlineLevel="0" collapsed="false">
      <c r="E308" s="5" t="str">
        <v>tengah</v>
      </c>
      <c r="F308" s="5"/>
      <c r="G308" s="5"/>
    </row>
    <row r="309" customFormat="false" ht="15" hidden="false" customHeight="false" outlineLevel="0" collapsed="false">
      <c r="E309" s="5" t="str">
        <v>kanan</v>
      </c>
      <c r="F309" s="5"/>
      <c r="G309" s="5"/>
    </row>
    <row r="310" customFormat="false" ht="15" hidden="false" customHeight="false" outlineLevel="0" collapsed="false">
      <c r="E310" s="5" t="str">
        <v>kanan</v>
      </c>
      <c r="F310" s="5"/>
      <c r="G310" s="5"/>
    </row>
    <row r="311" customFormat="false" ht="15" hidden="false" customHeight="false" outlineLevel="0" collapsed="false">
      <c r="E311" s="5" t="str">
        <v>tengah</v>
      </c>
      <c r="F311" s="5"/>
      <c r="G311" s="5"/>
    </row>
    <row r="312" customFormat="false" ht="15" hidden="false" customHeight="false" outlineLevel="0" collapsed="false">
      <c r="E312" s="5" t="str">
        <v>kanan</v>
      </c>
      <c r="F312" s="5"/>
      <c r="G312" s="5"/>
    </row>
    <row r="313" customFormat="false" ht="15" hidden="false" customHeight="false" outlineLevel="0" collapsed="false">
      <c r="E313" s="5" t="str">
        <v>kanan</v>
      </c>
      <c r="F313" s="5"/>
      <c r="G313" s="5"/>
    </row>
    <row r="314" customFormat="false" ht="15" hidden="false" customHeight="false" outlineLevel="0" collapsed="false">
      <c r="E314" s="5" t="str">
        <v>tengah</v>
      </c>
      <c r="F314" s="5"/>
      <c r="G314" s="5"/>
    </row>
    <row r="315" customFormat="false" ht="15" hidden="false" customHeight="false" outlineLevel="0" collapsed="false">
      <c r="E315" s="5" t="str">
        <v>kanan</v>
      </c>
      <c r="F315" s="5"/>
      <c r="G315" s="5"/>
    </row>
    <row r="316" customFormat="false" ht="15" hidden="false" customHeight="false" outlineLevel="0" collapsed="false">
      <c r="E316" s="5" t="str">
        <v>tengah</v>
      </c>
      <c r="F316" s="5"/>
      <c r="G316" s="5"/>
    </row>
    <row r="317" customFormat="false" ht="15" hidden="false" customHeight="false" outlineLevel="0" collapsed="false">
      <c r="E317" s="5" t="str">
        <v>tengah</v>
      </c>
      <c r="F317" s="5"/>
      <c r="G317" s="5"/>
    </row>
    <row r="318" customFormat="false" ht="15" hidden="false" customHeight="false" outlineLevel="0" collapsed="false">
      <c r="E318" s="5" t="str">
        <v>kanan</v>
      </c>
      <c r="F318" s="5"/>
      <c r="G318" s="5"/>
    </row>
    <row r="319" customFormat="false" ht="15" hidden="false" customHeight="false" outlineLevel="0" collapsed="false">
      <c r="E319" s="5" t="str">
        <v>tengah</v>
      </c>
      <c r="F319" s="5"/>
      <c r="G319" s="5"/>
    </row>
    <row r="320" customFormat="false" ht="15" hidden="false" customHeight="false" outlineLevel="0" collapsed="false">
      <c r="E320" s="5" t="str">
        <v>tengah</v>
      </c>
      <c r="F320" s="5"/>
      <c r="G320" s="5"/>
    </row>
    <row r="321" customFormat="false" ht="15" hidden="false" customHeight="false" outlineLevel="0" collapsed="false">
      <c r="E321" s="5" t="str">
        <v>kanan</v>
      </c>
      <c r="F321" s="5"/>
      <c r="G321" s="5"/>
    </row>
    <row r="322" customFormat="false" ht="15" hidden="false" customHeight="false" outlineLevel="0" collapsed="false">
      <c r="E322" s="5" t="str">
        <v>tengah</v>
      </c>
      <c r="F322" s="5"/>
      <c r="G322" s="5"/>
    </row>
    <row r="323" customFormat="false" ht="15" hidden="false" customHeight="false" outlineLevel="0" collapsed="false">
      <c r="E323" s="5" t="str">
        <v>kanan</v>
      </c>
      <c r="F323" s="5"/>
      <c r="G323" s="5"/>
    </row>
    <row r="324" customFormat="false" ht="15" hidden="false" customHeight="false" outlineLevel="0" collapsed="false">
      <c r="E324" s="5" t="str">
        <v>kanan</v>
      </c>
      <c r="F324" s="5"/>
      <c r="G324" s="5"/>
    </row>
    <row r="325" customFormat="false" ht="15" hidden="false" customHeight="false" outlineLevel="0" collapsed="false">
      <c r="E325" s="5" t="str">
        <v>tengah</v>
      </c>
      <c r="F325" s="5"/>
      <c r="G325" s="5"/>
    </row>
    <row r="326" customFormat="false" ht="15" hidden="false" customHeight="false" outlineLevel="0" collapsed="false">
      <c r="E326" s="5" t="str">
        <v>tengah</v>
      </c>
      <c r="F326" s="5"/>
      <c r="G326" s="5"/>
    </row>
    <row r="327" customFormat="false" ht="15" hidden="false" customHeight="false" outlineLevel="0" collapsed="false">
      <c r="E327" s="5" t="str">
        <v>kanan</v>
      </c>
      <c r="F327" s="5"/>
      <c r="G327" s="5"/>
    </row>
    <row r="328" customFormat="false" ht="15" hidden="false" customHeight="false" outlineLevel="0" collapsed="false">
      <c r="E328" s="5" t="str">
        <v>tengah</v>
      </c>
      <c r="F328" s="5"/>
      <c r="G328" s="5"/>
    </row>
    <row r="329" customFormat="false" ht="15" hidden="false" customHeight="false" outlineLevel="0" collapsed="false">
      <c r="E329" s="5" t="str">
        <v>kanan</v>
      </c>
      <c r="F329" s="5"/>
      <c r="G329" s="5"/>
    </row>
    <row r="330" customFormat="false" ht="15" hidden="false" customHeight="false" outlineLevel="0" collapsed="false">
      <c r="E330" s="5" t="str">
        <v>tengah</v>
      </c>
      <c r="F330" s="5"/>
      <c r="G330" s="5"/>
    </row>
    <row r="331" customFormat="false" ht="15" hidden="false" customHeight="false" outlineLevel="0" collapsed="false">
      <c r="E331" s="5" t="str">
        <v>tengah</v>
      </c>
      <c r="F331" s="5"/>
      <c r="G331" s="5"/>
    </row>
    <row r="332" customFormat="false" ht="15" hidden="false" customHeight="false" outlineLevel="0" collapsed="false">
      <c r="E332" s="5" t="str">
        <v>tengah</v>
      </c>
      <c r="F332" s="5"/>
      <c r="G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2"/>
  <sheetViews>
    <sheetView showFormulas="false" showGridLines="true" showRowColHeaders="true" showZeros="true" rightToLeft="false" tabSelected="false" showOutlineSymbols="true" defaultGridColor="true" view="normal" topLeftCell="M149" colorId="64" zoomScale="93" zoomScaleNormal="93" zoomScalePageLayoutView="100" workbookViewId="0">
      <selection pane="topLeft" activeCell="X154" activeCellId="0" sqref="X154"/>
    </sheetView>
  </sheetViews>
  <sheetFormatPr defaultColWidth="9.00390625" defaultRowHeight="15" customHeight="false" zeroHeight="false" outlineLevelRow="0" outlineLevelCol="0"/>
  <cols>
    <col collapsed="false" customWidth="true" hidden="false" outlineLevel="0" max="3" min="3" style="0" width="15.86"/>
    <col collapsed="false" customWidth="true" hidden="false" outlineLevel="0" max="4" min="4" style="0" width="22"/>
    <col collapsed="false" customWidth="true" hidden="false" outlineLevel="0" max="5" min="5" style="0" width="13.29"/>
    <col collapsed="false" customWidth="true" hidden="false" outlineLevel="0" max="6" min="6" style="0" width="13.86"/>
    <col collapsed="false" customWidth="true" hidden="false" outlineLevel="0" max="10" min="10" style="0" width="15.86"/>
    <col collapsed="false" customWidth="true" hidden="false" outlineLevel="0" max="11" min="11" style="0" width="22"/>
    <col collapsed="false" customWidth="true" hidden="false" outlineLevel="0" max="12" min="12" style="0" width="13.29"/>
    <col collapsed="false" customWidth="true" hidden="false" outlineLevel="0" max="13" min="13" style="0" width="13.86"/>
    <col collapsed="false" customWidth="true" hidden="false" outlineLevel="0" max="15" min="15" style="0" width="26.43"/>
    <col collapsed="false" customWidth="true" hidden="false" outlineLevel="0" max="16" min="16" style="0" width="13.14"/>
  </cols>
  <sheetData>
    <row r="1" customFormat="false" ht="15" hidden="false" customHeight="false" outlineLevel="0" collapsed="false">
      <c r="A1" s="4" t="s">
        <v>173</v>
      </c>
      <c r="B1" s="4" t="s">
        <v>1</v>
      </c>
      <c r="C1" s="4" t="s">
        <v>2</v>
      </c>
      <c r="D1" s="4" t="s">
        <v>172</v>
      </c>
      <c r="E1" s="4" t="s">
        <v>4</v>
      </c>
      <c r="F1" s="4" t="s">
        <v>5</v>
      </c>
      <c r="H1" s="5" t="s">
        <v>173</v>
      </c>
      <c r="I1" s="5" t="s">
        <v>1</v>
      </c>
      <c r="J1" s="5" t="s">
        <v>2</v>
      </c>
      <c r="K1" s="5" t="s">
        <v>172</v>
      </c>
      <c r="L1" s="5" t="s">
        <v>4</v>
      </c>
      <c r="M1" s="5" t="s">
        <v>5</v>
      </c>
      <c r="O1" s="4" t="s">
        <v>174</v>
      </c>
      <c r="P1" s="3"/>
      <c r="Q1" s="3"/>
    </row>
    <row r="2" customFormat="false" ht="15" hidden="false" customHeight="false" outlineLevel="0" collapsed="false">
      <c r="A2" s="5" t="n">
        <f aca="false">RANDBETWEEN(2,164)</f>
        <v>32</v>
      </c>
      <c r="B2" s="5" t="n">
        <f aca="false" t="array" ref="B2:B2">INDEX(Data_DBD!$B:$B,$A2)</f>
        <v>54</v>
      </c>
      <c r="C2" s="5" t="n">
        <f aca="false" t="array" ref="C2:C2">INDEX(Data_DBD!$C:$C,$A2)</f>
        <v>4</v>
      </c>
      <c r="D2" s="5" t="n">
        <f aca="false" t="array" ref="D2:D2">INDEX(Data_DBD!$D:$D,$A2)</f>
        <v>14</v>
      </c>
      <c r="E2" s="5" t="n">
        <f aca="false" t="array" ref="E2:E2">INDEX(Data_DBD!$E:$E,$A2)</f>
        <v>0</v>
      </c>
      <c r="F2" s="5" t="str">
        <f aca="false" t="array" ref="F2:F2">INDEX(Data_DBD!$F:$F,$A2)</f>
        <v>Sedang</v>
      </c>
      <c r="H2" s="5" t="n">
        <v>98</v>
      </c>
      <c r="I2" s="5" t="n">
        <v>16</v>
      </c>
      <c r="J2" s="5" t="n">
        <v>2</v>
      </c>
      <c r="K2" s="5" t="n">
        <v>18</v>
      </c>
      <c r="L2" s="5" t="n">
        <v>1</v>
      </c>
      <c r="M2" s="5" t="s">
        <v>7</v>
      </c>
      <c r="O2" s="3" t="s">
        <v>115</v>
      </c>
      <c r="P2" s="3" t="n">
        <f aca="false">COUNTIF(M2:M164,"Tinggi")</f>
        <v>52</v>
      </c>
      <c r="Q2" s="3" t="n">
        <f aca="false">P2/163</f>
        <v>0.319018404907975</v>
      </c>
    </row>
    <row r="3" customFormat="false" ht="15" hidden="false" customHeight="false" outlineLevel="0" collapsed="false">
      <c r="A3" s="5" t="n">
        <f aca="false">RANDBETWEEN(2,164)</f>
        <v>145</v>
      </c>
      <c r="B3" s="5" t="n">
        <f aca="false" t="array" ref="B3:B3">INDEX(Data_DBD!$B:$B,$A3)</f>
        <v>28</v>
      </c>
      <c r="C3" s="5" t="n">
        <f aca="false" t="array" ref="C3:C3">INDEX(Data_DBD!$C:$C,$A3)</f>
        <v>4</v>
      </c>
      <c r="D3" s="5" t="n">
        <f aca="false" t="array" ref="D3:D3">INDEX(Data_DBD!$D:$D,$A3)</f>
        <v>21</v>
      </c>
      <c r="E3" s="5" t="n">
        <f aca="false" t="array" ref="E3:E3">INDEX(Data_DBD!$E:$E,$A3)</f>
        <v>1</v>
      </c>
      <c r="F3" s="5" t="str">
        <f aca="false" t="array" ref="F3:F3">INDEX(Data_DBD!$F:$F,$A3)</f>
        <v>Tinggi</v>
      </c>
      <c r="H3" s="5" t="n">
        <v>109</v>
      </c>
      <c r="I3" s="5" t="n">
        <v>40</v>
      </c>
      <c r="J3" s="5" t="n">
        <v>3</v>
      </c>
      <c r="K3" s="5" t="n">
        <v>33</v>
      </c>
      <c r="L3" s="5" t="n">
        <v>1</v>
      </c>
      <c r="M3" s="5" t="s">
        <v>115</v>
      </c>
      <c r="O3" s="3" t="s">
        <v>7</v>
      </c>
      <c r="P3" s="3" t="n">
        <f aca="false">COUNTIF(M2:M164,"Sedang")</f>
        <v>87</v>
      </c>
      <c r="Q3" s="3" t="n">
        <f aca="false">P3/163</f>
        <v>0.533742331288344</v>
      </c>
    </row>
    <row r="4" customFormat="false" ht="15" hidden="false" customHeight="false" outlineLevel="0" collapsed="false">
      <c r="A4" s="5" t="n">
        <f aca="false">RANDBETWEEN(2,164)</f>
        <v>115</v>
      </c>
      <c r="B4" s="5" t="n">
        <f aca="false" t="array" ref="B4:B4">INDEX(Data_DBD!$B:$B,$A4)</f>
        <v>52</v>
      </c>
      <c r="C4" s="5" t="n">
        <f aca="false" t="array" ref="C4:C4">INDEX(Data_DBD!$C:$C,$A4)</f>
        <v>3</v>
      </c>
      <c r="D4" s="5" t="n">
        <f aca="false" t="array" ref="D4:D4">INDEX(Data_DBD!$D:$D,$A4)</f>
        <v>33</v>
      </c>
      <c r="E4" s="5" t="n">
        <f aca="false" t="array" ref="E4:E4">INDEX(Data_DBD!$E:$E,$A4)</f>
        <v>1</v>
      </c>
      <c r="F4" s="5" t="str">
        <f aca="false" t="array" ref="F4:F4">INDEX(Data_DBD!$F:$F,$A4)</f>
        <v>Tinggi</v>
      </c>
      <c r="H4" s="5" t="n">
        <v>38</v>
      </c>
      <c r="I4" s="5" t="n">
        <v>52</v>
      </c>
      <c r="J4" s="5" t="n">
        <v>3</v>
      </c>
      <c r="K4" s="5" t="n">
        <v>4</v>
      </c>
      <c r="L4" s="5" t="n">
        <v>1</v>
      </c>
      <c r="M4" s="5" t="s">
        <v>20</v>
      </c>
      <c r="O4" s="3" t="s">
        <v>20</v>
      </c>
      <c r="P4" s="3" t="n">
        <f aca="false">COUNTIF(M2:M164,"Rendah")</f>
        <v>24</v>
      </c>
      <c r="Q4" s="3" t="n">
        <f aca="false">P4/163</f>
        <v>0.147239263803681</v>
      </c>
    </row>
    <row r="5" customFormat="false" ht="15" hidden="false" customHeight="false" outlineLevel="0" collapsed="false">
      <c r="A5" s="5" t="n">
        <f aca="false">RANDBETWEEN(2,164)</f>
        <v>74</v>
      </c>
      <c r="B5" s="5" t="n">
        <f aca="false" t="array" ref="B5:B5">INDEX(Data_DBD!$B:$B,$A5)</f>
        <v>9</v>
      </c>
      <c r="C5" s="5" t="n">
        <f aca="false" t="array" ref="C5:C5">INDEX(Data_DBD!$C:$C,$A5)</f>
        <v>4</v>
      </c>
      <c r="D5" s="5" t="n">
        <f aca="false" t="array" ref="D5:D5">INDEX(Data_DBD!$D:$D,$A5)</f>
        <v>10</v>
      </c>
      <c r="E5" s="5" t="n">
        <f aca="false" t="array" ref="E5:E5">INDEX(Data_DBD!$E:$E,$A5)</f>
        <v>0</v>
      </c>
      <c r="F5" s="5" t="str">
        <f aca="false" t="array" ref="F5:F5">INDEX(Data_DBD!$F:$F,$A5)</f>
        <v>Rendah</v>
      </c>
      <c r="H5" s="5" t="n">
        <v>116</v>
      </c>
      <c r="I5" s="5" t="n">
        <v>32</v>
      </c>
      <c r="J5" s="5" t="n">
        <v>4</v>
      </c>
      <c r="K5" s="5" t="n">
        <v>33</v>
      </c>
      <c r="L5" s="5" t="n">
        <v>1</v>
      </c>
      <c r="M5" s="5" t="s">
        <v>115</v>
      </c>
      <c r="O5" s="6" t="s">
        <v>175</v>
      </c>
      <c r="P5" s="0" t="n">
        <f aca="false">-(IFERROR(Q2*LOG(Q2,2),0)+IFERROR(Q3*LOG(Q3,2),0)+IFERROR(Q4*LOG(Q4,2),0))</f>
        <v>1.4162247830686</v>
      </c>
    </row>
    <row r="6" customFormat="false" ht="15" hidden="false" customHeight="false" outlineLevel="0" collapsed="false">
      <c r="A6" s="5" t="n">
        <f aca="false">RANDBETWEEN(2,164)</f>
        <v>32</v>
      </c>
      <c r="B6" s="5" t="n">
        <f aca="false" t="array" ref="B6:B6">INDEX(Data_DBD!$B:$B,$A6)</f>
        <v>54</v>
      </c>
      <c r="C6" s="5" t="n">
        <f aca="false" t="array" ref="C6:C6">INDEX(Data_DBD!$C:$C,$A6)</f>
        <v>4</v>
      </c>
      <c r="D6" s="5" t="n">
        <f aca="false" t="array" ref="D6:D6">INDEX(Data_DBD!$D:$D,$A6)</f>
        <v>14</v>
      </c>
      <c r="E6" s="5" t="n">
        <f aca="false" t="array" ref="E6:E6">INDEX(Data_DBD!$E:$E,$A6)</f>
        <v>0</v>
      </c>
      <c r="F6" s="5" t="str">
        <f aca="false" t="array" ref="F6:F6">INDEX(Data_DBD!$F:$F,$A6)</f>
        <v>Sedang</v>
      </c>
      <c r="H6" s="5" t="n">
        <v>126</v>
      </c>
      <c r="I6" s="5" t="n">
        <v>51</v>
      </c>
      <c r="J6" s="5" t="n">
        <v>3</v>
      </c>
      <c r="K6" s="5" t="n">
        <v>33</v>
      </c>
      <c r="L6" s="5" t="n">
        <v>1</v>
      </c>
      <c r="M6" s="5" t="s">
        <v>115</v>
      </c>
    </row>
    <row r="7" customFormat="false" ht="15" hidden="false" customHeight="false" outlineLevel="0" collapsed="false">
      <c r="A7" s="5" t="n">
        <f aca="false">RANDBETWEEN(2,164)</f>
        <v>108</v>
      </c>
      <c r="B7" s="5" t="n">
        <f aca="false" t="array" ref="B7:B7">INDEX(Data_DBD!$B:$B,$A7)</f>
        <v>69</v>
      </c>
      <c r="C7" s="5" t="n">
        <f aca="false" t="array" ref="C7:C7">INDEX(Data_DBD!$C:$C,$A7)</f>
        <v>7</v>
      </c>
      <c r="D7" s="5" t="n">
        <f aca="false" t="array" ref="D7:D7">INDEX(Data_DBD!$D:$D,$A7)</f>
        <v>33</v>
      </c>
      <c r="E7" s="5" t="n">
        <f aca="false" t="array" ref="E7:E7">INDEX(Data_DBD!$E:$E,$A7)</f>
        <v>1</v>
      </c>
      <c r="F7" s="5" t="str">
        <f aca="false" t="array" ref="F7:F7">INDEX(Data_DBD!$F:$F,$A7)</f>
        <v>Tinggi</v>
      </c>
      <c r="H7" s="5" t="n">
        <v>156</v>
      </c>
      <c r="I7" s="5" t="n">
        <v>5</v>
      </c>
      <c r="J7" s="5" t="n">
        <v>2</v>
      </c>
      <c r="K7" s="5" t="n">
        <v>21</v>
      </c>
      <c r="L7" s="5" t="n">
        <v>0</v>
      </c>
      <c r="M7" s="5" t="s">
        <v>115</v>
      </c>
    </row>
    <row r="8" customFormat="false" ht="15" hidden="false" customHeight="false" outlineLevel="0" collapsed="false">
      <c r="A8" s="5" t="n">
        <f aca="false">RANDBETWEEN(2,164)</f>
        <v>36</v>
      </c>
      <c r="B8" s="5" t="n">
        <f aca="false" t="array" ref="B8:B8">INDEX(Data_DBD!$B:$B,$A8)</f>
        <v>27</v>
      </c>
      <c r="C8" s="5" t="n">
        <f aca="false" t="array" ref="C8:C8">INDEX(Data_DBD!$C:$C,$A8)</f>
        <v>1</v>
      </c>
      <c r="D8" s="5" t="n">
        <f aca="false" t="array" ref="D8:D8">INDEX(Data_DBD!$D:$D,$A8)</f>
        <v>4</v>
      </c>
      <c r="E8" s="5" t="n">
        <f aca="false" t="array" ref="E8:E8">INDEX(Data_DBD!$E:$E,$A8)</f>
        <v>1</v>
      </c>
      <c r="F8" s="5" t="str">
        <f aca="false" t="array" ref="F8:F8">INDEX(Data_DBD!$F:$F,$A8)</f>
        <v>Rendah</v>
      </c>
      <c r="H8" s="5" t="n">
        <v>90</v>
      </c>
      <c r="I8" s="5" t="n">
        <v>47</v>
      </c>
      <c r="J8" s="5" t="n">
        <v>3</v>
      </c>
      <c r="K8" s="5" t="n">
        <v>18</v>
      </c>
      <c r="L8" s="5" t="n">
        <v>0</v>
      </c>
      <c r="M8" s="5" t="s">
        <v>7</v>
      </c>
    </row>
    <row r="9" customFormat="false" ht="15" hidden="false" customHeight="false" outlineLevel="0" collapsed="false">
      <c r="A9" s="5" t="n">
        <f aca="false">RANDBETWEEN(2,164)</f>
        <v>156</v>
      </c>
      <c r="B9" s="5" t="n">
        <f aca="false" t="array" ref="B9:B9">INDEX(Data_DBD!$B:$B,$A9)</f>
        <v>5</v>
      </c>
      <c r="C9" s="5" t="n">
        <f aca="false" t="array" ref="C9:C9">INDEX(Data_DBD!$C:$C,$A9)</f>
        <v>2</v>
      </c>
      <c r="D9" s="5" t="n">
        <f aca="false" t="array" ref="D9:D9">INDEX(Data_DBD!$D:$D,$A9)</f>
        <v>21</v>
      </c>
      <c r="E9" s="5" t="n">
        <f aca="false" t="array" ref="E9:E9">INDEX(Data_DBD!$E:$E,$A9)</f>
        <v>0</v>
      </c>
      <c r="F9" s="5" t="str">
        <f aca="false" t="array" ref="F9:F9">INDEX(Data_DBD!$F:$F,$A9)</f>
        <v>Tinggi</v>
      </c>
      <c r="H9" s="5" t="n">
        <v>82</v>
      </c>
      <c r="I9" s="5" t="n">
        <v>28</v>
      </c>
      <c r="J9" s="5" t="n">
        <v>3</v>
      </c>
      <c r="K9" s="5" t="n">
        <v>13</v>
      </c>
      <c r="L9" s="5" t="n">
        <v>1</v>
      </c>
      <c r="M9" s="5" t="s">
        <v>7</v>
      </c>
    </row>
    <row r="10" customFormat="false" ht="15" hidden="false" customHeight="false" outlineLevel="0" collapsed="false">
      <c r="A10" s="5" t="n">
        <f aca="false">RANDBETWEEN(2,164)</f>
        <v>38</v>
      </c>
      <c r="B10" s="5" t="n">
        <f aca="false" t="array" ref="B10:B10">INDEX(Data_DBD!$B:$B,$A10)</f>
        <v>52</v>
      </c>
      <c r="C10" s="5" t="n">
        <f aca="false" t="array" ref="C10:C10">INDEX(Data_DBD!$C:$C,$A10)</f>
        <v>3</v>
      </c>
      <c r="D10" s="5" t="n">
        <f aca="false" t="array" ref="D10:D10">INDEX(Data_DBD!$D:$D,$A10)</f>
        <v>4</v>
      </c>
      <c r="E10" s="5" t="n">
        <f aca="false" t="array" ref="E10:E10">INDEX(Data_DBD!$E:$E,$A10)</f>
        <v>1</v>
      </c>
      <c r="F10" s="5" t="str">
        <f aca="false" t="array" ref="F10:F10">INDEX(Data_DBD!$F:$F,$A10)</f>
        <v>Rendah</v>
      </c>
      <c r="H10" s="5" t="n">
        <v>65</v>
      </c>
      <c r="I10" s="5" t="n">
        <v>49</v>
      </c>
      <c r="J10" s="5" t="n">
        <v>3</v>
      </c>
      <c r="K10" s="5" t="n">
        <v>15</v>
      </c>
      <c r="L10" s="5" t="n">
        <v>0</v>
      </c>
      <c r="M10" s="5" t="s">
        <v>7</v>
      </c>
    </row>
    <row r="11" customFormat="false" ht="15" hidden="false" customHeight="false" outlineLevel="0" collapsed="false">
      <c r="A11" s="5" t="n">
        <f aca="false">RANDBETWEEN(2,164)</f>
        <v>46</v>
      </c>
      <c r="B11" s="5" t="n">
        <f aca="false" t="array" ref="B11:B11">INDEX(Data_DBD!$B:$B,$A11)</f>
        <v>62</v>
      </c>
      <c r="C11" s="5" t="n">
        <f aca="false" t="array" ref="C11:C11">INDEX(Data_DBD!$C:$C,$A11)</f>
        <v>2</v>
      </c>
      <c r="D11" s="5" t="n">
        <f aca="false" t="array" ref="D11:D11">INDEX(Data_DBD!$D:$D,$A11)</f>
        <v>13</v>
      </c>
      <c r="E11" s="5" t="n">
        <f aca="false" t="array" ref="E11:E11">INDEX(Data_DBD!$E:$E,$A11)</f>
        <v>0</v>
      </c>
      <c r="F11" s="5" t="str">
        <f aca="false" t="array" ref="F11:F11">INDEX(Data_DBD!$F:$F,$A11)</f>
        <v>Sedang</v>
      </c>
      <c r="H11" s="5" t="n">
        <v>128</v>
      </c>
      <c r="I11" s="5" t="n">
        <v>38</v>
      </c>
      <c r="J11" s="5" t="n">
        <v>2</v>
      </c>
      <c r="K11" s="5" t="n">
        <v>33</v>
      </c>
      <c r="L11" s="5" t="n">
        <v>0</v>
      </c>
      <c r="M11" s="5" t="s">
        <v>115</v>
      </c>
    </row>
    <row r="12" customFormat="false" ht="15" hidden="false" customHeight="false" outlineLevel="0" collapsed="false">
      <c r="A12" s="5" t="n">
        <f aca="false">RANDBETWEEN(2,164)</f>
        <v>130</v>
      </c>
      <c r="B12" s="5" t="n">
        <f aca="false" t="array" ref="B12:B12">INDEX(Data_DBD!$B:$B,$A12)</f>
        <v>12</v>
      </c>
      <c r="C12" s="5" t="n">
        <f aca="false" t="array" ref="C12:C12">INDEX(Data_DBD!$C:$C,$A12)</f>
        <v>4</v>
      </c>
      <c r="D12" s="5" t="n">
        <f aca="false" t="array" ref="D12:D12">INDEX(Data_DBD!$D:$D,$A12)</f>
        <v>33</v>
      </c>
      <c r="E12" s="5" t="n">
        <f aca="false" t="array" ref="E12:E12">INDEX(Data_DBD!$E:$E,$A12)</f>
        <v>0</v>
      </c>
      <c r="F12" s="5" t="str">
        <f aca="false" t="array" ref="F12:F12">INDEX(Data_DBD!$F:$F,$A12)</f>
        <v>Tinggi</v>
      </c>
      <c r="H12" s="5" t="n">
        <v>26</v>
      </c>
      <c r="I12" s="5" t="n">
        <v>75</v>
      </c>
      <c r="J12" s="5" t="n">
        <v>4</v>
      </c>
      <c r="K12" s="5" t="n">
        <v>14</v>
      </c>
      <c r="L12" s="5" t="n">
        <v>1</v>
      </c>
      <c r="M12" s="5" t="s">
        <v>7</v>
      </c>
    </row>
    <row r="13" customFormat="false" ht="15" hidden="false" customHeight="false" outlineLevel="0" collapsed="false">
      <c r="A13" s="5" t="n">
        <f aca="false">RANDBETWEEN(2,164)</f>
        <v>62</v>
      </c>
      <c r="B13" s="5" t="n">
        <f aca="false" t="array" ref="B13:B13">INDEX(Data_DBD!$B:$B,$A13)</f>
        <v>43</v>
      </c>
      <c r="C13" s="5" t="n">
        <f aca="false" t="array" ref="C13:C13">INDEX(Data_DBD!$C:$C,$A13)</f>
        <v>4</v>
      </c>
      <c r="D13" s="5" t="n">
        <f aca="false" t="array" ref="D13:D13">INDEX(Data_DBD!$D:$D,$A13)</f>
        <v>15</v>
      </c>
      <c r="E13" s="5" t="n">
        <f aca="false" t="array" ref="E13:E13">INDEX(Data_DBD!$E:$E,$A13)</f>
        <v>1</v>
      </c>
      <c r="F13" s="5" t="str">
        <f aca="false" t="array" ref="F13:F13">INDEX(Data_DBD!$F:$F,$A13)</f>
        <v>Sedang</v>
      </c>
      <c r="H13" s="5" t="n">
        <v>148</v>
      </c>
      <c r="I13" s="5" t="n">
        <v>55</v>
      </c>
      <c r="J13" s="5" t="n">
        <v>3</v>
      </c>
      <c r="K13" s="5" t="n">
        <v>21</v>
      </c>
      <c r="L13" s="5" t="n">
        <v>1</v>
      </c>
      <c r="M13" s="5" t="s">
        <v>115</v>
      </c>
    </row>
    <row r="14" customFormat="false" ht="15" hidden="false" customHeight="false" outlineLevel="0" collapsed="false">
      <c r="A14" s="5" t="n">
        <f aca="false">RANDBETWEEN(2,164)</f>
        <v>94</v>
      </c>
      <c r="B14" s="5" t="n">
        <f aca="false" t="array" ref="B14:B14">INDEX(Data_DBD!$B:$B,$A14)</f>
        <v>12</v>
      </c>
      <c r="C14" s="5" t="n">
        <f aca="false" t="array" ref="C14:C14">INDEX(Data_DBD!$C:$C,$A14)</f>
        <v>4</v>
      </c>
      <c r="D14" s="5" t="n">
        <f aca="false" t="array" ref="D14:D14">INDEX(Data_DBD!$D:$D,$A14)</f>
        <v>18</v>
      </c>
      <c r="E14" s="5" t="n">
        <f aca="false" t="array" ref="E14:E14">INDEX(Data_DBD!$E:$E,$A14)</f>
        <v>0</v>
      </c>
      <c r="F14" s="5" t="str">
        <f aca="false" t="array" ref="F14:F14">INDEX(Data_DBD!$F:$F,$A14)</f>
        <v>Sedang</v>
      </c>
      <c r="H14" s="5" t="n">
        <v>156</v>
      </c>
      <c r="I14" s="5" t="n">
        <v>5</v>
      </c>
      <c r="J14" s="5" t="n">
        <v>2</v>
      </c>
      <c r="K14" s="5" t="n">
        <v>21</v>
      </c>
      <c r="L14" s="5" t="n">
        <v>0</v>
      </c>
      <c r="M14" s="5" t="s">
        <v>115</v>
      </c>
    </row>
    <row r="15" customFormat="false" ht="15" hidden="false" customHeight="false" outlineLevel="0" collapsed="false">
      <c r="A15" s="5" t="n">
        <f aca="false">RANDBETWEEN(2,164)</f>
        <v>83</v>
      </c>
      <c r="B15" s="5" t="n">
        <f aca="false" t="array" ref="B15:B15">INDEX(Data_DBD!$B:$B,$A15)</f>
        <v>50</v>
      </c>
      <c r="C15" s="5" t="n">
        <f aca="false" t="array" ref="C15:C15">INDEX(Data_DBD!$C:$C,$A15)</f>
        <v>3</v>
      </c>
      <c r="D15" s="5" t="n">
        <f aca="false" t="array" ref="D15:D15">INDEX(Data_DBD!$D:$D,$A15)</f>
        <v>13</v>
      </c>
      <c r="E15" s="5" t="n">
        <f aca="false" t="array" ref="E15:E15">INDEX(Data_DBD!$E:$E,$A15)</f>
        <v>0</v>
      </c>
      <c r="F15" s="5" t="str">
        <f aca="false" t="array" ref="F15:F15">INDEX(Data_DBD!$F:$F,$A15)</f>
        <v>Sedang</v>
      </c>
      <c r="H15" s="5" t="n">
        <v>102</v>
      </c>
      <c r="I15" s="5" t="n">
        <v>41</v>
      </c>
      <c r="J15" s="5" t="n">
        <v>4</v>
      </c>
      <c r="K15" s="5" t="n">
        <v>18</v>
      </c>
      <c r="L15" s="5" t="n">
        <v>0</v>
      </c>
      <c r="M15" s="5" t="s">
        <v>7</v>
      </c>
    </row>
    <row r="16" customFormat="false" ht="15" hidden="false" customHeight="false" outlineLevel="0" collapsed="false">
      <c r="A16" s="5" t="n">
        <f aca="false">RANDBETWEEN(2,164)</f>
        <v>72</v>
      </c>
      <c r="B16" s="5" t="n">
        <f aca="false" t="array" ref="B16:B16">INDEX(Data_DBD!$B:$B,$A16)</f>
        <v>3</v>
      </c>
      <c r="C16" s="5" t="n">
        <f aca="false" t="array" ref="C16:C16">INDEX(Data_DBD!$C:$C,$A16)</f>
        <v>5</v>
      </c>
      <c r="D16" s="5" t="n">
        <f aca="false" t="array" ref="D16:D16">INDEX(Data_DBD!$D:$D,$A16)</f>
        <v>10</v>
      </c>
      <c r="E16" s="5" t="n">
        <f aca="false" t="array" ref="E16:E16">INDEX(Data_DBD!$E:$E,$A16)</f>
        <v>1</v>
      </c>
      <c r="F16" s="5" t="str">
        <f aca="false" t="array" ref="F16:F16">INDEX(Data_DBD!$F:$F,$A16)</f>
        <v>Rendah</v>
      </c>
      <c r="H16" s="5" t="n">
        <v>88</v>
      </c>
      <c r="I16" s="5" t="n">
        <v>20</v>
      </c>
      <c r="J16" s="5" t="n">
        <v>4</v>
      </c>
      <c r="K16" s="5" t="n">
        <v>13</v>
      </c>
      <c r="L16" s="5" t="n">
        <v>1</v>
      </c>
      <c r="M16" s="5" t="s">
        <v>7</v>
      </c>
    </row>
    <row r="17" customFormat="false" ht="15" hidden="false" customHeight="false" outlineLevel="0" collapsed="false">
      <c r="A17" s="5" t="n">
        <f aca="false">RANDBETWEEN(2,164)</f>
        <v>100</v>
      </c>
      <c r="B17" s="5" t="n">
        <f aca="false" t="array" ref="B17:B17">INDEX(Data_DBD!$B:$B,$A17)</f>
        <v>19</v>
      </c>
      <c r="C17" s="5" t="n">
        <f aca="false" t="array" ref="C17:C17">INDEX(Data_DBD!$C:$C,$A17)</f>
        <v>6</v>
      </c>
      <c r="D17" s="5" t="n">
        <f aca="false" t="array" ref="D17:D17">INDEX(Data_DBD!$D:$D,$A17)</f>
        <v>18</v>
      </c>
      <c r="E17" s="5" t="n">
        <f aca="false" t="array" ref="E17:E17">INDEX(Data_DBD!$E:$E,$A17)</f>
        <v>0</v>
      </c>
      <c r="F17" s="5" t="str">
        <f aca="false" t="array" ref="F17:F17">INDEX(Data_DBD!$F:$F,$A17)</f>
        <v>Sedang</v>
      </c>
      <c r="H17" s="5" t="n">
        <v>111</v>
      </c>
      <c r="I17" s="5" t="n">
        <v>25</v>
      </c>
      <c r="J17" s="5" t="n">
        <v>4</v>
      </c>
      <c r="K17" s="5" t="n">
        <v>33</v>
      </c>
      <c r="L17" s="5" t="n">
        <v>0</v>
      </c>
      <c r="M17" s="5" t="s">
        <v>115</v>
      </c>
    </row>
    <row r="18" customFormat="false" ht="15" hidden="false" customHeight="false" outlineLevel="0" collapsed="false">
      <c r="A18" s="5" t="n">
        <f aca="false">RANDBETWEEN(2,164)</f>
        <v>46</v>
      </c>
      <c r="B18" s="5" t="n">
        <f aca="false" t="array" ref="B18:B18">INDEX(Data_DBD!$B:$B,$A18)</f>
        <v>62</v>
      </c>
      <c r="C18" s="5" t="n">
        <f aca="false" t="array" ref="C18:C18">INDEX(Data_DBD!$C:$C,$A18)</f>
        <v>2</v>
      </c>
      <c r="D18" s="5" t="n">
        <f aca="false" t="array" ref="D18:D18">INDEX(Data_DBD!$D:$D,$A18)</f>
        <v>13</v>
      </c>
      <c r="E18" s="5" t="n">
        <f aca="false" t="array" ref="E18:E18">INDEX(Data_DBD!$E:$E,$A18)</f>
        <v>0</v>
      </c>
      <c r="F18" s="5" t="str">
        <f aca="false" t="array" ref="F18:F18">INDEX(Data_DBD!$F:$F,$A18)</f>
        <v>Sedang</v>
      </c>
      <c r="H18" s="5" t="n">
        <v>76</v>
      </c>
      <c r="I18" s="5" t="n">
        <v>70</v>
      </c>
      <c r="J18" s="5" t="n">
        <v>2</v>
      </c>
      <c r="K18" s="5" t="n">
        <v>10</v>
      </c>
      <c r="L18" s="5" t="n">
        <v>0</v>
      </c>
      <c r="M18" s="5" t="s">
        <v>20</v>
      </c>
    </row>
    <row r="19" customFormat="false" ht="15" hidden="false" customHeight="false" outlineLevel="0" collapsed="false">
      <c r="A19" s="5" t="n">
        <f aca="false">RANDBETWEEN(2,164)</f>
        <v>117</v>
      </c>
      <c r="B19" s="5" t="n">
        <f aca="false" t="array" ref="B19:B19">INDEX(Data_DBD!$B:$B,$A19)</f>
        <v>49</v>
      </c>
      <c r="C19" s="5" t="n">
        <f aca="false" t="array" ref="C19:C19">INDEX(Data_DBD!$C:$C,$A19)</f>
        <v>4</v>
      </c>
      <c r="D19" s="5" t="n">
        <f aca="false" t="array" ref="D19:D19">INDEX(Data_DBD!$D:$D,$A19)</f>
        <v>33</v>
      </c>
      <c r="E19" s="5" t="n">
        <f aca="false" t="array" ref="E19:E19">INDEX(Data_DBD!$E:$E,$A19)</f>
        <v>1</v>
      </c>
      <c r="F19" s="5" t="str">
        <f aca="false" t="array" ref="F19:F19">INDEX(Data_DBD!$F:$F,$A19)</f>
        <v>Tinggi</v>
      </c>
      <c r="H19" s="5" t="n">
        <v>43</v>
      </c>
      <c r="I19" s="5" t="n">
        <v>15</v>
      </c>
      <c r="J19" s="5" t="n">
        <v>4</v>
      </c>
      <c r="K19" s="5" t="n">
        <v>13</v>
      </c>
      <c r="L19" s="5" t="n">
        <v>0</v>
      </c>
      <c r="M19" s="5" t="s">
        <v>7</v>
      </c>
    </row>
    <row r="20" customFormat="false" ht="15" hidden="false" customHeight="false" outlineLevel="0" collapsed="false">
      <c r="A20" s="5" t="n">
        <f aca="false">RANDBETWEEN(2,164)</f>
        <v>145</v>
      </c>
      <c r="B20" s="5" t="n">
        <f aca="false" t="array" ref="B20:B20">INDEX(Data_DBD!$B:$B,$A20)</f>
        <v>28</v>
      </c>
      <c r="C20" s="5" t="n">
        <f aca="false" t="array" ref="C20:C20">INDEX(Data_DBD!$C:$C,$A20)</f>
        <v>4</v>
      </c>
      <c r="D20" s="5" t="n">
        <f aca="false" t="array" ref="D20:D20">INDEX(Data_DBD!$D:$D,$A20)</f>
        <v>21</v>
      </c>
      <c r="E20" s="5" t="n">
        <f aca="false" t="array" ref="E20:E20">INDEX(Data_DBD!$E:$E,$A20)</f>
        <v>1</v>
      </c>
      <c r="F20" s="5" t="str">
        <f aca="false" t="array" ref="F20:F20">INDEX(Data_DBD!$F:$F,$A20)</f>
        <v>Tinggi</v>
      </c>
      <c r="H20" s="5" t="n">
        <v>26</v>
      </c>
      <c r="I20" s="5" t="n">
        <v>75</v>
      </c>
      <c r="J20" s="5" t="n">
        <v>4</v>
      </c>
      <c r="K20" s="5" t="n">
        <v>14</v>
      </c>
      <c r="L20" s="5" t="n">
        <v>1</v>
      </c>
      <c r="M20" s="5" t="s">
        <v>7</v>
      </c>
    </row>
    <row r="21" customFormat="false" ht="15" hidden="false" customHeight="false" outlineLevel="0" collapsed="false">
      <c r="A21" s="5" t="n">
        <f aca="false">RANDBETWEEN(2,164)</f>
        <v>127</v>
      </c>
      <c r="B21" s="5" t="n">
        <f aca="false" t="array" ref="B21:B21">INDEX(Data_DBD!$B:$B,$A21)</f>
        <v>21</v>
      </c>
      <c r="C21" s="5" t="n">
        <f aca="false" t="array" ref="C21:C21">INDEX(Data_DBD!$C:$C,$A21)</f>
        <v>2</v>
      </c>
      <c r="D21" s="5" t="n">
        <f aca="false" t="array" ref="D21:D21">INDEX(Data_DBD!$D:$D,$A21)</f>
        <v>33</v>
      </c>
      <c r="E21" s="5" t="n">
        <f aca="false" t="array" ref="E21:E21">INDEX(Data_DBD!$E:$E,$A21)</f>
        <v>0</v>
      </c>
      <c r="F21" s="5" t="str">
        <f aca="false" t="array" ref="F21:F21">INDEX(Data_DBD!$F:$F,$A21)</f>
        <v>Tinggi</v>
      </c>
      <c r="H21" s="5" t="n">
        <v>83</v>
      </c>
      <c r="I21" s="5" t="n">
        <v>50</v>
      </c>
      <c r="J21" s="5" t="n">
        <v>3</v>
      </c>
      <c r="K21" s="5" t="n">
        <v>13</v>
      </c>
      <c r="L21" s="5" t="n">
        <v>0</v>
      </c>
      <c r="M21" s="5" t="s">
        <v>7</v>
      </c>
    </row>
    <row r="22" customFormat="false" ht="15" hidden="false" customHeight="false" outlineLevel="0" collapsed="false">
      <c r="A22" s="5" t="n">
        <f aca="false">RANDBETWEEN(2,164)</f>
        <v>70</v>
      </c>
      <c r="B22" s="5" t="n">
        <f aca="false" t="array" ref="B22:B22">INDEX(Data_DBD!$B:$B,$A22)</f>
        <v>26</v>
      </c>
      <c r="C22" s="5" t="n">
        <f aca="false" t="array" ref="C22:C22">INDEX(Data_DBD!$C:$C,$A22)</f>
        <v>3</v>
      </c>
      <c r="D22" s="5" t="n">
        <f aca="false" t="array" ref="D22:D22">INDEX(Data_DBD!$D:$D,$A22)</f>
        <v>10</v>
      </c>
      <c r="E22" s="5" t="n">
        <f aca="false" t="array" ref="E22:E22">INDEX(Data_DBD!$E:$E,$A22)</f>
        <v>1</v>
      </c>
      <c r="F22" s="5" t="str">
        <f aca="false" t="array" ref="F22:F22">INDEX(Data_DBD!$F:$F,$A22)</f>
        <v>Rendah</v>
      </c>
      <c r="H22" s="5" t="n">
        <v>84</v>
      </c>
      <c r="I22" s="5" t="n">
        <v>42</v>
      </c>
      <c r="J22" s="5" t="n">
        <v>4</v>
      </c>
      <c r="K22" s="5" t="n">
        <v>13</v>
      </c>
      <c r="L22" s="5" t="n">
        <v>1</v>
      </c>
      <c r="M22" s="5" t="s">
        <v>7</v>
      </c>
    </row>
    <row r="23" customFormat="false" ht="15" hidden="false" customHeight="false" outlineLevel="0" collapsed="false">
      <c r="A23" s="5" t="n">
        <f aca="false">RANDBETWEEN(2,164)</f>
        <v>4</v>
      </c>
      <c r="B23" s="5" t="n">
        <f aca="false" t="array" ref="B23:B23">INDEX(Data_DBD!$B:$B,$A23)</f>
        <v>23</v>
      </c>
      <c r="C23" s="5" t="n">
        <f aca="false" t="array" ref="C23:C23">INDEX(Data_DBD!$C:$C,$A23)</f>
        <v>5</v>
      </c>
      <c r="D23" s="5" t="n">
        <f aca="false" t="array" ref="D23:D23">INDEX(Data_DBD!$D:$D,$A23)</f>
        <v>12</v>
      </c>
      <c r="E23" s="5" t="n">
        <f aca="false" t="array" ref="E23:E23">INDEX(Data_DBD!$E:$E,$A23)</f>
        <v>0</v>
      </c>
      <c r="F23" s="5" t="str">
        <f aca="false" t="array" ref="F23:F23">INDEX(Data_DBD!$F:$F,$A23)</f>
        <v>Sedang</v>
      </c>
      <c r="H23" s="5" t="n">
        <v>12</v>
      </c>
      <c r="I23" s="5" t="n">
        <v>23</v>
      </c>
      <c r="J23" s="5" t="n">
        <v>3</v>
      </c>
      <c r="K23" s="5" t="n">
        <v>12</v>
      </c>
      <c r="L23" s="5" t="n">
        <v>0</v>
      </c>
      <c r="M23" s="5" t="s">
        <v>7</v>
      </c>
    </row>
    <row r="24" customFormat="false" ht="15" hidden="false" customHeight="false" outlineLevel="0" collapsed="false">
      <c r="A24" s="5" t="n">
        <f aca="false">RANDBETWEEN(2,164)</f>
        <v>144</v>
      </c>
      <c r="B24" s="5" t="n">
        <f aca="false" t="array" ref="B24:B24">INDEX(Data_DBD!$B:$B,$A24)</f>
        <v>61</v>
      </c>
      <c r="C24" s="5" t="n">
        <f aca="false" t="array" ref="C24:C24">INDEX(Data_DBD!$C:$C,$A24)</f>
        <v>4</v>
      </c>
      <c r="D24" s="5" t="n">
        <f aca="false" t="array" ref="D24:D24">INDEX(Data_DBD!$D:$D,$A24)</f>
        <v>21</v>
      </c>
      <c r="E24" s="5" t="n">
        <f aca="false" t="array" ref="E24:E24">INDEX(Data_DBD!$E:$E,$A24)</f>
        <v>1</v>
      </c>
      <c r="F24" s="5" t="str">
        <f aca="false" t="array" ref="F24:F24">INDEX(Data_DBD!$F:$F,$A24)</f>
        <v>Tinggi</v>
      </c>
      <c r="H24" s="5" t="n">
        <v>43</v>
      </c>
      <c r="I24" s="5" t="n">
        <v>15</v>
      </c>
      <c r="J24" s="5" t="n">
        <v>4</v>
      </c>
      <c r="K24" s="5" t="n">
        <v>13</v>
      </c>
      <c r="L24" s="5" t="n">
        <v>0</v>
      </c>
      <c r="M24" s="5" t="s">
        <v>7</v>
      </c>
    </row>
    <row r="25" customFormat="false" ht="15" hidden="false" customHeight="false" outlineLevel="0" collapsed="false">
      <c r="A25" s="5" t="n">
        <f aca="false">RANDBETWEEN(2,164)</f>
        <v>69</v>
      </c>
      <c r="B25" s="5" t="n">
        <f aca="false" t="array" ref="B25:B25">INDEX(Data_DBD!$B:$B,$A25)</f>
        <v>24</v>
      </c>
      <c r="C25" s="5" t="n">
        <f aca="false" t="array" ref="C25:C25">INDEX(Data_DBD!$C:$C,$A25)</f>
        <v>4</v>
      </c>
      <c r="D25" s="5" t="n">
        <f aca="false" t="array" ref="D25:D25">INDEX(Data_DBD!$D:$D,$A25)</f>
        <v>10</v>
      </c>
      <c r="E25" s="5" t="n">
        <f aca="false" t="array" ref="E25:E25">INDEX(Data_DBD!$E:$E,$A25)</f>
        <v>1</v>
      </c>
      <c r="F25" s="5" t="str">
        <f aca="false" t="array" ref="F25:F25">INDEX(Data_DBD!$F:$F,$A25)</f>
        <v>Rendah</v>
      </c>
      <c r="H25" s="5" t="n">
        <v>90</v>
      </c>
      <c r="I25" s="5" t="n">
        <v>47</v>
      </c>
      <c r="J25" s="5" t="n">
        <v>3</v>
      </c>
      <c r="K25" s="5" t="n">
        <v>18</v>
      </c>
      <c r="L25" s="5" t="n">
        <v>0</v>
      </c>
      <c r="M25" s="5" t="s">
        <v>7</v>
      </c>
    </row>
    <row r="26" customFormat="false" ht="15" hidden="false" customHeight="false" outlineLevel="0" collapsed="false">
      <c r="A26" s="5" t="n">
        <f aca="false">RANDBETWEEN(2,164)</f>
        <v>134</v>
      </c>
      <c r="B26" s="5" t="n">
        <f aca="false" t="array" ref="B26:B26">INDEX(Data_DBD!$B:$B,$A26)</f>
        <v>4</v>
      </c>
      <c r="C26" s="5" t="n">
        <f aca="false" t="array" ref="C26:C26">INDEX(Data_DBD!$C:$C,$A26)</f>
        <v>2</v>
      </c>
      <c r="D26" s="5" t="n">
        <f aca="false" t="array" ref="D26:D26">INDEX(Data_DBD!$D:$D,$A26)</f>
        <v>33</v>
      </c>
      <c r="E26" s="5" t="n">
        <f aca="false" t="array" ref="E26:E26">INDEX(Data_DBD!$E:$E,$A26)</f>
        <v>1</v>
      </c>
      <c r="F26" s="5" t="str">
        <f aca="false" t="array" ref="F26:F26">INDEX(Data_DBD!$F:$F,$A26)</f>
        <v>Tinggi</v>
      </c>
      <c r="H26" s="5" t="n">
        <v>16</v>
      </c>
      <c r="I26" s="5" t="n">
        <v>66</v>
      </c>
      <c r="J26" s="5" t="n">
        <v>5</v>
      </c>
      <c r="K26" s="5" t="n">
        <v>7</v>
      </c>
      <c r="L26" s="5" t="n">
        <v>1</v>
      </c>
      <c r="M26" s="5" t="s">
        <v>20</v>
      </c>
    </row>
    <row r="27" customFormat="false" ht="15" hidden="false" customHeight="false" outlineLevel="0" collapsed="false">
      <c r="A27" s="5" t="n">
        <f aca="false">RANDBETWEEN(2,164)</f>
        <v>24</v>
      </c>
      <c r="B27" s="5" t="n">
        <f aca="false" t="array" ref="B27:B27">INDEX(Data_DBD!$B:$B,$A27)</f>
        <v>60</v>
      </c>
      <c r="C27" s="5" t="n">
        <f aca="false" t="array" ref="C27:C27">INDEX(Data_DBD!$C:$C,$A27)</f>
        <v>4</v>
      </c>
      <c r="D27" s="5" t="n">
        <f aca="false" t="array" ref="D27:D27">INDEX(Data_DBD!$D:$D,$A27)</f>
        <v>14</v>
      </c>
      <c r="E27" s="5" t="n">
        <f aca="false" t="array" ref="E27:E27">INDEX(Data_DBD!$E:$E,$A27)</f>
        <v>0</v>
      </c>
      <c r="F27" s="5" t="str">
        <f aca="false" t="array" ref="F27:F27">INDEX(Data_DBD!$F:$F,$A27)</f>
        <v>Sedang</v>
      </c>
      <c r="H27" s="5" t="n">
        <v>29</v>
      </c>
      <c r="I27" s="5" t="n">
        <v>19</v>
      </c>
      <c r="J27" s="5" t="n">
        <v>2</v>
      </c>
      <c r="K27" s="5" t="n">
        <v>14</v>
      </c>
      <c r="L27" s="5" t="n">
        <v>1</v>
      </c>
      <c r="M27" s="5" t="s">
        <v>7</v>
      </c>
    </row>
    <row r="28" customFormat="false" ht="15" hidden="false" customHeight="false" outlineLevel="0" collapsed="false">
      <c r="A28" s="5" t="n">
        <f aca="false">RANDBETWEEN(2,164)</f>
        <v>105</v>
      </c>
      <c r="B28" s="5" t="n">
        <f aca="false" t="array" ref="B28:B28">INDEX(Data_DBD!$B:$B,$A28)</f>
        <v>61</v>
      </c>
      <c r="C28" s="5" t="n">
        <f aca="false" t="array" ref="C28:C28">INDEX(Data_DBD!$C:$C,$A28)</f>
        <v>3</v>
      </c>
      <c r="D28" s="5" t="n">
        <f aca="false" t="array" ref="D28:D28">INDEX(Data_DBD!$D:$D,$A28)</f>
        <v>18</v>
      </c>
      <c r="E28" s="5" t="n">
        <f aca="false" t="array" ref="E28:E28">INDEX(Data_DBD!$E:$E,$A28)</f>
        <v>1</v>
      </c>
      <c r="F28" s="5" t="str">
        <f aca="false" t="array" ref="F28:F28">INDEX(Data_DBD!$F:$F,$A28)</f>
        <v>Sedang</v>
      </c>
      <c r="H28" s="5" t="n">
        <v>29</v>
      </c>
      <c r="I28" s="5" t="n">
        <v>19</v>
      </c>
      <c r="J28" s="5" t="n">
        <v>2</v>
      </c>
      <c r="K28" s="5" t="n">
        <v>14</v>
      </c>
      <c r="L28" s="5" t="n">
        <v>1</v>
      </c>
      <c r="M28" s="5" t="s">
        <v>7</v>
      </c>
    </row>
    <row r="29" customFormat="false" ht="15" hidden="false" customHeight="false" outlineLevel="0" collapsed="false">
      <c r="A29" s="5" t="n">
        <f aca="false">RANDBETWEEN(2,164)</f>
        <v>48</v>
      </c>
      <c r="B29" s="5" t="n">
        <f aca="false" t="array" ref="B29:B29">INDEX(Data_DBD!$B:$B,$A29)</f>
        <v>50</v>
      </c>
      <c r="C29" s="5" t="n">
        <f aca="false" t="array" ref="C29:C29">INDEX(Data_DBD!$C:$C,$A29)</f>
        <v>5</v>
      </c>
      <c r="D29" s="5" t="n">
        <f aca="false" t="array" ref="D29:D29">INDEX(Data_DBD!$D:$D,$A29)</f>
        <v>13</v>
      </c>
      <c r="E29" s="5" t="n">
        <f aca="false" t="array" ref="E29:E29">INDEX(Data_DBD!$E:$E,$A29)</f>
        <v>1</v>
      </c>
      <c r="F29" s="5" t="str">
        <f aca="false" t="array" ref="F29:F29">INDEX(Data_DBD!$F:$F,$A29)</f>
        <v>Sedang</v>
      </c>
      <c r="H29" s="5" t="n">
        <v>162</v>
      </c>
      <c r="I29" s="5" t="n">
        <v>22</v>
      </c>
      <c r="J29" s="5" t="n">
        <v>3</v>
      </c>
      <c r="K29" s="5" t="n">
        <v>3</v>
      </c>
      <c r="L29" s="5" t="n">
        <v>1</v>
      </c>
      <c r="M29" s="5" t="s">
        <v>20</v>
      </c>
    </row>
    <row r="30" customFormat="false" ht="15" hidden="false" customHeight="false" outlineLevel="0" collapsed="false">
      <c r="A30" s="5" t="n">
        <f aca="false">RANDBETWEEN(2,164)</f>
        <v>112</v>
      </c>
      <c r="B30" s="5" t="n">
        <f aca="false" t="array" ref="B30:B30">INDEX(Data_DBD!$B:$B,$A30)</f>
        <v>61</v>
      </c>
      <c r="C30" s="5" t="n">
        <f aca="false" t="array" ref="C30:C30">INDEX(Data_DBD!$C:$C,$A30)</f>
        <v>3</v>
      </c>
      <c r="D30" s="5" t="n">
        <f aca="false" t="array" ref="D30:D30">INDEX(Data_DBD!$D:$D,$A30)</f>
        <v>33</v>
      </c>
      <c r="E30" s="5" t="n">
        <f aca="false" t="array" ref="E30:E30">INDEX(Data_DBD!$E:$E,$A30)</f>
        <v>1</v>
      </c>
      <c r="F30" s="5" t="str">
        <f aca="false" t="array" ref="F30:F30">INDEX(Data_DBD!$F:$F,$A30)</f>
        <v>Tinggi</v>
      </c>
      <c r="H30" s="5" t="n">
        <v>31</v>
      </c>
      <c r="I30" s="5" t="n">
        <v>64</v>
      </c>
      <c r="J30" s="5" t="n">
        <v>4</v>
      </c>
      <c r="K30" s="5" t="n">
        <v>14</v>
      </c>
      <c r="L30" s="5" t="n">
        <v>1</v>
      </c>
      <c r="M30" s="5" t="s">
        <v>7</v>
      </c>
    </row>
    <row r="31" customFormat="false" ht="15" hidden="false" customHeight="false" outlineLevel="0" collapsed="false">
      <c r="A31" s="5" t="n">
        <f aca="false">RANDBETWEEN(2,164)</f>
        <v>6</v>
      </c>
      <c r="B31" s="5" t="n">
        <f aca="false" t="array" ref="B31:B31">INDEX(Data_DBD!$B:$B,$A31)</f>
        <v>14</v>
      </c>
      <c r="C31" s="5" t="n">
        <f aca="false" t="array" ref="C31:C31">INDEX(Data_DBD!$C:$C,$A31)</f>
        <v>4</v>
      </c>
      <c r="D31" s="5" t="n">
        <f aca="false" t="array" ref="D31:D31">INDEX(Data_DBD!$D:$D,$A31)</f>
        <v>12</v>
      </c>
      <c r="E31" s="5" t="n">
        <f aca="false" t="array" ref="E31:E31">INDEX(Data_DBD!$E:$E,$A31)</f>
        <v>0</v>
      </c>
      <c r="F31" s="5" t="str">
        <f aca="false" t="array" ref="F31:F31">INDEX(Data_DBD!$F:$F,$A31)</f>
        <v>Sedang</v>
      </c>
      <c r="H31" s="5" t="n">
        <v>88</v>
      </c>
      <c r="I31" s="5" t="n">
        <v>20</v>
      </c>
      <c r="J31" s="5" t="n">
        <v>4</v>
      </c>
      <c r="K31" s="5" t="n">
        <v>13</v>
      </c>
      <c r="L31" s="5" t="n">
        <v>1</v>
      </c>
      <c r="M31" s="5" t="s">
        <v>7</v>
      </c>
    </row>
    <row r="32" customFormat="false" ht="15" hidden="false" customHeight="false" outlineLevel="0" collapsed="false">
      <c r="A32" s="5" t="n">
        <f aca="false">RANDBETWEEN(2,164)</f>
        <v>34</v>
      </c>
      <c r="B32" s="5" t="n">
        <f aca="false" t="array" ref="B32:B32">INDEX(Data_DBD!$B:$B,$A32)</f>
        <v>55</v>
      </c>
      <c r="C32" s="5" t="n">
        <f aca="false" t="array" ref="C32:C32">INDEX(Data_DBD!$C:$C,$A32)</f>
        <v>3</v>
      </c>
      <c r="D32" s="5" t="n">
        <f aca="false" t="array" ref="D32:D32">INDEX(Data_DBD!$D:$D,$A32)</f>
        <v>14</v>
      </c>
      <c r="E32" s="5" t="n">
        <f aca="false" t="array" ref="E32:E32">INDEX(Data_DBD!$E:$E,$A32)</f>
        <v>0</v>
      </c>
      <c r="F32" s="5" t="str">
        <f aca="false" t="array" ref="F32:F32">INDEX(Data_DBD!$F:$F,$A32)</f>
        <v>Sedang</v>
      </c>
      <c r="H32" s="5" t="n">
        <v>127</v>
      </c>
      <c r="I32" s="5" t="n">
        <v>21</v>
      </c>
      <c r="J32" s="5" t="n">
        <v>2</v>
      </c>
      <c r="K32" s="5" t="n">
        <v>33</v>
      </c>
      <c r="L32" s="5" t="n">
        <v>0</v>
      </c>
      <c r="M32" s="5" t="s">
        <v>115</v>
      </c>
    </row>
    <row r="33" customFormat="false" ht="15" hidden="false" customHeight="false" outlineLevel="0" collapsed="false">
      <c r="A33" s="5" t="n">
        <f aca="false">RANDBETWEEN(2,164)</f>
        <v>38</v>
      </c>
      <c r="B33" s="5" t="n">
        <f aca="false" t="array" ref="B33:B33">INDEX(Data_DBD!$B:$B,$A33)</f>
        <v>52</v>
      </c>
      <c r="C33" s="5" t="n">
        <f aca="false" t="array" ref="C33:C33">INDEX(Data_DBD!$C:$C,$A33)</f>
        <v>3</v>
      </c>
      <c r="D33" s="5" t="n">
        <f aca="false" t="array" ref="D33:D33">INDEX(Data_DBD!$D:$D,$A33)</f>
        <v>4</v>
      </c>
      <c r="E33" s="5" t="n">
        <f aca="false" t="array" ref="E33:E33">INDEX(Data_DBD!$E:$E,$A33)</f>
        <v>1</v>
      </c>
      <c r="F33" s="5" t="str">
        <f aca="false" t="array" ref="F33:F33">INDEX(Data_DBD!$F:$F,$A33)</f>
        <v>Rendah</v>
      </c>
      <c r="H33" s="5" t="n">
        <v>58</v>
      </c>
      <c r="I33" s="5" t="n">
        <v>17</v>
      </c>
      <c r="J33" s="5" t="n">
        <v>3</v>
      </c>
      <c r="K33" s="5" t="n">
        <v>15</v>
      </c>
      <c r="L33" s="5" t="n">
        <v>0</v>
      </c>
      <c r="M33" s="5" t="s">
        <v>7</v>
      </c>
    </row>
    <row r="34" customFormat="false" ht="15" hidden="false" customHeight="false" outlineLevel="0" collapsed="false">
      <c r="A34" s="5" t="n">
        <f aca="false">RANDBETWEEN(2,164)</f>
        <v>61</v>
      </c>
      <c r="B34" s="5" t="n">
        <f aca="false" t="array" ref="B34:B34">INDEX(Data_DBD!$B:$B,$A34)</f>
        <v>29</v>
      </c>
      <c r="C34" s="5" t="n">
        <f aca="false" t="array" ref="C34:C34">INDEX(Data_DBD!$C:$C,$A34)</f>
        <v>3</v>
      </c>
      <c r="D34" s="5" t="n">
        <f aca="false" t="array" ref="D34:D34">INDEX(Data_DBD!$D:$D,$A34)</f>
        <v>15</v>
      </c>
      <c r="E34" s="5" t="n">
        <f aca="false" t="array" ref="E34:E34">INDEX(Data_DBD!$E:$E,$A34)</f>
        <v>1</v>
      </c>
      <c r="F34" s="5" t="str">
        <f aca="false" t="array" ref="F34:F34">INDEX(Data_DBD!$F:$F,$A34)</f>
        <v>Sedang</v>
      </c>
      <c r="H34" s="5" t="n">
        <v>15</v>
      </c>
      <c r="I34" s="5" t="n">
        <v>21</v>
      </c>
      <c r="J34" s="5" t="n">
        <v>2</v>
      </c>
      <c r="K34" s="5" t="n">
        <v>7</v>
      </c>
      <c r="L34" s="5" t="n">
        <v>0</v>
      </c>
      <c r="M34" s="5" t="s">
        <v>20</v>
      </c>
    </row>
    <row r="35" customFormat="false" ht="15" hidden="false" customHeight="false" outlineLevel="0" collapsed="false">
      <c r="A35" s="5" t="n">
        <f aca="false">RANDBETWEEN(2,164)</f>
        <v>30</v>
      </c>
      <c r="B35" s="5" t="n">
        <f aca="false" t="array" ref="B35:B35">INDEX(Data_DBD!$B:$B,$A35)</f>
        <v>3</v>
      </c>
      <c r="C35" s="5" t="n">
        <f aca="false" t="array" ref="C35:C35">INDEX(Data_DBD!$C:$C,$A35)</f>
        <v>2</v>
      </c>
      <c r="D35" s="5" t="n">
        <f aca="false" t="array" ref="D35:D35">INDEX(Data_DBD!$D:$D,$A35)</f>
        <v>14</v>
      </c>
      <c r="E35" s="5" t="n">
        <f aca="false" t="array" ref="E35:E35">INDEX(Data_DBD!$E:$E,$A35)</f>
        <v>1</v>
      </c>
      <c r="F35" s="5" t="str">
        <f aca="false" t="array" ref="F35:F35">INDEX(Data_DBD!$F:$F,$A35)</f>
        <v>Sedang</v>
      </c>
      <c r="H35" s="5" t="n">
        <v>60</v>
      </c>
      <c r="I35" s="5" t="n">
        <v>68</v>
      </c>
      <c r="J35" s="5" t="n">
        <v>4</v>
      </c>
      <c r="K35" s="5" t="n">
        <v>15</v>
      </c>
      <c r="L35" s="5" t="n">
        <v>0</v>
      </c>
      <c r="M35" s="5" t="s">
        <v>7</v>
      </c>
    </row>
    <row r="36" customFormat="false" ht="15" hidden="false" customHeight="false" outlineLevel="0" collapsed="false">
      <c r="A36" s="5" t="n">
        <f aca="false">RANDBETWEEN(2,164)</f>
        <v>130</v>
      </c>
      <c r="B36" s="5" t="n">
        <f aca="false" t="array" ref="B36:B36">INDEX(Data_DBD!$B:$B,$A36)</f>
        <v>12</v>
      </c>
      <c r="C36" s="5" t="n">
        <f aca="false" t="array" ref="C36:C36">INDEX(Data_DBD!$C:$C,$A36)</f>
        <v>4</v>
      </c>
      <c r="D36" s="5" t="n">
        <f aca="false" t="array" ref="D36:D36">INDEX(Data_DBD!$D:$D,$A36)</f>
        <v>33</v>
      </c>
      <c r="E36" s="5" t="n">
        <f aca="false" t="array" ref="E36:E36">INDEX(Data_DBD!$E:$E,$A36)</f>
        <v>0</v>
      </c>
      <c r="F36" s="5" t="str">
        <f aca="false" t="array" ref="F36:F36">INDEX(Data_DBD!$F:$F,$A36)</f>
        <v>Tinggi</v>
      </c>
      <c r="H36" s="5" t="n">
        <v>157</v>
      </c>
      <c r="I36" s="5" t="n">
        <v>15</v>
      </c>
      <c r="J36" s="5" t="n">
        <v>4</v>
      </c>
      <c r="K36" s="5" t="n">
        <v>21</v>
      </c>
      <c r="L36" s="5" t="n">
        <v>1</v>
      </c>
      <c r="M36" s="5" t="s">
        <v>115</v>
      </c>
    </row>
    <row r="37" customFormat="false" ht="15" hidden="false" customHeight="false" outlineLevel="0" collapsed="false">
      <c r="A37" s="5" t="n">
        <f aca="false">RANDBETWEEN(2,164)</f>
        <v>108</v>
      </c>
      <c r="B37" s="5" t="n">
        <f aca="false" t="array" ref="B37:B37">INDEX(Data_DBD!$B:$B,$A37)</f>
        <v>69</v>
      </c>
      <c r="C37" s="5" t="n">
        <f aca="false" t="array" ref="C37:C37">INDEX(Data_DBD!$C:$C,$A37)</f>
        <v>7</v>
      </c>
      <c r="D37" s="5" t="n">
        <f aca="false" t="array" ref="D37:D37">INDEX(Data_DBD!$D:$D,$A37)</f>
        <v>33</v>
      </c>
      <c r="E37" s="5" t="n">
        <f aca="false" t="array" ref="E37:E37">INDEX(Data_DBD!$E:$E,$A37)</f>
        <v>1</v>
      </c>
      <c r="F37" s="5" t="str">
        <f aca="false" t="array" ref="F37:F37">INDEX(Data_DBD!$F:$F,$A37)</f>
        <v>Tinggi</v>
      </c>
      <c r="H37" s="5" t="n">
        <v>95</v>
      </c>
      <c r="I37" s="5" t="n">
        <v>11</v>
      </c>
      <c r="J37" s="5" t="n">
        <v>3</v>
      </c>
      <c r="K37" s="5" t="n">
        <v>18</v>
      </c>
      <c r="L37" s="5" t="n">
        <v>1</v>
      </c>
      <c r="M37" s="5" t="s">
        <v>7</v>
      </c>
    </row>
    <row r="38" customFormat="false" ht="15" hidden="false" customHeight="false" outlineLevel="0" collapsed="false">
      <c r="A38" s="5" t="n">
        <f aca="false">RANDBETWEEN(2,164)</f>
        <v>139</v>
      </c>
      <c r="B38" s="5" t="n">
        <f aca="false" t="array" ref="B38:B38">INDEX(Data_DBD!$B:$B,$A38)</f>
        <v>52</v>
      </c>
      <c r="C38" s="5" t="n">
        <f aca="false" t="array" ref="C38:C38">INDEX(Data_DBD!$C:$C,$A38)</f>
        <v>7</v>
      </c>
      <c r="D38" s="5" t="n">
        <f aca="false" t="array" ref="D38:D38">INDEX(Data_DBD!$D:$D,$A38)</f>
        <v>21</v>
      </c>
      <c r="E38" s="5" t="n">
        <f aca="false" t="array" ref="E38:E38">INDEX(Data_DBD!$E:$E,$A38)</f>
        <v>0</v>
      </c>
      <c r="F38" s="5" t="str">
        <f aca="false" t="array" ref="F38:F38">INDEX(Data_DBD!$F:$F,$A38)</f>
        <v>Tinggi</v>
      </c>
      <c r="H38" s="5" t="n">
        <v>55</v>
      </c>
      <c r="I38" s="5" t="n">
        <v>7</v>
      </c>
      <c r="J38" s="5" t="n">
        <v>4</v>
      </c>
      <c r="K38" s="5" t="n">
        <v>15</v>
      </c>
      <c r="L38" s="5" t="n">
        <v>1</v>
      </c>
      <c r="M38" s="5" t="s">
        <v>7</v>
      </c>
    </row>
    <row r="39" customFormat="false" ht="15" hidden="false" customHeight="false" outlineLevel="0" collapsed="false">
      <c r="A39" s="5" t="n">
        <f aca="false">RANDBETWEEN(2,164)</f>
        <v>136</v>
      </c>
      <c r="B39" s="5" t="n">
        <f aca="false" t="array" ref="B39:B39">INDEX(Data_DBD!$B:$B,$A39)</f>
        <v>6</v>
      </c>
      <c r="C39" s="5" t="n">
        <f aca="false" t="array" ref="C39:C39">INDEX(Data_DBD!$C:$C,$A39)</f>
        <v>2</v>
      </c>
      <c r="D39" s="5" t="n">
        <f aca="false" t="array" ref="D39:D39">INDEX(Data_DBD!$D:$D,$A39)</f>
        <v>33</v>
      </c>
      <c r="E39" s="5" t="n">
        <f aca="false" t="array" ref="E39:E39">INDEX(Data_DBD!$E:$E,$A39)</f>
        <v>0</v>
      </c>
      <c r="F39" s="5" t="str">
        <f aca="false" t="array" ref="F39:F39">INDEX(Data_DBD!$F:$F,$A39)</f>
        <v>Tinggi</v>
      </c>
      <c r="H39" s="5" t="n">
        <v>110</v>
      </c>
      <c r="I39" s="5" t="n">
        <v>42</v>
      </c>
      <c r="J39" s="5" t="n">
        <v>2</v>
      </c>
      <c r="K39" s="5" t="n">
        <v>33</v>
      </c>
      <c r="L39" s="5" t="n">
        <v>1</v>
      </c>
      <c r="M39" s="5" t="s">
        <v>115</v>
      </c>
    </row>
    <row r="40" customFormat="false" ht="15" hidden="false" customHeight="false" outlineLevel="0" collapsed="false">
      <c r="A40" s="5" t="n">
        <f aca="false">RANDBETWEEN(2,164)</f>
        <v>18</v>
      </c>
      <c r="B40" s="5" t="n">
        <f aca="false" t="array" ref="B40:B40">INDEX(Data_DBD!$B:$B,$A40)</f>
        <v>49</v>
      </c>
      <c r="C40" s="5" t="n">
        <f aca="false" t="array" ref="C40:C40">INDEX(Data_DBD!$C:$C,$A40)</f>
        <v>4</v>
      </c>
      <c r="D40" s="5" t="n">
        <f aca="false" t="array" ref="D40:D40">INDEX(Data_DBD!$D:$D,$A40)</f>
        <v>7</v>
      </c>
      <c r="E40" s="5" t="n">
        <f aca="false" t="array" ref="E40:E40">INDEX(Data_DBD!$E:$E,$A40)</f>
        <v>1</v>
      </c>
      <c r="F40" s="5" t="str">
        <f aca="false" t="array" ref="F40:F40">INDEX(Data_DBD!$F:$F,$A40)</f>
        <v>Rendah</v>
      </c>
      <c r="H40" s="5" t="n">
        <v>159</v>
      </c>
      <c r="I40" s="5" t="n">
        <v>17</v>
      </c>
      <c r="J40" s="5" t="n">
        <v>2</v>
      </c>
      <c r="K40" s="5" t="n">
        <v>21</v>
      </c>
      <c r="L40" s="5" t="n">
        <v>0</v>
      </c>
      <c r="M40" s="5" t="s">
        <v>115</v>
      </c>
    </row>
    <row r="41" customFormat="false" ht="15" hidden="false" customHeight="false" outlineLevel="0" collapsed="false">
      <c r="A41" s="5" t="n">
        <f aca="false">RANDBETWEEN(2,164)</f>
        <v>39</v>
      </c>
      <c r="B41" s="5" t="n">
        <f aca="false" t="array" ref="B41:B41">INDEX(Data_DBD!$B:$B,$A41)</f>
        <v>12</v>
      </c>
      <c r="C41" s="5" t="n">
        <f aca="false" t="array" ref="C41:C41">INDEX(Data_DBD!$C:$C,$A41)</f>
        <v>5</v>
      </c>
      <c r="D41" s="5" t="n">
        <f aca="false" t="array" ref="D41:D41">INDEX(Data_DBD!$D:$D,$A41)</f>
        <v>13</v>
      </c>
      <c r="E41" s="5" t="n">
        <f aca="false" t="array" ref="E41:E41">INDEX(Data_DBD!$E:$E,$A41)</f>
        <v>1</v>
      </c>
      <c r="F41" s="5" t="str">
        <f aca="false" t="array" ref="F41:F41">INDEX(Data_DBD!$F:$F,$A41)</f>
        <v>Sedang</v>
      </c>
      <c r="H41" s="5" t="n">
        <v>102</v>
      </c>
      <c r="I41" s="5" t="n">
        <v>41</v>
      </c>
      <c r="J41" s="5" t="n">
        <v>4</v>
      </c>
      <c r="K41" s="5" t="n">
        <v>18</v>
      </c>
      <c r="L41" s="5" t="n">
        <v>0</v>
      </c>
      <c r="M41" s="5" t="s">
        <v>7</v>
      </c>
    </row>
    <row r="42" customFormat="false" ht="15" hidden="false" customHeight="false" outlineLevel="0" collapsed="false">
      <c r="A42" s="5" t="n">
        <f aca="false">RANDBETWEEN(2,164)</f>
        <v>130</v>
      </c>
      <c r="B42" s="5" t="n">
        <f aca="false" t="array" ref="B42:B42">INDEX(Data_DBD!$B:$B,$A42)</f>
        <v>12</v>
      </c>
      <c r="C42" s="5" t="n">
        <f aca="false" t="array" ref="C42:C42">INDEX(Data_DBD!$C:$C,$A42)</f>
        <v>4</v>
      </c>
      <c r="D42" s="5" t="n">
        <f aca="false" t="array" ref="D42:D42">INDEX(Data_DBD!$D:$D,$A42)</f>
        <v>33</v>
      </c>
      <c r="E42" s="5" t="n">
        <f aca="false" t="array" ref="E42:E42">INDEX(Data_DBD!$E:$E,$A42)</f>
        <v>0</v>
      </c>
      <c r="F42" s="5" t="str">
        <f aca="false" t="array" ref="F42:F42">INDEX(Data_DBD!$F:$F,$A42)</f>
        <v>Tinggi</v>
      </c>
      <c r="H42" s="5" t="n">
        <v>146</v>
      </c>
      <c r="I42" s="5" t="n">
        <v>34</v>
      </c>
      <c r="J42" s="5" t="n">
        <v>2</v>
      </c>
      <c r="K42" s="5" t="n">
        <v>21</v>
      </c>
      <c r="L42" s="5" t="n">
        <v>1</v>
      </c>
      <c r="M42" s="5" t="s">
        <v>115</v>
      </c>
    </row>
    <row r="43" customFormat="false" ht="15" hidden="false" customHeight="false" outlineLevel="0" collapsed="false">
      <c r="A43" s="5" t="n">
        <f aca="false">RANDBETWEEN(2,164)</f>
        <v>34</v>
      </c>
      <c r="B43" s="5" t="n">
        <f aca="false" t="array" ref="B43:B43">INDEX(Data_DBD!$B:$B,$A43)</f>
        <v>55</v>
      </c>
      <c r="C43" s="5" t="n">
        <f aca="false" t="array" ref="C43:C43">INDEX(Data_DBD!$C:$C,$A43)</f>
        <v>3</v>
      </c>
      <c r="D43" s="5" t="n">
        <f aca="false" t="array" ref="D43:D43">INDEX(Data_DBD!$D:$D,$A43)</f>
        <v>14</v>
      </c>
      <c r="E43" s="5" t="n">
        <f aca="false" t="array" ref="E43:E43">INDEX(Data_DBD!$E:$E,$A43)</f>
        <v>0</v>
      </c>
      <c r="F43" s="5" t="str">
        <f aca="false" t="array" ref="F43:F43">INDEX(Data_DBD!$F:$F,$A43)</f>
        <v>Sedang</v>
      </c>
      <c r="H43" s="5" t="n">
        <v>86</v>
      </c>
      <c r="I43" s="5" t="n">
        <v>23</v>
      </c>
      <c r="J43" s="5" t="n">
        <v>3</v>
      </c>
      <c r="K43" s="5" t="n">
        <v>13</v>
      </c>
      <c r="L43" s="5" t="n">
        <v>0</v>
      </c>
      <c r="M43" s="5" t="s">
        <v>7</v>
      </c>
    </row>
    <row r="44" customFormat="false" ht="15" hidden="false" customHeight="false" outlineLevel="0" collapsed="false">
      <c r="A44" s="5" t="n">
        <f aca="false">RANDBETWEEN(2,164)</f>
        <v>26</v>
      </c>
      <c r="B44" s="5" t="n">
        <f aca="false" t="array" ref="B44:B44">INDEX(Data_DBD!$B:$B,$A44)</f>
        <v>75</v>
      </c>
      <c r="C44" s="5" t="n">
        <f aca="false" t="array" ref="C44:C44">INDEX(Data_DBD!$C:$C,$A44)</f>
        <v>4</v>
      </c>
      <c r="D44" s="5" t="n">
        <f aca="false" t="array" ref="D44:D44">INDEX(Data_DBD!$D:$D,$A44)</f>
        <v>14</v>
      </c>
      <c r="E44" s="5" t="n">
        <f aca="false" t="array" ref="E44:E44">INDEX(Data_DBD!$E:$E,$A44)</f>
        <v>1</v>
      </c>
      <c r="F44" s="5" t="str">
        <f aca="false" t="array" ref="F44:F44">INDEX(Data_DBD!$F:$F,$A44)</f>
        <v>Sedang</v>
      </c>
      <c r="H44" s="5" t="n">
        <v>90</v>
      </c>
      <c r="I44" s="5" t="n">
        <v>47</v>
      </c>
      <c r="J44" s="5" t="n">
        <v>3</v>
      </c>
      <c r="K44" s="5" t="n">
        <v>18</v>
      </c>
      <c r="L44" s="5" t="n">
        <v>0</v>
      </c>
      <c r="M44" s="5" t="s">
        <v>7</v>
      </c>
    </row>
    <row r="45" customFormat="false" ht="15" hidden="false" customHeight="false" outlineLevel="0" collapsed="false">
      <c r="A45" s="5" t="n">
        <f aca="false">RANDBETWEEN(2,164)</f>
        <v>19</v>
      </c>
      <c r="B45" s="5" t="n">
        <f aca="false" t="array" ref="B45:B45">INDEX(Data_DBD!$B:$B,$A45)</f>
        <v>8</v>
      </c>
      <c r="C45" s="5" t="n">
        <f aca="false" t="array" ref="C45:C45">INDEX(Data_DBD!$C:$C,$A45)</f>
        <v>4</v>
      </c>
      <c r="D45" s="5" t="n">
        <f aca="false" t="array" ref="D45:D45">INDEX(Data_DBD!$D:$D,$A45)</f>
        <v>7</v>
      </c>
      <c r="E45" s="5" t="n">
        <f aca="false" t="array" ref="E45:E45">INDEX(Data_DBD!$E:$E,$A45)</f>
        <v>0</v>
      </c>
      <c r="F45" s="5" t="str">
        <f aca="false" t="array" ref="F45:F45">INDEX(Data_DBD!$F:$F,$A45)</f>
        <v>Rendah</v>
      </c>
      <c r="H45" s="5" t="n">
        <v>67</v>
      </c>
      <c r="I45" s="5" t="n">
        <v>21</v>
      </c>
      <c r="J45" s="5" t="n">
        <v>3</v>
      </c>
      <c r="K45" s="5" t="n">
        <v>10</v>
      </c>
      <c r="L45" s="5" t="n">
        <v>1</v>
      </c>
      <c r="M45" s="5" t="s">
        <v>20</v>
      </c>
    </row>
    <row r="46" customFormat="false" ht="15" hidden="false" customHeight="false" outlineLevel="0" collapsed="false">
      <c r="A46" s="5" t="n">
        <f aca="false">RANDBETWEEN(2,164)</f>
        <v>54</v>
      </c>
      <c r="B46" s="5" t="n">
        <f aca="false" t="array" ref="B46:B46">INDEX(Data_DBD!$B:$B,$A46)</f>
        <v>7</v>
      </c>
      <c r="C46" s="5" t="n">
        <f aca="false" t="array" ref="C46:C46">INDEX(Data_DBD!$C:$C,$A46)</f>
        <v>3</v>
      </c>
      <c r="D46" s="5" t="n">
        <f aca="false" t="array" ref="D46:D46">INDEX(Data_DBD!$D:$D,$A46)</f>
        <v>15</v>
      </c>
      <c r="E46" s="5" t="n">
        <f aca="false" t="array" ref="E46:E46">INDEX(Data_DBD!$E:$E,$A46)</f>
        <v>0</v>
      </c>
      <c r="F46" s="5" t="str">
        <f aca="false" t="array" ref="F46:F46">INDEX(Data_DBD!$F:$F,$A46)</f>
        <v>Sedang</v>
      </c>
      <c r="H46" s="5" t="n">
        <v>85</v>
      </c>
      <c r="I46" s="5" t="n">
        <v>27</v>
      </c>
      <c r="J46" s="5" t="n">
        <v>9</v>
      </c>
      <c r="K46" s="5" t="n">
        <v>13</v>
      </c>
      <c r="L46" s="5" t="n">
        <v>0</v>
      </c>
      <c r="M46" s="5" t="s">
        <v>7</v>
      </c>
    </row>
    <row r="47" customFormat="false" ht="15" hidden="false" customHeight="false" outlineLevel="0" collapsed="false">
      <c r="A47" s="5" t="n">
        <f aca="false">RANDBETWEEN(2,164)</f>
        <v>129</v>
      </c>
      <c r="B47" s="5" t="n">
        <f aca="false" t="array" ref="B47:B47">INDEX(Data_DBD!$B:$B,$A47)</f>
        <v>4</v>
      </c>
      <c r="C47" s="5" t="n">
        <f aca="false" t="array" ref="C47:C47">INDEX(Data_DBD!$C:$C,$A47)</f>
        <v>3</v>
      </c>
      <c r="D47" s="5" t="n">
        <f aca="false" t="array" ref="D47:D47">INDEX(Data_DBD!$D:$D,$A47)</f>
        <v>33</v>
      </c>
      <c r="E47" s="5" t="n">
        <f aca="false" t="array" ref="E47:E47">INDEX(Data_DBD!$E:$E,$A47)</f>
        <v>0</v>
      </c>
      <c r="F47" s="5" t="str">
        <f aca="false" t="array" ref="F47:F47">INDEX(Data_DBD!$F:$F,$A47)</f>
        <v>Tinggi</v>
      </c>
      <c r="H47" s="5" t="n">
        <v>22</v>
      </c>
      <c r="I47" s="5" t="n">
        <v>6</v>
      </c>
      <c r="J47" s="5" t="n">
        <v>3</v>
      </c>
      <c r="K47" s="5" t="n">
        <v>14</v>
      </c>
      <c r="L47" s="5" t="n">
        <v>0</v>
      </c>
      <c r="M47" s="5" t="s">
        <v>7</v>
      </c>
    </row>
    <row r="48" customFormat="false" ht="15" hidden="false" customHeight="false" outlineLevel="0" collapsed="false">
      <c r="A48" s="5" t="n">
        <f aca="false">RANDBETWEEN(2,164)</f>
        <v>92</v>
      </c>
      <c r="B48" s="5" t="n">
        <f aca="false" t="array" ref="B48:B48">INDEX(Data_DBD!$B:$B,$A48)</f>
        <v>55</v>
      </c>
      <c r="C48" s="5" t="n">
        <f aca="false" t="array" ref="C48:C48">INDEX(Data_DBD!$C:$C,$A48)</f>
        <v>7</v>
      </c>
      <c r="D48" s="5" t="n">
        <f aca="false" t="array" ref="D48:D48">INDEX(Data_DBD!$D:$D,$A48)</f>
        <v>18</v>
      </c>
      <c r="E48" s="5" t="n">
        <f aca="false" t="array" ref="E48:E48">INDEX(Data_DBD!$E:$E,$A48)</f>
        <v>0</v>
      </c>
      <c r="F48" s="5" t="str">
        <f aca="false" t="array" ref="F48:F48">INDEX(Data_DBD!$F:$F,$A48)</f>
        <v>Sedang</v>
      </c>
      <c r="H48" s="5" t="n">
        <v>163</v>
      </c>
      <c r="I48" s="5" t="n">
        <v>34</v>
      </c>
      <c r="J48" s="5" t="n">
        <v>4</v>
      </c>
      <c r="K48" s="5" t="n">
        <v>3</v>
      </c>
      <c r="L48" s="5" t="n">
        <v>1</v>
      </c>
      <c r="M48" s="5" t="s">
        <v>20</v>
      </c>
    </row>
    <row r="49" customFormat="false" ht="15" hidden="false" customHeight="false" outlineLevel="0" collapsed="false">
      <c r="A49" s="5" t="n">
        <f aca="false">RANDBETWEEN(2,164)</f>
        <v>151</v>
      </c>
      <c r="B49" s="5" t="n">
        <f aca="false" t="array" ref="B49:B49">INDEX(Data_DBD!$B:$B,$A49)</f>
        <v>24</v>
      </c>
      <c r="C49" s="5" t="n">
        <f aca="false" t="array" ref="C49:C49">INDEX(Data_DBD!$C:$C,$A49)</f>
        <v>3</v>
      </c>
      <c r="D49" s="5" t="n">
        <f aca="false" t="array" ref="D49:D49">INDEX(Data_DBD!$D:$D,$A49)</f>
        <v>21</v>
      </c>
      <c r="E49" s="5" t="n">
        <f aca="false" t="array" ref="E49:E49">INDEX(Data_DBD!$E:$E,$A49)</f>
        <v>0</v>
      </c>
      <c r="F49" s="5" t="str">
        <f aca="false" t="array" ref="F49:F49">INDEX(Data_DBD!$F:$F,$A49)</f>
        <v>Tinggi</v>
      </c>
      <c r="H49" s="5" t="n">
        <v>150</v>
      </c>
      <c r="I49" s="5" t="n">
        <v>61</v>
      </c>
      <c r="J49" s="5" t="n">
        <v>5</v>
      </c>
      <c r="K49" s="5" t="n">
        <v>21</v>
      </c>
      <c r="L49" s="5" t="n">
        <v>1</v>
      </c>
      <c r="M49" s="5" t="s">
        <v>115</v>
      </c>
    </row>
    <row r="50" customFormat="false" ht="15" hidden="false" customHeight="false" outlineLevel="0" collapsed="false">
      <c r="A50" s="5" t="n">
        <f aca="false">RANDBETWEEN(2,164)</f>
        <v>10</v>
      </c>
      <c r="B50" s="5" t="n">
        <f aca="false" t="array" ref="B50:B50">INDEX(Data_DBD!$B:$B,$A50)</f>
        <v>18</v>
      </c>
      <c r="C50" s="5" t="n">
        <f aca="false" t="array" ref="C50:C50">INDEX(Data_DBD!$C:$C,$A50)</f>
        <v>5</v>
      </c>
      <c r="D50" s="5" t="n">
        <f aca="false" t="array" ref="D50:D50">INDEX(Data_DBD!$D:$D,$A50)</f>
        <v>12</v>
      </c>
      <c r="E50" s="5" t="n">
        <f aca="false" t="array" ref="E50:E50">INDEX(Data_DBD!$E:$E,$A50)</f>
        <v>0</v>
      </c>
      <c r="F50" s="5" t="str">
        <f aca="false" t="array" ref="F50:F50">INDEX(Data_DBD!$F:$F,$A50)</f>
        <v>Sedang</v>
      </c>
      <c r="H50" s="5" t="n">
        <v>2</v>
      </c>
      <c r="I50" s="5" t="n">
        <v>34</v>
      </c>
      <c r="J50" s="5" t="n">
        <v>3</v>
      </c>
      <c r="K50" s="5" t="n">
        <v>12</v>
      </c>
      <c r="L50" s="5" t="n">
        <v>0</v>
      </c>
      <c r="M50" s="5" t="s">
        <v>7</v>
      </c>
    </row>
    <row r="51" customFormat="false" ht="15" hidden="false" customHeight="false" outlineLevel="0" collapsed="false">
      <c r="A51" s="5" t="n">
        <f aca="false">RANDBETWEEN(2,164)</f>
        <v>95</v>
      </c>
      <c r="B51" s="5" t="n">
        <f aca="false" t="array" ref="B51:B51">INDEX(Data_DBD!$B:$B,$A51)</f>
        <v>11</v>
      </c>
      <c r="C51" s="5" t="n">
        <f aca="false" t="array" ref="C51:C51">INDEX(Data_DBD!$C:$C,$A51)</f>
        <v>3</v>
      </c>
      <c r="D51" s="5" t="n">
        <f aca="false" t="array" ref="D51:D51">INDEX(Data_DBD!$D:$D,$A51)</f>
        <v>18</v>
      </c>
      <c r="E51" s="5" t="n">
        <f aca="false" t="array" ref="E51:E51">INDEX(Data_DBD!$E:$E,$A51)</f>
        <v>1</v>
      </c>
      <c r="F51" s="5" t="str">
        <f aca="false" t="array" ref="F51:F51">INDEX(Data_DBD!$F:$F,$A51)</f>
        <v>Sedang</v>
      </c>
      <c r="H51" s="5" t="n">
        <v>132</v>
      </c>
      <c r="I51" s="5" t="n">
        <v>10</v>
      </c>
      <c r="J51" s="5" t="n">
        <v>3</v>
      </c>
      <c r="K51" s="5" t="n">
        <v>33</v>
      </c>
      <c r="L51" s="5" t="n">
        <v>1</v>
      </c>
      <c r="M51" s="5" t="s">
        <v>115</v>
      </c>
    </row>
    <row r="52" customFormat="false" ht="15" hidden="false" customHeight="false" outlineLevel="0" collapsed="false">
      <c r="A52" s="5" t="n">
        <f aca="false">RANDBETWEEN(2,164)</f>
        <v>136</v>
      </c>
      <c r="B52" s="5" t="n">
        <f aca="false" t="array" ref="B52:B52">INDEX(Data_DBD!$B:$B,$A52)</f>
        <v>6</v>
      </c>
      <c r="C52" s="5" t="n">
        <f aca="false" t="array" ref="C52:C52">INDEX(Data_DBD!$C:$C,$A52)</f>
        <v>2</v>
      </c>
      <c r="D52" s="5" t="n">
        <f aca="false" t="array" ref="D52:D52">INDEX(Data_DBD!$D:$D,$A52)</f>
        <v>33</v>
      </c>
      <c r="E52" s="5" t="n">
        <f aca="false" t="array" ref="E52:E52">INDEX(Data_DBD!$E:$E,$A52)</f>
        <v>0</v>
      </c>
      <c r="F52" s="5" t="str">
        <f aca="false" t="array" ref="F52:F52">INDEX(Data_DBD!$F:$F,$A52)</f>
        <v>Tinggi</v>
      </c>
      <c r="H52" s="5" t="n">
        <v>9</v>
      </c>
      <c r="I52" s="5" t="n">
        <v>16</v>
      </c>
      <c r="J52" s="5" t="n">
        <v>6</v>
      </c>
      <c r="K52" s="5" t="n">
        <v>12</v>
      </c>
      <c r="L52" s="5" t="n">
        <v>1</v>
      </c>
      <c r="M52" s="5" t="s">
        <v>7</v>
      </c>
    </row>
    <row r="53" customFormat="false" ht="15" hidden="false" customHeight="false" outlineLevel="0" collapsed="false">
      <c r="A53" s="5" t="n">
        <f aca="false">RANDBETWEEN(2,164)</f>
        <v>47</v>
      </c>
      <c r="B53" s="5" t="n">
        <f aca="false" t="array" ref="B53:B53">INDEX(Data_DBD!$B:$B,$A53)</f>
        <v>19</v>
      </c>
      <c r="C53" s="5" t="n">
        <f aca="false" t="array" ref="C53:C53">INDEX(Data_DBD!$C:$C,$A53)</f>
        <v>2</v>
      </c>
      <c r="D53" s="5" t="n">
        <f aca="false" t="array" ref="D53:D53">INDEX(Data_DBD!$D:$D,$A53)</f>
        <v>13</v>
      </c>
      <c r="E53" s="5" t="n">
        <f aca="false" t="array" ref="E53:E53">INDEX(Data_DBD!$E:$E,$A53)</f>
        <v>0</v>
      </c>
      <c r="F53" s="5" t="str">
        <f aca="false" t="array" ref="F53:F53">INDEX(Data_DBD!$F:$F,$A53)</f>
        <v>Sedang</v>
      </c>
      <c r="H53" s="5" t="n">
        <v>148</v>
      </c>
      <c r="I53" s="5" t="n">
        <v>55</v>
      </c>
      <c r="J53" s="5" t="n">
        <v>3</v>
      </c>
      <c r="K53" s="5" t="n">
        <v>21</v>
      </c>
      <c r="L53" s="5" t="n">
        <v>1</v>
      </c>
      <c r="M53" s="5" t="s">
        <v>115</v>
      </c>
    </row>
    <row r="54" customFormat="false" ht="15" hidden="false" customHeight="false" outlineLevel="0" collapsed="false">
      <c r="A54" s="5" t="n">
        <f aca="false">RANDBETWEEN(2,164)</f>
        <v>5</v>
      </c>
      <c r="B54" s="5" t="n">
        <f aca="false" t="array" ref="B54:B54">INDEX(Data_DBD!$B:$B,$A54)</f>
        <v>18</v>
      </c>
      <c r="C54" s="5" t="n">
        <f aca="false" t="array" ref="C54:C54">INDEX(Data_DBD!$C:$C,$A54)</f>
        <v>2</v>
      </c>
      <c r="D54" s="5" t="n">
        <f aca="false" t="array" ref="D54:D54">INDEX(Data_DBD!$D:$D,$A54)</f>
        <v>12</v>
      </c>
      <c r="E54" s="5" t="n">
        <f aca="false" t="array" ref="E54:E54">INDEX(Data_DBD!$E:$E,$A54)</f>
        <v>1</v>
      </c>
      <c r="F54" s="5" t="str">
        <f aca="false" t="array" ref="F54:F54">INDEX(Data_DBD!$F:$F,$A54)</f>
        <v>Sedang</v>
      </c>
      <c r="H54" s="5" t="n">
        <v>12</v>
      </c>
      <c r="I54" s="5" t="n">
        <v>23</v>
      </c>
      <c r="J54" s="5" t="n">
        <v>3</v>
      </c>
      <c r="K54" s="5" t="n">
        <v>12</v>
      </c>
      <c r="L54" s="5" t="n">
        <v>0</v>
      </c>
      <c r="M54" s="5" t="s">
        <v>7</v>
      </c>
    </row>
    <row r="55" customFormat="false" ht="15" hidden="false" customHeight="false" outlineLevel="0" collapsed="false">
      <c r="A55" s="5" t="n">
        <f aca="false">RANDBETWEEN(2,164)</f>
        <v>71</v>
      </c>
      <c r="B55" s="5" t="n">
        <f aca="false" t="array" ref="B55:B55">INDEX(Data_DBD!$B:$B,$A55)</f>
        <v>84</v>
      </c>
      <c r="C55" s="5" t="n">
        <f aca="false" t="array" ref="C55:C55">INDEX(Data_DBD!$C:$C,$A55)</f>
        <v>3</v>
      </c>
      <c r="D55" s="5" t="n">
        <f aca="false" t="array" ref="D55:D55">INDEX(Data_DBD!$D:$D,$A55)</f>
        <v>10</v>
      </c>
      <c r="E55" s="5" t="n">
        <f aca="false" t="array" ref="E55:E55">INDEX(Data_DBD!$E:$E,$A55)</f>
        <v>0</v>
      </c>
      <c r="F55" s="5" t="str">
        <f aca="false" t="array" ref="F55:F55">INDEX(Data_DBD!$F:$F,$A55)</f>
        <v>Rendah</v>
      </c>
      <c r="H55" s="5" t="n">
        <v>64</v>
      </c>
      <c r="I55" s="5" t="n">
        <v>35</v>
      </c>
      <c r="J55" s="5" t="n">
        <v>1</v>
      </c>
      <c r="K55" s="5" t="n">
        <v>15</v>
      </c>
      <c r="L55" s="5" t="n">
        <v>0</v>
      </c>
      <c r="M55" s="5" t="s">
        <v>7</v>
      </c>
    </row>
    <row r="56" customFormat="false" ht="15" hidden="false" customHeight="false" outlineLevel="0" collapsed="false">
      <c r="A56" s="5" t="n">
        <f aca="false">RANDBETWEEN(2,164)</f>
        <v>161</v>
      </c>
      <c r="B56" s="5" t="n">
        <f aca="false" t="array" ref="B56:B56">INDEX(Data_DBD!$B:$B,$A56)</f>
        <v>12</v>
      </c>
      <c r="C56" s="5" t="n">
        <f aca="false" t="array" ref="C56:C56">INDEX(Data_DBD!$C:$C,$A56)</f>
        <v>3</v>
      </c>
      <c r="D56" s="5" t="n">
        <f aca="false" t="array" ref="D56:D56">INDEX(Data_DBD!$D:$D,$A56)</f>
        <v>21</v>
      </c>
      <c r="E56" s="5" t="n">
        <f aca="false" t="array" ref="E56:E56">INDEX(Data_DBD!$E:$E,$A56)</f>
        <v>1</v>
      </c>
      <c r="F56" s="5" t="str">
        <f aca="false" t="array" ref="F56:F56">INDEX(Data_DBD!$F:$F,$A56)</f>
        <v>Tinggi</v>
      </c>
      <c r="H56" s="5" t="n">
        <v>123</v>
      </c>
      <c r="I56" s="5" t="n">
        <v>22</v>
      </c>
      <c r="J56" s="5" t="n">
        <v>4</v>
      </c>
      <c r="K56" s="5" t="n">
        <v>33</v>
      </c>
      <c r="L56" s="5" t="n">
        <v>0</v>
      </c>
      <c r="M56" s="5" t="s">
        <v>115</v>
      </c>
    </row>
    <row r="57" customFormat="false" ht="15" hidden="false" customHeight="false" outlineLevel="0" collapsed="false">
      <c r="A57" s="5" t="n">
        <f aca="false">RANDBETWEEN(2,164)</f>
        <v>27</v>
      </c>
      <c r="B57" s="5" t="n">
        <f aca="false" t="array" ref="B57:B57">INDEX(Data_DBD!$B:$B,$A57)</f>
        <v>37</v>
      </c>
      <c r="C57" s="5" t="n">
        <f aca="false" t="array" ref="C57:C57">INDEX(Data_DBD!$C:$C,$A57)</f>
        <v>4</v>
      </c>
      <c r="D57" s="5" t="n">
        <f aca="false" t="array" ref="D57:D57">INDEX(Data_DBD!$D:$D,$A57)</f>
        <v>14</v>
      </c>
      <c r="E57" s="5" t="n">
        <f aca="false" t="array" ref="E57:E57">INDEX(Data_DBD!$E:$E,$A57)</f>
        <v>1</v>
      </c>
      <c r="F57" s="5" t="str">
        <f aca="false" t="array" ref="F57:F57">INDEX(Data_DBD!$F:$F,$A57)</f>
        <v>Sedang</v>
      </c>
      <c r="H57" s="5" t="n">
        <v>56</v>
      </c>
      <c r="I57" s="5" t="n">
        <v>4</v>
      </c>
      <c r="J57" s="5" t="n">
        <v>3</v>
      </c>
      <c r="K57" s="5" t="n">
        <v>15</v>
      </c>
      <c r="L57" s="5" t="n">
        <v>0</v>
      </c>
      <c r="M57" s="5" t="s">
        <v>7</v>
      </c>
    </row>
    <row r="58" customFormat="false" ht="15" hidden="false" customHeight="false" outlineLevel="0" collapsed="false">
      <c r="A58" s="5" t="n">
        <f aca="false">RANDBETWEEN(2,164)</f>
        <v>30</v>
      </c>
      <c r="B58" s="5" t="n">
        <f aca="false" t="array" ref="B58:B58">INDEX(Data_DBD!$B:$B,$A58)</f>
        <v>3</v>
      </c>
      <c r="C58" s="5" t="n">
        <f aca="false" t="array" ref="C58:C58">INDEX(Data_DBD!$C:$C,$A58)</f>
        <v>2</v>
      </c>
      <c r="D58" s="5" t="n">
        <f aca="false" t="array" ref="D58:D58">INDEX(Data_DBD!$D:$D,$A58)</f>
        <v>14</v>
      </c>
      <c r="E58" s="5" t="n">
        <f aca="false" t="array" ref="E58:E58">INDEX(Data_DBD!$E:$E,$A58)</f>
        <v>1</v>
      </c>
      <c r="F58" s="5" t="str">
        <f aca="false" t="array" ref="F58:F58">INDEX(Data_DBD!$F:$F,$A58)</f>
        <v>Sedang</v>
      </c>
      <c r="H58" s="5" t="n">
        <v>12</v>
      </c>
      <c r="I58" s="5" t="n">
        <v>23</v>
      </c>
      <c r="J58" s="5" t="n">
        <v>3</v>
      </c>
      <c r="K58" s="5" t="n">
        <v>12</v>
      </c>
      <c r="L58" s="5" t="n">
        <v>0</v>
      </c>
      <c r="M58" s="5" t="s">
        <v>7</v>
      </c>
    </row>
    <row r="59" customFormat="false" ht="15" hidden="false" customHeight="false" outlineLevel="0" collapsed="false">
      <c r="A59" s="5" t="n">
        <f aca="false">RANDBETWEEN(2,164)</f>
        <v>112</v>
      </c>
      <c r="B59" s="5" t="n">
        <f aca="false" t="array" ref="B59:B59">INDEX(Data_DBD!$B:$B,$A59)</f>
        <v>61</v>
      </c>
      <c r="C59" s="5" t="n">
        <f aca="false" t="array" ref="C59:C59">INDEX(Data_DBD!$C:$C,$A59)</f>
        <v>3</v>
      </c>
      <c r="D59" s="5" t="n">
        <f aca="false" t="array" ref="D59:D59">INDEX(Data_DBD!$D:$D,$A59)</f>
        <v>33</v>
      </c>
      <c r="E59" s="5" t="n">
        <f aca="false" t="array" ref="E59:E59">INDEX(Data_DBD!$E:$E,$A59)</f>
        <v>1</v>
      </c>
      <c r="F59" s="5" t="str">
        <f aca="false" t="array" ref="F59:F59">INDEX(Data_DBD!$F:$F,$A59)</f>
        <v>Tinggi</v>
      </c>
      <c r="H59" s="5" t="n">
        <v>52</v>
      </c>
      <c r="I59" s="5" t="n">
        <v>59</v>
      </c>
      <c r="J59" s="5" t="n">
        <v>4</v>
      </c>
      <c r="K59" s="5" t="n">
        <v>15</v>
      </c>
      <c r="L59" s="5" t="n">
        <v>1</v>
      </c>
      <c r="M59" s="5" t="s">
        <v>7</v>
      </c>
    </row>
    <row r="60" customFormat="false" ht="15" hidden="false" customHeight="false" outlineLevel="0" collapsed="false">
      <c r="A60" s="5" t="n">
        <f aca="false">RANDBETWEEN(2,164)</f>
        <v>50</v>
      </c>
      <c r="B60" s="5" t="n">
        <f aca="false" t="array" ref="B60:B60">INDEX(Data_DBD!$B:$B,$A60)</f>
        <v>19</v>
      </c>
      <c r="C60" s="5" t="n">
        <f aca="false" t="array" ref="C60:C60">INDEX(Data_DBD!$C:$C,$A60)</f>
        <v>5</v>
      </c>
      <c r="D60" s="5" t="n">
        <f aca="false" t="array" ref="D60:D60">INDEX(Data_DBD!$D:$D,$A60)</f>
        <v>13</v>
      </c>
      <c r="E60" s="5" t="n">
        <f aca="false" t="array" ref="E60:E60">INDEX(Data_DBD!$E:$E,$A60)</f>
        <v>0</v>
      </c>
      <c r="F60" s="5" t="str">
        <f aca="false" t="array" ref="F60:F60">INDEX(Data_DBD!$F:$F,$A60)</f>
        <v>Sedang</v>
      </c>
      <c r="H60" s="5" t="n">
        <v>101</v>
      </c>
      <c r="I60" s="5" t="n">
        <v>42</v>
      </c>
      <c r="J60" s="5" t="n">
        <v>5</v>
      </c>
      <c r="K60" s="5" t="n">
        <v>18</v>
      </c>
      <c r="L60" s="5" t="n">
        <v>0</v>
      </c>
      <c r="M60" s="5" t="s">
        <v>7</v>
      </c>
    </row>
    <row r="61" customFormat="false" ht="15" hidden="false" customHeight="false" outlineLevel="0" collapsed="false">
      <c r="A61" s="5" t="n">
        <f aca="false">RANDBETWEEN(2,164)</f>
        <v>17</v>
      </c>
      <c r="B61" s="5" t="n">
        <f aca="false" t="array" ref="B61:B61">INDEX(Data_DBD!$B:$B,$A61)</f>
        <v>2</v>
      </c>
      <c r="C61" s="5" t="n">
        <f aca="false" t="array" ref="C61:C61">INDEX(Data_DBD!$C:$C,$A61)</f>
        <v>3</v>
      </c>
      <c r="D61" s="5" t="n">
        <f aca="false" t="array" ref="D61:D61">INDEX(Data_DBD!$D:$D,$A61)</f>
        <v>7</v>
      </c>
      <c r="E61" s="5" t="n">
        <f aca="false" t="array" ref="E61:E61">INDEX(Data_DBD!$E:$E,$A61)</f>
        <v>0</v>
      </c>
      <c r="F61" s="5" t="str">
        <f aca="false" t="array" ref="F61:F61">INDEX(Data_DBD!$F:$F,$A61)</f>
        <v>Rendah</v>
      </c>
      <c r="H61" s="5" t="n">
        <v>14</v>
      </c>
      <c r="I61" s="5" t="n">
        <v>49</v>
      </c>
      <c r="J61" s="5" t="n">
        <v>4</v>
      </c>
      <c r="K61" s="5" t="n">
        <v>7</v>
      </c>
      <c r="L61" s="5" t="n">
        <v>1</v>
      </c>
      <c r="M61" s="5" t="s">
        <v>20</v>
      </c>
    </row>
    <row r="62" customFormat="false" ht="15" hidden="false" customHeight="false" outlineLevel="0" collapsed="false">
      <c r="A62" s="5" t="n">
        <f aca="false">RANDBETWEEN(2,164)</f>
        <v>142</v>
      </c>
      <c r="B62" s="5" t="n">
        <f aca="false" t="array" ref="B62:B62">INDEX(Data_DBD!$B:$B,$A62)</f>
        <v>39</v>
      </c>
      <c r="C62" s="5" t="n">
        <f aca="false" t="array" ref="C62:C62">INDEX(Data_DBD!$C:$C,$A62)</f>
        <v>2</v>
      </c>
      <c r="D62" s="5" t="n">
        <f aca="false" t="array" ref="D62:D62">INDEX(Data_DBD!$D:$D,$A62)</f>
        <v>21</v>
      </c>
      <c r="E62" s="5" t="n">
        <f aca="false" t="array" ref="E62:E62">INDEX(Data_DBD!$E:$E,$A62)</f>
        <v>1</v>
      </c>
      <c r="F62" s="5" t="str">
        <f aca="false" t="array" ref="F62:F62">INDEX(Data_DBD!$F:$F,$A62)</f>
        <v>Tinggi</v>
      </c>
      <c r="H62" s="5" t="n">
        <v>30</v>
      </c>
      <c r="I62" s="5" t="n">
        <v>3</v>
      </c>
      <c r="J62" s="5" t="n">
        <v>2</v>
      </c>
      <c r="K62" s="5" t="n">
        <v>14</v>
      </c>
      <c r="L62" s="5" t="n">
        <v>1</v>
      </c>
      <c r="M62" s="5" t="s">
        <v>7</v>
      </c>
    </row>
    <row r="63" customFormat="false" ht="15" hidden="false" customHeight="false" outlineLevel="0" collapsed="false">
      <c r="A63" s="5" t="n">
        <f aca="false">RANDBETWEEN(2,164)</f>
        <v>71</v>
      </c>
      <c r="B63" s="5" t="n">
        <f aca="false" t="array" ref="B63:B63">INDEX(Data_DBD!$B:$B,$A63)</f>
        <v>84</v>
      </c>
      <c r="C63" s="5" t="n">
        <f aca="false" t="array" ref="C63:C63">INDEX(Data_DBD!$C:$C,$A63)</f>
        <v>3</v>
      </c>
      <c r="D63" s="5" t="n">
        <f aca="false" t="array" ref="D63:D63">INDEX(Data_DBD!$D:$D,$A63)</f>
        <v>10</v>
      </c>
      <c r="E63" s="5" t="n">
        <f aca="false" t="array" ref="E63:E63">INDEX(Data_DBD!$E:$E,$A63)</f>
        <v>0</v>
      </c>
      <c r="F63" s="5" t="str">
        <f aca="false" t="array" ref="F63:F63">INDEX(Data_DBD!$F:$F,$A63)</f>
        <v>Rendah</v>
      </c>
      <c r="H63" s="5" t="n">
        <v>137</v>
      </c>
      <c r="I63" s="5" t="n">
        <v>3</v>
      </c>
      <c r="J63" s="5" t="n">
        <v>1</v>
      </c>
      <c r="K63" s="5" t="n">
        <v>33</v>
      </c>
      <c r="L63" s="5" t="n">
        <v>1</v>
      </c>
      <c r="M63" s="5" t="s">
        <v>115</v>
      </c>
    </row>
    <row r="64" customFormat="false" ht="15" hidden="false" customHeight="false" outlineLevel="0" collapsed="false">
      <c r="A64" s="5" t="n">
        <f aca="false">RANDBETWEEN(2,164)</f>
        <v>100</v>
      </c>
      <c r="B64" s="5" t="n">
        <f aca="false" t="array" ref="B64:B64">INDEX(Data_DBD!$B:$B,$A64)</f>
        <v>19</v>
      </c>
      <c r="C64" s="5" t="n">
        <f aca="false" t="array" ref="C64:C64">INDEX(Data_DBD!$C:$C,$A64)</f>
        <v>6</v>
      </c>
      <c r="D64" s="5" t="n">
        <f aca="false" t="array" ref="D64:D64">INDEX(Data_DBD!$D:$D,$A64)</f>
        <v>18</v>
      </c>
      <c r="E64" s="5" t="n">
        <f aca="false" t="array" ref="E64:E64">INDEX(Data_DBD!$E:$E,$A64)</f>
        <v>0</v>
      </c>
      <c r="F64" s="5" t="str">
        <f aca="false" t="array" ref="F64:F64">INDEX(Data_DBD!$F:$F,$A64)</f>
        <v>Sedang</v>
      </c>
      <c r="H64" s="5" t="n">
        <v>151</v>
      </c>
      <c r="I64" s="5" t="n">
        <v>24</v>
      </c>
      <c r="J64" s="5" t="n">
        <v>3</v>
      </c>
      <c r="K64" s="5" t="n">
        <v>21</v>
      </c>
      <c r="L64" s="5" t="n">
        <v>0</v>
      </c>
      <c r="M64" s="5" t="s">
        <v>115</v>
      </c>
    </row>
    <row r="65" customFormat="false" ht="15" hidden="false" customHeight="false" outlineLevel="0" collapsed="false">
      <c r="A65" s="5" t="n">
        <f aca="false">RANDBETWEEN(2,164)</f>
        <v>109</v>
      </c>
      <c r="B65" s="5" t="n">
        <f aca="false" t="array" ref="B65:B65">INDEX(Data_DBD!$B:$B,$A65)</f>
        <v>40</v>
      </c>
      <c r="C65" s="5" t="n">
        <f aca="false" t="array" ref="C65:C65">INDEX(Data_DBD!$C:$C,$A65)</f>
        <v>3</v>
      </c>
      <c r="D65" s="5" t="n">
        <f aca="false" t="array" ref="D65:D65">INDEX(Data_DBD!$D:$D,$A65)</f>
        <v>33</v>
      </c>
      <c r="E65" s="5" t="n">
        <f aca="false" t="array" ref="E65:E65">INDEX(Data_DBD!$E:$E,$A65)</f>
        <v>1</v>
      </c>
      <c r="F65" s="5" t="str">
        <f aca="false" t="array" ref="F65:F65">INDEX(Data_DBD!$F:$F,$A65)</f>
        <v>Tinggi</v>
      </c>
      <c r="H65" s="5" t="n">
        <v>112</v>
      </c>
      <c r="I65" s="5" t="n">
        <v>61</v>
      </c>
      <c r="J65" s="5" t="n">
        <v>3</v>
      </c>
      <c r="K65" s="5" t="n">
        <v>33</v>
      </c>
      <c r="L65" s="5" t="n">
        <v>1</v>
      </c>
      <c r="M65" s="5" t="s">
        <v>115</v>
      </c>
    </row>
    <row r="66" customFormat="false" ht="15" hidden="false" customHeight="false" outlineLevel="0" collapsed="false">
      <c r="A66" s="5" t="n">
        <f aca="false">RANDBETWEEN(2,164)</f>
        <v>6</v>
      </c>
      <c r="B66" s="5" t="n">
        <f aca="false" t="array" ref="B66:B66">INDEX(Data_DBD!$B:$B,$A66)</f>
        <v>14</v>
      </c>
      <c r="C66" s="5" t="n">
        <f aca="false" t="array" ref="C66:C66">INDEX(Data_DBD!$C:$C,$A66)</f>
        <v>4</v>
      </c>
      <c r="D66" s="5" t="n">
        <f aca="false" t="array" ref="D66:D66">INDEX(Data_DBD!$D:$D,$A66)</f>
        <v>12</v>
      </c>
      <c r="E66" s="5" t="n">
        <f aca="false" t="array" ref="E66:E66">INDEX(Data_DBD!$E:$E,$A66)</f>
        <v>0</v>
      </c>
      <c r="F66" s="5" t="str">
        <f aca="false" t="array" ref="F66:F66">INDEX(Data_DBD!$F:$F,$A66)</f>
        <v>Sedang</v>
      </c>
      <c r="H66" s="5" t="n">
        <v>32</v>
      </c>
      <c r="I66" s="5" t="n">
        <v>54</v>
      </c>
      <c r="J66" s="5" t="n">
        <v>4</v>
      </c>
      <c r="K66" s="5" t="n">
        <v>14</v>
      </c>
      <c r="L66" s="5" t="n">
        <v>0</v>
      </c>
      <c r="M66" s="5" t="s">
        <v>7</v>
      </c>
    </row>
    <row r="67" customFormat="false" ht="15" hidden="false" customHeight="false" outlineLevel="0" collapsed="false">
      <c r="A67" s="5" t="n">
        <f aca="false">RANDBETWEEN(2,164)</f>
        <v>72</v>
      </c>
      <c r="B67" s="5" t="n">
        <f aca="false" t="array" ref="B67:B67">INDEX(Data_DBD!$B:$B,$A67)</f>
        <v>3</v>
      </c>
      <c r="C67" s="5" t="n">
        <f aca="false" t="array" ref="C67:C67">INDEX(Data_DBD!$C:$C,$A67)</f>
        <v>5</v>
      </c>
      <c r="D67" s="5" t="n">
        <f aca="false" t="array" ref="D67:D67">INDEX(Data_DBD!$D:$D,$A67)</f>
        <v>10</v>
      </c>
      <c r="E67" s="5" t="n">
        <f aca="false" t="array" ref="E67:E67">INDEX(Data_DBD!$E:$E,$A67)</f>
        <v>1</v>
      </c>
      <c r="F67" s="5" t="str">
        <f aca="false" t="array" ref="F67:F67">INDEX(Data_DBD!$F:$F,$A67)</f>
        <v>Rendah</v>
      </c>
      <c r="H67" s="5" t="n">
        <v>112</v>
      </c>
      <c r="I67" s="5" t="n">
        <v>61</v>
      </c>
      <c r="J67" s="5" t="n">
        <v>3</v>
      </c>
      <c r="K67" s="5" t="n">
        <v>33</v>
      </c>
      <c r="L67" s="5" t="n">
        <v>1</v>
      </c>
      <c r="M67" s="5" t="s">
        <v>115</v>
      </c>
    </row>
    <row r="68" customFormat="false" ht="15" hidden="false" customHeight="false" outlineLevel="0" collapsed="false">
      <c r="A68" s="5" t="n">
        <f aca="false">RANDBETWEEN(2,164)</f>
        <v>161</v>
      </c>
      <c r="B68" s="5" t="n">
        <f aca="false" t="array" ref="B68:B68">INDEX(Data_DBD!$B:$B,$A68)</f>
        <v>12</v>
      </c>
      <c r="C68" s="5" t="n">
        <f aca="false" t="array" ref="C68:C68">INDEX(Data_DBD!$C:$C,$A68)</f>
        <v>3</v>
      </c>
      <c r="D68" s="5" t="n">
        <f aca="false" t="array" ref="D68:D68">INDEX(Data_DBD!$D:$D,$A68)</f>
        <v>21</v>
      </c>
      <c r="E68" s="5" t="n">
        <f aca="false" t="array" ref="E68:E68">INDEX(Data_DBD!$E:$E,$A68)</f>
        <v>1</v>
      </c>
      <c r="F68" s="5" t="str">
        <f aca="false" t="array" ref="F68:F68">INDEX(Data_DBD!$F:$F,$A68)</f>
        <v>Tinggi</v>
      </c>
      <c r="H68" s="5" t="n">
        <v>54</v>
      </c>
      <c r="I68" s="5" t="n">
        <v>7</v>
      </c>
      <c r="J68" s="5" t="n">
        <v>3</v>
      </c>
      <c r="K68" s="5" t="n">
        <v>15</v>
      </c>
      <c r="L68" s="5" t="n">
        <v>0</v>
      </c>
      <c r="M68" s="5" t="s">
        <v>7</v>
      </c>
    </row>
    <row r="69" customFormat="false" ht="15" hidden="false" customHeight="false" outlineLevel="0" collapsed="false">
      <c r="A69" s="5" t="n">
        <f aca="false">RANDBETWEEN(2,164)</f>
        <v>41</v>
      </c>
      <c r="B69" s="5" t="n">
        <f aca="false" t="array" ref="B69:B69">INDEX(Data_DBD!$B:$B,$A69)</f>
        <v>8</v>
      </c>
      <c r="C69" s="5" t="n">
        <f aca="false" t="array" ref="C69:C69">INDEX(Data_DBD!$C:$C,$A69)</f>
        <v>4</v>
      </c>
      <c r="D69" s="5" t="n">
        <f aca="false" t="array" ref="D69:D69">INDEX(Data_DBD!$D:$D,$A69)</f>
        <v>13</v>
      </c>
      <c r="E69" s="5" t="n">
        <f aca="false" t="array" ref="E69:E69">INDEX(Data_DBD!$E:$E,$A69)</f>
        <v>0</v>
      </c>
      <c r="F69" s="5" t="str">
        <f aca="false" t="array" ref="F69:F69">INDEX(Data_DBD!$F:$F,$A69)</f>
        <v>Sedang</v>
      </c>
      <c r="H69" s="5" t="n">
        <v>16</v>
      </c>
      <c r="I69" s="5" t="n">
        <v>66</v>
      </c>
      <c r="J69" s="5" t="n">
        <v>5</v>
      </c>
      <c r="K69" s="5" t="n">
        <v>7</v>
      </c>
      <c r="L69" s="5" t="n">
        <v>1</v>
      </c>
      <c r="M69" s="5" t="s">
        <v>20</v>
      </c>
    </row>
    <row r="70" customFormat="false" ht="15" hidden="false" customHeight="false" outlineLevel="0" collapsed="false">
      <c r="A70" s="5" t="n">
        <f aca="false">RANDBETWEEN(2,164)</f>
        <v>157</v>
      </c>
      <c r="B70" s="5" t="n">
        <f aca="false" t="array" ref="B70:B70">INDEX(Data_DBD!$B:$B,$A70)</f>
        <v>15</v>
      </c>
      <c r="C70" s="5" t="n">
        <f aca="false" t="array" ref="C70:C70">INDEX(Data_DBD!$C:$C,$A70)</f>
        <v>4</v>
      </c>
      <c r="D70" s="5" t="n">
        <f aca="false" t="array" ref="D70:D70">INDEX(Data_DBD!$D:$D,$A70)</f>
        <v>21</v>
      </c>
      <c r="E70" s="5" t="n">
        <f aca="false" t="array" ref="E70:E70">INDEX(Data_DBD!$E:$E,$A70)</f>
        <v>1</v>
      </c>
      <c r="F70" s="5" t="str">
        <f aca="false" t="array" ref="F70:F70">INDEX(Data_DBD!$F:$F,$A70)</f>
        <v>Tinggi</v>
      </c>
      <c r="H70" s="5" t="n">
        <v>8</v>
      </c>
      <c r="I70" s="5" t="n">
        <v>4</v>
      </c>
      <c r="J70" s="5" t="n">
        <v>2</v>
      </c>
      <c r="K70" s="5" t="n">
        <v>12</v>
      </c>
      <c r="L70" s="5" t="n">
        <v>0</v>
      </c>
      <c r="M70" s="5" t="s">
        <v>7</v>
      </c>
    </row>
    <row r="71" customFormat="false" ht="15" hidden="false" customHeight="false" outlineLevel="0" collapsed="false">
      <c r="A71" s="5" t="n">
        <f aca="false">RANDBETWEEN(2,164)</f>
        <v>15</v>
      </c>
      <c r="B71" s="5" t="n">
        <f aca="false" t="array" ref="B71:B71">INDEX(Data_DBD!$B:$B,$A71)</f>
        <v>21</v>
      </c>
      <c r="C71" s="5" t="n">
        <f aca="false" t="array" ref="C71:C71">INDEX(Data_DBD!$C:$C,$A71)</f>
        <v>2</v>
      </c>
      <c r="D71" s="5" t="n">
        <f aca="false" t="array" ref="D71:D71">INDEX(Data_DBD!$D:$D,$A71)</f>
        <v>7</v>
      </c>
      <c r="E71" s="5" t="n">
        <f aca="false" t="array" ref="E71:E71">INDEX(Data_DBD!$E:$E,$A71)</f>
        <v>0</v>
      </c>
      <c r="F71" s="5" t="str">
        <f aca="false" t="array" ref="F71:F71">INDEX(Data_DBD!$F:$F,$A71)</f>
        <v>Rendah</v>
      </c>
      <c r="H71" s="5" t="n">
        <v>30</v>
      </c>
      <c r="I71" s="5" t="n">
        <v>3</v>
      </c>
      <c r="J71" s="5" t="n">
        <v>2</v>
      </c>
      <c r="K71" s="5" t="n">
        <v>14</v>
      </c>
      <c r="L71" s="5" t="n">
        <v>1</v>
      </c>
      <c r="M71" s="5" t="s">
        <v>7</v>
      </c>
    </row>
    <row r="72" customFormat="false" ht="15" hidden="false" customHeight="false" outlineLevel="0" collapsed="false">
      <c r="A72" s="5" t="n">
        <f aca="false">RANDBETWEEN(2,164)</f>
        <v>139</v>
      </c>
      <c r="B72" s="5" t="n">
        <f aca="false" t="array" ref="B72:B72">INDEX(Data_DBD!$B:$B,$A72)</f>
        <v>52</v>
      </c>
      <c r="C72" s="5" t="n">
        <f aca="false" t="array" ref="C72:C72">INDEX(Data_DBD!$C:$C,$A72)</f>
        <v>7</v>
      </c>
      <c r="D72" s="5" t="n">
        <f aca="false" t="array" ref="D72:D72">INDEX(Data_DBD!$D:$D,$A72)</f>
        <v>21</v>
      </c>
      <c r="E72" s="5" t="n">
        <f aca="false" t="array" ref="E72:E72">INDEX(Data_DBD!$E:$E,$A72)</f>
        <v>0</v>
      </c>
      <c r="F72" s="5" t="str">
        <f aca="false" t="array" ref="F72:F72">INDEX(Data_DBD!$F:$F,$A72)</f>
        <v>Tinggi</v>
      </c>
      <c r="H72" s="5" t="n">
        <v>135</v>
      </c>
      <c r="I72" s="5" t="n">
        <v>10</v>
      </c>
      <c r="J72" s="5" t="n">
        <v>2</v>
      </c>
      <c r="K72" s="5" t="n">
        <v>33</v>
      </c>
      <c r="L72" s="5" t="n">
        <v>0</v>
      </c>
      <c r="M72" s="5" t="s">
        <v>115</v>
      </c>
    </row>
    <row r="73" customFormat="false" ht="15" hidden="false" customHeight="false" outlineLevel="0" collapsed="false">
      <c r="A73" s="5" t="n">
        <f aca="false">RANDBETWEEN(2,164)</f>
        <v>61</v>
      </c>
      <c r="B73" s="5" t="n">
        <f aca="false" t="array" ref="B73:B73">INDEX(Data_DBD!$B:$B,$A73)</f>
        <v>29</v>
      </c>
      <c r="C73" s="5" t="n">
        <f aca="false" t="array" ref="C73:C73">INDEX(Data_DBD!$C:$C,$A73)</f>
        <v>3</v>
      </c>
      <c r="D73" s="5" t="n">
        <f aca="false" t="array" ref="D73:D73">INDEX(Data_DBD!$D:$D,$A73)</f>
        <v>15</v>
      </c>
      <c r="E73" s="5" t="n">
        <f aca="false" t="array" ref="E73:E73">INDEX(Data_DBD!$E:$E,$A73)</f>
        <v>1</v>
      </c>
      <c r="F73" s="5" t="str">
        <f aca="false" t="array" ref="F73:F73">INDEX(Data_DBD!$F:$F,$A73)</f>
        <v>Sedang</v>
      </c>
      <c r="H73" s="5" t="n">
        <v>15</v>
      </c>
      <c r="I73" s="5" t="n">
        <v>21</v>
      </c>
      <c r="J73" s="5" t="n">
        <v>2</v>
      </c>
      <c r="K73" s="5" t="n">
        <v>7</v>
      </c>
      <c r="L73" s="5" t="n">
        <v>0</v>
      </c>
      <c r="M73" s="5" t="s">
        <v>20</v>
      </c>
    </row>
    <row r="74" customFormat="false" ht="15" hidden="false" customHeight="false" outlineLevel="0" collapsed="false">
      <c r="A74" s="5" t="n">
        <f aca="false">RANDBETWEEN(2,164)</f>
        <v>145</v>
      </c>
      <c r="B74" s="5" t="n">
        <f aca="false" t="array" ref="B74:B74">INDEX(Data_DBD!$B:$B,$A74)</f>
        <v>28</v>
      </c>
      <c r="C74" s="5" t="n">
        <f aca="false" t="array" ref="C74:C74">INDEX(Data_DBD!$C:$C,$A74)</f>
        <v>4</v>
      </c>
      <c r="D74" s="5" t="n">
        <f aca="false" t="array" ref="D74:D74">INDEX(Data_DBD!$D:$D,$A74)</f>
        <v>21</v>
      </c>
      <c r="E74" s="5" t="n">
        <f aca="false" t="array" ref="E74:E74">INDEX(Data_DBD!$E:$E,$A74)</f>
        <v>1</v>
      </c>
      <c r="F74" s="5" t="str">
        <f aca="false" t="array" ref="F74:F74">INDEX(Data_DBD!$F:$F,$A74)</f>
        <v>Tinggi</v>
      </c>
      <c r="H74" s="5" t="n">
        <v>158</v>
      </c>
      <c r="I74" s="5" t="n">
        <v>5</v>
      </c>
      <c r="J74" s="5" t="n">
        <v>2</v>
      </c>
      <c r="K74" s="5" t="n">
        <v>21</v>
      </c>
      <c r="L74" s="5" t="n">
        <v>0</v>
      </c>
      <c r="M74" s="5" t="s">
        <v>115</v>
      </c>
    </row>
    <row r="75" customFormat="false" ht="15" hidden="false" customHeight="false" outlineLevel="0" collapsed="false">
      <c r="A75" s="5" t="n">
        <f aca="false">RANDBETWEEN(2,164)</f>
        <v>146</v>
      </c>
      <c r="B75" s="5" t="n">
        <f aca="false" t="array" ref="B75:B75">INDEX(Data_DBD!$B:$B,$A75)</f>
        <v>34</v>
      </c>
      <c r="C75" s="5" t="n">
        <f aca="false" t="array" ref="C75:C75">INDEX(Data_DBD!$C:$C,$A75)</f>
        <v>2</v>
      </c>
      <c r="D75" s="5" t="n">
        <f aca="false" t="array" ref="D75:D75">INDEX(Data_DBD!$D:$D,$A75)</f>
        <v>21</v>
      </c>
      <c r="E75" s="5" t="n">
        <f aca="false" t="array" ref="E75:E75">INDEX(Data_DBD!$E:$E,$A75)</f>
        <v>1</v>
      </c>
      <c r="F75" s="5" t="str">
        <f aca="false" t="array" ref="F75:F75">INDEX(Data_DBD!$F:$F,$A75)</f>
        <v>Tinggi</v>
      </c>
      <c r="H75" s="5" t="n">
        <v>32</v>
      </c>
      <c r="I75" s="5" t="n">
        <v>54</v>
      </c>
      <c r="J75" s="5" t="n">
        <v>4</v>
      </c>
      <c r="K75" s="5" t="n">
        <v>14</v>
      </c>
      <c r="L75" s="5" t="n">
        <v>0</v>
      </c>
      <c r="M75" s="5" t="s">
        <v>7</v>
      </c>
    </row>
    <row r="76" customFormat="false" ht="15" hidden="false" customHeight="false" outlineLevel="0" collapsed="false">
      <c r="A76" s="5" t="n">
        <f aca="false">RANDBETWEEN(2,164)</f>
        <v>30</v>
      </c>
      <c r="B76" s="5" t="n">
        <f aca="false" t="array" ref="B76:B76">INDEX(Data_DBD!$B:$B,$A76)</f>
        <v>3</v>
      </c>
      <c r="C76" s="5" t="n">
        <f aca="false" t="array" ref="C76:C76">INDEX(Data_DBD!$C:$C,$A76)</f>
        <v>2</v>
      </c>
      <c r="D76" s="5" t="n">
        <f aca="false" t="array" ref="D76:D76">INDEX(Data_DBD!$D:$D,$A76)</f>
        <v>14</v>
      </c>
      <c r="E76" s="5" t="n">
        <f aca="false" t="array" ref="E76:E76">INDEX(Data_DBD!$E:$E,$A76)</f>
        <v>1</v>
      </c>
      <c r="F76" s="5" t="str">
        <f aca="false" t="array" ref="F76:F76">INDEX(Data_DBD!$F:$F,$A76)</f>
        <v>Sedang</v>
      </c>
      <c r="H76" s="5" t="n">
        <v>106</v>
      </c>
      <c r="I76" s="5" t="n">
        <v>23</v>
      </c>
      <c r="J76" s="5" t="n">
        <v>3</v>
      </c>
      <c r="K76" s="5" t="n">
        <v>18</v>
      </c>
      <c r="L76" s="5" t="n">
        <v>1</v>
      </c>
      <c r="M76" s="5" t="s">
        <v>7</v>
      </c>
    </row>
    <row r="77" customFormat="false" ht="15" hidden="false" customHeight="false" outlineLevel="0" collapsed="false">
      <c r="A77" s="5" t="n">
        <f aca="false">RANDBETWEEN(2,164)</f>
        <v>61</v>
      </c>
      <c r="B77" s="5" t="n">
        <f aca="false" t="array" ref="B77:B77">INDEX(Data_DBD!$B:$B,$A77)</f>
        <v>29</v>
      </c>
      <c r="C77" s="5" t="n">
        <f aca="false" t="array" ref="C77:C77">INDEX(Data_DBD!$C:$C,$A77)</f>
        <v>3</v>
      </c>
      <c r="D77" s="5" t="n">
        <f aca="false" t="array" ref="D77:D77">INDEX(Data_DBD!$D:$D,$A77)</f>
        <v>15</v>
      </c>
      <c r="E77" s="5" t="n">
        <f aca="false" t="array" ref="E77:E77">INDEX(Data_DBD!$E:$E,$A77)</f>
        <v>1</v>
      </c>
      <c r="F77" s="5" t="str">
        <f aca="false" t="array" ref="F77:F77">INDEX(Data_DBD!$F:$F,$A77)</f>
        <v>Sedang</v>
      </c>
      <c r="H77" s="5" t="n">
        <v>5</v>
      </c>
      <c r="I77" s="5" t="n">
        <v>18</v>
      </c>
      <c r="J77" s="5" t="n">
        <v>2</v>
      </c>
      <c r="K77" s="5" t="n">
        <v>12</v>
      </c>
      <c r="L77" s="5" t="n">
        <v>1</v>
      </c>
      <c r="M77" s="5" t="s">
        <v>7</v>
      </c>
    </row>
    <row r="78" customFormat="false" ht="15" hidden="false" customHeight="false" outlineLevel="0" collapsed="false">
      <c r="A78" s="5" t="n">
        <f aca="false">RANDBETWEEN(2,164)</f>
        <v>143</v>
      </c>
      <c r="B78" s="5" t="n">
        <f aca="false" t="array" ref="B78:B78">INDEX(Data_DBD!$B:$B,$A78)</f>
        <v>20</v>
      </c>
      <c r="C78" s="5" t="n">
        <f aca="false" t="array" ref="C78:C78">INDEX(Data_DBD!$C:$C,$A78)</f>
        <v>4</v>
      </c>
      <c r="D78" s="5" t="n">
        <f aca="false" t="array" ref="D78:D78">INDEX(Data_DBD!$D:$D,$A78)</f>
        <v>21</v>
      </c>
      <c r="E78" s="5" t="n">
        <f aca="false" t="array" ref="E78:E78">INDEX(Data_DBD!$E:$E,$A78)</f>
        <v>1</v>
      </c>
      <c r="F78" s="5" t="str">
        <f aca="false" t="array" ref="F78:F78">INDEX(Data_DBD!$F:$F,$A78)</f>
        <v>Tinggi</v>
      </c>
      <c r="H78" s="5" t="n">
        <v>46</v>
      </c>
      <c r="I78" s="5" t="n">
        <v>62</v>
      </c>
      <c r="J78" s="5" t="n">
        <v>2</v>
      </c>
      <c r="K78" s="5" t="n">
        <v>13</v>
      </c>
      <c r="L78" s="5" t="n">
        <v>0</v>
      </c>
      <c r="M78" s="5" t="s">
        <v>7</v>
      </c>
    </row>
    <row r="79" customFormat="false" ht="15" hidden="false" customHeight="false" outlineLevel="0" collapsed="false">
      <c r="A79" s="5" t="n">
        <f aca="false">RANDBETWEEN(2,164)</f>
        <v>28</v>
      </c>
      <c r="B79" s="5" t="n">
        <f aca="false" t="array" ref="B79:B79">INDEX(Data_DBD!$B:$B,$A79)</f>
        <v>22</v>
      </c>
      <c r="C79" s="5" t="n">
        <f aca="false" t="array" ref="C79:C79">INDEX(Data_DBD!$C:$C,$A79)</f>
        <v>2</v>
      </c>
      <c r="D79" s="5" t="n">
        <f aca="false" t="array" ref="D79:D79">INDEX(Data_DBD!$D:$D,$A79)</f>
        <v>14</v>
      </c>
      <c r="E79" s="5" t="n">
        <f aca="false" t="array" ref="E79:E79">INDEX(Data_DBD!$E:$E,$A79)</f>
        <v>1</v>
      </c>
      <c r="F79" s="5" t="str">
        <f aca="false" t="array" ref="F79:F79">INDEX(Data_DBD!$F:$F,$A79)</f>
        <v>Sedang</v>
      </c>
      <c r="H79" s="5" t="n">
        <v>164</v>
      </c>
      <c r="I79" s="5" t="n">
        <v>10</v>
      </c>
      <c r="J79" s="5" t="n">
        <v>6</v>
      </c>
      <c r="K79" s="5" t="n">
        <v>3</v>
      </c>
      <c r="L79" s="5" t="n">
        <v>0</v>
      </c>
      <c r="M79" s="5" t="s">
        <v>20</v>
      </c>
    </row>
    <row r="80" customFormat="false" ht="15" hidden="false" customHeight="false" outlineLevel="0" collapsed="false">
      <c r="A80" s="5" t="n">
        <f aca="false">RANDBETWEEN(2,164)</f>
        <v>81</v>
      </c>
      <c r="B80" s="5" t="n">
        <f aca="false" t="array" ref="B80:B80">INDEX(Data_DBD!$B:$B,$A80)</f>
        <v>23</v>
      </c>
      <c r="C80" s="5" t="n">
        <f aca="false" t="array" ref="C80:C80">INDEX(Data_DBD!$C:$C,$A80)</f>
        <v>5</v>
      </c>
      <c r="D80" s="5" t="n">
        <f aca="false" t="array" ref="D80:D80">INDEX(Data_DBD!$D:$D,$A80)</f>
        <v>13</v>
      </c>
      <c r="E80" s="5" t="n">
        <f aca="false" t="array" ref="E80:E80">INDEX(Data_DBD!$E:$E,$A80)</f>
        <v>1</v>
      </c>
      <c r="F80" s="5" t="str">
        <f aca="false" t="array" ref="F80:F80">INDEX(Data_DBD!$F:$F,$A80)</f>
        <v>Sedang</v>
      </c>
      <c r="H80" s="5" t="n">
        <v>72</v>
      </c>
      <c r="I80" s="5" t="n">
        <v>3</v>
      </c>
      <c r="J80" s="5" t="n">
        <v>5</v>
      </c>
      <c r="K80" s="5" t="n">
        <v>10</v>
      </c>
      <c r="L80" s="5" t="n">
        <v>1</v>
      </c>
      <c r="M80" s="5" t="s">
        <v>20</v>
      </c>
    </row>
    <row r="81" customFormat="false" ht="15" hidden="false" customHeight="false" outlineLevel="0" collapsed="false">
      <c r="A81" s="5" t="n">
        <f aca="false">RANDBETWEEN(2,164)</f>
        <v>33</v>
      </c>
      <c r="B81" s="5" t="n">
        <f aca="false" t="array" ref="B81:B81">INDEX(Data_DBD!$B:$B,$A81)</f>
        <v>19</v>
      </c>
      <c r="C81" s="5" t="n">
        <f aca="false" t="array" ref="C81:C81">INDEX(Data_DBD!$C:$C,$A81)</f>
        <v>4</v>
      </c>
      <c r="D81" s="5" t="n">
        <f aca="false" t="array" ref="D81:D81">INDEX(Data_DBD!$D:$D,$A81)</f>
        <v>14</v>
      </c>
      <c r="E81" s="5" t="n">
        <f aca="false" t="array" ref="E81:E81">INDEX(Data_DBD!$E:$E,$A81)</f>
        <v>1</v>
      </c>
      <c r="F81" s="5" t="str">
        <f aca="false" t="array" ref="F81:F81">INDEX(Data_DBD!$F:$F,$A81)</f>
        <v>Sedang</v>
      </c>
      <c r="H81" s="5" t="n">
        <v>98</v>
      </c>
      <c r="I81" s="5" t="n">
        <v>16</v>
      </c>
      <c r="J81" s="5" t="n">
        <v>2</v>
      </c>
      <c r="K81" s="5" t="n">
        <v>18</v>
      </c>
      <c r="L81" s="5" t="n">
        <v>1</v>
      </c>
      <c r="M81" s="5" t="s">
        <v>7</v>
      </c>
    </row>
    <row r="82" customFormat="false" ht="15" hidden="false" customHeight="false" outlineLevel="0" collapsed="false">
      <c r="A82" s="5" t="n">
        <f aca="false">RANDBETWEEN(2,164)</f>
        <v>93</v>
      </c>
      <c r="B82" s="5" t="n">
        <f aca="false" t="array" ref="B82:B82">INDEX(Data_DBD!$B:$B,$A82)</f>
        <v>65</v>
      </c>
      <c r="C82" s="5" t="n">
        <f aca="false" t="array" ref="C82:C82">INDEX(Data_DBD!$C:$C,$A82)</f>
        <v>4</v>
      </c>
      <c r="D82" s="5" t="n">
        <f aca="false" t="array" ref="D82:D82">INDEX(Data_DBD!$D:$D,$A82)</f>
        <v>18</v>
      </c>
      <c r="E82" s="5" t="n">
        <f aca="false" t="array" ref="E82:E82">INDEX(Data_DBD!$E:$E,$A82)</f>
        <v>0</v>
      </c>
      <c r="F82" s="5" t="str">
        <f aca="false" t="array" ref="F82:F82">INDEX(Data_DBD!$F:$F,$A82)</f>
        <v>Sedang</v>
      </c>
      <c r="H82" s="5" t="n">
        <v>5</v>
      </c>
      <c r="I82" s="5" t="n">
        <v>18</v>
      </c>
      <c r="J82" s="5" t="n">
        <v>2</v>
      </c>
      <c r="K82" s="5" t="n">
        <v>12</v>
      </c>
      <c r="L82" s="5" t="n">
        <v>1</v>
      </c>
      <c r="M82" s="5" t="s">
        <v>7</v>
      </c>
    </row>
    <row r="83" customFormat="false" ht="15" hidden="false" customHeight="false" outlineLevel="0" collapsed="false">
      <c r="A83" s="5" t="n">
        <f aca="false">RANDBETWEEN(2,164)</f>
        <v>56</v>
      </c>
      <c r="B83" s="5" t="n">
        <f aca="false" t="array" ref="B83:B83">INDEX(Data_DBD!$B:$B,$A83)</f>
        <v>4</v>
      </c>
      <c r="C83" s="5" t="n">
        <f aca="false" t="array" ref="C83:C83">INDEX(Data_DBD!$C:$C,$A83)</f>
        <v>3</v>
      </c>
      <c r="D83" s="5" t="n">
        <f aca="false" t="array" ref="D83:D83">INDEX(Data_DBD!$D:$D,$A83)</f>
        <v>15</v>
      </c>
      <c r="E83" s="5" t="n">
        <f aca="false" t="array" ref="E83:E83">INDEX(Data_DBD!$E:$E,$A83)</f>
        <v>0</v>
      </c>
      <c r="F83" s="5" t="str">
        <f aca="false" t="array" ref="F83:F83">INDEX(Data_DBD!$F:$F,$A83)</f>
        <v>Sedang</v>
      </c>
      <c r="H83" s="5" t="n">
        <v>158</v>
      </c>
      <c r="I83" s="5" t="n">
        <v>5</v>
      </c>
      <c r="J83" s="5" t="n">
        <v>2</v>
      </c>
      <c r="K83" s="5" t="n">
        <v>21</v>
      </c>
      <c r="L83" s="5" t="n">
        <v>0</v>
      </c>
      <c r="M83" s="5" t="s">
        <v>115</v>
      </c>
    </row>
    <row r="84" customFormat="false" ht="15" hidden="false" customHeight="false" outlineLevel="0" collapsed="false">
      <c r="A84" s="5" t="n">
        <f aca="false">RANDBETWEEN(2,164)</f>
        <v>16</v>
      </c>
      <c r="B84" s="5" t="n">
        <f aca="false" t="array" ref="B84:B84">INDEX(Data_DBD!$B:$B,$A84)</f>
        <v>66</v>
      </c>
      <c r="C84" s="5" t="n">
        <f aca="false" t="array" ref="C84:C84">INDEX(Data_DBD!$C:$C,$A84)</f>
        <v>5</v>
      </c>
      <c r="D84" s="5" t="n">
        <f aca="false" t="array" ref="D84:D84">INDEX(Data_DBD!$D:$D,$A84)</f>
        <v>7</v>
      </c>
      <c r="E84" s="5" t="n">
        <f aca="false" t="array" ref="E84:E84">INDEX(Data_DBD!$E:$E,$A84)</f>
        <v>1</v>
      </c>
      <c r="F84" s="5" t="str">
        <f aca="false" t="array" ref="F84:F84">INDEX(Data_DBD!$F:$F,$A84)</f>
        <v>Rendah</v>
      </c>
      <c r="H84" s="5" t="n">
        <v>69</v>
      </c>
      <c r="I84" s="5" t="n">
        <v>24</v>
      </c>
      <c r="J84" s="5" t="n">
        <v>4</v>
      </c>
      <c r="K84" s="5" t="n">
        <v>10</v>
      </c>
      <c r="L84" s="5" t="n">
        <v>1</v>
      </c>
      <c r="M84" s="5" t="s">
        <v>20</v>
      </c>
    </row>
    <row r="85" customFormat="false" ht="15" hidden="false" customHeight="false" outlineLevel="0" collapsed="false">
      <c r="A85" s="5" t="n">
        <f aca="false">RANDBETWEEN(2,164)</f>
        <v>122</v>
      </c>
      <c r="B85" s="5" t="n">
        <f aca="false" t="array" ref="B85:B85">INDEX(Data_DBD!$B:$B,$A85)</f>
        <v>28</v>
      </c>
      <c r="C85" s="5" t="n">
        <f aca="false" t="array" ref="C85:C85">INDEX(Data_DBD!$C:$C,$A85)</f>
        <v>3</v>
      </c>
      <c r="D85" s="5" t="n">
        <f aca="false" t="array" ref="D85:D85">INDEX(Data_DBD!$D:$D,$A85)</f>
        <v>33</v>
      </c>
      <c r="E85" s="5" t="n">
        <f aca="false" t="array" ref="E85:E85">INDEX(Data_DBD!$E:$E,$A85)</f>
        <v>1</v>
      </c>
      <c r="F85" s="5" t="str">
        <f aca="false" t="array" ref="F85:F85">INDEX(Data_DBD!$F:$F,$A85)</f>
        <v>Tinggi</v>
      </c>
      <c r="H85" s="5" t="n">
        <v>8</v>
      </c>
      <c r="I85" s="5" t="n">
        <v>4</v>
      </c>
      <c r="J85" s="5" t="n">
        <v>2</v>
      </c>
      <c r="K85" s="5" t="n">
        <v>12</v>
      </c>
      <c r="L85" s="5" t="n">
        <v>0</v>
      </c>
      <c r="M85" s="5" t="s">
        <v>7</v>
      </c>
    </row>
    <row r="86" customFormat="false" ht="15" hidden="false" customHeight="false" outlineLevel="0" collapsed="false">
      <c r="A86" s="5" t="n">
        <f aca="false">RANDBETWEEN(2,164)</f>
        <v>114</v>
      </c>
      <c r="B86" s="5" t="n">
        <f aca="false" t="array" ref="B86:B86">INDEX(Data_DBD!$B:$B,$A86)</f>
        <v>14</v>
      </c>
      <c r="C86" s="5" t="n">
        <f aca="false" t="array" ref="C86:C86">INDEX(Data_DBD!$C:$C,$A86)</f>
        <v>2</v>
      </c>
      <c r="D86" s="5" t="n">
        <f aca="false" t="array" ref="D86:D86">INDEX(Data_DBD!$D:$D,$A86)</f>
        <v>33</v>
      </c>
      <c r="E86" s="5" t="n">
        <f aca="false" t="array" ref="E86:E86">INDEX(Data_DBD!$E:$E,$A86)</f>
        <v>1</v>
      </c>
      <c r="F86" s="5" t="str">
        <f aca="false" t="array" ref="F86:F86">INDEX(Data_DBD!$F:$F,$A86)</f>
        <v>Tinggi</v>
      </c>
      <c r="H86" s="5" t="n">
        <v>157</v>
      </c>
      <c r="I86" s="5" t="n">
        <v>15</v>
      </c>
      <c r="J86" s="5" t="n">
        <v>4</v>
      </c>
      <c r="K86" s="5" t="n">
        <v>21</v>
      </c>
      <c r="L86" s="5" t="n">
        <v>1</v>
      </c>
      <c r="M86" s="5" t="s">
        <v>115</v>
      </c>
    </row>
    <row r="87" customFormat="false" ht="15" hidden="false" customHeight="false" outlineLevel="0" collapsed="false">
      <c r="A87" s="5" t="n">
        <f aca="false">RANDBETWEEN(2,164)</f>
        <v>139</v>
      </c>
      <c r="B87" s="5" t="n">
        <f aca="false" t="array" ref="B87:B87">INDEX(Data_DBD!$B:$B,$A87)</f>
        <v>52</v>
      </c>
      <c r="C87" s="5" t="n">
        <f aca="false" t="array" ref="C87:C87">INDEX(Data_DBD!$C:$C,$A87)</f>
        <v>7</v>
      </c>
      <c r="D87" s="5" t="n">
        <f aca="false" t="array" ref="D87:D87">INDEX(Data_DBD!$D:$D,$A87)</f>
        <v>21</v>
      </c>
      <c r="E87" s="5" t="n">
        <f aca="false" t="array" ref="E87:E87">INDEX(Data_DBD!$E:$E,$A87)</f>
        <v>0</v>
      </c>
      <c r="F87" s="5" t="str">
        <f aca="false" t="array" ref="F87:F87">INDEX(Data_DBD!$F:$F,$A87)</f>
        <v>Tinggi</v>
      </c>
      <c r="H87" s="5" t="n">
        <v>28</v>
      </c>
      <c r="I87" s="5" t="n">
        <v>22</v>
      </c>
      <c r="J87" s="5" t="n">
        <v>2</v>
      </c>
      <c r="K87" s="5" t="n">
        <v>14</v>
      </c>
      <c r="L87" s="5" t="n">
        <v>1</v>
      </c>
      <c r="M87" s="5" t="s">
        <v>7</v>
      </c>
    </row>
    <row r="88" customFormat="false" ht="15" hidden="false" customHeight="false" outlineLevel="0" collapsed="false">
      <c r="A88" s="5" t="n">
        <f aca="false">RANDBETWEEN(2,164)</f>
        <v>36</v>
      </c>
      <c r="B88" s="5" t="n">
        <f aca="false" t="array" ref="B88:B88">INDEX(Data_DBD!$B:$B,$A88)</f>
        <v>27</v>
      </c>
      <c r="C88" s="5" t="n">
        <f aca="false" t="array" ref="C88:C88">INDEX(Data_DBD!$C:$C,$A88)</f>
        <v>1</v>
      </c>
      <c r="D88" s="5" t="n">
        <f aca="false" t="array" ref="D88:D88">INDEX(Data_DBD!$D:$D,$A88)</f>
        <v>4</v>
      </c>
      <c r="E88" s="5" t="n">
        <f aca="false" t="array" ref="E88:E88">INDEX(Data_DBD!$E:$E,$A88)</f>
        <v>1</v>
      </c>
      <c r="F88" s="5" t="str">
        <f aca="false" t="array" ref="F88:F88">INDEX(Data_DBD!$F:$F,$A88)</f>
        <v>Rendah</v>
      </c>
      <c r="H88" s="5" t="n">
        <v>14</v>
      </c>
      <c r="I88" s="5" t="n">
        <v>49</v>
      </c>
      <c r="J88" s="5" t="n">
        <v>4</v>
      </c>
      <c r="K88" s="5" t="n">
        <v>7</v>
      </c>
      <c r="L88" s="5" t="n">
        <v>1</v>
      </c>
      <c r="M88" s="5" t="s">
        <v>20</v>
      </c>
    </row>
    <row r="89" customFormat="false" ht="15" hidden="false" customHeight="false" outlineLevel="0" collapsed="false">
      <c r="A89" s="5" t="n">
        <f aca="false">RANDBETWEEN(2,164)</f>
        <v>8</v>
      </c>
      <c r="B89" s="5" t="n">
        <f aca="false" t="array" ref="B89:B89">INDEX(Data_DBD!$B:$B,$A89)</f>
        <v>4</v>
      </c>
      <c r="C89" s="5" t="n">
        <f aca="false" t="array" ref="C89:C89">INDEX(Data_DBD!$C:$C,$A89)</f>
        <v>2</v>
      </c>
      <c r="D89" s="5" t="n">
        <f aca="false" t="array" ref="D89:D89">INDEX(Data_DBD!$D:$D,$A89)</f>
        <v>12</v>
      </c>
      <c r="E89" s="5" t="n">
        <f aca="false" t="array" ref="E89:E89">INDEX(Data_DBD!$E:$E,$A89)</f>
        <v>0</v>
      </c>
      <c r="F89" s="5" t="str">
        <f aca="false" t="array" ref="F89:F89">INDEX(Data_DBD!$F:$F,$A89)</f>
        <v>Sedang</v>
      </c>
      <c r="H89" s="5" t="n">
        <v>58</v>
      </c>
      <c r="I89" s="5" t="n">
        <v>17</v>
      </c>
      <c r="J89" s="5" t="n">
        <v>3</v>
      </c>
      <c r="K89" s="5" t="n">
        <v>15</v>
      </c>
      <c r="L89" s="5" t="n">
        <v>0</v>
      </c>
      <c r="M89" s="5" t="s">
        <v>7</v>
      </c>
    </row>
    <row r="90" customFormat="false" ht="15" hidden="false" customHeight="false" outlineLevel="0" collapsed="false">
      <c r="A90" s="5" t="n">
        <f aca="false">RANDBETWEEN(2,164)</f>
        <v>88</v>
      </c>
      <c r="B90" s="5" t="n">
        <f aca="false" t="array" ref="B90:B90">INDEX(Data_DBD!$B:$B,$A90)</f>
        <v>20</v>
      </c>
      <c r="C90" s="5" t="n">
        <f aca="false" t="array" ref="C90:C90">INDEX(Data_DBD!$C:$C,$A90)</f>
        <v>4</v>
      </c>
      <c r="D90" s="5" t="n">
        <f aca="false" t="array" ref="D90:D90">INDEX(Data_DBD!$D:$D,$A90)</f>
        <v>13</v>
      </c>
      <c r="E90" s="5" t="n">
        <f aca="false" t="array" ref="E90:E90">INDEX(Data_DBD!$E:$E,$A90)</f>
        <v>1</v>
      </c>
      <c r="F90" s="5" t="str">
        <f aca="false" t="array" ref="F90:F90">INDEX(Data_DBD!$F:$F,$A90)</f>
        <v>Sedang</v>
      </c>
      <c r="H90" s="5" t="n">
        <v>157</v>
      </c>
      <c r="I90" s="5" t="n">
        <v>15</v>
      </c>
      <c r="J90" s="5" t="n">
        <v>4</v>
      </c>
      <c r="K90" s="5" t="n">
        <v>21</v>
      </c>
      <c r="L90" s="5" t="n">
        <v>1</v>
      </c>
      <c r="M90" s="5" t="s">
        <v>115</v>
      </c>
    </row>
    <row r="91" customFormat="false" ht="15" hidden="false" customHeight="false" outlineLevel="0" collapsed="false">
      <c r="A91" s="5" t="n">
        <f aca="false">RANDBETWEEN(2,164)</f>
        <v>49</v>
      </c>
      <c r="B91" s="5" t="n">
        <f aca="false" t="array" ref="B91:B91">INDEX(Data_DBD!$B:$B,$A91)</f>
        <v>64</v>
      </c>
      <c r="C91" s="5" t="n">
        <f aca="false" t="array" ref="C91:C91">INDEX(Data_DBD!$C:$C,$A91)</f>
        <v>5</v>
      </c>
      <c r="D91" s="5" t="n">
        <f aca="false" t="array" ref="D91:D91">INDEX(Data_DBD!$D:$D,$A91)</f>
        <v>13</v>
      </c>
      <c r="E91" s="5" t="n">
        <f aca="false" t="array" ref="E91:E91">INDEX(Data_DBD!$E:$E,$A91)</f>
        <v>0</v>
      </c>
      <c r="F91" s="5" t="str">
        <f aca="false" t="array" ref="F91:F91">INDEX(Data_DBD!$F:$F,$A91)</f>
        <v>Sedang</v>
      </c>
      <c r="H91" s="5" t="n">
        <v>129</v>
      </c>
      <c r="I91" s="5" t="n">
        <v>4</v>
      </c>
      <c r="J91" s="5" t="n">
        <v>3</v>
      </c>
      <c r="K91" s="5" t="n">
        <v>33</v>
      </c>
      <c r="L91" s="5" t="n">
        <v>0</v>
      </c>
      <c r="M91" s="5" t="s">
        <v>115</v>
      </c>
    </row>
    <row r="92" customFormat="false" ht="15" hidden="false" customHeight="false" outlineLevel="0" collapsed="false">
      <c r="A92" s="5" t="n">
        <f aca="false">RANDBETWEEN(2,164)</f>
        <v>69</v>
      </c>
      <c r="B92" s="5" t="n">
        <f aca="false" t="array" ref="B92:B92">INDEX(Data_DBD!$B:$B,$A92)</f>
        <v>24</v>
      </c>
      <c r="C92" s="5" t="n">
        <f aca="false" t="array" ref="C92:C92">INDEX(Data_DBD!$C:$C,$A92)</f>
        <v>4</v>
      </c>
      <c r="D92" s="5" t="n">
        <f aca="false" t="array" ref="D92:D92">INDEX(Data_DBD!$D:$D,$A92)</f>
        <v>10</v>
      </c>
      <c r="E92" s="5" t="n">
        <f aca="false" t="array" ref="E92:E92">INDEX(Data_DBD!$E:$E,$A92)</f>
        <v>1</v>
      </c>
      <c r="F92" s="5" t="str">
        <f aca="false" t="array" ref="F92:F92">INDEX(Data_DBD!$F:$F,$A92)</f>
        <v>Rendah</v>
      </c>
      <c r="H92" s="5" t="n">
        <v>120</v>
      </c>
      <c r="I92" s="5" t="n">
        <v>26</v>
      </c>
      <c r="J92" s="5" t="n">
        <v>4</v>
      </c>
      <c r="K92" s="5" t="n">
        <v>33</v>
      </c>
      <c r="L92" s="5" t="n">
        <v>1</v>
      </c>
      <c r="M92" s="5" t="s">
        <v>115</v>
      </c>
    </row>
    <row r="93" customFormat="false" ht="15" hidden="false" customHeight="false" outlineLevel="0" collapsed="false">
      <c r="A93" s="5" t="n">
        <f aca="false">RANDBETWEEN(2,164)</f>
        <v>121</v>
      </c>
      <c r="B93" s="5" t="n">
        <f aca="false" t="array" ref="B93:B93">INDEX(Data_DBD!$B:$B,$A93)</f>
        <v>82</v>
      </c>
      <c r="C93" s="5" t="n">
        <f aca="false" t="array" ref="C93:C93">INDEX(Data_DBD!$C:$C,$A93)</f>
        <v>5</v>
      </c>
      <c r="D93" s="5" t="n">
        <f aca="false" t="array" ref="D93:D93">INDEX(Data_DBD!$D:$D,$A93)</f>
        <v>33</v>
      </c>
      <c r="E93" s="5" t="n">
        <f aca="false" t="array" ref="E93:E93">INDEX(Data_DBD!$E:$E,$A93)</f>
        <v>1</v>
      </c>
      <c r="F93" s="5" t="str">
        <f aca="false" t="array" ref="F93:F93">INDEX(Data_DBD!$F:$F,$A93)</f>
        <v>Tinggi</v>
      </c>
      <c r="H93" s="5" t="n">
        <v>56</v>
      </c>
      <c r="I93" s="5" t="n">
        <v>4</v>
      </c>
      <c r="J93" s="5" t="n">
        <v>3</v>
      </c>
      <c r="K93" s="5" t="n">
        <v>15</v>
      </c>
      <c r="L93" s="5" t="n">
        <v>0</v>
      </c>
      <c r="M93" s="5" t="s">
        <v>7</v>
      </c>
    </row>
    <row r="94" customFormat="false" ht="15" hidden="false" customHeight="false" outlineLevel="0" collapsed="false">
      <c r="A94" s="5" t="n">
        <f aca="false">RANDBETWEEN(2,164)</f>
        <v>124</v>
      </c>
      <c r="B94" s="5" t="n">
        <f aca="false" t="array" ref="B94:B94">INDEX(Data_DBD!$B:$B,$A94)</f>
        <v>24</v>
      </c>
      <c r="C94" s="5" t="n">
        <f aca="false" t="array" ref="C94:C94">INDEX(Data_DBD!$C:$C,$A94)</f>
        <v>3</v>
      </c>
      <c r="D94" s="5" t="n">
        <f aca="false" t="array" ref="D94:D94">INDEX(Data_DBD!$D:$D,$A94)</f>
        <v>33</v>
      </c>
      <c r="E94" s="5" t="n">
        <f aca="false" t="array" ref="E94:E94">INDEX(Data_DBD!$E:$E,$A94)</f>
        <v>1</v>
      </c>
      <c r="F94" s="5" t="str">
        <f aca="false" t="array" ref="F94:F94">INDEX(Data_DBD!$F:$F,$A94)</f>
        <v>Tinggi</v>
      </c>
      <c r="H94" s="5" t="n">
        <v>2</v>
      </c>
      <c r="I94" s="5" t="n">
        <v>34</v>
      </c>
      <c r="J94" s="5" t="n">
        <v>3</v>
      </c>
      <c r="K94" s="5" t="n">
        <v>12</v>
      </c>
      <c r="L94" s="5" t="n">
        <v>0</v>
      </c>
      <c r="M94" s="5" t="s">
        <v>7</v>
      </c>
    </row>
    <row r="95" customFormat="false" ht="15" hidden="false" customHeight="false" outlineLevel="0" collapsed="false">
      <c r="A95" s="5" t="n">
        <f aca="false">RANDBETWEEN(2,164)</f>
        <v>38</v>
      </c>
      <c r="B95" s="5" t="n">
        <f aca="false" t="array" ref="B95:B95">INDEX(Data_DBD!$B:$B,$A95)</f>
        <v>52</v>
      </c>
      <c r="C95" s="5" t="n">
        <f aca="false" t="array" ref="C95:C95">INDEX(Data_DBD!$C:$C,$A95)</f>
        <v>3</v>
      </c>
      <c r="D95" s="5" t="n">
        <f aca="false" t="array" ref="D95:D95">INDEX(Data_DBD!$D:$D,$A95)</f>
        <v>4</v>
      </c>
      <c r="E95" s="5" t="n">
        <f aca="false" t="array" ref="E95:E95">INDEX(Data_DBD!$E:$E,$A95)</f>
        <v>1</v>
      </c>
      <c r="F95" s="5" t="str">
        <f aca="false" t="array" ref="F95:F95">INDEX(Data_DBD!$F:$F,$A95)</f>
        <v>Rendah</v>
      </c>
      <c r="H95" s="5" t="n">
        <v>18</v>
      </c>
      <c r="I95" s="5" t="n">
        <v>49</v>
      </c>
      <c r="J95" s="5" t="n">
        <v>4</v>
      </c>
      <c r="K95" s="5" t="n">
        <v>7</v>
      </c>
      <c r="L95" s="5" t="n">
        <v>1</v>
      </c>
      <c r="M95" s="5" t="s">
        <v>20</v>
      </c>
    </row>
    <row r="96" customFormat="false" ht="15" hidden="false" customHeight="false" outlineLevel="0" collapsed="false">
      <c r="A96" s="5" t="n">
        <f aca="false">RANDBETWEEN(2,164)</f>
        <v>24</v>
      </c>
      <c r="B96" s="5" t="n">
        <f aca="false" t="array" ref="B96:B96">INDEX(Data_DBD!$B:$B,$A96)</f>
        <v>60</v>
      </c>
      <c r="C96" s="5" t="n">
        <f aca="false" t="array" ref="C96:C96">INDEX(Data_DBD!$C:$C,$A96)</f>
        <v>4</v>
      </c>
      <c r="D96" s="5" t="n">
        <f aca="false" t="array" ref="D96:D96">INDEX(Data_DBD!$D:$D,$A96)</f>
        <v>14</v>
      </c>
      <c r="E96" s="5" t="n">
        <f aca="false" t="array" ref="E96:E96">INDEX(Data_DBD!$E:$E,$A96)</f>
        <v>0</v>
      </c>
      <c r="F96" s="5" t="str">
        <f aca="false" t="array" ref="F96:F96">INDEX(Data_DBD!$F:$F,$A96)</f>
        <v>Sedang</v>
      </c>
      <c r="H96" s="5" t="n">
        <v>104</v>
      </c>
      <c r="I96" s="5" t="n">
        <v>37</v>
      </c>
      <c r="J96" s="5" t="n">
        <v>4</v>
      </c>
      <c r="K96" s="5" t="n">
        <v>18</v>
      </c>
      <c r="L96" s="5" t="n">
        <v>1</v>
      </c>
      <c r="M96" s="5" t="s">
        <v>7</v>
      </c>
    </row>
    <row r="97" customFormat="false" ht="15" hidden="false" customHeight="false" outlineLevel="0" collapsed="false">
      <c r="A97" s="5" t="n">
        <f aca="false">RANDBETWEEN(2,164)</f>
        <v>96</v>
      </c>
      <c r="B97" s="5" t="n">
        <f aca="false" t="array" ref="B97:B97">INDEX(Data_DBD!$B:$B,$A97)</f>
        <v>56</v>
      </c>
      <c r="C97" s="5" t="n">
        <f aca="false" t="array" ref="C97:C97">INDEX(Data_DBD!$C:$C,$A97)</f>
        <v>4</v>
      </c>
      <c r="D97" s="5" t="n">
        <f aca="false" t="array" ref="D97:D97">INDEX(Data_DBD!$D:$D,$A97)</f>
        <v>18</v>
      </c>
      <c r="E97" s="5" t="n">
        <f aca="false" t="array" ref="E97:E97">INDEX(Data_DBD!$E:$E,$A97)</f>
        <v>0</v>
      </c>
      <c r="F97" s="5" t="str">
        <f aca="false" t="array" ref="F97:F97">INDEX(Data_DBD!$F:$F,$A97)</f>
        <v>Sedang</v>
      </c>
      <c r="H97" s="5" t="n">
        <v>7</v>
      </c>
      <c r="I97" s="5" t="n">
        <v>12</v>
      </c>
      <c r="J97" s="5" t="n">
        <v>1</v>
      </c>
      <c r="K97" s="5" t="n">
        <v>12</v>
      </c>
      <c r="L97" s="5" t="n">
        <v>1</v>
      </c>
      <c r="M97" s="5" t="s">
        <v>7</v>
      </c>
    </row>
    <row r="98" customFormat="false" ht="15" hidden="false" customHeight="false" outlineLevel="0" collapsed="false">
      <c r="A98" s="5" t="n">
        <f aca="false">RANDBETWEEN(2,164)</f>
        <v>157</v>
      </c>
      <c r="B98" s="5" t="n">
        <f aca="false" t="array" ref="B98:B98">INDEX(Data_DBD!$B:$B,$A98)</f>
        <v>15</v>
      </c>
      <c r="C98" s="5" t="n">
        <f aca="false" t="array" ref="C98:C98">INDEX(Data_DBD!$C:$C,$A98)</f>
        <v>4</v>
      </c>
      <c r="D98" s="5" t="n">
        <f aca="false" t="array" ref="D98:D98">INDEX(Data_DBD!$D:$D,$A98)</f>
        <v>21</v>
      </c>
      <c r="E98" s="5" t="n">
        <f aca="false" t="array" ref="E98:E98">INDEX(Data_DBD!$E:$E,$A98)</f>
        <v>1</v>
      </c>
      <c r="F98" s="5" t="str">
        <f aca="false" t="array" ref="F98:F98">INDEX(Data_DBD!$F:$F,$A98)</f>
        <v>Tinggi</v>
      </c>
      <c r="H98" s="5" t="n">
        <v>102</v>
      </c>
      <c r="I98" s="5" t="n">
        <v>41</v>
      </c>
      <c r="J98" s="5" t="n">
        <v>4</v>
      </c>
      <c r="K98" s="5" t="n">
        <v>18</v>
      </c>
      <c r="L98" s="5" t="n">
        <v>0</v>
      </c>
      <c r="M98" s="5" t="s">
        <v>7</v>
      </c>
    </row>
    <row r="99" customFormat="false" ht="15" hidden="false" customHeight="false" outlineLevel="0" collapsed="false">
      <c r="A99" s="5" t="n">
        <f aca="false">RANDBETWEEN(2,164)</f>
        <v>5</v>
      </c>
      <c r="B99" s="5" t="n">
        <f aca="false" t="array" ref="B99:B99">INDEX(Data_DBD!$B:$B,$A99)</f>
        <v>18</v>
      </c>
      <c r="C99" s="5" t="n">
        <f aca="false" t="array" ref="C99:C99">INDEX(Data_DBD!$C:$C,$A99)</f>
        <v>2</v>
      </c>
      <c r="D99" s="5" t="n">
        <f aca="false" t="array" ref="D99:D99">INDEX(Data_DBD!$D:$D,$A99)</f>
        <v>12</v>
      </c>
      <c r="E99" s="5" t="n">
        <f aca="false" t="array" ref="E99:E99">INDEX(Data_DBD!$E:$E,$A99)</f>
        <v>1</v>
      </c>
      <c r="F99" s="5" t="str">
        <f aca="false" t="array" ref="F99:F99">INDEX(Data_DBD!$F:$F,$A99)</f>
        <v>Sedang</v>
      </c>
      <c r="H99" s="5" t="n">
        <v>31</v>
      </c>
      <c r="I99" s="5" t="n">
        <v>64</v>
      </c>
      <c r="J99" s="5" t="n">
        <v>4</v>
      </c>
      <c r="K99" s="5" t="n">
        <v>14</v>
      </c>
      <c r="L99" s="5" t="n">
        <v>1</v>
      </c>
      <c r="M99" s="5" t="s">
        <v>7</v>
      </c>
    </row>
    <row r="100" customFormat="false" ht="15" hidden="false" customHeight="false" outlineLevel="0" collapsed="false">
      <c r="A100" s="5" t="n">
        <f aca="false">RANDBETWEEN(2,164)</f>
        <v>159</v>
      </c>
      <c r="B100" s="5" t="n">
        <f aca="false" t="array" ref="B100:B100">INDEX(Data_DBD!$B:$B,$A100)</f>
        <v>17</v>
      </c>
      <c r="C100" s="5" t="n">
        <f aca="false" t="array" ref="C100:C100">INDEX(Data_DBD!$C:$C,$A100)</f>
        <v>2</v>
      </c>
      <c r="D100" s="5" t="n">
        <f aca="false" t="array" ref="D100:D100">INDEX(Data_DBD!$D:$D,$A100)</f>
        <v>21</v>
      </c>
      <c r="E100" s="5" t="n">
        <f aca="false" t="array" ref="E100:E100">INDEX(Data_DBD!$E:$E,$A100)</f>
        <v>0</v>
      </c>
      <c r="F100" s="5" t="str">
        <f aca="false" t="array" ref="F100:F100">INDEX(Data_DBD!$F:$F,$A100)</f>
        <v>Tinggi</v>
      </c>
      <c r="H100" s="5" t="n">
        <v>102</v>
      </c>
      <c r="I100" s="5" t="n">
        <v>41</v>
      </c>
      <c r="J100" s="5" t="n">
        <v>4</v>
      </c>
      <c r="K100" s="5" t="n">
        <v>18</v>
      </c>
      <c r="L100" s="5" t="n">
        <v>0</v>
      </c>
      <c r="M100" s="5" t="s">
        <v>7</v>
      </c>
    </row>
    <row r="101" customFormat="false" ht="15" hidden="false" customHeight="false" outlineLevel="0" collapsed="false">
      <c r="A101" s="5" t="n">
        <f aca="false">RANDBETWEEN(2,164)</f>
        <v>86</v>
      </c>
      <c r="B101" s="5" t="n">
        <f aca="false" t="array" ref="B101:B101">INDEX(Data_DBD!$B:$B,$A101)</f>
        <v>23</v>
      </c>
      <c r="C101" s="5" t="n">
        <f aca="false" t="array" ref="C101:C101">INDEX(Data_DBD!$C:$C,$A101)</f>
        <v>3</v>
      </c>
      <c r="D101" s="5" t="n">
        <f aca="false" t="array" ref="D101:D101">INDEX(Data_DBD!$D:$D,$A101)</f>
        <v>13</v>
      </c>
      <c r="E101" s="5" t="n">
        <f aca="false" t="array" ref="E101:E101">INDEX(Data_DBD!$E:$E,$A101)</f>
        <v>0</v>
      </c>
      <c r="F101" s="5" t="str">
        <f aca="false" t="array" ref="F101:F101">INDEX(Data_DBD!$F:$F,$A101)</f>
        <v>Sedang</v>
      </c>
      <c r="H101" s="5" t="n">
        <v>127</v>
      </c>
      <c r="I101" s="5" t="n">
        <v>21</v>
      </c>
      <c r="J101" s="5" t="n">
        <v>2</v>
      </c>
      <c r="K101" s="5" t="n">
        <v>33</v>
      </c>
      <c r="L101" s="5" t="n">
        <v>0</v>
      </c>
      <c r="M101" s="5" t="s">
        <v>115</v>
      </c>
    </row>
    <row r="102" customFormat="false" ht="15" hidden="false" customHeight="false" outlineLevel="0" collapsed="false">
      <c r="A102" s="5" t="n">
        <f aca="false">RANDBETWEEN(2,164)</f>
        <v>36</v>
      </c>
      <c r="B102" s="5" t="n">
        <f aca="false" t="array" ref="B102:B102">INDEX(Data_DBD!$B:$B,$A102)</f>
        <v>27</v>
      </c>
      <c r="C102" s="5" t="n">
        <f aca="false" t="array" ref="C102:C102">INDEX(Data_DBD!$C:$C,$A102)</f>
        <v>1</v>
      </c>
      <c r="D102" s="5" t="n">
        <f aca="false" t="array" ref="D102:D102">INDEX(Data_DBD!$D:$D,$A102)</f>
        <v>4</v>
      </c>
      <c r="E102" s="5" t="n">
        <f aca="false" t="array" ref="E102:E102">INDEX(Data_DBD!$E:$E,$A102)</f>
        <v>1</v>
      </c>
      <c r="F102" s="5" t="str">
        <f aca="false" t="array" ref="F102:F102">INDEX(Data_DBD!$F:$F,$A102)</f>
        <v>Rendah</v>
      </c>
      <c r="H102" s="5" t="n">
        <v>157</v>
      </c>
      <c r="I102" s="5" t="n">
        <v>15</v>
      </c>
      <c r="J102" s="5" t="n">
        <v>4</v>
      </c>
      <c r="K102" s="5" t="n">
        <v>21</v>
      </c>
      <c r="L102" s="5" t="n">
        <v>1</v>
      </c>
      <c r="M102" s="5" t="s">
        <v>115</v>
      </c>
    </row>
    <row r="103" customFormat="false" ht="15" hidden="false" customHeight="false" outlineLevel="0" collapsed="false">
      <c r="A103" s="5" t="n">
        <f aca="false">RANDBETWEEN(2,164)</f>
        <v>51</v>
      </c>
      <c r="B103" s="5" t="n">
        <f aca="false" t="array" ref="B103:B103">INDEX(Data_DBD!$B:$B,$A103)</f>
        <v>48</v>
      </c>
      <c r="C103" s="5" t="n">
        <f aca="false" t="array" ref="C103:C103">INDEX(Data_DBD!$C:$C,$A103)</f>
        <v>4</v>
      </c>
      <c r="D103" s="5" t="n">
        <f aca="false" t="array" ref="D103:D103">INDEX(Data_DBD!$D:$D,$A103)</f>
        <v>13</v>
      </c>
      <c r="E103" s="5" t="n">
        <f aca="false" t="array" ref="E103:E103">INDEX(Data_DBD!$E:$E,$A103)</f>
        <v>0</v>
      </c>
      <c r="F103" s="5" t="str">
        <f aca="false" t="array" ref="F103:F103">INDEX(Data_DBD!$F:$F,$A103)</f>
        <v>Sedang</v>
      </c>
      <c r="H103" s="5" t="n">
        <v>85</v>
      </c>
      <c r="I103" s="5" t="n">
        <v>27</v>
      </c>
      <c r="J103" s="5" t="n">
        <v>9</v>
      </c>
      <c r="K103" s="5" t="n">
        <v>13</v>
      </c>
      <c r="L103" s="5" t="n">
        <v>0</v>
      </c>
      <c r="M103" s="5" t="s">
        <v>7</v>
      </c>
    </row>
    <row r="104" customFormat="false" ht="15" hidden="false" customHeight="false" outlineLevel="0" collapsed="false">
      <c r="A104" s="5" t="n">
        <f aca="false">RANDBETWEEN(2,164)</f>
        <v>30</v>
      </c>
      <c r="B104" s="5" t="n">
        <f aca="false" t="array" ref="B104:B104">INDEX(Data_DBD!$B:$B,$A104)</f>
        <v>3</v>
      </c>
      <c r="C104" s="5" t="n">
        <f aca="false" t="array" ref="C104:C104">INDEX(Data_DBD!$C:$C,$A104)</f>
        <v>2</v>
      </c>
      <c r="D104" s="5" t="n">
        <f aca="false" t="array" ref="D104:D104">INDEX(Data_DBD!$D:$D,$A104)</f>
        <v>14</v>
      </c>
      <c r="E104" s="5" t="n">
        <f aca="false" t="array" ref="E104:E104">INDEX(Data_DBD!$E:$E,$A104)</f>
        <v>1</v>
      </c>
      <c r="F104" s="5" t="str">
        <f aca="false" t="array" ref="F104:F104">INDEX(Data_DBD!$F:$F,$A104)</f>
        <v>Sedang</v>
      </c>
      <c r="H104" s="5" t="n">
        <v>89</v>
      </c>
      <c r="I104" s="5" t="n">
        <v>32</v>
      </c>
      <c r="J104" s="5" t="n">
        <v>4</v>
      </c>
      <c r="K104" s="5" t="n">
        <v>13</v>
      </c>
      <c r="L104" s="5" t="n">
        <v>0</v>
      </c>
      <c r="M104" s="5" t="s">
        <v>7</v>
      </c>
    </row>
    <row r="105" customFormat="false" ht="15" hidden="false" customHeight="false" outlineLevel="0" collapsed="false">
      <c r="A105" s="5" t="n">
        <f aca="false">RANDBETWEEN(2,164)</f>
        <v>164</v>
      </c>
      <c r="B105" s="5" t="n">
        <f aca="false" t="array" ref="B105:B105">INDEX(Data_DBD!$B:$B,$A105)</f>
        <v>10</v>
      </c>
      <c r="C105" s="5" t="n">
        <f aca="false" t="array" ref="C105:C105">INDEX(Data_DBD!$C:$C,$A105)</f>
        <v>6</v>
      </c>
      <c r="D105" s="5" t="n">
        <f aca="false" t="array" ref="D105:D105">INDEX(Data_DBD!$D:$D,$A105)</f>
        <v>3</v>
      </c>
      <c r="E105" s="5" t="n">
        <f aca="false" t="array" ref="E105:E105">INDEX(Data_DBD!$E:$E,$A105)</f>
        <v>0</v>
      </c>
      <c r="F105" s="5" t="str">
        <f aca="false" t="array" ref="F105:F105">INDEX(Data_DBD!$F:$F,$A105)</f>
        <v>Rendah</v>
      </c>
      <c r="H105" s="5" t="n">
        <v>160</v>
      </c>
      <c r="I105" s="5" t="n">
        <v>16</v>
      </c>
      <c r="J105" s="5" t="n">
        <v>3</v>
      </c>
      <c r="K105" s="5" t="n">
        <v>21</v>
      </c>
      <c r="L105" s="5" t="n">
        <v>0</v>
      </c>
      <c r="M105" s="5" t="s">
        <v>115</v>
      </c>
    </row>
    <row r="106" customFormat="false" ht="15" hidden="false" customHeight="false" outlineLevel="0" collapsed="false">
      <c r="A106" s="5" t="n">
        <f aca="false">RANDBETWEEN(2,164)</f>
        <v>141</v>
      </c>
      <c r="B106" s="5" t="n">
        <f aca="false" t="array" ref="B106:B106">INDEX(Data_DBD!$B:$B,$A106)</f>
        <v>36</v>
      </c>
      <c r="C106" s="5" t="n">
        <f aca="false" t="array" ref="C106:C106">INDEX(Data_DBD!$C:$C,$A106)</f>
        <v>2</v>
      </c>
      <c r="D106" s="5" t="n">
        <f aca="false" t="array" ref="D106:D106">INDEX(Data_DBD!$D:$D,$A106)</f>
        <v>21</v>
      </c>
      <c r="E106" s="5" t="n">
        <f aca="false" t="array" ref="E106:E106">INDEX(Data_DBD!$E:$E,$A106)</f>
        <v>0</v>
      </c>
      <c r="F106" s="5" t="str">
        <f aca="false" t="array" ref="F106:F106">INDEX(Data_DBD!$F:$F,$A106)</f>
        <v>Tinggi</v>
      </c>
      <c r="H106" s="5" t="n">
        <v>21</v>
      </c>
      <c r="I106" s="5" t="n">
        <v>10</v>
      </c>
      <c r="J106" s="5" t="n">
        <v>5</v>
      </c>
      <c r="K106" s="5" t="n">
        <v>14</v>
      </c>
      <c r="L106" s="5" t="n">
        <v>1</v>
      </c>
      <c r="M106" s="5" t="s">
        <v>7</v>
      </c>
    </row>
    <row r="107" customFormat="false" ht="15" hidden="false" customHeight="false" outlineLevel="0" collapsed="false">
      <c r="A107" s="5" t="n">
        <f aca="false">RANDBETWEEN(2,164)</f>
        <v>83</v>
      </c>
      <c r="B107" s="5" t="n">
        <f aca="false" t="array" ref="B107:B107">INDEX(Data_DBD!$B:$B,$A107)</f>
        <v>50</v>
      </c>
      <c r="C107" s="5" t="n">
        <f aca="false" t="array" ref="C107:C107">INDEX(Data_DBD!$C:$C,$A107)</f>
        <v>3</v>
      </c>
      <c r="D107" s="5" t="n">
        <f aca="false" t="array" ref="D107:D107">INDEX(Data_DBD!$D:$D,$A107)</f>
        <v>13</v>
      </c>
      <c r="E107" s="5" t="n">
        <f aca="false" t="array" ref="E107:E107">INDEX(Data_DBD!$E:$E,$A107)</f>
        <v>0</v>
      </c>
      <c r="F107" s="5" t="str">
        <f aca="false" t="array" ref="F107:F107">INDEX(Data_DBD!$F:$F,$A107)</f>
        <v>Sedang</v>
      </c>
      <c r="H107" s="5" t="n">
        <v>129</v>
      </c>
      <c r="I107" s="5" t="n">
        <v>4</v>
      </c>
      <c r="J107" s="5" t="n">
        <v>3</v>
      </c>
      <c r="K107" s="5" t="n">
        <v>33</v>
      </c>
      <c r="L107" s="5" t="n">
        <v>0</v>
      </c>
      <c r="M107" s="5" t="s">
        <v>115</v>
      </c>
    </row>
    <row r="108" customFormat="false" ht="15" hidden="false" customHeight="false" outlineLevel="0" collapsed="false">
      <c r="A108" s="5" t="n">
        <f aca="false">RANDBETWEEN(2,164)</f>
        <v>71</v>
      </c>
      <c r="B108" s="5" t="n">
        <f aca="false" t="array" ref="B108:B108">INDEX(Data_DBD!$B:$B,$A108)</f>
        <v>84</v>
      </c>
      <c r="C108" s="5" t="n">
        <f aca="false" t="array" ref="C108:C108">INDEX(Data_DBD!$C:$C,$A108)</f>
        <v>3</v>
      </c>
      <c r="D108" s="5" t="n">
        <f aca="false" t="array" ref="D108:D108">INDEX(Data_DBD!$D:$D,$A108)</f>
        <v>10</v>
      </c>
      <c r="E108" s="5" t="n">
        <f aca="false" t="array" ref="E108:E108">INDEX(Data_DBD!$E:$E,$A108)</f>
        <v>0</v>
      </c>
      <c r="F108" s="5" t="str">
        <f aca="false" t="array" ref="F108:F108">INDEX(Data_DBD!$F:$F,$A108)</f>
        <v>Rendah</v>
      </c>
      <c r="H108" s="5" t="n">
        <v>34</v>
      </c>
      <c r="I108" s="5" t="n">
        <v>55</v>
      </c>
      <c r="J108" s="5" t="n">
        <v>3</v>
      </c>
      <c r="K108" s="5" t="n">
        <v>14</v>
      </c>
      <c r="L108" s="5" t="n">
        <v>0</v>
      </c>
      <c r="M108" s="5" t="s">
        <v>7</v>
      </c>
    </row>
    <row r="109" customFormat="false" ht="15" hidden="false" customHeight="false" outlineLevel="0" collapsed="false">
      <c r="A109" s="5" t="n">
        <f aca="false">RANDBETWEEN(2,164)</f>
        <v>18</v>
      </c>
      <c r="B109" s="5" t="n">
        <f aca="false" t="array" ref="B109:B109">INDEX(Data_DBD!$B:$B,$A109)</f>
        <v>49</v>
      </c>
      <c r="C109" s="5" t="n">
        <f aca="false" t="array" ref="C109:C109">INDEX(Data_DBD!$C:$C,$A109)</f>
        <v>4</v>
      </c>
      <c r="D109" s="5" t="n">
        <f aca="false" t="array" ref="D109:D109">INDEX(Data_DBD!$D:$D,$A109)</f>
        <v>7</v>
      </c>
      <c r="E109" s="5" t="n">
        <f aca="false" t="array" ref="E109:E109">INDEX(Data_DBD!$E:$E,$A109)</f>
        <v>1</v>
      </c>
      <c r="F109" s="5" t="str">
        <f aca="false" t="array" ref="F109:F109">INDEX(Data_DBD!$F:$F,$A109)</f>
        <v>Rendah</v>
      </c>
      <c r="H109" s="5" t="n">
        <v>121</v>
      </c>
      <c r="I109" s="5" t="n">
        <v>82</v>
      </c>
      <c r="J109" s="5" t="n">
        <v>5</v>
      </c>
      <c r="K109" s="5" t="n">
        <v>33</v>
      </c>
      <c r="L109" s="5" t="n">
        <v>1</v>
      </c>
      <c r="M109" s="5" t="s">
        <v>115</v>
      </c>
    </row>
    <row r="110" customFormat="false" ht="15" hidden="false" customHeight="false" outlineLevel="0" collapsed="false">
      <c r="A110" s="5" t="n">
        <f aca="false">RANDBETWEEN(2,164)</f>
        <v>82</v>
      </c>
      <c r="B110" s="5" t="n">
        <f aca="false" t="array" ref="B110:B110">INDEX(Data_DBD!$B:$B,$A110)</f>
        <v>28</v>
      </c>
      <c r="C110" s="5" t="n">
        <f aca="false" t="array" ref="C110:C110">INDEX(Data_DBD!$C:$C,$A110)</f>
        <v>3</v>
      </c>
      <c r="D110" s="5" t="n">
        <f aca="false" t="array" ref="D110:D110">INDEX(Data_DBD!$D:$D,$A110)</f>
        <v>13</v>
      </c>
      <c r="E110" s="5" t="n">
        <f aca="false" t="array" ref="E110:E110">INDEX(Data_DBD!$E:$E,$A110)</f>
        <v>1</v>
      </c>
      <c r="F110" s="5" t="str">
        <f aca="false" t="array" ref="F110:F110">INDEX(Data_DBD!$F:$F,$A110)</f>
        <v>Sedang</v>
      </c>
      <c r="H110" s="5" t="n">
        <v>20</v>
      </c>
      <c r="I110" s="5" t="n">
        <v>15</v>
      </c>
      <c r="J110" s="5" t="n">
        <v>5</v>
      </c>
      <c r="K110" s="5" t="n">
        <v>7</v>
      </c>
      <c r="L110" s="5" t="n">
        <v>0</v>
      </c>
      <c r="M110" s="5" t="s">
        <v>20</v>
      </c>
    </row>
    <row r="111" customFormat="false" ht="15" hidden="false" customHeight="false" outlineLevel="0" collapsed="false">
      <c r="A111" s="5" t="n">
        <f aca="false">RANDBETWEEN(2,164)</f>
        <v>79</v>
      </c>
      <c r="B111" s="5" t="n">
        <f aca="false" t="array" ref="B111:B111">INDEX(Data_DBD!$B:$B,$A111)</f>
        <v>29</v>
      </c>
      <c r="C111" s="5" t="n">
        <f aca="false" t="array" ref="C111:C111">INDEX(Data_DBD!$C:$C,$A111)</f>
        <v>3</v>
      </c>
      <c r="D111" s="5" t="n">
        <f aca="false" t="array" ref="D111:D111">INDEX(Data_DBD!$D:$D,$A111)</f>
        <v>13</v>
      </c>
      <c r="E111" s="5" t="n">
        <f aca="false" t="array" ref="E111:E111">INDEX(Data_DBD!$E:$E,$A111)</f>
        <v>0</v>
      </c>
      <c r="F111" s="5" t="str">
        <f aca="false" t="array" ref="F111:F111">INDEX(Data_DBD!$F:$F,$A111)</f>
        <v>Sedang</v>
      </c>
      <c r="H111" s="5" t="n">
        <v>137</v>
      </c>
      <c r="I111" s="5" t="n">
        <v>3</v>
      </c>
      <c r="J111" s="5" t="n">
        <v>1</v>
      </c>
      <c r="K111" s="5" t="n">
        <v>33</v>
      </c>
      <c r="L111" s="5" t="n">
        <v>1</v>
      </c>
      <c r="M111" s="5" t="s">
        <v>115</v>
      </c>
    </row>
    <row r="112" customFormat="false" ht="15" hidden="false" customHeight="false" outlineLevel="0" collapsed="false">
      <c r="A112" s="5" t="n">
        <f aca="false">RANDBETWEEN(2,164)</f>
        <v>72</v>
      </c>
      <c r="B112" s="5" t="n">
        <f aca="false" t="array" ref="B112:B112">INDEX(Data_DBD!$B:$B,$A112)</f>
        <v>3</v>
      </c>
      <c r="C112" s="5" t="n">
        <f aca="false" t="array" ref="C112:C112">INDEX(Data_DBD!$C:$C,$A112)</f>
        <v>5</v>
      </c>
      <c r="D112" s="5" t="n">
        <f aca="false" t="array" ref="D112:D112">INDEX(Data_DBD!$D:$D,$A112)</f>
        <v>10</v>
      </c>
      <c r="E112" s="5" t="n">
        <f aca="false" t="array" ref="E112:E112">INDEX(Data_DBD!$E:$E,$A112)</f>
        <v>1</v>
      </c>
      <c r="F112" s="5" t="str">
        <f aca="false" t="array" ref="F112:F112">INDEX(Data_DBD!$F:$F,$A112)</f>
        <v>Rendah</v>
      </c>
      <c r="H112" s="5" t="n">
        <v>14</v>
      </c>
      <c r="I112" s="5" t="n">
        <v>49</v>
      </c>
      <c r="J112" s="5" t="n">
        <v>4</v>
      </c>
      <c r="K112" s="5" t="n">
        <v>7</v>
      </c>
      <c r="L112" s="5" t="n">
        <v>1</v>
      </c>
      <c r="M112" s="5" t="s">
        <v>20</v>
      </c>
    </row>
    <row r="113" customFormat="false" ht="15" hidden="false" customHeight="false" outlineLevel="0" collapsed="false">
      <c r="A113" s="5" t="n">
        <f aca="false">RANDBETWEEN(2,164)</f>
        <v>94</v>
      </c>
      <c r="B113" s="5" t="n">
        <f aca="false" t="array" ref="B113:B113">INDEX(Data_DBD!$B:$B,$A113)</f>
        <v>12</v>
      </c>
      <c r="C113" s="5" t="n">
        <f aca="false" t="array" ref="C113:C113">INDEX(Data_DBD!$C:$C,$A113)</f>
        <v>4</v>
      </c>
      <c r="D113" s="5" t="n">
        <f aca="false" t="array" ref="D113:D113">INDEX(Data_DBD!$D:$D,$A113)</f>
        <v>18</v>
      </c>
      <c r="E113" s="5" t="n">
        <f aca="false" t="array" ref="E113:E113">INDEX(Data_DBD!$E:$E,$A113)</f>
        <v>0</v>
      </c>
      <c r="F113" s="5" t="str">
        <f aca="false" t="array" ref="F113:F113">INDEX(Data_DBD!$F:$F,$A113)</f>
        <v>Sedang</v>
      </c>
      <c r="H113" s="5" t="n">
        <v>157</v>
      </c>
      <c r="I113" s="5" t="n">
        <v>15</v>
      </c>
      <c r="J113" s="5" t="n">
        <v>4</v>
      </c>
      <c r="K113" s="5" t="n">
        <v>21</v>
      </c>
      <c r="L113" s="5" t="n">
        <v>1</v>
      </c>
      <c r="M113" s="5" t="s">
        <v>115</v>
      </c>
    </row>
    <row r="114" customFormat="false" ht="15" hidden="false" customHeight="false" outlineLevel="0" collapsed="false">
      <c r="A114" s="5" t="n">
        <f aca="false">RANDBETWEEN(2,164)</f>
        <v>8</v>
      </c>
      <c r="B114" s="5" t="n">
        <f aca="false" t="array" ref="B114:B114">INDEX(Data_DBD!$B:$B,$A114)</f>
        <v>4</v>
      </c>
      <c r="C114" s="5" t="n">
        <f aca="false" t="array" ref="C114:C114">INDEX(Data_DBD!$C:$C,$A114)</f>
        <v>2</v>
      </c>
      <c r="D114" s="5" t="n">
        <f aca="false" t="array" ref="D114:D114">INDEX(Data_DBD!$D:$D,$A114)</f>
        <v>12</v>
      </c>
      <c r="E114" s="5" t="n">
        <f aca="false" t="array" ref="E114:E114">INDEX(Data_DBD!$E:$E,$A114)</f>
        <v>0</v>
      </c>
      <c r="F114" s="5" t="str">
        <f aca="false" t="array" ref="F114:F114">INDEX(Data_DBD!$F:$F,$A114)</f>
        <v>Sedang</v>
      </c>
      <c r="H114" s="5" t="n">
        <v>121</v>
      </c>
      <c r="I114" s="5" t="n">
        <v>82</v>
      </c>
      <c r="J114" s="5" t="n">
        <v>5</v>
      </c>
      <c r="K114" s="5" t="n">
        <v>33</v>
      </c>
      <c r="L114" s="5" t="n">
        <v>1</v>
      </c>
      <c r="M114" s="5" t="s">
        <v>115</v>
      </c>
    </row>
    <row r="115" customFormat="false" ht="15" hidden="false" customHeight="false" outlineLevel="0" collapsed="false">
      <c r="A115" s="5" t="n">
        <f aca="false">RANDBETWEEN(2,164)</f>
        <v>34</v>
      </c>
      <c r="B115" s="5" t="n">
        <f aca="false" t="array" ref="B115:B115">INDEX(Data_DBD!$B:$B,$A115)</f>
        <v>55</v>
      </c>
      <c r="C115" s="5" t="n">
        <f aca="false" t="array" ref="C115:C115">INDEX(Data_DBD!$C:$C,$A115)</f>
        <v>3</v>
      </c>
      <c r="D115" s="5" t="n">
        <f aca="false" t="array" ref="D115:D115">INDEX(Data_DBD!$D:$D,$A115)</f>
        <v>14</v>
      </c>
      <c r="E115" s="5" t="n">
        <f aca="false" t="array" ref="E115:E115">INDEX(Data_DBD!$E:$E,$A115)</f>
        <v>0</v>
      </c>
      <c r="F115" s="5" t="str">
        <f aca="false" t="array" ref="F115:F115">INDEX(Data_DBD!$F:$F,$A115)</f>
        <v>Sedang</v>
      </c>
      <c r="H115" s="5" t="n">
        <v>56</v>
      </c>
      <c r="I115" s="5" t="n">
        <v>4</v>
      </c>
      <c r="J115" s="5" t="n">
        <v>3</v>
      </c>
      <c r="K115" s="5" t="n">
        <v>15</v>
      </c>
      <c r="L115" s="5" t="n">
        <v>0</v>
      </c>
      <c r="M115" s="5" t="s">
        <v>7</v>
      </c>
    </row>
    <row r="116" customFormat="false" ht="15" hidden="false" customHeight="false" outlineLevel="0" collapsed="false">
      <c r="A116" s="5" t="n">
        <f aca="false">RANDBETWEEN(2,164)</f>
        <v>15</v>
      </c>
      <c r="B116" s="5" t="n">
        <f aca="false" t="array" ref="B116:B116">INDEX(Data_DBD!$B:$B,$A116)</f>
        <v>21</v>
      </c>
      <c r="C116" s="5" t="n">
        <f aca="false" t="array" ref="C116:C116">INDEX(Data_DBD!$C:$C,$A116)</f>
        <v>2</v>
      </c>
      <c r="D116" s="5" t="n">
        <f aca="false" t="array" ref="D116:D116">INDEX(Data_DBD!$D:$D,$A116)</f>
        <v>7</v>
      </c>
      <c r="E116" s="5" t="n">
        <f aca="false" t="array" ref="E116:E116">INDEX(Data_DBD!$E:$E,$A116)</f>
        <v>0</v>
      </c>
      <c r="F116" s="5" t="str">
        <f aca="false" t="array" ref="F116:F116">INDEX(Data_DBD!$F:$F,$A116)</f>
        <v>Rendah</v>
      </c>
      <c r="H116" s="5" t="n">
        <v>8</v>
      </c>
      <c r="I116" s="5" t="n">
        <v>4</v>
      </c>
      <c r="J116" s="5" t="n">
        <v>2</v>
      </c>
      <c r="K116" s="5" t="n">
        <v>12</v>
      </c>
      <c r="L116" s="5" t="n">
        <v>0</v>
      </c>
      <c r="M116" s="5" t="s">
        <v>7</v>
      </c>
    </row>
    <row r="117" customFormat="false" ht="15" hidden="false" customHeight="false" outlineLevel="0" collapsed="false">
      <c r="A117" s="5" t="n">
        <f aca="false">RANDBETWEEN(2,164)</f>
        <v>12</v>
      </c>
      <c r="B117" s="5" t="n">
        <f aca="false" t="array" ref="B117:B117">INDEX(Data_DBD!$B:$B,$A117)</f>
        <v>23</v>
      </c>
      <c r="C117" s="5" t="n">
        <f aca="false" t="array" ref="C117:C117">INDEX(Data_DBD!$C:$C,$A117)</f>
        <v>3</v>
      </c>
      <c r="D117" s="5" t="n">
        <f aca="false" t="array" ref="D117:D117">INDEX(Data_DBD!$D:$D,$A117)</f>
        <v>12</v>
      </c>
      <c r="E117" s="5" t="n">
        <f aca="false" t="array" ref="E117:E117">INDEX(Data_DBD!$E:$E,$A117)</f>
        <v>0</v>
      </c>
      <c r="F117" s="5" t="str">
        <f aca="false" t="array" ref="F117:F117">INDEX(Data_DBD!$F:$F,$A117)</f>
        <v>Sedang</v>
      </c>
      <c r="H117" s="5" t="n">
        <v>94</v>
      </c>
      <c r="I117" s="5" t="n">
        <v>12</v>
      </c>
      <c r="J117" s="5" t="n">
        <v>4</v>
      </c>
      <c r="K117" s="5" t="n">
        <v>18</v>
      </c>
      <c r="L117" s="5" t="n">
        <v>0</v>
      </c>
      <c r="M117" s="5" t="s">
        <v>7</v>
      </c>
    </row>
    <row r="118" customFormat="false" ht="15" hidden="false" customHeight="false" outlineLevel="0" collapsed="false">
      <c r="A118" s="5" t="n">
        <f aca="false">RANDBETWEEN(2,164)</f>
        <v>23</v>
      </c>
      <c r="B118" s="5" t="n">
        <f aca="false" t="array" ref="B118:B118">INDEX(Data_DBD!$B:$B,$A118)</f>
        <v>28</v>
      </c>
      <c r="C118" s="5" t="n">
        <f aca="false" t="array" ref="C118:C118">INDEX(Data_DBD!$C:$C,$A118)</f>
        <v>4</v>
      </c>
      <c r="D118" s="5" t="n">
        <f aca="false" t="array" ref="D118:D118">INDEX(Data_DBD!$D:$D,$A118)</f>
        <v>14</v>
      </c>
      <c r="E118" s="5" t="n">
        <f aca="false" t="array" ref="E118:E118">INDEX(Data_DBD!$E:$E,$A118)</f>
        <v>1</v>
      </c>
      <c r="F118" s="5" t="str">
        <f aca="false" t="array" ref="F118:F118">INDEX(Data_DBD!$F:$F,$A118)</f>
        <v>Sedang</v>
      </c>
      <c r="H118" s="5" t="n">
        <v>10</v>
      </c>
      <c r="I118" s="5" t="n">
        <v>18</v>
      </c>
      <c r="J118" s="5" t="n">
        <v>5</v>
      </c>
      <c r="K118" s="5" t="n">
        <v>12</v>
      </c>
      <c r="L118" s="5" t="n">
        <v>0</v>
      </c>
      <c r="M118" s="5" t="s">
        <v>7</v>
      </c>
    </row>
    <row r="119" customFormat="false" ht="15" hidden="false" customHeight="false" outlineLevel="0" collapsed="false">
      <c r="A119" s="5" t="n">
        <f aca="false">RANDBETWEEN(2,164)</f>
        <v>153</v>
      </c>
      <c r="B119" s="5" t="n">
        <f aca="false" t="array" ref="B119:B119">INDEX(Data_DBD!$B:$B,$A119)</f>
        <v>73</v>
      </c>
      <c r="C119" s="5" t="n">
        <f aca="false" t="array" ref="C119:C119">INDEX(Data_DBD!$C:$C,$A119)</f>
        <v>7</v>
      </c>
      <c r="D119" s="5" t="n">
        <f aca="false" t="array" ref="D119:D119">INDEX(Data_DBD!$D:$D,$A119)</f>
        <v>21</v>
      </c>
      <c r="E119" s="5" t="n">
        <f aca="false" t="array" ref="E119:E119">INDEX(Data_DBD!$E:$E,$A119)</f>
        <v>1</v>
      </c>
      <c r="F119" s="5" t="str">
        <f aca="false" t="array" ref="F119:F119">INDEX(Data_DBD!$F:$F,$A119)</f>
        <v>Tinggi</v>
      </c>
      <c r="H119" s="5" t="n">
        <v>154</v>
      </c>
      <c r="I119" s="5" t="n">
        <v>18</v>
      </c>
      <c r="J119" s="5" t="n">
        <v>5</v>
      </c>
      <c r="K119" s="5" t="n">
        <v>21</v>
      </c>
      <c r="L119" s="5" t="n">
        <v>1</v>
      </c>
      <c r="M119" s="5" t="s">
        <v>115</v>
      </c>
    </row>
    <row r="120" customFormat="false" ht="15" hidden="false" customHeight="false" outlineLevel="0" collapsed="false">
      <c r="A120" s="5" t="n">
        <f aca="false">RANDBETWEEN(2,164)</f>
        <v>159</v>
      </c>
      <c r="B120" s="5" t="n">
        <f aca="false" t="array" ref="B120:B120">INDEX(Data_DBD!$B:$B,$A120)</f>
        <v>17</v>
      </c>
      <c r="C120" s="5" t="n">
        <f aca="false" t="array" ref="C120:C120">INDEX(Data_DBD!$C:$C,$A120)</f>
        <v>2</v>
      </c>
      <c r="D120" s="5" t="n">
        <f aca="false" t="array" ref="D120:D120">INDEX(Data_DBD!$D:$D,$A120)</f>
        <v>21</v>
      </c>
      <c r="E120" s="5" t="n">
        <f aca="false" t="array" ref="E120:E120">INDEX(Data_DBD!$E:$E,$A120)</f>
        <v>0</v>
      </c>
      <c r="F120" s="5" t="str">
        <f aca="false" t="array" ref="F120:F120">INDEX(Data_DBD!$F:$F,$A120)</f>
        <v>Tinggi</v>
      </c>
      <c r="H120" s="5" t="n">
        <v>65</v>
      </c>
      <c r="I120" s="5" t="n">
        <v>49</v>
      </c>
      <c r="J120" s="5" t="n">
        <v>3</v>
      </c>
      <c r="K120" s="5" t="n">
        <v>15</v>
      </c>
      <c r="L120" s="5" t="n">
        <v>0</v>
      </c>
      <c r="M120" s="5" t="s">
        <v>7</v>
      </c>
    </row>
    <row r="121" customFormat="false" ht="15" hidden="false" customHeight="false" outlineLevel="0" collapsed="false">
      <c r="A121" s="5" t="n">
        <f aca="false">RANDBETWEEN(2,164)</f>
        <v>86</v>
      </c>
      <c r="B121" s="5" t="n">
        <f aca="false" t="array" ref="B121:B121">INDEX(Data_DBD!$B:$B,$A121)</f>
        <v>23</v>
      </c>
      <c r="C121" s="5" t="n">
        <f aca="false" t="array" ref="C121:C121">INDEX(Data_DBD!$C:$C,$A121)</f>
        <v>3</v>
      </c>
      <c r="D121" s="5" t="n">
        <f aca="false" t="array" ref="D121:D121">INDEX(Data_DBD!$D:$D,$A121)</f>
        <v>13</v>
      </c>
      <c r="E121" s="5" t="n">
        <f aca="false" t="array" ref="E121:E121">INDEX(Data_DBD!$E:$E,$A121)</f>
        <v>0</v>
      </c>
      <c r="F121" s="5" t="str">
        <f aca="false" t="array" ref="F121:F121">INDEX(Data_DBD!$F:$F,$A121)</f>
        <v>Sedang</v>
      </c>
      <c r="H121" s="5" t="n">
        <v>75</v>
      </c>
      <c r="I121" s="5" t="n">
        <v>2</v>
      </c>
      <c r="J121" s="5" t="n">
        <v>2</v>
      </c>
      <c r="K121" s="5" t="n">
        <v>10</v>
      </c>
      <c r="L121" s="5" t="n">
        <v>1</v>
      </c>
      <c r="M121" s="5" t="s">
        <v>20</v>
      </c>
    </row>
    <row r="122" customFormat="false" ht="15" hidden="false" customHeight="false" outlineLevel="0" collapsed="false">
      <c r="A122" s="5" t="n">
        <f aca="false">RANDBETWEEN(2,164)</f>
        <v>114</v>
      </c>
      <c r="B122" s="5" t="n">
        <f aca="false" t="array" ref="B122:B122">INDEX(Data_DBD!$B:$B,$A122)</f>
        <v>14</v>
      </c>
      <c r="C122" s="5" t="n">
        <f aca="false" t="array" ref="C122:C122">INDEX(Data_DBD!$C:$C,$A122)</f>
        <v>2</v>
      </c>
      <c r="D122" s="5" t="n">
        <f aca="false" t="array" ref="D122:D122">INDEX(Data_DBD!$D:$D,$A122)</f>
        <v>33</v>
      </c>
      <c r="E122" s="5" t="n">
        <f aca="false" t="array" ref="E122:E122">INDEX(Data_DBD!$E:$E,$A122)</f>
        <v>1</v>
      </c>
      <c r="F122" s="5" t="str">
        <f aca="false" t="array" ref="F122:F122">INDEX(Data_DBD!$F:$F,$A122)</f>
        <v>Tinggi</v>
      </c>
      <c r="H122" s="5" t="n">
        <v>4</v>
      </c>
      <c r="I122" s="5" t="n">
        <v>23</v>
      </c>
      <c r="J122" s="5" t="n">
        <v>5</v>
      </c>
      <c r="K122" s="5" t="n">
        <v>12</v>
      </c>
      <c r="L122" s="5" t="n">
        <v>0</v>
      </c>
      <c r="M122" s="5" t="s">
        <v>7</v>
      </c>
    </row>
    <row r="123" customFormat="false" ht="15" hidden="false" customHeight="false" outlineLevel="0" collapsed="false">
      <c r="A123" s="5" t="n">
        <f aca="false">RANDBETWEEN(2,164)</f>
        <v>92</v>
      </c>
      <c r="B123" s="5" t="n">
        <f aca="false" t="array" ref="B123:B123">INDEX(Data_DBD!$B:$B,$A123)</f>
        <v>55</v>
      </c>
      <c r="C123" s="5" t="n">
        <f aca="false" t="array" ref="C123:C123">INDEX(Data_DBD!$C:$C,$A123)</f>
        <v>7</v>
      </c>
      <c r="D123" s="5" t="n">
        <f aca="false" t="array" ref="D123:D123">INDEX(Data_DBD!$D:$D,$A123)</f>
        <v>18</v>
      </c>
      <c r="E123" s="5" t="n">
        <f aca="false" t="array" ref="E123:E123">INDEX(Data_DBD!$E:$E,$A123)</f>
        <v>0</v>
      </c>
      <c r="F123" s="5" t="str">
        <f aca="false" t="array" ref="F123:F123">INDEX(Data_DBD!$F:$F,$A123)</f>
        <v>Sedang</v>
      </c>
      <c r="H123" s="5" t="n">
        <v>105</v>
      </c>
      <c r="I123" s="5" t="n">
        <v>61</v>
      </c>
      <c r="J123" s="5" t="n">
        <v>3</v>
      </c>
      <c r="K123" s="5" t="n">
        <v>18</v>
      </c>
      <c r="L123" s="5" t="n">
        <v>1</v>
      </c>
      <c r="M123" s="5" t="s">
        <v>7</v>
      </c>
    </row>
    <row r="124" customFormat="false" ht="15" hidden="false" customHeight="false" outlineLevel="0" collapsed="false">
      <c r="A124" s="5" t="n">
        <f aca="false">RANDBETWEEN(2,164)</f>
        <v>13</v>
      </c>
      <c r="B124" s="5" t="n">
        <f aca="false" t="array" ref="B124:B124">INDEX(Data_DBD!$B:$B,$A124)</f>
        <v>47</v>
      </c>
      <c r="C124" s="5" t="n">
        <f aca="false" t="array" ref="C124:C124">INDEX(Data_DBD!$C:$C,$A124)</f>
        <v>2</v>
      </c>
      <c r="D124" s="5" t="n">
        <f aca="false" t="array" ref="D124:D124">INDEX(Data_DBD!$D:$D,$A124)</f>
        <v>12</v>
      </c>
      <c r="E124" s="5" t="n">
        <f aca="false" t="array" ref="E124:E124">INDEX(Data_DBD!$E:$E,$A124)</f>
        <v>0</v>
      </c>
      <c r="F124" s="5" t="str">
        <f aca="false" t="array" ref="F124:F124">INDEX(Data_DBD!$F:$F,$A124)</f>
        <v>Sedang</v>
      </c>
      <c r="H124" s="5" t="n">
        <v>123</v>
      </c>
      <c r="I124" s="5" t="n">
        <v>22</v>
      </c>
      <c r="J124" s="5" t="n">
        <v>4</v>
      </c>
      <c r="K124" s="5" t="n">
        <v>33</v>
      </c>
      <c r="L124" s="5" t="n">
        <v>0</v>
      </c>
      <c r="M124" s="5" t="s">
        <v>115</v>
      </c>
    </row>
    <row r="125" customFormat="false" ht="15" hidden="false" customHeight="false" outlineLevel="0" collapsed="false">
      <c r="A125" s="5" t="n">
        <f aca="false">RANDBETWEEN(2,164)</f>
        <v>53</v>
      </c>
      <c r="B125" s="5" t="n">
        <f aca="false" t="array" ref="B125:B125">INDEX(Data_DBD!$B:$B,$A125)</f>
        <v>35</v>
      </c>
      <c r="C125" s="5" t="n">
        <f aca="false" t="array" ref="C125:C125">INDEX(Data_DBD!$C:$C,$A125)</f>
        <v>4</v>
      </c>
      <c r="D125" s="5" t="n">
        <f aca="false" t="array" ref="D125:D125">INDEX(Data_DBD!$D:$D,$A125)</f>
        <v>15</v>
      </c>
      <c r="E125" s="5" t="n">
        <f aca="false" t="array" ref="E125:E125">INDEX(Data_DBD!$E:$E,$A125)</f>
        <v>1</v>
      </c>
      <c r="F125" s="5" t="str">
        <f aca="false" t="array" ref="F125:F125">INDEX(Data_DBD!$F:$F,$A125)</f>
        <v>Sedang</v>
      </c>
      <c r="H125" s="5" t="n">
        <v>59</v>
      </c>
      <c r="I125" s="5" t="n">
        <v>28</v>
      </c>
      <c r="J125" s="5" t="n">
        <v>4</v>
      </c>
      <c r="K125" s="5" t="n">
        <v>15</v>
      </c>
      <c r="L125" s="5" t="n">
        <v>0</v>
      </c>
      <c r="M125" s="5" t="s">
        <v>7</v>
      </c>
    </row>
    <row r="126" customFormat="false" ht="15" hidden="false" customHeight="false" outlineLevel="0" collapsed="false">
      <c r="A126" s="5" t="n">
        <f aca="false">RANDBETWEEN(2,164)</f>
        <v>160</v>
      </c>
      <c r="B126" s="5" t="n">
        <f aca="false" t="array" ref="B126:B126">INDEX(Data_DBD!$B:$B,$A126)</f>
        <v>16</v>
      </c>
      <c r="C126" s="5" t="n">
        <f aca="false" t="array" ref="C126:C126">INDEX(Data_DBD!$C:$C,$A126)</f>
        <v>3</v>
      </c>
      <c r="D126" s="5" t="n">
        <f aca="false" t="array" ref="D126:D126">INDEX(Data_DBD!$D:$D,$A126)</f>
        <v>21</v>
      </c>
      <c r="E126" s="5" t="n">
        <f aca="false" t="array" ref="E126:E126">INDEX(Data_DBD!$E:$E,$A126)</f>
        <v>0</v>
      </c>
      <c r="F126" s="5" t="str">
        <f aca="false" t="array" ref="F126:F126">INDEX(Data_DBD!$F:$F,$A126)</f>
        <v>Tinggi</v>
      </c>
      <c r="H126" s="5" t="n">
        <v>34</v>
      </c>
      <c r="I126" s="5" t="n">
        <v>55</v>
      </c>
      <c r="J126" s="5" t="n">
        <v>3</v>
      </c>
      <c r="K126" s="5" t="n">
        <v>14</v>
      </c>
      <c r="L126" s="5" t="n">
        <v>0</v>
      </c>
      <c r="M126" s="5" t="s">
        <v>7</v>
      </c>
    </row>
    <row r="127" customFormat="false" ht="15" hidden="false" customHeight="false" outlineLevel="0" collapsed="false">
      <c r="A127" s="5" t="n">
        <f aca="false">RANDBETWEEN(2,164)</f>
        <v>28</v>
      </c>
      <c r="B127" s="5" t="n">
        <f aca="false" t="array" ref="B127:B127">INDEX(Data_DBD!$B:$B,$A127)</f>
        <v>22</v>
      </c>
      <c r="C127" s="5" t="n">
        <f aca="false" t="array" ref="C127:C127">INDEX(Data_DBD!$C:$C,$A127)</f>
        <v>2</v>
      </c>
      <c r="D127" s="5" t="n">
        <f aca="false" t="array" ref="D127:D127">INDEX(Data_DBD!$D:$D,$A127)</f>
        <v>14</v>
      </c>
      <c r="E127" s="5" t="n">
        <f aca="false" t="array" ref="E127:E127">INDEX(Data_DBD!$E:$E,$A127)</f>
        <v>1</v>
      </c>
      <c r="F127" s="5" t="str">
        <f aca="false" t="array" ref="F127:F127">INDEX(Data_DBD!$F:$F,$A127)</f>
        <v>Sedang</v>
      </c>
      <c r="H127" s="5" t="n">
        <v>109</v>
      </c>
      <c r="I127" s="5" t="n">
        <v>40</v>
      </c>
      <c r="J127" s="5" t="n">
        <v>3</v>
      </c>
      <c r="K127" s="5" t="n">
        <v>33</v>
      </c>
      <c r="L127" s="5" t="n">
        <v>1</v>
      </c>
      <c r="M127" s="5" t="s">
        <v>115</v>
      </c>
    </row>
    <row r="128" customFormat="false" ht="15" hidden="false" customHeight="false" outlineLevel="0" collapsed="false">
      <c r="A128" s="5" t="n">
        <f aca="false">RANDBETWEEN(2,164)</f>
        <v>77</v>
      </c>
      <c r="B128" s="5" t="n">
        <f aca="false" t="array" ref="B128:B128">INDEX(Data_DBD!$B:$B,$A128)</f>
        <v>16</v>
      </c>
      <c r="C128" s="5" t="n">
        <f aca="false" t="array" ref="C128:C128">INDEX(Data_DBD!$C:$C,$A128)</f>
        <v>4</v>
      </c>
      <c r="D128" s="5" t="n">
        <f aca="false" t="array" ref="D128:D128">INDEX(Data_DBD!$D:$D,$A128)</f>
        <v>13</v>
      </c>
      <c r="E128" s="5" t="n">
        <f aca="false" t="array" ref="E128:E128">INDEX(Data_DBD!$E:$E,$A128)</f>
        <v>1</v>
      </c>
      <c r="F128" s="5" t="str">
        <f aca="false" t="array" ref="F128:F128">INDEX(Data_DBD!$F:$F,$A128)</f>
        <v>Sedang</v>
      </c>
      <c r="H128" s="5" t="n">
        <v>29</v>
      </c>
      <c r="I128" s="5" t="n">
        <v>19</v>
      </c>
      <c r="J128" s="5" t="n">
        <v>2</v>
      </c>
      <c r="K128" s="5" t="n">
        <v>14</v>
      </c>
      <c r="L128" s="5" t="n">
        <v>1</v>
      </c>
      <c r="M128" s="5" t="s">
        <v>7</v>
      </c>
    </row>
    <row r="129" customFormat="false" ht="15" hidden="false" customHeight="false" outlineLevel="0" collapsed="false">
      <c r="A129" s="5" t="n">
        <f aca="false">RANDBETWEEN(2,164)</f>
        <v>22</v>
      </c>
      <c r="B129" s="5" t="n">
        <f aca="false" t="array" ref="B129:B129">INDEX(Data_DBD!$B:$B,$A129)</f>
        <v>6</v>
      </c>
      <c r="C129" s="5" t="n">
        <f aca="false" t="array" ref="C129:C129">INDEX(Data_DBD!$C:$C,$A129)</f>
        <v>3</v>
      </c>
      <c r="D129" s="5" t="n">
        <f aca="false" t="array" ref="D129:D129">INDEX(Data_DBD!$D:$D,$A129)</f>
        <v>14</v>
      </c>
      <c r="E129" s="5" t="n">
        <f aca="false" t="array" ref="E129:E129">INDEX(Data_DBD!$E:$E,$A129)</f>
        <v>0</v>
      </c>
      <c r="F129" s="5" t="str">
        <f aca="false" t="array" ref="F129:F129">INDEX(Data_DBD!$F:$F,$A129)</f>
        <v>Sedang</v>
      </c>
      <c r="H129" s="5" t="n">
        <v>48</v>
      </c>
      <c r="I129" s="5" t="n">
        <v>50</v>
      </c>
      <c r="J129" s="5" t="n">
        <v>5</v>
      </c>
      <c r="K129" s="5" t="n">
        <v>13</v>
      </c>
      <c r="L129" s="5" t="n">
        <v>1</v>
      </c>
      <c r="M129" s="5" t="s">
        <v>7</v>
      </c>
    </row>
    <row r="130" customFormat="false" ht="15" hidden="false" customHeight="false" outlineLevel="0" collapsed="false">
      <c r="A130" s="5" t="n">
        <f aca="false">RANDBETWEEN(2,164)</f>
        <v>126</v>
      </c>
      <c r="B130" s="5" t="n">
        <f aca="false" t="array" ref="B130:B130">INDEX(Data_DBD!$B:$B,$A130)</f>
        <v>51</v>
      </c>
      <c r="C130" s="5" t="n">
        <f aca="false" t="array" ref="C130:C130">INDEX(Data_DBD!$C:$C,$A130)</f>
        <v>3</v>
      </c>
      <c r="D130" s="5" t="n">
        <f aca="false" t="array" ref="D130:D130">INDEX(Data_DBD!$D:$D,$A130)</f>
        <v>33</v>
      </c>
      <c r="E130" s="5" t="n">
        <f aca="false" t="array" ref="E130:E130">INDEX(Data_DBD!$E:$E,$A130)</f>
        <v>1</v>
      </c>
      <c r="F130" s="5" t="str">
        <f aca="false" t="array" ref="F130:F130">INDEX(Data_DBD!$F:$F,$A130)</f>
        <v>Tinggi</v>
      </c>
      <c r="H130" s="5" t="n">
        <v>16</v>
      </c>
      <c r="I130" s="5" t="n">
        <v>66</v>
      </c>
      <c r="J130" s="5" t="n">
        <v>5</v>
      </c>
      <c r="K130" s="5" t="n">
        <v>7</v>
      </c>
      <c r="L130" s="5" t="n">
        <v>1</v>
      </c>
      <c r="M130" s="5" t="s">
        <v>20</v>
      </c>
    </row>
    <row r="131" customFormat="false" ht="15" hidden="false" customHeight="false" outlineLevel="0" collapsed="false">
      <c r="A131" s="5" t="n">
        <f aca="false">RANDBETWEEN(2,164)</f>
        <v>104</v>
      </c>
      <c r="B131" s="5" t="n">
        <f aca="false" t="array" ref="B131:B131">INDEX(Data_DBD!$B:$B,$A131)</f>
        <v>37</v>
      </c>
      <c r="C131" s="5" t="n">
        <f aca="false" t="array" ref="C131:C131">INDEX(Data_DBD!$C:$C,$A131)</f>
        <v>4</v>
      </c>
      <c r="D131" s="5" t="n">
        <f aca="false" t="array" ref="D131:D131">INDEX(Data_DBD!$D:$D,$A131)</f>
        <v>18</v>
      </c>
      <c r="E131" s="5" t="n">
        <f aca="false" t="array" ref="E131:E131">INDEX(Data_DBD!$E:$E,$A131)</f>
        <v>1</v>
      </c>
      <c r="F131" s="5" t="str">
        <f aca="false" t="array" ref="F131:F131">INDEX(Data_DBD!$F:$F,$A131)</f>
        <v>Sedang</v>
      </c>
      <c r="H131" s="5" t="n">
        <v>126</v>
      </c>
      <c r="I131" s="5" t="n">
        <v>51</v>
      </c>
      <c r="J131" s="5" t="n">
        <v>3</v>
      </c>
      <c r="K131" s="5" t="n">
        <v>33</v>
      </c>
      <c r="L131" s="5" t="n">
        <v>1</v>
      </c>
      <c r="M131" s="5" t="s">
        <v>115</v>
      </c>
    </row>
    <row r="132" customFormat="false" ht="15" hidden="false" customHeight="false" outlineLevel="0" collapsed="false">
      <c r="A132" s="5" t="n">
        <f aca="false">RANDBETWEEN(2,164)</f>
        <v>53</v>
      </c>
      <c r="B132" s="5" t="n">
        <f aca="false" t="array" ref="B132:B132">INDEX(Data_DBD!$B:$B,$A132)</f>
        <v>35</v>
      </c>
      <c r="C132" s="5" t="n">
        <f aca="false" t="array" ref="C132:C132">INDEX(Data_DBD!$C:$C,$A132)</f>
        <v>4</v>
      </c>
      <c r="D132" s="5" t="n">
        <f aca="false" t="array" ref="D132:D132">INDEX(Data_DBD!$D:$D,$A132)</f>
        <v>15</v>
      </c>
      <c r="E132" s="5" t="n">
        <f aca="false" t="array" ref="E132:E132">INDEX(Data_DBD!$E:$E,$A132)</f>
        <v>1</v>
      </c>
      <c r="F132" s="5" t="str">
        <f aca="false" t="array" ref="F132:F132">INDEX(Data_DBD!$F:$F,$A132)</f>
        <v>Sedang</v>
      </c>
      <c r="H132" s="5" t="n">
        <v>56</v>
      </c>
      <c r="I132" s="5" t="n">
        <v>4</v>
      </c>
      <c r="J132" s="5" t="n">
        <v>3</v>
      </c>
      <c r="K132" s="5" t="n">
        <v>15</v>
      </c>
      <c r="L132" s="5" t="n">
        <v>0</v>
      </c>
      <c r="M132" s="5" t="s">
        <v>7</v>
      </c>
    </row>
    <row r="133" customFormat="false" ht="15" hidden="false" customHeight="false" outlineLevel="0" collapsed="false">
      <c r="A133" s="5" t="n">
        <f aca="false">RANDBETWEEN(2,164)</f>
        <v>148</v>
      </c>
      <c r="B133" s="5" t="n">
        <f aca="false" t="array" ref="B133:B133">INDEX(Data_DBD!$B:$B,$A133)</f>
        <v>55</v>
      </c>
      <c r="C133" s="5" t="n">
        <f aca="false" t="array" ref="C133:C133">INDEX(Data_DBD!$C:$C,$A133)</f>
        <v>3</v>
      </c>
      <c r="D133" s="5" t="n">
        <f aca="false" t="array" ref="D133:D133">INDEX(Data_DBD!$D:$D,$A133)</f>
        <v>21</v>
      </c>
      <c r="E133" s="5" t="n">
        <f aca="false" t="array" ref="E133:E133">INDEX(Data_DBD!$E:$E,$A133)</f>
        <v>1</v>
      </c>
      <c r="F133" s="5" t="str">
        <f aca="false" t="array" ref="F133:F133">INDEX(Data_DBD!$F:$F,$A133)</f>
        <v>Tinggi</v>
      </c>
      <c r="H133" s="5" t="n">
        <v>146</v>
      </c>
      <c r="I133" s="5" t="n">
        <v>34</v>
      </c>
      <c r="J133" s="5" t="n">
        <v>2</v>
      </c>
      <c r="K133" s="5" t="n">
        <v>21</v>
      </c>
      <c r="L133" s="5" t="n">
        <v>1</v>
      </c>
      <c r="M133" s="5" t="s">
        <v>115</v>
      </c>
    </row>
    <row r="134" customFormat="false" ht="15" hidden="false" customHeight="false" outlineLevel="0" collapsed="false">
      <c r="A134" s="5" t="n">
        <f aca="false">RANDBETWEEN(2,164)</f>
        <v>66</v>
      </c>
      <c r="B134" s="5" t="n">
        <f aca="false" t="array" ref="B134:B134">INDEX(Data_DBD!$B:$B,$A134)</f>
        <v>21</v>
      </c>
      <c r="C134" s="5" t="n">
        <f aca="false" t="array" ref="C134:C134">INDEX(Data_DBD!$C:$C,$A134)</f>
        <v>5</v>
      </c>
      <c r="D134" s="5" t="n">
        <f aca="false" t="array" ref="D134:D134">INDEX(Data_DBD!$D:$D,$A134)</f>
        <v>15</v>
      </c>
      <c r="E134" s="5" t="n">
        <f aca="false" t="array" ref="E134:E134">INDEX(Data_DBD!$E:$E,$A134)</f>
        <v>1</v>
      </c>
      <c r="F134" s="5" t="str">
        <f aca="false" t="array" ref="F134:F134">INDEX(Data_DBD!$F:$F,$A134)</f>
        <v>Sedang</v>
      </c>
      <c r="H134" s="5" t="n">
        <v>8</v>
      </c>
      <c r="I134" s="5" t="n">
        <v>4</v>
      </c>
      <c r="J134" s="5" t="n">
        <v>2</v>
      </c>
      <c r="K134" s="5" t="n">
        <v>12</v>
      </c>
      <c r="L134" s="5" t="n">
        <v>0</v>
      </c>
      <c r="M134" s="5" t="s">
        <v>7</v>
      </c>
    </row>
    <row r="135" customFormat="false" ht="15" hidden="false" customHeight="false" outlineLevel="0" collapsed="false">
      <c r="A135" s="5" t="n">
        <f aca="false">RANDBETWEEN(2,164)</f>
        <v>94</v>
      </c>
      <c r="B135" s="5" t="n">
        <f aca="false" t="array" ref="B135:B135">INDEX(Data_DBD!$B:$B,$A135)</f>
        <v>12</v>
      </c>
      <c r="C135" s="5" t="n">
        <f aca="false" t="array" ref="C135:C135">INDEX(Data_DBD!$C:$C,$A135)</f>
        <v>4</v>
      </c>
      <c r="D135" s="5" t="n">
        <f aca="false" t="array" ref="D135:D135">INDEX(Data_DBD!$D:$D,$A135)</f>
        <v>18</v>
      </c>
      <c r="E135" s="5" t="n">
        <f aca="false" t="array" ref="E135:E135">INDEX(Data_DBD!$E:$E,$A135)</f>
        <v>0</v>
      </c>
      <c r="F135" s="5" t="str">
        <f aca="false" t="array" ref="F135:F135">INDEX(Data_DBD!$F:$F,$A135)</f>
        <v>Sedang</v>
      </c>
      <c r="H135" s="5" t="n">
        <v>103</v>
      </c>
      <c r="I135" s="5" t="n">
        <v>22</v>
      </c>
      <c r="J135" s="5" t="n">
        <v>5</v>
      </c>
      <c r="K135" s="5" t="n">
        <v>18</v>
      </c>
      <c r="L135" s="5" t="n">
        <v>0</v>
      </c>
      <c r="M135" s="5" t="s">
        <v>7</v>
      </c>
    </row>
    <row r="136" customFormat="false" ht="15" hidden="false" customHeight="false" outlineLevel="0" collapsed="false">
      <c r="A136" s="5" t="n">
        <f aca="false">RANDBETWEEN(2,164)</f>
        <v>145</v>
      </c>
      <c r="B136" s="5" t="n">
        <f aca="false" t="array" ref="B136:B136">INDEX(Data_DBD!$B:$B,$A136)</f>
        <v>28</v>
      </c>
      <c r="C136" s="5" t="n">
        <f aca="false" t="array" ref="C136:C136">INDEX(Data_DBD!$C:$C,$A136)</f>
        <v>4</v>
      </c>
      <c r="D136" s="5" t="n">
        <f aca="false" t="array" ref="D136:D136">INDEX(Data_DBD!$D:$D,$A136)</f>
        <v>21</v>
      </c>
      <c r="E136" s="5" t="n">
        <f aca="false" t="array" ref="E136:E136">INDEX(Data_DBD!$E:$E,$A136)</f>
        <v>1</v>
      </c>
      <c r="F136" s="5" t="str">
        <f aca="false" t="array" ref="F136:F136">INDEX(Data_DBD!$F:$F,$A136)</f>
        <v>Tinggi</v>
      </c>
      <c r="H136" s="5" t="n">
        <v>126</v>
      </c>
      <c r="I136" s="5" t="n">
        <v>51</v>
      </c>
      <c r="J136" s="5" t="n">
        <v>3</v>
      </c>
      <c r="K136" s="5" t="n">
        <v>33</v>
      </c>
      <c r="L136" s="5" t="n">
        <v>1</v>
      </c>
      <c r="M136" s="5" t="s">
        <v>115</v>
      </c>
    </row>
    <row r="137" customFormat="false" ht="15" hidden="false" customHeight="false" outlineLevel="0" collapsed="false">
      <c r="A137" s="5" t="n">
        <f aca="false">RANDBETWEEN(2,164)</f>
        <v>84</v>
      </c>
      <c r="B137" s="5" t="n">
        <f aca="false" t="array" ref="B137:B137">INDEX(Data_DBD!$B:$B,$A137)</f>
        <v>42</v>
      </c>
      <c r="C137" s="5" t="n">
        <f aca="false" t="array" ref="C137:C137">INDEX(Data_DBD!$C:$C,$A137)</f>
        <v>4</v>
      </c>
      <c r="D137" s="5" t="n">
        <f aca="false" t="array" ref="D137:D137">INDEX(Data_DBD!$D:$D,$A137)</f>
        <v>13</v>
      </c>
      <c r="E137" s="5" t="n">
        <f aca="false" t="array" ref="E137:E137">INDEX(Data_DBD!$E:$E,$A137)</f>
        <v>1</v>
      </c>
      <c r="F137" s="5" t="str">
        <f aca="false" t="array" ref="F137:F137">INDEX(Data_DBD!$F:$F,$A137)</f>
        <v>Sedang</v>
      </c>
      <c r="H137" s="5" t="n">
        <v>100</v>
      </c>
      <c r="I137" s="5" t="n">
        <v>19</v>
      </c>
      <c r="J137" s="5" t="n">
        <v>6</v>
      </c>
      <c r="K137" s="5" t="n">
        <v>18</v>
      </c>
      <c r="L137" s="5" t="n">
        <v>0</v>
      </c>
      <c r="M137" s="5" t="s">
        <v>7</v>
      </c>
    </row>
    <row r="138" customFormat="false" ht="15" hidden="false" customHeight="false" outlineLevel="0" collapsed="false">
      <c r="A138" s="5" t="n">
        <f aca="false">RANDBETWEEN(2,164)</f>
        <v>70</v>
      </c>
      <c r="B138" s="5" t="n">
        <f aca="false" t="array" ref="B138:B138">INDEX(Data_DBD!$B:$B,$A138)</f>
        <v>26</v>
      </c>
      <c r="C138" s="5" t="n">
        <f aca="false" t="array" ref="C138:C138">INDEX(Data_DBD!$C:$C,$A138)</f>
        <v>3</v>
      </c>
      <c r="D138" s="5" t="n">
        <f aca="false" t="array" ref="D138:D138">INDEX(Data_DBD!$D:$D,$A138)</f>
        <v>10</v>
      </c>
      <c r="E138" s="5" t="n">
        <f aca="false" t="array" ref="E138:E138">INDEX(Data_DBD!$E:$E,$A138)</f>
        <v>1</v>
      </c>
      <c r="F138" s="5" t="str">
        <f aca="false" t="array" ref="F138:F138">INDEX(Data_DBD!$F:$F,$A138)</f>
        <v>Rendah</v>
      </c>
      <c r="H138" s="5" t="n">
        <v>56</v>
      </c>
      <c r="I138" s="5" t="n">
        <v>4</v>
      </c>
      <c r="J138" s="5" t="n">
        <v>3</v>
      </c>
      <c r="K138" s="5" t="n">
        <v>15</v>
      </c>
      <c r="L138" s="5" t="n">
        <v>0</v>
      </c>
      <c r="M138" s="5" t="s">
        <v>7</v>
      </c>
    </row>
    <row r="139" customFormat="false" ht="15" hidden="false" customHeight="false" outlineLevel="0" collapsed="false">
      <c r="A139" s="5" t="n">
        <f aca="false">RANDBETWEEN(2,164)</f>
        <v>20</v>
      </c>
      <c r="B139" s="5" t="n">
        <f aca="false" t="array" ref="B139:B139">INDEX(Data_DBD!$B:$B,$A139)</f>
        <v>15</v>
      </c>
      <c r="C139" s="5" t="n">
        <f aca="false" t="array" ref="C139:C139">INDEX(Data_DBD!$C:$C,$A139)</f>
        <v>5</v>
      </c>
      <c r="D139" s="5" t="n">
        <f aca="false" t="array" ref="D139:D139">INDEX(Data_DBD!$D:$D,$A139)</f>
        <v>7</v>
      </c>
      <c r="E139" s="5" t="n">
        <f aca="false" t="array" ref="E139:E139">INDEX(Data_DBD!$E:$E,$A139)</f>
        <v>0</v>
      </c>
      <c r="F139" s="5" t="str">
        <f aca="false" t="array" ref="F139:F139">INDEX(Data_DBD!$F:$F,$A139)</f>
        <v>Rendah</v>
      </c>
      <c r="H139" s="5" t="n">
        <v>118</v>
      </c>
      <c r="I139" s="5" t="n">
        <v>67</v>
      </c>
      <c r="J139" s="5" t="n">
        <v>4</v>
      </c>
      <c r="K139" s="5" t="n">
        <v>33</v>
      </c>
      <c r="L139" s="5" t="n">
        <v>1</v>
      </c>
      <c r="M139" s="5" t="s">
        <v>115</v>
      </c>
    </row>
    <row r="140" customFormat="false" ht="15" hidden="false" customHeight="false" outlineLevel="0" collapsed="false">
      <c r="A140" s="5" t="n">
        <f aca="false">RANDBETWEEN(2,164)</f>
        <v>108</v>
      </c>
      <c r="B140" s="5" t="n">
        <f aca="false" t="array" ref="B140:B140">INDEX(Data_DBD!$B:$B,$A140)</f>
        <v>69</v>
      </c>
      <c r="C140" s="5" t="n">
        <f aca="false" t="array" ref="C140:C140">INDEX(Data_DBD!$C:$C,$A140)</f>
        <v>7</v>
      </c>
      <c r="D140" s="5" t="n">
        <f aca="false" t="array" ref="D140:D140">INDEX(Data_DBD!$D:$D,$A140)</f>
        <v>33</v>
      </c>
      <c r="E140" s="5" t="n">
        <f aca="false" t="array" ref="E140:E140">INDEX(Data_DBD!$E:$E,$A140)</f>
        <v>1</v>
      </c>
      <c r="F140" s="5" t="str">
        <f aca="false" t="array" ref="F140:F140">INDEX(Data_DBD!$F:$F,$A140)</f>
        <v>Tinggi</v>
      </c>
      <c r="H140" s="5" t="n">
        <v>56</v>
      </c>
      <c r="I140" s="5" t="n">
        <v>4</v>
      </c>
      <c r="J140" s="5" t="n">
        <v>3</v>
      </c>
      <c r="K140" s="5" t="n">
        <v>15</v>
      </c>
      <c r="L140" s="5" t="n">
        <v>0</v>
      </c>
      <c r="M140" s="5" t="s">
        <v>7</v>
      </c>
    </row>
    <row r="141" customFormat="false" ht="15" hidden="false" customHeight="false" outlineLevel="0" collapsed="false">
      <c r="A141" s="5" t="n">
        <f aca="false">RANDBETWEEN(2,164)</f>
        <v>72</v>
      </c>
      <c r="B141" s="5" t="n">
        <f aca="false" t="array" ref="B141:B141">INDEX(Data_DBD!$B:$B,$A141)</f>
        <v>3</v>
      </c>
      <c r="C141" s="5" t="n">
        <f aca="false" t="array" ref="C141:C141">INDEX(Data_DBD!$C:$C,$A141)</f>
        <v>5</v>
      </c>
      <c r="D141" s="5" t="n">
        <f aca="false" t="array" ref="D141:D141">INDEX(Data_DBD!$D:$D,$A141)</f>
        <v>10</v>
      </c>
      <c r="E141" s="5" t="n">
        <f aca="false" t="array" ref="E141:E141">INDEX(Data_DBD!$E:$E,$A141)</f>
        <v>1</v>
      </c>
      <c r="F141" s="5" t="str">
        <f aca="false" t="array" ref="F141:F141">INDEX(Data_DBD!$F:$F,$A141)</f>
        <v>Rendah</v>
      </c>
      <c r="H141" s="5" t="n">
        <v>91</v>
      </c>
      <c r="I141" s="5" t="n">
        <v>35</v>
      </c>
      <c r="J141" s="5" t="n">
        <v>1</v>
      </c>
      <c r="K141" s="5" t="n">
        <v>18</v>
      </c>
      <c r="L141" s="5" t="n">
        <v>1</v>
      </c>
      <c r="M141" s="5" t="s">
        <v>7</v>
      </c>
    </row>
    <row r="142" customFormat="false" ht="15" hidden="false" customHeight="false" outlineLevel="0" collapsed="false">
      <c r="A142" s="5" t="n">
        <f aca="false">RANDBETWEEN(2,164)</f>
        <v>78</v>
      </c>
      <c r="B142" s="5" t="n">
        <f aca="false" t="array" ref="B142:B142">INDEX(Data_DBD!$B:$B,$A142)</f>
        <v>6</v>
      </c>
      <c r="C142" s="5" t="n">
        <f aca="false" t="array" ref="C142:C142">INDEX(Data_DBD!$C:$C,$A142)</f>
        <v>3</v>
      </c>
      <c r="D142" s="5" t="n">
        <f aca="false" t="array" ref="D142:D142">INDEX(Data_DBD!$D:$D,$A142)</f>
        <v>13</v>
      </c>
      <c r="E142" s="5" t="n">
        <f aca="false" t="array" ref="E142:E142">INDEX(Data_DBD!$E:$E,$A142)</f>
        <v>0</v>
      </c>
      <c r="F142" s="5" t="str">
        <f aca="false" t="array" ref="F142:F142">INDEX(Data_DBD!$F:$F,$A142)</f>
        <v>Sedang</v>
      </c>
      <c r="H142" s="5" t="n">
        <v>86</v>
      </c>
      <c r="I142" s="5" t="n">
        <v>23</v>
      </c>
      <c r="J142" s="5" t="n">
        <v>3</v>
      </c>
      <c r="K142" s="5" t="n">
        <v>13</v>
      </c>
      <c r="L142" s="5" t="n">
        <v>0</v>
      </c>
      <c r="M142" s="5" t="s">
        <v>7</v>
      </c>
    </row>
    <row r="143" customFormat="false" ht="15" hidden="false" customHeight="false" outlineLevel="0" collapsed="false">
      <c r="A143" s="5" t="n">
        <f aca="false">RANDBETWEEN(2,164)</f>
        <v>20</v>
      </c>
      <c r="B143" s="5" t="n">
        <f aca="false" t="array" ref="B143:B143">INDEX(Data_DBD!$B:$B,$A143)</f>
        <v>15</v>
      </c>
      <c r="C143" s="5" t="n">
        <f aca="false" t="array" ref="C143:C143">INDEX(Data_DBD!$C:$C,$A143)</f>
        <v>5</v>
      </c>
      <c r="D143" s="5" t="n">
        <f aca="false" t="array" ref="D143:D143">INDEX(Data_DBD!$D:$D,$A143)</f>
        <v>7</v>
      </c>
      <c r="E143" s="5" t="n">
        <f aca="false" t="array" ref="E143:E143">INDEX(Data_DBD!$E:$E,$A143)</f>
        <v>0</v>
      </c>
      <c r="F143" s="5" t="str">
        <f aca="false" t="array" ref="F143:F143">INDEX(Data_DBD!$F:$F,$A143)</f>
        <v>Rendah</v>
      </c>
      <c r="H143" s="5" t="n">
        <v>162</v>
      </c>
      <c r="I143" s="5" t="n">
        <v>22</v>
      </c>
      <c r="J143" s="5" t="n">
        <v>3</v>
      </c>
      <c r="K143" s="5" t="n">
        <v>3</v>
      </c>
      <c r="L143" s="5" t="n">
        <v>1</v>
      </c>
      <c r="M143" s="5" t="s">
        <v>20</v>
      </c>
    </row>
    <row r="144" customFormat="false" ht="15" hidden="false" customHeight="false" outlineLevel="0" collapsed="false">
      <c r="A144" s="5" t="n">
        <f aca="false">RANDBETWEEN(2,164)</f>
        <v>60</v>
      </c>
      <c r="B144" s="5" t="n">
        <f aca="false" t="array" ref="B144:B144">INDEX(Data_DBD!$B:$B,$A144)</f>
        <v>68</v>
      </c>
      <c r="C144" s="5" t="n">
        <f aca="false" t="array" ref="C144:C144">INDEX(Data_DBD!$C:$C,$A144)</f>
        <v>4</v>
      </c>
      <c r="D144" s="5" t="n">
        <f aca="false" t="array" ref="D144:D144">INDEX(Data_DBD!$D:$D,$A144)</f>
        <v>15</v>
      </c>
      <c r="E144" s="5" t="n">
        <f aca="false" t="array" ref="E144:E144">INDEX(Data_DBD!$E:$E,$A144)</f>
        <v>0</v>
      </c>
      <c r="F144" s="5" t="str">
        <f aca="false" t="array" ref="F144:F144">INDEX(Data_DBD!$F:$F,$A144)</f>
        <v>Sedang</v>
      </c>
      <c r="H144" s="5" t="n">
        <v>153</v>
      </c>
      <c r="I144" s="5" t="n">
        <v>73</v>
      </c>
      <c r="J144" s="5" t="n">
        <v>7</v>
      </c>
      <c r="K144" s="5" t="n">
        <v>21</v>
      </c>
      <c r="L144" s="5" t="n">
        <v>1</v>
      </c>
      <c r="M144" s="5" t="s">
        <v>115</v>
      </c>
    </row>
    <row r="145" customFormat="false" ht="15" hidden="false" customHeight="false" outlineLevel="0" collapsed="false">
      <c r="A145" s="5" t="n">
        <f aca="false">RANDBETWEEN(2,164)</f>
        <v>113</v>
      </c>
      <c r="B145" s="5" t="n">
        <f aca="false" t="array" ref="B145:B145">INDEX(Data_DBD!$B:$B,$A145)</f>
        <v>69</v>
      </c>
      <c r="C145" s="5" t="n">
        <f aca="false" t="array" ref="C145:C145">INDEX(Data_DBD!$C:$C,$A145)</f>
        <v>1</v>
      </c>
      <c r="D145" s="5" t="n">
        <f aca="false" t="array" ref="D145:D145">INDEX(Data_DBD!$D:$D,$A145)</f>
        <v>33</v>
      </c>
      <c r="E145" s="5" t="n">
        <f aca="false" t="array" ref="E145:E145">INDEX(Data_DBD!$E:$E,$A145)</f>
        <v>1</v>
      </c>
      <c r="F145" s="5" t="str">
        <f aca="false" t="array" ref="F145:F145">INDEX(Data_DBD!$F:$F,$A145)</f>
        <v>Tinggi</v>
      </c>
      <c r="H145" s="5" t="n">
        <v>128</v>
      </c>
      <c r="I145" s="5" t="n">
        <v>38</v>
      </c>
      <c r="J145" s="5" t="n">
        <v>2</v>
      </c>
      <c r="K145" s="5" t="n">
        <v>33</v>
      </c>
      <c r="L145" s="5" t="n">
        <v>0</v>
      </c>
      <c r="M145" s="5" t="s">
        <v>115</v>
      </c>
    </row>
    <row r="146" customFormat="false" ht="15" hidden="false" customHeight="false" outlineLevel="0" collapsed="false">
      <c r="A146" s="5" t="n">
        <f aca="false">RANDBETWEEN(2,164)</f>
        <v>88</v>
      </c>
      <c r="B146" s="5" t="n">
        <f aca="false" t="array" ref="B146:B146">INDEX(Data_DBD!$B:$B,$A146)</f>
        <v>20</v>
      </c>
      <c r="C146" s="5" t="n">
        <f aca="false" t="array" ref="C146:C146">INDEX(Data_DBD!$C:$C,$A146)</f>
        <v>4</v>
      </c>
      <c r="D146" s="5" t="n">
        <f aca="false" t="array" ref="D146:D146">INDEX(Data_DBD!$D:$D,$A146)</f>
        <v>13</v>
      </c>
      <c r="E146" s="5" t="n">
        <f aca="false" t="array" ref="E146:E146">INDEX(Data_DBD!$E:$E,$A146)</f>
        <v>1</v>
      </c>
      <c r="F146" s="5" t="str">
        <f aca="false" t="array" ref="F146:F146">INDEX(Data_DBD!$F:$F,$A146)</f>
        <v>Sedang</v>
      </c>
      <c r="H146" s="5" t="n">
        <v>107</v>
      </c>
      <c r="I146" s="5" t="n">
        <v>48</v>
      </c>
      <c r="J146" s="5" t="n">
        <v>5</v>
      </c>
      <c r="K146" s="5" t="n">
        <v>18</v>
      </c>
      <c r="L146" s="5" t="n">
        <v>0</v>
      </c>
      <c r="M146" s="5" t="s">
        <v>7</v>
      </c>
    </row>
    <row r="147" customFormat="false" ht="15" hidden="false" customHeight="false" outlineLevel="0" collapsed="false">
      <c r="A147" s="5" t="n">
        <f aca="false">RANDBETWEEN(2,164)</f>
        <v>26</v>
      </c>
      <c r="B147" s="5" t="n">
        <f aca="false" t="array" ref="B147:B147">INDEX(Data_DBD!$B:$B,$A147)</f>
        <v>75</v>
      </c>
      <c r="C147" s="5" t="n">
        <f aca="false" t="array" ref="C147:C147">INDEX(Data_DBD!$C:$C,$A147)</f>
        <v>4</v>
      </c>
      <c r="D147" s="5" t="n">
        <f aca="false" t="array" ref="D147:D147">INDEX(Data_DBD!$D:$D,$A147)</f>
        <v>14</v>
      </c>
      <c r="E147" s="5" t="n">
        <f aca="false" t="array" ref="E147:E147">INDEX(Data_DBD!$E:$E,$A147)</f>
        <v>1</v>
      </c>
      <c r="F147" s="5" t="str">
        <f aca="false" t="array" ref="F147:F147">INDEX(Data_DBD!$F:$F,$A147)</f>
        <v>Sedang</v>
      </c>
      <c r="H147" s="5" t="n">
        <v>145</v>
      </c>
      <c r="I147" s="5" t="n">
        <v>28</v>
      </c>
      <c r="J147" s="5" t="n">
        <v>4</v>
      </c>
      <c r="K147" s="5" t="n">
        <v>21</v>
      </c>
      <c r="L147" s="5" t="n">
        <v>1</v>
      </c>
      <c r="M147" s="5" t="s">
        <v>115</v>
      </c>
    </row>
    <row r="148" customFormat="false" ht="15" hidden="false" customHeight="false" outlineLevel="0" collapsed="false">
      <c r="A148" s="5" t="n">
        <f aca="false">RANDBETWEEN(2,164)</f>
        <v>85</v>
      </c>
      <c r="B148" s="5" t="n">
        <f aca="false" t="array" ref="B148:B148">INDEX(Data_DBD!$B:$B,$A148)</f>
        <v>27</v>
      </c>
      <c r="C148" s="5" t="n">
        <f aca="false" t="array" ref="C148:C148">INDEX(Data_DBD!$C:$C,$A148)</f>
        <v>9</v>
      </c>
      <c r="D148" s="5" t="n">
        <f aca="false" t="array" ref="D148:D148">INDEX(Data_DBD!$D:$D,$A148)</f>
        <v>13</v>
      </c>
      <c r="E148" s="5" t="n">
        <f aca="false" t="array" ref="E148:E148">INDEX(Data_DBD!$E:$E,$A148)</f>
        <v>0</v>
      </c>
      <c r="F148" s="5" t="str">
        <f aca="false" t="array" ref="F148:F148">INDEX(Data_DBD!$F:$F,$A148)</f>
        <v>Sedang</v>
      </c>
      <c r="H148" s="5" t="n">
        <v>15</v>
      </c>
      <c r="I148" s="5" t="n">
        <v>21</v>
      </c>
      <c r="J148" s="5" t="n">
        <v>2</v>
      </c>
      <c r="K148" s="5" t="n">
        <v>7</v>
      </c>
      <c r="L148" s="5" t="n">
        <v>0</v>
      </c>
      <c r="M148" s="5" t="s">
        <v>20</v>
      </c>
    </row>
    <row r="149" customFormat="false" ht="15" hidden="false" customHeight="false" outlineLevel="0" collapsed="false">
      <c r="A149" s="5" t="n">
        <f aca="false">RANDBETWEEN(2,164)</f>
        <v>53</v>
      </c>
      <c r="B149" s="5" t="n">
        <f aca="false" t="array" ref="B149:B149">INDEX(Data_DBD!$B:$B,$A149)</f>
        <v>35</v>
      </c>
      <c r="C149" s="5" t="n">
        <f aca="false" t="array" ref="C149:C149">INDEX(Data_DBD!$C:$C,$A149)</f>
        <v>4</v>
      </c>
      <c r="D149" s="5" t="n">
        <f aca="false" t="array" ref="D149:D149">INDEX(Data_DBD!$D:$D,$A149)</f>
        <v>15</v>
      </c>
      <c r="E149" s="5" t="n">
        <f aca="false" t="array" ref="E149:E149">INDEX(Data_DBD!$E:$E,$A149)</f>
        <v>1</v>
      </c>
      <c r="F149" s="5" t="str">
        <f aca="false" t="array" ref="F149:F149">INDEX(Data_DBD!$F:$F,$A149)</f>
        <v>Sedang</v>
      </c>
      <c r="H149" s="5" t="n">
        <v>96</v>
      </c>
      <c r="I149" s="5" t="n">
        <v>56</v>
      </c>
      <c r="J149" s="5" t="n">
        <v>4</v>
      </c>
      <c r="K149" s="5" t="n">
        <v>18</v>
      </c>
      <c r="L149" s="5" t="n">
        <v>0</v>
      </c>
      <c r="M149" s="5" t="s">
        <v>7</v>
      </c>
    </row>
    <row r="150" customFormat="false" ht="15" hidden="false" customHeight="false" outlineLevel="0" collapsed="false">
      <c r="A150" s="5" t="n">
        <f aca="false">RANDBETWEEN(2,164)</f>
        <v>117</v>
      </c>
      <c r="B150" s="5" t="n">
        <f aca="false" t="array" ref="B150:B150">INDEX(Data_DBD!$B:$B,$A150)</f>
        <v>49</v>
      </c>
      <c r="C150" s="5" t="n">
        <f aca="false" t="array" ref="C150:C150">INDEX(Data_DBD!$C:$C,$A150)</f>
        <v>4</v>
      </c>
      <c r="D150" s="5" t="n">
        <f aca="false" t="array" ref="D150:D150">INDEX(Data_DBD!$D:$D,$A150)</f>
        <v>33</v>
      </c>
      <c r="E150" s="5" t="n">
        <f aca="false" t="array" ref="E150:E150">INDEX(Data_DBD!$E:$E,$A150)</f>
        <v>1</v>
      </c>
      <c r="F150" s="5" t="str">
        <f aca="false" t="array" ref="F150:F150">INDEX(Data_DBD!$F:$F,$A150)</f>
        <v>Tinggi</v>
      </c>
      <c r="H150" s="5" t="n">
        <v>100</v>
      </c>
      <c r="I150" s="5" t="n">
        <v>19</v>
      </c>
      <c r="J150" s="5" t="n">
        <v>6</v>
      </c>
      <c r="K150" s="5" t="n">
        <v>18</v>
      </c>
      <c r="L150" s="5" t="n">
        <v>0</v>
      </c>
      <c r="M150" s="5" t="s">
        <v>7</v>
      </c>
    </row>
    <row r="151" customFormat="false" ht="15" hidden="false" customHeight="false" outlineLevel="0" collapsed="false">
      <c r="A151" s="5" t="n">
        <f aca="false">RANDBETWEEN(2,164)</f>
        <v>40</v>
      </c>
      <c r="B151" s="5" t="n">
        <f aca="false" t="array" ref="B151:B151">INDEX(Data_DBD!$B:$B,$A151)</f>
        <v>65</v>
      </c>
      <c r="C151" s="5" t="n">
        <f aca="false" t="array" ref="C151:C151">INDEX(Data_DBD!$C:$C,$A151)</f>
        <v>3</v>
      </c>
      <c r="D151" s="5" t="n">
        <f aca="false" t="array" ref="D151:D151">INDEX(Data_DBD!$D:$D,$A151)</f>
        <v>13</v>
      </c>
      <c r="E151" s="5" t="n">
        <f aca="false" t="array" ref="E151:E151">INDEX(Data_DBD!$E:$E,$A151)</f>
        <v>1</v>
      </c>
      <c r="F151" s="5" t="str">
        <f aca="false" t="array" ref="F151:F151">INDEX(Data_DBD!$F:$F,$A151)</f>
        <v>Sedang</v>
      </c>
      <c r="H151" s="5" t="n">
        <v>119</v>
      </c>
      <c r="I151" s="5" t="n">
        <v>30</v>
      </c>
      <c r="J151" s="5" t="n">
        <v>7</v>
      </c>
      <c r="K151" s="5" t="n">
        <v>33</v>
      </c>
      <c r="L151" s="5" t="n">
        <v>0</v>
      </c>
      <c r="M151" s="5" t="s">
        <v>115</v>
      </c>
    </row>
    <row r="152" customFormat="false" ht="15" hidden="false" customHeight="false" outlineLevel="0" collapsed="false">
      <c r="A152" s="5" t="n">
        <f aca="false">RANDBETWEEN(2,164)</f>
        <v>12</v>
      </c>
      <c r="B152" s="5" t="n">
        <f aca="false" t="array" ref="B152:B152">INDEX(Data_DBD!$B:$B,$A152)</f>
        <v>23</v>
      </c>
      <c r="C152" s="5" t="n">
        <f aca="false" t="array" ref="C152:C152">INDEX(Data_DBD!$C:$C,$A152)</f>
        <v>3</v>
      </c>
      <c r="D152" s="5" t="n">
        <f aca="false" t="array" ref="D152:D152">INDEX(Data_DBD!$D:$D,$A152)</f>
        <v>12</v>
      </c>
      <c r="E152" s="5" t="n">
        <f aca="false" t="array" ref="E152:E152">INDEX(Data_DBD!$E:$E,$A152)</f>
        <v>0</v>
      </c>
      <c r="F152" s="5" t="str">
        <f aca="false" t="array" ref="F152:F152">INDEX(Data_DBD!$F:$F,$A152)</f>
        <v>Sedang</v>
      </c>
      <c r="H152" s="5" t="n">
        <v>71</v>
      </c>
      <c r="I152" s="5" t="n">
        <v>84</v>
      </c>
      <c r="J152" s="5" t="n">
        <v>3</v>
      </c>
      <c r="K152" s="5" t="n">
        <v>10</v>
      </c>
      <c r="L152" s="5" t="n">
        <v>0</v>
      </c>
      <c r="M152" s="5" t="s">
        <v>20</v>
      </c>
    </row>
    <row r="153" customFormat="false" ht="15.75" hidden="false" customHeight="true" outlineLevel="0" collapsed="false">
      <c r="A153" s="5" t="n">
        <f aca="false">RANDBETWEEN(2,164)</f>
        <v>130</v>
      </c>
      <c r="B153" s="5" t="n">
        <f aca="false" t="array" ref="B153:B153">INDEX(Data_DBD!$B:$B,$A153)</f>
        <v>12</v>
      </c>
      <c r="C153" s="5" t="n">
        <f aca="false" t="array" ref="C153:C153">INDEX(Data_DBD!$C:$C,$A153)</f>
        <v>4</v>
      </c>
      <c r="D153" s="5" t="n">
        <f aca="false" t="array" ref="D153:D153">INDEX(Data_DBD!$D:$D,$A153)</f>
        <v>33</v>
      </c>
      <c r="E153" s="5" t="n">
        <f aca="false" t="array" ref="E153:E153">INDEX(Data_DBD!$E:$E,$A153)</f>
        <v>0</v>
      </c>
      <c r="F153" s="5" t="str">
        <f aca="false" t="array" ref="F153:F153">INDEX(Data_DBD!$F:$F,$A153)</f>
        <v>Tinggi</v>
      </c>
      <c r="H153" s="5" t="n">
        <v>16</v>
      </c>
      <c r="I153" s="5" t="n">
        <v>66</v>
      </c>
      <c r="J153" s="5" t="n">
        <v>5</v>
      </c>
      <c r="K153" s="5" t="n">
        <v>7</v>
      </c>
      <c r="L153" s="5" t="n">
        <v>1</v>
      </c>
      <c r="M153" s="5" t="s">
        <v>20</v>
      </c>
      <c r="V153" s="7" t="s">
        <v>280</v>
      </c>
    </row>
    <row r="154" customFormat="false" ht="15.75" hidden="false" customHeight="true" outlineLevel="0" collapsed="false">
      <c r="A154" s="5" t="n">
        <f aca="false">RANDBETWEEN(2,164)</f>
        <v>156</v>
      </c>
      <c r="B154" s="5" t="n">
        <f aca="false" t="array" ref="B154:B154">INDEX(Data_DBD!$B:$B,$A154)</f>
        <v>5</v>
      </c>
      <c r="C154" s="5" t="n">
        <f aca="false" t="array" ref="C154:C154">INDEX(Data_DBD!$C:$C,$A154)</f>
        <v>2</v>
      </c>
      <c r="D154" s="5" t="n">
        <f aca="false" t="array" ref="D154:D154">INDEX(Data_DBD!$D:$D,$A154)</f>
        <v>21</v>
      </c>
      <c r="E154" s="5" t="n">
        <f aca="false" t="array" ref="E154:E154">INDEX(Data_DBD!$E:$E,$A154)</f>
        <v>0</v>
      </c>
      <c r="F154" s="5" t="str">
        <f aca="false" t="array" ref="F154:F154">INDEX(Data_DBD!$F:$F,$A154)</f>
        <v>Tinggi</v>
      </c>
      <c r="H154" s="5" t="n">
        <v>129</v>
      </c>
      <c r="I154" s="5" t="n">
        <v>4</v>
      </c>
      <c r="J154" s="5" t="n">
        <v>3</v>
      </c>
      <c r="K154" s="5" t="n">
        <v>33</v>
      </c>
      <c r="L154" s="5" t="n">
        <v>0</v>
      </c>
      <c r="M154" s="5" t="s">
        <v>115</v>
      </c>
      <c r="V154" s="8" t="s">
        <v>177</v>
      </c>
    </row>
    <row r="155" customFormat="false" ht="15.75" hidden="false" customHeight="true" outlineLevel="0" collapsed="false">
      <c r="A155" s="5" t="n">
        <f aca="false">RANDBETWEEN(2,164)</f>
        <v>147</v>
      </c>
      <c r="B155" s="5" t="n">
        <f aca="false" t="array" ref="B155:B155">INDEX(Data_DBD!$B:$B,$A155)</f>
        <v>66</v>
      </c>
      <c r="C155" s="5" t="n">
        <f aca="false" t="array" ref="C155:C155">INDEX(Data_DBD!$C:$C,$A155)</f>
        <v>10</v>
      </c>
      <c r="D155" s="5" t="n">
        <f aca="false" t="array" ref="D155:D155">INDEX(Data_DBD!$D:$D,$A155)</f>
        <v>21</v>
      </c>
      <c r="E155" s="5" t="n">
        <f aca="false" t="array" ref="E155:E155">INDEX(Data_DBD!$E:$E,$A155)</f>
        <v>1</v>
      </c>
      <c r="F155" s="5" t="str">
        <f aca="false" t="array" ref="F155:F155">INDEX(Data_DBD!$F:$F,$A155)</f>
        <v>Tinggi</v>
      </c>
      <c r="H155" s="5" t="n">
        <v>127</v>
      </c>
      <c r="I155" s="5" t="n">
        <v>21</v>
      </c>
      <c r="J155" s="5" t="n">
        <v>2</v>
      </c>
      <c r="K155" s="5" t="n">
        <v>33</v>
      </c>
      <c r="L155" s="5" t="n">
        <v>0</v>
      </c>
      <c r="M155" s="5" t="s">
        <v>115</v>
      </c>
      <c r="V155" s="9" t="s">
        <v>281</v>
      </c>
    </row>
    <row r="156" customFormat="false" ht="15.75" hidden="false" customHeight="true" outlineLevel="0" collapsed="false">
      <c r="A156" s="5" t="n">
        <f aca="false">RANDBETWEEN(2,164)</f>
        <v>31</v>
      </c>
      <c r="B156" s="5" t="n">
        <f aca="false" t="array" ref="B156:B156">INDEX(Data_DBD!$B:$B,$A156)</f>
        <v>64</v>
      </c>
      <c r="C156" s="5" t="n">
        <f aca="false" t="array" ref="C156:C156">INDEX(Data_DBD!$C:$C,$A156)</f>
        <v>4</v>
      </c>
      <c r="D156" s="5" t="n">
        <f aca="false" t="array" ref="D156:D156">INDEX(Data_DBD!$D:$D,$A156)</f>
        <v>14</v>
      </c>
      <c r="E156" s="5" t="n">
        <f aca="false" t="array" ref="E156:E156">INDEX(Data_DBD!$E:$E,$A156)</f>
        <v>1</v>
      </c>
      <c r="F156" s="5" t="str">
        <f aca="false" t="array" ref="F156:F156">INDEX(Data_DBD!$F:$F,$A156)</f>
        <v>Sedang</v>
      </c>
      <c r="H156" s="5" t="n">
        <v>157</v>
      </c>
      <c r="I156" s="5" t="n">
        <v>15</v>
      </c>
      <c r="J156" s="5" t="n">
        <v>4</v>
      </c>
      <c r="K156" s="5" t="n">
        <v>21</v>
      </c>
      <c r="L156" s="5" t="n">
        <v>1</v>
      </c>
      <c r="M156" s="5" t="s">
        <v>115</v>
      </c>
      <c r="V156" s="9" t="s">
        <v>228</v>
      </c>
    </row>
    <row r="157" customFormat="false" ht="15.75" hidden="false" customHeight="true" outlineLevel="0" collapsed="false">
      <c r="A157" s="5" t="n">
        <f aca="false">RANDBETWEEN(2,164)</f>
        <v>77</v>
      </c>
      <c r="B157" s="5" t="n">
        <f aca="false" t="array" ref="B157:B157">INDEX(Data_DBD!$B:$B,$A157)</f>
        <v>16</v>
      </c>
      <c r="C157" s="5" t="n">
        <f aca="false" t="array" ref="C157:C157">INDEX(Data_DBD!$C:$C,$A157)</f>
        <v>4</v>
      </c>
      <c r="D157" s="5" t="n">
        <f aca="false" t="array" ref="D157:D157">INDEX(Data_DBD!$D:$D,$A157)</f>
        <v>13</v>
      </c>
      <c r="E157" s="5" t="n">
        <f aca="false" t="array" ref="E157:E157">INDEX(Data_DBD!$E:$E,$A157)</f>
        <v>1</v>
      </c>
      <c r="F157" s="5" t="str">
        <f aca="false" t="array" ref="F157:F157">INDEX(Data_DBD!$F:$F,$A157)</f>
        <v>Sedang</v>
      </c>
      <c r="H157" s="5" t="n">
        <v>152</v>
      </c>
      <c r="I157" s="5" t="n">
        <v>47</v>
      </c>
      <c r="J157" s="5" t="n">
        <v>3</v>
      </c>
      <c r="K157" s="5" t="n">
        <v>21</v>
      </c>
      <c r="L157" s="5" t="n">
        <v>1</v>
      </c>
      <c r="M157" s="5" t="s">
        <v>115</v>
      </c>
      <c r="V157" s="8" t="s">
        <v>180</v>
      </c>
    </row>
    <row r="158" customFormat="false" ht="15.75" hidden="false" customHeight="true" outlineLevel="0" collapsed="false">
      <c r="A158" s="5" t="n">
        <f aca="false">RANDBETWEEN(2,164)</f>
        <v>80</v>
      </c>
      <c r="B158" s="5" t="n">
        <f aca="false" t="array" ref="B158:B158">INDEX(Data_DBD!$B:$B,$A158)</f>
        <v>27</v>
      </c>
      <c r="C158" s="5" t="n">
        <f aca="false" t="array" ref="C158:C158">INDEX(Data_DBD!$C:$C,$A158)</f>
        <v>3</v>
      </c>
      <c r="D158" s="5" t="n">
        <f aca="false" t="array" ref="D158:D158">INDEX(Data_DBD!$D:$D,$A158)</f>
        <v>13</v>
      </c>
      <c r="E158" s="5" t="n">
        <f aca="false" t="array" ref="E158:E158">INDEX(Data_DBD!$E:$E,$A158)</f>
        <v>1</v>
      </c>
      <c r="F158" s="5" t="str">
        <f aca="false" t="array" ref="F158:F158">INDEX(Data_DBD!$F:$F,$A158)</f>
        <v>Sedang</v>
      </c>
      <c r="H158" s="5" t="n">
        <v>45</v>
      </c>
      <c r="I158" s="5" t="n">
        <v>75</v>
      </c>
      <c r="J158" s="5" t="n">
        <v>3</v>
      </c>
      <c r="K158" s="5" t="n">
        <v>13</v>
      </c>
      <c r="L158" s="5" t="n">
        <v>1</v>
      </c>
      <c r="M158" s="5" t="s">
        <v>7</v>
      </c>
      <c r="V158" s="9" t="s">
        <v>282</v>
      </c>
    </row>
    <row r="159" customFormat="false" ht="15.75" hidden="false" customHeight="true" outlineLevel="0" collapsed="false">
      <c r="A159" s="5" t="n">
        <f aca="false">RANDBETWEEN(2,164)</f>
        <v>59</v>
      </c>
      <c r="B159" s="5" t="n">
        <f aca="false" t="array" ref="B159:B159">INDEX(Data_DBD!$B:$B,$A159)</f>
        <v>28</v>
      </c>
      <c r="C159" s="5" t="n">
        <f aca="false" t="array" ref="C159:C159">INDEX(Data_DBD!$C:$C,$A159)</f>
        <v>4</v>
      </c>
      <c r="D159" s="5" t="n">
        <f aca="false" t="array" ref="D159:D159">INDEX(Data_DBD!$D:$D,$A159)</f>
        <v>15</v>
      </c>
      <c r="E159" s="5" t="n">
        <f aca="false" t="array" ref="E159:E159">INDEX(Data_DBD!$E:$E,$A159)</f>
        <v>0</v>
      </c>
      <c r="F159" s="5" t="str">
        <f aca="false" t="array" ref="F159:F159">INDEX(Data_DBD!$F:$F,$A159)</f>
        <v>Sedang</v>
      </c>
      <c r="H159" s="5" t="n">
        <v>164</v>
      </c>
      <c r="I159" s="5" t="n">
        <v>10</v>
      </c>
      <c r="J159" s="5" t="n">
        <v>6</v>
      </c>
      <c r="K159" s="5" t="n">
        <v>3</v>
      </c>
      <c r="L159" s="5" t="n">
        <v>0</v>
      </c>
      <c r="M159" s="5" t="s">
        <v>20</v>
      </c>
      <c r="V159" s="9" t="s">
        <v>230</v>
      </c>
    </row>
    <row r="160" customFormat="false" ht="15.75" hidden="false" customHeight="true" outlineLevel="0" collapsed="false">
      <c r="A160" s="5" t="n">
        <f aca="false">RANDBETWEEN(2,164)</f>
        <v>93</v>
      </c>
      <c r="B160" s="5" t="n">
        <f aca="false" t="array" ref="B160:B160">INDEX(Data_DBD!$B:$B,$A160)</f>
        <v>65</v>
      </c>
      <c r="C160" s="5" t="n">
        <f aca="false" t="array" ref="C160:C160">INDEX(Data_DBD!$C:$C,$A160)</f>
        <v>4</v>
      </c>
      <c r="D160" s="5" t="n">
        <f aca="false" t="array" ref="D160:D160">INDEX(Data_DBD!$D:$D,$A160)</f>
        <v>18</v>
      </c>
      <c r="E160" s="5" t="n">
        <f aca="false" t="array" ref="E160:E160">INDEX(Data_DBD!$E:$E,$A160)</f>
        <v>0</v>
      </c>
      <c r="F160" s="5" t="str">
        <f aca="false" t="array" ref="F160:F160">INDEX(Data_DBD!$F:$F,$A160)</f>
        <v>Sedang</v>
      </c>
      <c r="H160" s="5" t="n">
        <v>63</v>
      </c>
      <c r="I160" s="5" t="n">
        <v>25</v>
      </c>
      <c r="J160" s="5" t="n">
        <v>3</v>
      </c>
      <c r="K160" s="5" t="n">
        <v>15</v>
      </c>
      <c r="L160" s="5" t="n">
        <v>0</v>
      </c>
      <c r="M160" s="5" t="s">
        <v>7</v>
      </c>
      <c r="V160" s="8" t="s">
        <v>183</v>
      </c>
    </row>
    <row r="161" customFormat="false" ht="15.75" hidden="false" customHeight="true" outlineLevel="0" collapsed="false">
      <c r="A161" s="5" t="n">
        <f aca="false">RANDBETWEEN(2,164)</f>
        <v>28</v>
      </c>
      <c r="B161" s="5" t="n">
        <f aca="false" t="array" ref="B161:B161">INDEX(Data_DBD!$B:$B,$A161)</f>
        <v>22</v>
      </c>
      <c r="C161" s="5" t="n">
        <f aca="false" t="array" ref="C161:C161">INDEX(Data_DBD!$C:$C,$A161)</f>
        <v>2</v>
      </c>
      <c r="D161" s="5" t="n">
        <f aca="false" t="array" ref="D161:D161">INDEX(Data_DBD!$D:$D,$A161)</f>
        <v>14</v>
      </c>
      <c r="E161" s="5" t="n">
        <f aca="false" t="array" ref="E161:E161">INDEX(Data_DBD!$E:$E,$A161)</f>
        <v>1</v>
      </c>
      <c r="F161" s="5" t="str">
        <f aca="false" t="array" ref="F161:F161">INDEX(Data_DBD!$F:$F,$A161)</f>
        <v>Sedang</v>
      </c>
      <c r="H161" s="5" t="n">
        <v>156</v>
      </c>
      <c r="I161" s="5" t="n">
        <v>5</v>
      </c>
      <c r="J161" s="5" t="n">
        <v>2</v>
      </c>
      <c r="K161" s="5" t="n">
        <v>21</v>
      </c>
      <c r="L161" s="5" t="n">
        <v>0</v>
      </c>
      <c r="M161" s="5" t="s">
        <v>115</v>
      </c>
      <c r="V161" s="9" t="s">
        <v>283</v>
      </c>
    </row>
    <row r="162" customFormat="false" ht="15" hidden="false" customHeight="false" outlineLevel="0" collapsed="false">
      <c r="A162" s="5" t="n">
        <f aca="false">RANDBETWEEN(2,164)</f>
        <v>154</v>
      </c>
      <c r="B162" s="5" t="n">
        <f aca="false" t="array" ref="B162:B162">INDEX(Data_DBD!$B:$B,$A162)</f>
        <v>18</v>
      </c>
      <c r="C162" s="5" t="n">
        <f aca="false" t="array" ref="C162:C162">INDEX(Data_DBD!$C:$C,$A162)</f>
        <v>5</v>
      </c>
      <c r="D162" s="5" t="n">
        <f aca="false" t="array" ref="D162:D162">INDEX(Data_DBD!$D:$D,$A162)</f>
        <v>21</v>
      </c>
      <c r="E162" s="5" t="n">
        <f aca="false" t="array" ref="E162:E162">INDEX(Data_DBD!$E:$E,$A162)</f>
        <v>1</v>
      </c>
      <c r="F162" s="5" t="str">
        <f aca="false" t="array" ref="F162:F162">INDEX(Data_DBD!$F:$F,$A162)</f>
        <v>Tinggi</v>
      </c>
      <c r="H162" s="5" t="n">
        <v>57</v>
      </c>
      <c r="I162" s="5" t="n">
        <v>2</v>
      </c>
      <c r="J162" s="5" t="n">
        <v>2</v>
      </c>
      <c r="K162" s="5" t="n">
        <v>15</v>
      </c>
      <c r="L162" s="5" t="n">
        <v>1</v>
      </c>
      <c r="M162" s="5" t="s">
        <v>7</v>
      </c>
    </row>
    <row r="163" customFormat="false" ht="15" hidden="false" customHeight="false" outlineLevel="0" collapsed="false">
      <c r="A163" s="5" t="n">
        <f aca="false">RANDBETWEEN(2,164)</f>
        <v>78</v>
      </c>
      <c r="B163" s="5" t="n">
        <f aca="false" t="array" ref="B163:B163">INDEX(Data_DBD!$B:$B,$A163)</f>
        <v>6</v>
      </c>
      <c r="C163" s="5" t="n">
        <f aca="false" t="array" ref="C163:C163">INDEX(Data_DBD!$C:$C,$A163)</f>
        <v>3</v>
      </c>
      <c r="D163" s="5" t="n">
        <f aca="false" t="array" ref="D163:D163">INDEX(Data_DBD!$D:$D,$A163)</f>
        <v>13</v>
      </c>
      <c r="E163" s="5" t="n">
        <f aca="false" t="array" ref="E163:E163">INDEX(Data_DBD!$E:$E,$A163)</f>
        <v>0</v>
      </c>
      <c r="F163" s="5" t="str">
        <f aca="false" t="array" ref="F163:F163">INDEX(Data_DBD!$F:$F,$A163)</f>
        <v>Sedang</v>
      </c>
      <c r="H163" s="5" t="n">
        <v>62</v>
      </c>
      <c r="I163" s="5" t="n">
        <v>43</v>
      </c>
      <c r="J163" s="5" t="n">
        <v>4</v>
      </c>
      <c r="K163" s="5" t="n">
        <v>15</v>
      </c>
      <c r="L163" s="5" t="n">
        <v>1</v>
      </c>
      <c r="M163" s="5" t="s">
        <v>7</v>
      </c>
    </row>
    <row r="164" customFormat="false" ht="15" hidden="false" customHeight="false" outlineLevel="0" collapsed="false">
      <c r="A164" s="5" t="n">
        <f aca="false">RANDBETWEEN(2,164)</f>
        <v>85</v>
      </c>
      <c r="B164" s="5" t="n">
        <f aca="false" t="array" ref="B164:B164">INDEX(Data_DBD!$B:$B,$A164)</f>
        <v>27</v>
      </c>
      <c r="C164" s="5" t="n">
        <f aca="false" t="array" ref="C164:C164">INDEX(Data_DBD!$C:$C,$A164)</f>
        <v>9</v>
      </c>
      <c r="D164" s="5" t="n">
        <f aca="false" t="array" ref="D164:D164">INDEX(Data_DBD!$D:$D,$A164)</f>
        <v>13</v>
      </c>
      <c r="E164" s="5" t="n">
        <f aca="false" t="array" ref="E164:E164">INDEX(Data_DBD!$E:$E,$A164)</f>
        <v>0</v>
      </c>
      <c r="F164" s="5" t="str">
        <f aca="false" t="array" ref="F164:F164">INDEX(Data_DBD!$F:$F,$A164)</f>
        <v>Sedang</v>
      </c>
      <c r="H164" s="5" t="n">
        <v>89</v>
      </c>
      <c r="I164" s="5" t="n">
        <v>32</v>
      </c>
      <c r="J164" s="5" t="n">
        <v>4</v>
      </c>
      <c r="K164" s="5" t="n">
        <v>13</v>
      </c>
      <c r="L164" s="5" t="n">
        <v>0</v>
      </c>
      <c r="M164" s="5" t="s">
        <v>7</v>
      </c>
    </row>
    <row r="165" customFormat="false" ht="15" hidden="false" customHeight="false" outlineLevel="0" collapsed="false">
      <c r="I165" s="0" t="n">
        <f aca="false">AVERAGE(I2:I164)</f>
        <v>30.5460122699387</v>
      </c>
      <c r="J165" s="0" t="n">
        <f aca="false">AVERAGE(J2:J164)</f>
        <v>3.41104294478528</v>
      </c>
      <c r="K165" s="0" t="n">
        <f aca="false">AVERAGE(K2:K164)</f>
        <v>17.6564417177914</v>
      </c>
      <c r="L165" s="0" t="n">
        <f aca="false">AVERAGE(L2:L164)</f>
        <v>0.484662576687117</v>
      </c>
    </row>
    <row r="166" customFormat="false" ht="15" hidden="false" customHeight="false" outlineLevel="0" collapsed="false">
      <c r="B166" s="0" t="n">
        <v>43</v>
      </c>
    </row>
    <row r="168" customFormat="false" ht="15" hidden="false" customHeight="false" outlineLevel="0" collapsed="false">
      <c r="E168" s="11" t="s">
        <v>185</v>
      </c>
      <c r="J168" s="11" t="s">
        <v>186</v>
      </c>
      <c r="O168" s="11" t="s">
        <v>187</v>
      </c>
      <c r="T168" s="11" t="s">
        <v>188</v>
      </c>
    </row>
    <row r="169" customFormat="false" ht="15" hidden="false" customHeight="false" outlineLevel="0" collapsed="false">
      <c r="E169" s="5" t="s">
        <v>1</v>
      </c>
      <c r="F169" s="5" t="n">
        <f aca="false">AVERAGEIF($I$2:$I$164,"&lt;="&amp;$I$165)</f>
        <v>14.7872340425532</v>
      </c>
      <c r="G169" s="5" t="n">
        <f aca="false">AVERAGEIF($I$2:$I$164,"&gt;"&amp;$I$165)</f>
        <v>52.0144927536232</v>
      </c>
      <c r="J169" s="5" t="s">
        <v>189</v>
      </c>
      <c r="K169" s="5" t="n">
        <f aca="false">AVERAGEIF($J$2:$J$164,"&lt;="&amp;$J$165)</f>
        <v>2.50537634408602</v>
      </c>
      <c r="L169" s="5" t="n">
        <f aca="false">AVERAGEIF($J$2:$J$164,"&gt;"&amp;$J$165)</f>
        <v>4.61428571428571</v>
      </c>
      <c r="O169" s="5" t="s">
        <v>190</v>
      </c>
      <c r="P169" s="5" t="n">
        <f aca="false">AVERAGEIF($K$2:$K$164,"&lt;="&amp;$K$165)</f>
        <v>11.7777777777778</v>
      </c>
      <c r="Q169" s="5" t="n">
        <f aca="false">AVERAGEIF($K$2:$K$164,"&gt;"&amp;$K$165)</f>
        <v>24.9041095890411</v>
      </c>
      <c r="T169" s="5" t="s">
        <v>191</v>
      </c>
      <c r="U169" s="5" t="n">
        <f aca="false">AVERAGEIF($L$2:$L$164,"&lt;="&amp;$L$165)</f>
        <v>0</v>
      </c>
      <c r="V169" s="5" t="n">
        <f aca="false">AVERAGEIF($L$2:$L$164,"&gt;"&amp;$L$165)</f>
        <v>1</v>
      </c>
    </row>
    <row r="170" customFormat="false" ht="15" hidden="false" customHeight="false" outlineLevel="0" collapsed="false">
      <c r="E170" s="5" t="str">
        <f aca="false" t="array" ref="E170:E332">IF($I$2:$I$164&lt;$F$169,"kiri",IF($I$2:$I$164&lt;$G$169,"tengah","kanan"))</f>
        <v>tengah</v>
      </c>
      <c r="F170" s="5" t="s">
        <v>284</v>
      </c>
      <c r="G170" s="5"/>
      <c r="J170" s="5" t="str">
        <f aca="false" t="array" ref="J170:J332">IF($J$2:$J$164&lt;$K$169,"kiri",IF($J$2:$J$164&lt;$L$169,"tengah","kanan"))</f>
        <v>kiri</v>
      </c>
      <c r="K170" s="5" t="s">
        <v>285</v>
      </c>
      <c r="L170" s="5"/>
      <c r="O170" s="5" t="str">
        <f aca="false" t="array" ref="O170:O332">IF($K$2:$K$164&lt;$P$169,"kiri",IF($K$2:$K$164&lt;$Q$169,"tengah","kanan"))</f>
        <v>tengah</v>
      </c>
      <c r="P170" s="5" t="s">
        <v>286</v>
      </c>
      <c r="Q170" s="5"/>
      <c r="T170" s="5" t="str">
        <f aca="false" t="array" ref="T170:T332">IF($L$2:$L$164&lt;$U$169,"kiri",IF($L$2:$L$164&lt;$V$169,"tengah","kanan"))</f>
        <v>kanan</v>
      </c>
      <c r="U170" s="5" t="s">
        <v>195</v>
      </c>
      <c r="V170" s="5"/>
    </row>
    <row r="171" customFormat="false" ht="15" hidden="false" customHeight="false" outlineLevel="0" collapsed="false">
      <c r="E171" s="5" t="str">
        <v>tengah</v>
      </c>
      <c r="F171" s="5" t="n">
        <f aca="false">COUNTIFS($E$170:$E$332,"Kanan",$M$2:$M$164,"Tinggi")</f>
        <v>9</v>
      </c>
      <c r="G171" s="5" t="n">
        <f aca="false">F171/29</f>
        <v>0.310344827586207</v>
      </c>
      <c r="J171" s="5" t="str">
        <v>tengah</v>
      </c>
      <c r="K171" s="5" t="n">
        <f aca="false">COUNTIFS($J$170:$J$332,"Kanan",$M$2:$M$164,"Tinggi")</f>
        <v>6</v>
      </c>
      <c r="L171" s="5" t="n">
        <f aca="false">K171/26</f>
        <v>0.230769230769231</v>
      </c>
      <c r="O171" s="5" t="str">
        <v>kanan</v>
      </c>
      <c r="P171" s="5" t="n">
        <f aca="false">COUNTIFS($O$170:$O$332,"Kanan",$M$2:$M$164,"Tinggi")</f>
        <v>29</v>
      </c>
      <c r="Q171" s="5" t="n">
        <f aca="false">P171/29</f>
        <v>1</v>
      </c>
      <c r="T171" s="5" t="str">
        <v>kanan</v>
      </c>
      <c r="U171" s="5" t="n">
        <f aca="false">COUNTIFS($T$170:$T$332,"Kanan",$M$2:$M$164,"Tinggi")</f>
        <v>31</v>
      </c>
      <c r="V171" s="5" t="n">
        <f aca="false">U171/79</f>
        <v>0.392405063291139</v>
      </c>
    </row>
    <row r="172" customFormat="false" ht="15" hidden="false" customHeight="false" outlineLevel="0" collapsed="false">
      <c r="E172" s="5" t="str">
        <v>tengah</v>
      </c>
      <c r="F172" s="5" t="n">
        <f aca="false">COUNTIFS($E$170:$E$332,"Kanan",$M$2:$M$164,"Sedang")</f>
        <v>14</v>
      </c>
      <c r="G172" s="5" t="n">
        <f aca="false">F172/29</f>
        <v>0.482758620689655</v>
      </c>
      <c r="J172" s="5" t="str">
        <v>tengah</v>
      </c>
      <c r="K172" s="5" t="n">
        <f aca="false">COUNTIFS($J$170:$J$332,"Kanan",$M$2:$M$164,"Sedang")</f>
        <v>12</v>
      </c>
      <c r="L172" s="5" t="n">
        <f aca="false">K172/26</f>
        <v>0.461538461538462</v>
      </c>
      <c r="O172" s="5" t="str">
        <v>kiri</v>
      </c>
      <c r="P172" s="5" t="n">
        <f aca="false">COUNTIFS($O$170:$O$332,"Kanan",$M$2:$M$164,"Sedang")</f>
        <v>0</v>
      </c>
      <c r="Q172" s="5" t="n">
        <f aca="false">P172/29</f>
        <v>0</v>
      </c>
      <c r="T172" s="5" t="str">
        <v>kanan</v>
      </c>
      <c r="U172" s="5" t="n">
        <f aca="false">COUNTIFS($T$170:$T$332,"Kanan",$M$2:$M$164,"Sedang")</f>
        <v>32</v>
      </c>
      <c r="V172" s="5" t="n">
        <f aca="false">U172/79</f>
        <v>0.405063291139241</v>
      </c>
    </row>
    <row r="173" customFormat="false" ht="15" hidden="false" customHeight="false" outlineLevel="0" collapsed="false">
      <c r="E173" s="5" t="str">
        <v>tengah</v>
      </c>
      <c r="F173" s="5" t="n">
        <f aca="false">COUNTIFS($E$170:$E$332,"Kanan",$M$2:$M$164,"Rendah")</f>
        <v>6</v>
      </c>
      <c r="G173" s="5" t="n">
        <f aca="false">F173/29</f>
        <v>0.206896551724138</v>
      </c>
      <c r="J173" s="5" t="str">
        <v>tengah</v>
      </c>
      <c r="K173" s="5" t="n">
        <f aca="false">COUNTIFS($J$170:$J$332,"Kanan",$M$2:$M$164,"Rendah")</f>
        <v>8</v>
      </c>
      <c r="L173" s="5" t="n">
        <f aca="false">K173/26</f>
        <v>0.307692307692308</v>
      </c>
      <c r="O173" s="5" t="str">
        <v>kanan</v>
      </c>
      <c r="P173" s="5" t="n">
        <f aca="false">COUNTIFS($O$170:$O$332,"Kanan",$M$2:$M$164,"Rendah")</f>
        <v>0</v>
      </c>
      <c r="Q173" s="5" t="n">
        <f aca="false">P173/29</f>
        <v>0</v>
      </c>
      <c r="T173" s="5" t="str">
        <v>kanan</v>
      </c>
      <c r="U173" s="5" t="n">
        <f aca="false">COUNTIFS($T$170:$T$332,"Kanan",$M$2:$M$164,"Rendah")</f>
        <v>16</v>
      </c>
      <c r="V173" s="5" t="n">
        <f aca="false">U173/79</f>
        <v>0.20253164556962</v>
      </c>
    </row>
    <row r="174" customFormat="false" ht="15" hidden="false" customHeight="false" outlineLevel="0" collapsed="false">
      <c r="E174" s="5" t="str">
        <v>tengah</v>
      </c>
      <c r="F174" s="5" t="s">
        <v>196</v>
      </c>
      <c r="G174" s="5" t="n">
        <f aca="false">-(IFERROR(G171*LOG(G171,2),0)+IFERROR(G172*LOG(G172,2),0)+IFERROR(G173*LOG(G173,2),0))</f>
        <v>1.50135792870984</v>
      </c>
      <c r="J174" s="5" t="str">
        <v>tengah</v>
      </c>
      <c r="K174" s="5" t="s">
        <v>196</v>
      </c>
      <c r="L174" s="5" t="n">
        <f aca="false">-(IFERROR(L171*LOG(L171,2),0)+IFERROR(L172*LOG(L172,2),0)+IFERROR(L173*LOG(L173,2),0))</f>
        <v>1.52623490994952</v>
      </c>
      <c r="O174" s="5" t="str">
        <v>kanan</v>
      </c>
      <c r="P174" s="5" t="s">
        <v>196</v>
      </c>
      <c r="Q174" s="5" t="n">
        <f aca="false">-(IFERROR(Q171*LOG(Q171,2),0)+IFERROR(Q172*LOG(Q172,2),0)+IFERROR(Q173*LOG(Q173,2),0))</f>
        <v>-0</v>
      </c>
      <c r="T174" s="5" t="str">
        <v>kanan</v>
      </c>
      <c r="U174" s="5" t="s">
        <v>196</v>
      </c>
      <c r="V174" s="5" t="n">
        <f aca="false">-(IFERROR(V171*LOG(V171,2),0)+IFERROR(V172*LOG(V172,2),0)+IFERROR(V173*LOG(V173,2),0))</f>
        <v>1.52428599346833</v>
      </c>
    </row>
    <row r="175" customFormat="false" ht="15" hidden="false" customHeight="false" outlineLevel="0" collapsed="false">
      <c r="E175" s="5" t="str">
        <v>kiri</v>
      </c>
      <c r="F175" s="5"/>
      <c r="G175" s="5" t="n">
        <f aca="false">SUM(F171:F173)/163</f>
        <v>0.177914110429448</v>
      </c>
      <c r="J175" s="5" t="str">
        <v>kiri</v>
      </c>
      <c r="K175" s="5"/>
      <c r="L175" s="5" t="n">
        <f aca="false">SUM(K171:K173)/163</f>
        <v>0.159509202453988</v>
      </c>
      <c r="O175" s="5" t="str">
        <v>tengah</v>
      </c>
      <c r="P175" s="5"/>
      <c r="Q175" s="5" t="n">
        <f aca="false">SUM(P171:P173)/163</f>
        <v>0.177914110429448</v>
      </c>
      <c r="T175" s="5" t="str">
        <v>tengah</v>
      </c>
      <c r="U175" s="5"/>
      <c r="V175" s="5" t="n">
        <f aca="false">SUM(U171:U173)/163</f>
        <v>0.484662576687117</v>
      </c>
    </row>
    <row r="176" customFormat="false" ht="15" hidden="false" customHeight="false" outlineLevel="0" collapsed="false">
      <c r="E176" s="5" t="str">
        <v>tengah</v>
      </c>
      <c r="F176" s="5"/>
      <c r="G176" s="12" t="n">
        <f aca="false">G174*G175</f>
        <v>0.26711276032261</v>
      </c>
      <c r="J176" s="5" t="str">
        <v>tengah</v>
      </c>
      <c r="K176" s="5"/>
      <c r="L176" s="12" t="n">
        <f aca="false">L174*L175</f>
        <v>0.243448513243482</v>
      </c>
      <c r="O176" s="5" t="str">
        <v>tengah</v>
      </c>
      <c r="P176" s="5"/>
      <c r="Q176" s="12" t="n">
        <f aca="false">Q174*Q175</f>
        <v>-0</v>
      </c>
      <c r="T176" s="5" t="str">
        <v>tengah</v>
      </c>
      <c r="U176" s="5"/>
      <c r="V176" s="12" t="n">
        <f aca="false">V174*V175</f>
        <v>0.738764377202442</v>
      </c>
    </row>
    <row r="177" customFormat="false" ht="15" hidden="false" customHeight="false" outlineLevel="0" collapsed="false">
      <c r="E177" s="5" t="str">
        <v>tengah</v>
      </c>
      <c r="F177" s="5"/>
      <c r="G177" s="5"/>
      <c r="J177" s="5" t="str">
        <v>tengah</v>
      </c>
      <c r="K177" s="5"/>
      <c r="L177" s="5"/>
      <c r="O177" s="5" t="str">
        <v>tengah</v>
      </c>
      <c r="P177" s="5"/>
      <c r="Q177" s="5"/>
      <c r="T177" s="5" t="str">
        <v>kanan</v>
      </c>
      <c r="U177" s="5"/>
      <c r="V177" s="5"/>
    </row>
    <row r="178" customFormat="false" ht="15" hidden="false" customHeight="false" outlineLevel="0" collapsed="false">
      <c r="E178" s="5" t="str">
        <v>tengah</v>
      </c>
      <c r="F178" s="5"/>
      <c r="G178" s="5"/>
      <c r="J178" s="5" t="str">
        <v>tengah</v>
      </c>
      <c r="K178" s="5"/>
      <c r="L178" s="5"/>
      <c r="O178" s="5" t="str">
        <v>tengah</v>
      </c>
      <c r="P178" s="5"/>
      <c r="Q178" s="5"/>
      <c r="T178" s="5" t="str">
        <v>tengah</v>
      </c>
      <c r="U178" s="5"/>
      <c r="V178" s="5"/>
    </row>
    <row r="179" customFormat="false" ht="15" hidden="false" customHeight="false" outlineLevel="0" collapsed="false">
      <c r="E179" s="5" t="str">
        <v>tengah</v>
      </c>
      <c r="F179" s="5" t="s">
        <v>287</v>
      </c>
      <c r="G179" s="5"/>
      <c r="J179" s="5" t="str">
        <v>kiri</v>
      </c>
      <c r="K179" s="5" t="s">
        <v>288</v>
      </c>
      <c r="L179" s="5"/>
      <c r="O179" s="5" t="str">
        <v>kanan</v>
      </c>
      <c r="P179" s="5" t="s">
        <v>289</v>
      </c>
      <c r="Q179" s="5"/>
      <c r="T179" s="5" t="str">
        <v>tengah</v>
      </c>
      <c r="U179" s="5" t="s">
        <v>200</v>
      </c>
      <c r="V179" s="5"/>
    </row>
    <row r="180" customFormat="false" ht="15" hidden="false" customHeight="false" outlineLevel="0" collapsed="false">
      <c r="E180" s="5" t="str">
        <v>kanan</v>
      </c>
      <c r="F180" s="5" t="n">
        <f aca="false">COUNTIFS($E$170:$E$332,"Kiri",$M$2:$M$164,"Tinggi")</f>
        <v>12</v>
      </c>
      <c r="G180" s="5" t="n">
        <f aca="false">F180/36</f>
        <v>0.333333333333333</v>
      </c>
      <c r="J180" s="5" t="str">
        <v>tengah</v>
      </c>
      <c r="K180" s="5" t="n">
        <f aca="false">COUNTIFS($J$170:$J$332,"Kiri",$M$2:$M$164,"Tinggi")</f>
        <v>17</v>
      </c>
      <c r="L180" s="5" t="n">
        <f aca="false">K180/41</f>
        <v>0.414634146341463</v>
      </c>
      <c r="O180" s="5" t="str">
        <v>tengah</v>
      </c>
      <c r="P180" s="5" t="n">
        <f aca="false">COUNTIFS($O$170:$O$332,"Kiri",$M$2:$M$164,"Tinggi")</f>
        <v>0</v>
      </c>
      <c r="Q180" s="5" t="n">
        <f aca="false">P180/24</f>
        <v>0</v>
      </c>
      <c r="T180" s="5" t="str">
        <v>kanan</v>
      </c>
      <c r="U180" s="5" t="n">
        <f aca="false">COUNTIFS($T$170:$T$332,"Kiri",$M$2:$M$164,"Tinggi")</f>
        <v>0</v>
      </c>
      <c r="V180" s="5" t="n">
        <f aca="false">U180/79</f>
        <v>0</v>
      </c>
    </row>
    <row r="181" customFormat="false" ht="15" hidden="false" customHeight="false" outlineLevel="0" collapsed="false">
      <c r="E181" s="5" t="str">
        <v>kanan</v>
      </c>
      <c r="F181" s="5" t="n">
        <f aca="false">COUNTIFS($E$170:$E$332,"Kiri",$M$2:$M$164,"Sedang")</f>
        <v>20</v>
      </c>
      <c r="G181" s="5" t="n">
        <f aca="false">F181/36</f>
        <v>0.555555555555556</v>
      </c>
      <c r="J181" s="5" t="str">
        <v>tengah</v>
      </c>
      <c r="K181" s="5" t="n">
        <f aca="false">COUNTIFS($J$170:$J$332,"Kiri",$M$2:$M$164,"Sedang")</f>
        <v>19</v>
      </c>
      <c r="L181" s="5" t="n">
        <f aca="false">K181/41</f>
        <v>0.463414634146342</v>
      </c>
      <c r="O181" s="5" t="str">
        <v>tengah</v>
      </c>
      <c r="P181" s="5" t="n">
        <f aca="false">COUNTIFS($O$170:$O$332,"Kiri",$M$2:$M$164,"Sedang")</f>
        <v>0</v>
      </c>
      <c r="Q181" s="5" t="n">
        <f aca="false">P181/24</f>
        <v>0</v>
      </c>
      <c r="T181" s="5" t="str">
        <v>kanan</v>
      </c>
      <c r="U181" s="5" t="n">
        <f aca="false">COUNTIFS($T$170:$T$332,"Kiri",$M$2:$M$164,"Sedang")</f>
        <v>0</v>
      </c>
      <c r="V181" s="5" t="n">
        <f aca="false">U181/79</f>
        <v>0</v>
      </c>
    </row>
    <row r="182" customFormat="false" ht="15" hidden="false" customHeight="false" outlineLevel="0" collapsed="false">
      <c r="E182" s="5" t="str">
        <v>kiri</v>
      </c>
      <c r="F182" s="5" t="n">
        <f aca="false">COUNTIFS($E$170:$E$332,"Kiri",$M$2:$M$164,"Rendah")</f>
        <v>4</v>
      </c>
      <c r="G182" s="5" t="n">
        <f aca="false">F182/36</f>
        <v>0.111111111111111</v>
      </c>
      <c r="J182" s="5" t="str">
        <v>kiri</v>
      </c>
      <c r="K182" s="5" t="n">
        <f aca="false">COUNTIFS($J$170:$J$332,"Kiri",$M$2:$M$164,"Rendah")</f>
        <v>5</v>
      </c>
      <c r="L182" s="5" t="n">
        <f aca="false">K182/41</f>
        <v>0.121951219512195</v>
      </c>
      <c r="O182" s="5" t="str">
        <v>tengah</v>
      </c>
      <c r="P182" s="5" t="n">
        <f aca="false">COUNTIFS($O$170:$O$332,"Kiri",$M$2:$M$164,"Rendah")</f>
        <v>24</v>
      </c>
      <c r="Q182" s="5" t="n">
        <f aca="false">P182/24</f>
        <v>1</v>
      </c>
      <c r="T182" s="5" t="str">
        <v>tengah</v>
      </c>
      <c r="U182" s="5" t="n">
        <f aca="false">COUNTIFS($T$170:$T$332,"Kiri",$M$2:$M$164,"Rendah")</f>
        <v>0</v>
      </c>
      <c r="V182" s="5" t="n">
        <f aca="false">U182/79</f>
        <v>0</v>
      </c>
    </row>
    <row r="183" customFormat="false" ht="15" hidden="false" customHeight="false" outlineLevel="0" collapsed="false">
      <c r="E183" s="5" t="str">
        <v>tengah</v>
      </c>
      <c r="F183" s="5" t="s">
        <v>196</v>
      </c>
      <c r="G183" s="5" t="n">
        <f aca="false">-(IFERROR(G180*LOG(G180,2),0)+IFERROR(G181*LOG(G181,2),0)+IFERROR(G182*LOG(G182,2),0))</f>
        <v>1.35164411515339</v>
      </c>
      <c r="J183" s="5" t="str">
        <v>tengah</v>
      </c>
      <c r="K183" s="5" t="s">
        <v>196</v>
      </c>
      <c r="L183" s="5" t="n">
        <f aca="false">-(IFERROR(L180*LOG(L180,2),0)+IFERROR(L181*LOG(L181,2),0)+IFERROR(L182*LOG(L182,2),0))</f>
        <v>1.41103660142002</v>
      </c>
      <c r="O183" s="5" t="str">
        <v>tengah</v>
      </c>
      <c r="P183" s="5" t="s">
        <v>196</v>
      </c>
      <c r="Q183" s="5" t="n">
        <f aca="false">-(IFERROR(Q180*LOG(Q180,2),0)+IFERROR(Q181*LOG(Q181,2),0)+IFERROR(Q182*LOG(Q182,2),0))</f>
        <v>-0</v>
      </c>
      <c r="T183" s="5" t="str">
        <v>tengah</v>
      </c>
      <c r="U183" s="5" t="s">
        <v>196</v>
      </c>
      <c r="V183" s="5" t="n">
        <f aca="false">-(IFERROR(V180*LOG(V180,2),0)+IFERROR(V181*LOG(V181,2),0)+IFERROR(V182*LOG(V182,2),0))</f>
        <v>-0</v>
      </c>
    </row>
    <row r="184" customFormat="false" ht="15" hidden="false" customHeight="false" outlineLevel="0" collapsed="false">
      <c r="E184" s="5" t="str">
        <v>tengah</v>
      </c>
      <c r="F184" s="5"/>
      <c r="G184" s="5" t="n">
        <f aca="false">SUM(F180:F182)/163</f>
        <v>0.220858895705521</v>
      </c>
      <c r="J184" s="5" t="str">
        <v>tengah</v>
      </c>
      <c r="K184" s="5"/>
      <c r="L184" s="5" t="n">
        <f aca="false">SUM(K180:K182)/163</f>
        <v>0.251533742331288</v>
      </c>
      <c r="O184" s="5" t="str">
        <v>tengah</v>
      </c>
      <c r="P184" s="5"/>
      <c r="Q184" s="5" t="n">
        <f aca="false">SUM(P180:P182)/163</f>
        <v>0.147239263803681</v>
      </c>
      <c r="T184" s="5" t="str">
        <v>kanan</v>
      </c>
      <c r="U184" s="5"/>
      <c r="V184" s="5" t="n">
        <f aca="false">SUM(U180:U182)/163</f>
        <v>0</v>
      </c>
    </row>
    <row r="185" customFormat="false" ht="15" hidden="false" customHeight="false" outlineLevel="0" collapsed="false">
      <c r="E185" s="5" t="str">
        <v>tengah</v>
      </c>
      <c r="F185" s="5"/>
      <c r="G185" s="12" t="n">
        <f aca="false">G183*G184</f>
        <v>0.298522626659645</v>
      </c>
      <c r="J185" s="5" t="str">
        <v>tengah</v>
      </c>
      <c r="K185" s="5"/>
      <c r="L185" s="12" t="n">
        <f aca="false">L183*L184</f>
        <v>0.3549233169216</v>
      </c>
      <c r="O185" s="5" t="str">
        <v>kanan</v>
      </c>
      <c r="P185" s="5"/>
      <c r="Q185" s="12" t="n">
        <f aca="false">Q183*Q184</f>
        <v>-0</v>
      </c>
      <c r="T185" s="5" t="str">
        <v>tengah</v>
      </c>
      <c r="U185" s="5"/>
      <c r="V185" s="12" t="n">
        <f aca="false">V183*V184</f>
        <v>-0</v>
      </c>
    </row>
    <row r="186" customFormat="false" ht="15" hidden="false" customHeight="false" outlineLevel="0" collapsed="false">
      <c r="E186" s="5" t="str">
        <v>kanan</v>
      </c>
      <c r="F186" s="5"/>
      <c r="G186" s="5"/>
      <c r="J186" s="5" t="str">
        <v>kiri</v>
      </c>
      <c r="K186" s="5"/>
      <c r="L186" s="5"/>
      <c r="O186" s="5" t="str">
        <v>kiri</v>
      </c>
      <c r="P186" s="5"/>
      <c r="Q186" s="5"/>
      <c r="T186" s="5" t="str">
        <v>tengah</v>
      </c>
      <c r="U186" s="5"/>
      <c r="V186" s="5"/>
    </row>
    <row r="187" customFormat="false" ht="15" hidden="false" customHeight="false" outlineLevel="0" collapsed="false">
      <c r="E187" s="5" t="str">
        <v>tengah</v>
      </c>
      <c r="F187" s="5"/>
      <c r="G187" s="5"/>
      <c r="J187" s="5" t="str">
        <v>tengah</v>
      </c>
      <c r="K187" s="5"/>
      <c r="L187" s="5"/>
      <c r="O187" s="5" t="str">
        <v>tengah</v>
      </c>
      <c r="P187" s="5"/>
      <c r="Q187" s="5"/>
      <c r="T187" s="5" t="str">
        <v>tengah</v>
      </c>
      <c r="U187" s="5"/>
      <c r="V187" s="5"/>
    </row>
    <row r="188" customFormat="false" ht="15" hidden="false" customHeight="false" outlineLevel="0" collapsed="false">
      <c r="E188" s="5" t="str">
        <v>kanan</v>
      </c>
      <c r="F188" s="5" t="s">
        <v>201</v>
      </c>
      <c r="G188" s="5"/>
      <c r="J188" s="5" t="str">
        <v>tengah</v>
      </c>
      <c r="K188" s="5" t="s">
        <v>201</v>
      </c>
      <c r="L188" s="5"/>
      <c r="O188" s="5" t="str">
        <v>tengah</v>
      </c>
      <c r="P188" s="5" t="s">
        <v>201</v>
      </c>
      <c r="Q188" s="5"/>
      <c r="T188" s="5" t="str">
        <v>kanan</v>
      </c>
      <c r="U188" s="5" t="s">
        <v>201</v>
      </c>
      <c r="V188" s="5"/>
    </row>
    <row r="189" customFormat="false" ht="15" hidden="false" customHeight="false" outlineLevel="0" collapsed="false">
      <c r="E189" s="5" t="str">
        <v>tengah</v>
      </c>
      <c r="F189" s="5" t="n">
        <f aca="false">COUNTIFS($E$170:$E$332,"Tengah",$M$2:$M$164,"Tinggi")</f>
        <v>31</v>
      </c>
      <c r="G189" s="5" t="n">
        <f aca="false">F189/98</f>
        <v>0.316326530612245</v>
      </c>
      <c r="J189" s="5" t="str">
        <v>tengah</v>
      </c>
      <c r="K189" s="5" t="n">
        <f aca="false">COUNTIFS($J$170:$J$332,"Tengah",$M$2:$M$164,"Tinggi")</f>
        <v>29</v>
      </c>
      <c r="L189" s="5" t="n">
        <f aca="false">K189/96</f>
        <v>0.302083333333333</v>
      </c>
      <c r="O189" s="5" t="str">
        <v>tengah</v>
      </c>
      <c r="P189" s="5" t="n">
        <f aca="false">COUNTIFS($O$170:$O$332,"Tengah",$M$2:$M$164,"Tinggi")</f>
        <v>23</v>
      </c>
      <c r="Q189" s="5" t="n">
        <f aca="false">P189/110</f>
        <v>0.209090909090909</v>
      </c>
      <c r="T189" s="5" t="str">
        <v>tengah</v>
      </c>
      <c r="U189" s="5" t="n">
        <f aca="false">COUNTIFS($T$170:$T$332,"Tengah",$M$2:$M$164,"Tinggi")</f>
        <v>21</v>
      </c>
      <c r="V189" s="5" t="n">
        <f aca="false">U189/84</f>
        <v>0.25</v>
      </c>
    </row>
    <row r="190" customFormat="false" ht="15" hidden="false" customHeight="false" outlineLevel="0" collapsed="false">
      <c r="E190" s="5" t="str">
        <v>tengah</v>
      </c>
      <c r="F190" s="5" t="n">
        <f aca="false">COUNTIFS($E$170:$E$332,"Tengah",$M$2:$M$164,"Sedang")</f>
        <v>53</v>
      </c>
      <c r="G190" s="5" t="n">
        <f aca="false">F190/98</f>
        <v>0.540816326530612</v>
      </c>
      <c r="J190" s="5" t="str">
        <v>tengah</v>
      </c>
      <c r="K190" s="5" t="n">
        <f aca="false">COUNTIFS($J$170:$J$332,"Tengah",$M$2:$M$164,"Sedang")</f>
        <v>56</v>
      </c>
      <c r="L190" s="5" t="n">
        <f aca="false">K190/96</f>
        <v>0.583333333333333</v>
      </c>
      <c r="O190" s="5" t="str">
        <v>tengah</v>
      </c>
      <c r="P190" s="5" t="n">
        <f aca="false">COUNTIFS($O$170:$O$332,"Tengah",$M$2:$M$164,"Sedang")</f>
        <v>87</v>
      </c>
      <c r="Q190" s="5" t="n">
        <f aca="false">P190/110</f>
        <v>0.790909090909091</v>
      </c>
      <c r="T190" s="5" t="str">
        <v>kanan</v>
      </c>
      <c r="U190" s="5" t="n">
        <f aca="false">COUNTIFS($T$170:$T$332,"Tengah",$M$2:$M$164,"Sedang")</f>
        <v>55</v>
      </c>
      <c r="V190" s="5" t="n">
        <f aca="false">U190/84</f>
        <v>0.654761904761905</v>
      </c>
    </row>
    <row r="191" customFormat="false" ht="15" hidden="false" customHeight="false" outlineLevel="0" collapsed="false">
      <c r="E191" s="5" t="str">
        <v>tengah</v>
      </c>
      <c r="F191" s="5" t="n">
        <f aca="false">COUNTIFS($E$170:$E$332,"Tengah",$M$2:$M$164,"Rendah")</f>
        <v>14</v>
      </c>
      <c r="G191" s="5" t="n">
        <f aca="false">F191/98</f>
        <v>0.142857142857143</v>
      </c>
      <c r="J191" s="5" t="str">
        <v>tengah</v>
      </c>
      <c r="K191" s="5" t="n">
        <f aca="false">COUNTIFS($J$170:$J$332,"Tengah",$M$2:$M$164,"Rendah")</f>
        <v>11</v>
      </c>
      <c r="L191" s="5" t="n">
        <f aca="false">K191/96</f>
        <v>0.114583333333333</v>
      </c>
      <c r="O191" s="5" t="str">
        <v>tengah</v>
      </c>
      <c r="P191" s="5" t="n">
        <f aca="false">COUNTIFS($O$170:$O$332,"Tengah",$M$2:$M$164,"Rendah")</f>
        <v>0</v>
      </c>
      <c r="Q191" s="5" t="n">
        <f aca="false">P191/110</f>
        <v>0</v>
      </c>
      <c r="T191" s="5" t="str">
        <v>tengah</v>
      </c>
      <c r="U191" s="5" t="n">
        <f aca="false">COUNTIFS($T$170:$T$332,"Tengah",$M$2:$M$164,"Rendah")</f>
        <v>8</v>
      </c>
      <c r="V191" s="5" t="n">
        <f aca="false">U191/84</f>
        <v>0.0952380952380952</v>
      </c>
    </row>
    <row r="192" customFormat="false" ht="15" hidden="false" customHeight="false" outlineLevel="0" collapsed="false">
      <c r="E192" s="5" t="str">
        <v>tengah</v>
      </c>
      <c r="F192" s="5" t="s">
        <v>196</v>
      </c>
      <c r="G192" s="5" t="n">
        <f aca="false">-(IFERROR(G189*LOG(G189,2),0)+IFERROR(G190*LOG(G190,2),0)+IFERROR(G191*LOG(G191,2),0))</f>
        <v>1.40590536837389</v>
      </c>
      <c r="J192" s="5" t="str">
        <v>tengah</v>
      </c>
      <c r="K192" s="5" t="s">
        <v>196</v>
      </c>
      <c r="L192" s="5" t="n">
        <f aca="false">-(IFERROR(L189*LOG(L189,2),0)+IFERROR(L190*LOG(L190,2),0)+IFERROR(L191*LOG(L191,2),0))</f>
        <v>1.33343049760724</v>
      </c>
      <c r="O192" s="5" t="str">
        <v>tengah</v>
      </c>
      <c r="P192" s="5" t="s">
        <v>196</v>
      </c>
      <c r="Q192" s="5" t="n">
        <f aca="false">-(IFERROR(Q189*LOG(Q189,2),0)+IFERROR(Q190*LOG(Q190,2),0)+IFERROR(Q191*LOG(Q191,2),0))</f>
        <v>0.73974144872329</v>
      </c>
      <c r="T192" s="5" t="str">
        <v>tengah</v>
      </c>
      <c r="U192" s="5" t="s">
        <v>196</v>
      </c>
      <c r="V192" s="5" t="n">
        <f aca="false">-(IFERROR(V189*LOG(V189,2),0)+IFERROR(V190*LOG(V190,2),0)+IFERROR(V191*LOG(V191,2),0))</f>
        <v>1.22310968322864</v>
      </c>
    </row>
    <row r="193" customFormat="false" ht="15" hidden="false" customHeight="false" outlineLevel="0" collapsed="false">
      <c r="E193" s="5" t="str">
        <v>tengah</v>
      </c>
      <c r="F193" s="5"/>
      <c r="G193" s="5" t="n">
        <f aca="false">SUM(F189:F191)/163</f>
        <v>0.601226993865031</v>
      </c>
      <c r="J193" s="5" t="str">
        <v>tengah</v>
      </c>
      <c r="K193" s="5"/>
      <c r="L193" s="5" t="n">
        <f aca="false">SUM(K189:K191)/163</f>
        <v>0.588957055214724</v>
      </c>
      <c r="O193" s="5" t="str">
        <v>tengah</v>
      </c>
      <c r="P193" s="5"/>
      <c r="Q193" s="5" t="n">
        <f aca="false">SUM(P189:P191)/163</f>
        <v>0.674846625766871</v>
      </c>
      <c r="T193" s="5" t="str">
        <v>tengah</v>
      </c>
      <c r="U193" s="5"/>
      <c r="V193" s="5" t="n">
        <f aca="false">SUM(U189:U191)/163</f>
        <v>0.515337423312884</v>
      </c>
    </row>
    <row r="194" customFormat="false" ht="15" hidden="false" customHeight="false" outlineLevel="0" collapsed="false">
      <c r="E194" s="5" t="str">
        <v>kanan</v>
      </c>
      <c r="F194" s="5"/>
      <c r="G194" s="12" t="n">
        <f aca="false">G192*G193</f>
        <v>0.845268258286143</v>
      </c>
      <c r="J194" s="5" t="str">
        <v>kanan</v>
      </c>
      <c r="K194" s="5"/>
      <c r="L194" s="12" t="n">
        <f aca="false">L192*L193</f>
        <v>0.785333299204266</v>
      </c>
      <c r="O194" s="5" t="str">
        <v>kiri</v>
      </c>
      <c r="P194" s="5"/>
      <c r="Q194" s="12" t="n">
        <f aca="false">Q192*Q193</f>
        <v>0.499212020610809</v>
      </c>
      <c r="T194" s="5" t="str">
        <v>kanan</v>
      </c>
      <c r="U194" s="5"/>
      <c r="V194" s="12" t="n">
        <f aca="false">V192*V193</f>
        <v>0.630314192584084</v>
      </c>
    </row>
    <row r="195" customFormat="false" ht="15" hidden="false" customHeight="false" outlineLevel="0" collapsed="false">
      <c r="E195" s="5" t="str">
        <v>tengah</v>
      </c>
      <c r="F195" s="5"/>
      <c r="G195" s="5"/>
      <c r="J195" s="5" t="str">
        <v>kiri</v>
      </c>
      <c r="K195" s="5"/>
      <c r="L195" s="5"/>
      <c r="O195" s="5" t="str">
        <v>tengah</v>
      </c>
      <c r="P195" s="5"/>
      <c r="Q195" s="5"/>
      <c r="T195" s="5" t="str">
        <v>kanan</v>
      </c>
      <c r="U195" s="5"/>
      <c r="V195" s="5"/>
    </row>
    <row r="196" customFormat="false" ht="15" hidden="false" customHeight="false" outlineLevel="0" collapsed="false">
      <c r="E196" s="5" t="str">
        <v>tengah</v>
      </c>
      <c r="F196" s="5" t="s">
        <v>202</v>
      </c>
      <c r="G196" s="5"/>
      <c r="J196" s="5" t="str">
        <v>kiri</v>
      </c>
      <c r="K196" s="5" t="s">
        <v>202</v>
      </c>
      <c r="L196" s="5"/>
      <c r="O196" s="5" t="str">
        <v>tengah</v>
      </c>
      <c r="P196" s="5" t="s">
        <v>202</v>
      </c>
      <c r="Q196" s="5"/>
      <c r="T196" s="5" t="str">
        <v>kanan</v>
      </c>
      <c r="U196" s="5" t="s">
        <v>202</v>
      </c>
      <c r="V196" s="5"/>
    </row>
    <row r="197" customFormat="false" ht="15" hidden="false" customHeight="false" outlineLevel="0" collapsed="false">
      <c r="E197" s="5" t="str">
        <v>tengah</v>
      </c>
      <c r="F197" s="13" t="n">
        <f aca="false">P5-(G176+G185+G194)</f>
        <v>0.00532113780020227</v>
      </c>
      <c r="G197" s="5"/>
      <c r="J197" s="5" t="str">
        <v>tengah</v>
      </c>
      <c r="K197" s="13" t="n">
        <f aca="false">P5-(L176+L185+L194)</f>
        <v>0.0325196536992523</v>
      </c>
      <c r="L197" s="5"/>
      <c r="O197" s="5" t="str">
        <v>kiri</v>
      </c>
      <c r="P197" s="13" t="n">
        <f aca="false">P5-(Q176+Q185+Q194)</f>
        <v>0.91701276245779</v>
      </c>
      <c r="Q197" s="5"/>
      <c r="T197" s="5" t="str">
        <v>kanan</v>
      </c>
      <c r="U197" s="13" t="n">
        <f aca="false">P5-(V176+V185+V194)</f>
        <v>0.0471462132820741</v>
      </c>
      <c r="V197" s="5"/>
    </row>
    <row r="198" customFormat="false" ht="15" hidden="false" customHeight="false" outlineLevel="0" collapsed="false">
      <c r="E198" s="5" t="str">
        <v>kanan</v>
      </c>
      <c r="F198" s="5"/>
      <c r="G198" s="5"/>
      <c r="J198" s="5" t="str">
        <v>tengah</v>
      </c>
      <c r="K198" s="5"/>
      <c r="L198" s="5"/>
      <c r="O198" s="5" t="str">
        <v>tengah</v>
      </c>
      <c r="P198" s="5"/>
      <c r="Q198" s="5"/>
      <c r="T198" s="5" t="str">
        <v>kanan</v>
      </c>
      <c r="U198" s="5"/>
      <c r="V198" s="5"/>
    </row>
    <row r="199" customFormat="false" ht="15" hidden="false" customHeight="false" outlineLevel="0" collapsed="false">
      <c r="E199" s="5" t="str">
        <v>tengah</v>
      </c>
      <c r="F199" s="5"/>
      <c r="G199" s="5"/>
      <c r="J199" s="5" t="str">
        <v>tengah</v>
      </c>
      <c r="K199" s="5"/>
      <c r="L199" s="5"/>
      <c r="O199" s="5" t="str">
        <v>tengah</v>
      </c>
      <c r="P199" s="5"/>
      <c r="Q199" s="5"/>
      <c r="T199" s="5" t="str">
        <v>kanan</v>
      </c>
      <c r="U199" s="5"/>
      <c r="V199" s="5"/>
    </row>
    <row r="200" customFormat="false" ht="15" hidden="false" customHeight="false" outlineLevel="0" collapsed="false">
      <c r="E200" s="5" t="str">
        <v>tengah</v>
      </c>
      <c r="F200" s="5"/>
      <c r="G200" s="5"/>
      <c r="J200" s="5" t="str">
        <v>kiri</v>
      </c>
      <c r="K200" s="5"/>
      <c r="L200" s="5"/>
      <c r="O200" s="5" t="str">
        <v>kanan</v>
      </c>
      <c r="P200" s="5"/>
      <c r="Q200" s="5"/>
      <c r="T200" s="5" t="str">
        <v>tengah</v>
      </c>
      <c r="U200" s="5"/>
      <c r="V200" s="5"/>
    </row>
    <row r="201" customFormat="false" ht="15" hidden="false" customHeight="false" outlineLevel="0" collapsed="false">
      <c r="E201" s="5" t="str">
        <v>tengah</v>
      </c>
      <c r="F201" s="5"/>
      <c r="G201" s="5"/>
      <c r="J201" s="5" t="str">
        <v>tengah</v>
      </c>
      <c r="K201" s="5"/>
      <c r="L201" s="5"/>
      <c r="O201" s="5" t="str">
        <v>tengah</v>
      </c>
      <c r="P201" s="5"/>
      <c r="Q201" s="5"/>
      <c r="T201" s="5" t="str">
        <v>tengah</v>
      </c>
      <c r="U201" s="5"/>
      <c r="V201" s="5"/>
    </row>
    <row r="202" customFormat="false" ht="15" hidden="false" customHeight="false" outlineLevel="0" collapsed="false">
      <c r="E202" s="5" t="str">
        <v>tengah</v>
      </c>
      <c r="F202" s="5"/>
      <c r="G202" s="5"/>
      <c r="J202" s="5" t="str">
        <v>kiri</v>
      </c>
      <c r="K202" s="5"/>
      <c r="L202" s="5"/>
      <c r="O202" s="5" t="str">
        <v>kiri</v>
      </c>
      <c r="P202" s="5"/>
      <c r="Q202" s="5"/>
      <c r="T202" s="5" t="str">
        <v>tengah</v>
      </c>
      <c r="U202" s="5"/>
      <c r="V202" s="5"/>
    </row>
    <row r="203" customFormat="false" ht="15" hidden="false" customHeight="false" outlineLevel="0" collapsed="false">
      <c r="E203" s="5" t="str">
        <v>kanan</v>
      </c>
      <c r="F203" s="5"/>
      <c r="G203" s="5"/>
      <c r="J203" s="5" t="str">
        <v>tengah</v>
      </c>
      <c r="K203" s="5"/>
      <c r="L203" s="5"/>
      <c r="O203" s="5" t="str">
        <v>tengah</v>
      </c>
      <c r="P203" s="5"/>
      <c r="Q203" s="5"/>
      <c r="T203" s="5" t="str">
        <v>tengah</v>
      </c>
      <c r="U203" s="5"/>
      <c r="V203" s="5"/>
    </row>
    <row r="204" customFormat="false" ht="15" hidden="false" customHeight="false" outlineLevel="0" collapsed="false">
      <c r="E204" s="5" t="str">
        <v>tengah</v>
      </c>
      <c r="F204" s="5"/>
      <c r="G204" s="5"/>
      <c r="J204" s="5" t="str">
        <v>tengah</v>
      </c>
      <c r="K204" s="5"/>
      <c r="L204" s="5"/>
      <c r="O204" s="5" t="str">
        <v>tengah</v>
      </c>
      <c r="P204" s="5"/>
      <c r="Q204" s="5"/>
      <c r="T204" s="5" t="str">
        <v>kanan</v>
      </c>
      <c r="U204" s="5"/>
      <c r="V204" s="5"/>
    </row>
    <row r="205" customFormat="false" ht="15" hidden="false" customHeight="false" outlineLevel="0" collapsed="false">
      <c r="E205" s="5" t="str">
        <v>kiri</v>
      </c>
      <c r="F205" s="5"/>
      <c r="G205" s="5"/>
      <c r="J205" s="5" t="str">
        <v>tengah</v>
      </c>
      <c r="K205" s="5"/>
      <c r="L205" s="5"/>
      <c r="O205" s="5" t="str">
        <v>tengah</v>
      </c>
      <c r="P205" s="5"/>
      <c r="Q205" s="5"/>
      <c r="T205" s="5" t="str">
        <v>kanan</v>
      </c>
      <c r="U205" s="5"/>
      <c r="V205" s="5"/>
    </row>
    <row r="206" customFormat="false" ht="15" hidden="false" customHeight="false" outlineLevel="0" collapsed="false">
      <c r="E206" s="5" t="str">
        <v>kiri</v>
      </c>
      <c r="F206" s="5"/>
      <c r="G206" s="5"/>
      <c r="J206" s="5" t="str">
        <v>tengah</v>
      </c>
      <c r="K206" s="5"/>
      <c r="L206" s="5"/>
      <c r="O206" s="5" t="str">
        <v>tengah</v>
      </c>
      <c r="P206" s="5"/>
      <c r="Q206" s="5"/>
      <c r="T206" s="5" t="str">
        <v>kanan</v>
      </c>
      <c r="U206" s="5"/>
      <c r="V206" s="5"/>
    </row>
    <row r="207" customFormat="false" ht="15" hidden="false" customHeight="false" outlineLevel="0" collapsed="false">
      <c r="E207" s="5" t="str">
        <v>tengah</v>
      </c>
      <c r="F207" s="5"/>
      <c r="G207" s="5"/>
      <c r="J207" s="5" t="str">
        <v>kiri</v>
      </c>
      <c r="K207" s="5"/>
      <c r="L207" s="5"/>
      <c r="O207" s="5" t="str">
        <v>kanan</v>
      </c>
      <c r="P207" s="5"/>
      <c r="Q207" s="5"/>
      <c r="T207" s="5" t="str">
        <v>kanan</v>
      </c>
      <c r="U207" s="5"/>
      <c r="V207" s="5"/>
    </row>
    <row r="208" customFormat="false" ht="15" hidden="false" customHeight="false" outlineLevel="0" collapsed="false">
      <c r="E208" s="5" t="str">
        <v>tengah</v>
      </c>
      <c r="F208" s="5"/>
      <c r="G208" s="5"/>
      <c r="J208" s="5" t="str">
        <v>kiri</v>
      </c>
      <c r="K208" s="5"/>
      <c r="L208" s="5"/>
      <c r="O208" s="5" t="str">
        <v>tengah</v>
      </c>
      <c r="P208" s="5"/>
      <c r="Q208" s="5"/>
      <c r="T208" s="5" t="str">
        <v>tengah</v>
      </c>
      <c r="U208" s="5"/>
      <c r="V208" s="5"/>
    </row>
    <row r="209" customFormat="false" ht="15" hidden="false" customHeight="false" outlineLevel="0" collapsed="false">
      <c r="E209" s="5" t="str">
        <v>tengah</v>
      </c>
      <c r="F209" s="5"/>
      <c r="G209" s="5"/>
      <c r="J209" s="5" t="str">
        <v>tengah</v>
      </c>
      <c r="K209" s="5"/>
      <c r="L209" s="5"/>
      <c r="O209" s="5" t="str">
        <v>tengah</v>
      </c>
      <c r="P209" s="5"/>
      <c r="Q209" s="5"/>
      <c r="T209" s="5" t="str">
        <v>tengah</v>
      </c>
      <c r="U209" s="5"/>
      <c r="V209" s="5"/>
    </row>
    <row r="210" customFormat="false" ht="15" hidden="false" customHeight="false" outlineLevel="0" collapsed="false">
      <c r="E210" s="5" t="str">
        <v>tengah</v>
      </c>
      <c r="F210" s="5"/>
      <c r="G210" s="5"/>
      <c r="J210" s="5" t="str">
        <v>kiri</v>
      </c>
      <c r="K210" s="5"/>
      <c r="L210" s="5"/>
      <c r="O210" s="5" t="str">
        <v>tengah</v>
      </c>
      <c r="P210" s="5"/>
      <c r="Q210" s="5"/>
      <c r="T210" s="5" t="str">
        <v>kanan</v>
      </c>
      <c r="U210" s="5"/>
      <c r="V210" s="5"/>
    </row>
    <row r="211" customFormat="false" ht="15" hidden="false" customHeight="false" outlineLevel="0" collapsed="false">
      <c r="E211" s="5" t="str">
        <v>tengah</v>
      </c>
      <c r="F211" s="5"/>
      <c r="G211" s="5"/>
      <c r="J211" s="5" t="str">
        <v>tengah</v>
      </c>
      <c r="K211" s="5"/>
      <c r="L211" s="5"/>
      <c r="O211" s="5" t="str">
        <v>tengah</v>
      </c>
      <c r="P211" s="5"/>
      <c r="Q211" s="5"/>
      <c r="T211" s="5" t="str">
        <v>tengah</v>
      </c>
      <c r="U211" s="5"/>
      <c r="V211" s="5"/>
    </row>
    <row r="212" customFormat="false" ht="15" hidden="false" customHeight="false" outlineLevel="0" collapsed="false">
      <c r="E212" s="5" t="str">
        <v>tengah</v>
      </c>
      <c r="F212" s="5"/>
      <c r="G212" s="5"/>
      <c r="J212" s="5" t="str">
        <v>tengah</v>
      </c>
      <c r="K212" s="5"/>
      <c r="L212" s="5"/>
      <c r="O212" s="5" t="str">
        <v>tengah</v>
      </c>
      <c r="P212" s="5"/>
      <c r="Q212" s="5"/>
      <c r="T212" s="5" t="str">
        <v>tengah</v>
      </c>
      <c r="U212" s="5"/>
      <c r="V212" s="5"/>
    </row>
    <row r="213" customFormat="false" ht="15" hidden="false" customHeight="false" outlineLevel="0" collapsed="false">
      <c r="E213" s="5" t="str">
        <v>tengah</v>
      </c>
      <c r="F213" s="5"/>
      <c r="G213" s="5"/>
      <c r="J213" s="5" t="str">
        <v>tengah</v>
      </c>
      <c r="K213" s="5"/>
      <c r="L213" s="5"/>
      <c r="O213" s="5" t="str">
        <v>kiri</v>
      </c>
      <c r="P213" s="5"/>
      <c r="Q213" s="5"/>
      <c r="T213" s="5" t="str">
        <v>kanan</v>
      </c>
      <c r="U213" s="5"/>
      <c r="V213" s="5"/>
    </row>
    <row r="214" customFormat="false" ht="15" hidden="false" customHeight="false" outlineLevel="0" collapsed="false">
      <c r="E214" s="5" t="str">
        <v>tengah</v>
      </c>
      <c r="F214" s="5"/>
      <c r="G214" s="5"/>
      <c r="J214" s="5" t="str">
        <v>kanan</v>
      </c>
      <c r="K214" s="5"/>
      <c r="L214" s="5"/>
      <c r="O214" s="5" t="str">
        <v>tengah</v>
      </c>
      <c r="P214" s="5"/>
      <c r="Q214" s="5"/>
      <c r="T214" s="5" t="str">
        <v>tengah</v>
      </c>
      <c r="U214" s="5"/>
      <c r="V214" s="5"/>
    </row>
    <row r="215" customFormat="false" ht="15" hidden="false" customHeight="false" outlineLevel="0" collapsed="false">
      <c r="E215" s="5" t="str">
        <v>kiri</v>
      </c>
      <c r="F215" s="5"/>
      <c r="G215" s="5"/>
      <c r="J215" s="5" t="str">
        <v>tengah</v>
      </c>
      <c r="K215" s="5"/>
      <c r="L215" s="5"/>
      <c r="O215" s="5" t="str">
        <v>tengah</v>
      </c>
      <c r="P215" s="5"/>
      <c r="Q215" s="5"/>
      <c r="T215" s="5" t="str">
        <v>tengah</v>
      </c>
      <c r="U215" s="5"/>
      <c r="V215" s="5"/>
    </row>
    <row r="216" customFormat="false" ht="15" hidden="false" customHeight="false" outlineLevel="0" collapsed="false">
      <c r="E216" s="5" t="str">
        <v>tengah</v>
      </c>
      <c r="F216" s="5"/>
      <c r="G216" s="5"/>
      <c r="J216" s="5" t="str">
        <v>tengah</v>
      </c>
      <c r="K216" s="5"/>
      <c r="L216" s="5"/>
      <c r="O216" s="5" t="str">
        <v>kiri</v>
      </c>
      <c r="P216" s="5"/>
      <c r="Q216" s="5"/>
      <c r="T216" s="5" t="str">
        <v>kanan</v>
      </c>
      <c r="U216" s="5"/>
      <c r="V216" s="5"/>
    </row>
    <row r="217" customFormat="false" ht="15" hidden="false" customHeight="false" outlineLevel="0" collapsed="false">
      <c r="E217" s="5" t="str">
        <v>kanan</v>
      </c>
      <c r="F217" s="5"/>
      <c r="G217" s="5"/>
      <c r="J217" s="5" t="str">
        <v>kanan</v>
      </c>
      <c r="K217" s="5"/>
      <c r="L217" s="5"/>
      <c r="O217" s="5" t="str">
        <v>tengah</v>
      </c>
      <c r="P217" s="5"/>
      <c r="Q217" s="5"/>
      <c r="T217" s="5" t="str">
        <v>kanan</v>
      </c>
      <c r="U217" s="5"/>
      <c r="V217" s="5"/>
    </row>
    <row r="218" customFormat="false" ht="15" hidden="false" customHeight="false" outlineLevel="0" collapsed="false">
      <c r="E218" s="5" t="str">
        <v>tengah</v>
      </c>
      <c r="F218" s="5"/>
      <c r="G218" s="5"/>
      <c r="J218" s="5" t="str">
        <v>tengah</v>
      </c>
      <c r="K218" s="5"/>
      <c r="L218" s="5"/>
      <c r="O218" s="5" t="str">
        <v>tengah</v>
      </c>
      <c r="P218" s="5"/>
      <c r="Q218" s="5"/>
      <c r="T218" s="5" t="str">
        <v>tengah</v>
      </c>
      <c r="U218" s="5"/>
      <c r="V218" s="5"/>
    </row>
    <row r="219" customFormat="false" ht="15" hidden="false" customHeight="false" outlineLevel="0" collapsed="false">
      <c r="E219" s="5" t="str">
        <v>kiri</v>
      </c>
      <c r="F219" s="5"/>
      <c r="G219" s="5"/>
      <c r="J219" s="5" t="str">
        <v>tengah</v>
      </c>
      <c r="K219" s="5"/>
      <c r="L219" s="5"/>
      <c r="O219" s="5" t="str">
        <v>kanan</v>
      </c>
      <c r="P219" s="5"/>
      <c r="Q219" s="5"/>
      <c r="T219" s="5" t="str">
        <v>kanan</v>
      </c>
      <c r="U219" s="5"/>
      <c r="V219" s="5"/>
    </row>
    <row r="220" customFormat="false" ht="15" hidden="false" customHeight="false" outlineLevel="0" collapsed="false">
      <c r="E220" s="5" t="str">
        <v>tengah</v>
      </c>
      <c r="F220" s="5"/>
      <c r="G220" s="5"/>
      <c r="J220" s="5" t="str">
        <v>kanan</v>
      </c>
      <c r="K220" s="5"/>
      <c r="L220" s="5"/>
      <c r="O220" s="5" t="str">
        <v>tengah</v>
      </c>
      <c r="P220" s="5"/>
      <c r="Q220" s="5"/>
      <c r="T220" s="5" t="str">
        <v>kanan</v>
      </c>
      <c r="U220" s="5"/>
      <c r="V220" s="5"/>
    </row>
    <row r="221" customFormat="false" ht="15" hidden="false" customHeight="false" outlineLevel="0" collapsed="false">
      <c r="E221" s="5" t="str">
        <v>kanan</v>
      </c>
      <c r="F221" s="5"/>
      <c r="G221" s="5"/>
      <c r="J221" s="5" t="str">
        <v>tengah</v>
      </c>
      <c r="K221" s="5"/>
      <c r="L221" s="5"/>
      <c r="O221" s="5" t="str">
        <v>tengah</v>
      </c>
      <c r="P221" s="5"/>
      <c r="Q221" s="5"/>
      <c r="T221" s="5" t="str">
        <v>kanan</v>
      </c>
      <c r="U221" s="5"/>
      <c r="V221" s="5"/>
    </row>
    <row r="222" customFormat="false" ht="15" hidden="false" customHeight="false" outlineLevel="0" collapsed="false">
      <c r="E222" s="5" t="str">
        <v>tengah</v>
      </c>
      <c r="F222" s="5"/>
      <c r="G222" s="5"/>
      <c r="J222" s="5" t="str">
        <v>tengah</v>
      </c>
      <c r="K222" s="5"/>
      <c r="L222" s="5"/>
      <c r="O222" s="5" t="str">
        <v>tengah</v>
      </c>
      <c r="P222" s="5"/>
      <c r="Q222" s="5"/>
      <c r="T222" s="5" t="str">
        <v>tengah</v>
      </c>
      <c r="U222" s="5"/>
      <c r="V222" s="5"/>
    </row>
    <row r="223" customFormat="false" ht="15" hidden="false" customHeight="false" outlineLevel="0" collapsed="false">
      <c r="E223" s="5" t="str">
        <v>tengah</v>
      </c>
      <c r="F223" s="5"/>
      <c r="G223" s="5"/>
      <c r="J223" s="5" t="str">
        <v>kiri</v>
      </c>
      <c r="K223" s="5"/>
      <c r="L223" s="5"/>
      <c r="O223" s="5" t="str">
        <v>tengah</v>
      </c>
      <c r="P223" s="5"/>
      <c r="Q223" s="5"/>
      <c r="T223" s="5" t="str">
        <v>tengah</v>
      </c>
      <c r="U223" s="5"/>
      <c r="V223" s="5"/>
    </row>
    <row r="224" customFormat="false" ht="15" hidden="false" customHeight="false" outlineLevel="0" collapsed="false">
      <c r="E224" s="5" t="str">
        <v>tengah</v>
      </c>
      <c r="F224" s="5"/>
      <c r="G224" s="5"/>
      <c r="J224" s="5" t="str">
        <v>tengah</v>
      </c>
      <c r="K224" s="5"/>
      <c r="L224" s="5"/>
      <c r="O224" s="5" t="str">
        <v>kanan</v>
      </c>
      <c r="P224" s="5"/>
      <c r="Q224" s="5"/>
      <c r="T224" s="5" t="str">
        <v>tengah</v>
      </c>
      <c r="U224" s="5"/>
      <c r="V224" s="5"/>
    </row>
    <row r="225" customFormat="false" ht="15" hidden="false" customHeight="false" outlineLevel="0" collapsed="false">
      <c r="E225" s="5" t="str">
        <v>kiri</v>
      </c>
      <c r="F225" s="5"/>
      <c r="G225" s="5"/>
      <c r="J225" s="5" t="str">
        <v>tengah</v>
      </c>
      <c r="K225" s="5"/>
      <c r="L225" s="5"/>
      <c r="O225" s="5" t="str">
        <v>tengah</v>
      </c>
      <c r="P225" s="5"/>
      <c r="Q225" s="5"/>
      <c r="T225" s="5" t="str">
        <v>tengah</v>
      </c>
      <c r="U225" s="5"/>
      <c r="V225" s="5"/>
    </row>
    <row r="226" customFormat="false" ht="15" hidden="false" customHeight="false" outlineLevel="0" collapsed="false">
      <c r="E226" s="5" t="str">
        <v>tengah</v>
      </c>
      <c r="F226" s="5"/>
      <c r="G226" s="5"/>
      <c r="J226" s="5" t="str">
        <v>tengah</v>
      </c>
      <c r="K226" s="5"/>
      <c r="L226" s="5"/>
      <c r="O226" s="5" t="str">
        <v>tengah</v>
      </c>
      <c r="P226" s="5"/>
      <c r="Q226" s="5"/>
      <c r="T226" s="5" t="str">
        <v>tengah</v>
      </c>
      <c r="U226" s="5"/>
      <c r="V226" s="5"/>
    </row>
    <row r="227" customFormat="false" ht="15" hidden="false" customHeight="false" outlineLevel="0" collapsed="false">
      <c r="E227" s="5" t="str">
        <v>kanan</v>
      </c>
      <c r="F227" s="5"/>
      <c r="G227" s="5"/>
      <c r="J227" s="5" t="str">
        <v>tengah</v>
      </c>
      <c r="K227" s="5"/>
      <c r="L227" s="5"/>
      <c r="O227" s="5" t="str">
        <v>tengah</v>
      </c>
      <c r="P227" s="5"/>
      <c r="Q227" s="5"/>
      <c r="T227" s="5" t="str">
        <v>kanan</v>
      </c>
      <c r="U227" s="5"/>
      <c r="V227" s="5"/>
    </row>
    <row r="228" customFormat="false" ht="15" hidden="false" customHeight="false" outlineLevel="0" collapsed="false">
      <c r="E228" s="5" t="str">
        <v>tengah</v>
      </c>
      <c r="F228" s="5"/>
      <c r="G228" s="5"/>
      <c r="J228" s="5" t="str">
        <v>kanan</v>
      </c>
      <c r="K228" s="5"/>
      <c r="L228" s="5"/>
      <c r="O228" s="5" t="str">
        <v>tengah</v>
      </c>
      <c r="P228" s="5"/>
      <c r="Q228" s="5"/>
      <c r="T228" s="5" t="str">
        <v>tengah</v>
      </c>
      <c r="U228" s="5"/>
      <c r="V228" s="5"/>
    </row>
    <row r="229" customFormat="false" ht="15" hidden="false" customHeight="false" outlineLevel="0" collapsed="false">
      <c r="E229" s="5" t="str">
        <v>tengah</v>
      </c>
      <c r="F229" s="5"/>
      <c r="G229" s="5"/>
      <c r="J229" s="5" t="str">
        <v>tengah</v>
      </c>
      <c r="K229" s="5"/>
      <c r="L229" s="5"/>
      <c r="O229" s="5" t="str">
        <v>kiri</v>
      </c>
      <c r="P229" s="5"/>
      <c r="Q229" s="5"/>
      <c r="T229" s="5" t="str">
        <v>kanan</v>
      </c>
      <c r="U229" s="5"/>
      <c r="V229" s="5"/>
    </row>
    <row r="230" customFormat="false" ht="15" hidden="false" customHeight="false" outlineLevel="0" collapsed="false">
      <c r="E230" s="5" t="str">
        <v>kiri</v>
      </c>
      <c r="F230" s="5"/>
      <c r="G230" s="5"/>
      <c r="J230" s="5" t="str">
        <v>kiri</v>
      </c>
      <c r="K230" s="5"/>
      <c r="L230" s="5"/>
      <c r="O230" s="5" t="str">
        <v>tengah</v>
      </c>
      <c r="P230" s="5"/>
      <c r="Q230" s="5"/>
      <c r="T230" s="5" t="str">
        <v>kanan</v>
      </c>
      <c r="U230" s="5"/>
      <c r="V230" s="5"/>
    </row>
    <row r="231" customFormat="false" ht="15" hidden="false" customHeight="false" outlineLevel="0" collapsed="false">
      <c r="E231" s="5" t="str">
        <v>kiri</v>
      </c>
      <c r="F231" s="5"/>
      <c r="G231" s="5"/>
      <c r="J231" s="5" t="str">
        <v>kiri</v>
      </c>
      <c r="K231" s="5"/>
      <c r="L231" s="5"/>
      <c r="O231" s="5" t="str">
        <v>kanan</v>
      </c>
      <c r="P231" s="5"/>
      <c r="Q231" s="5"/>
      <c r="T231" s="5" t="str">
        <v>kanan</v>
      </c>
      <c r="U231" s="5"/>
      <c r="V231" s="5"/>
    </row>
    <row r="232" customFormat="false" ht="15" hidden="false" customHeight="false" outlineLevel="0" collapsed="false">
      <c r="E232" s="5" t="str">
        <v>tengah</v>
      </c>
      <c r="F232" s="5"/>
      <c r="G232" s="5"/>
      <c r="J232" s="5" t="str">
        <v>tengah</v>
      </c>
      <c r="K232" s="5"/>
      <c r="L232" s="5"/>
      <c r="O232" s="5" t="str">
        <v>tengah</v>
      </c>
      <c r="P232" s="5"/>
      <c r="Q232" s="5"/>
      <c r="T232" s="5" t="str">
        <v>tengah</v>
      </c>
      <c r="U232" s="5"/>
      <c r="V232" s="5"/>
    </row>
    <row r="233" customFormat="false" ht="15" hidden="false" customHeight="false" outlineLevel="0" collapsed="false">
      <c r="E233" s="5" t="str">
        <v>kanan</v>
      </c>
      <c r="F233" s="5"/>
      <c r="G233" s="5"/>
      <c r="J233" s="5" t="str">
        <v>tengah</v>
      </c>
      <c r="K233" s="5"/>
      <c r="L233" s="5"/>
      <c r="O233" s="5" t="str">
        <v>kanan</v>
      </c>
      <c r="P233" s="5"/>
      <c r="Q233" s="5"/>
      <c r="T233" s="5" t="str">
        <v>kanan</v>
      </c>
      <c r="U233" s="5"/>
      <c r="V233" s="5"/>
    </row>
    <row r="234" customFormat="false" ht="15" hidden="false" customHeight="false" outlineLevel="0" collapsed="false">
      <c r="E234" s="5" t="str">
        <v>kanan</v>
      </c>
      <c r="F234" s="5"/>
      <c r="G234" s="5"/>
      <c r="J234" s="5" t="str">
        <v>tengah</v>
      </c>
      <c r="K234" s="5"/>
      <c r="L234" s="5"/>
      <c r="O234" s="5" t="str">
        <v>tengah</v>
      </c>
      <c r="P234" s="5"/>
      <c r="Q234" s="5"/>
      <c r="T234" s="5" t="str">
        <v>tengah</v>
      </c>
      <c r="U234" s="5"/>
      <c r="V234" s="5"/>
    </row>
    <row r="235" customFormat="false" ht="15" hidden="false" customHeight="false" outlineLevel="0" collapsed="false">
      <c r="E235" s="5" t="str">
        <v>kanan</v>
      </c>
      <c r="F235" s="5"/>
      <c r="G235" s="5"/>
      <c r="J235" s="5" t="str">
        <v>tengah</v>
      </c>
      <c r="K235" s="5"/>
      <c r="L235" s="5"/>
      <c r="O235" s="5" t="str">
        <v>kanan</v>
      </c>
      <c r="P235" s="5"/>
      <c r="Q235" s="5"/>
      <c r="T235" s="5" t="str">
        <v>kanan</v>
      </c>
      <c r="U235" s="5"/>
      <c r="V235" s="5"/>
    </row>
    <row r="236" customFormat="false" ht="15" hidden="false" customHeight="false" outlineLevel="0" collapsed="false">
      <c r="E236" s="5" t="str">
        <v>kiri</v>
      </c>
      <c r="F236" s="5"/>
      <c r="G236" s="5"/>
      <c r="J236" s="5" t="str">
        <v>tengah</v>
      </c>
      <c r="K236" s="5"/>
      <c r="L236" s="5"/>
      <c r="O236" s="5" t="str">
        <v>tengah</v>
      </c>
      <c r="P236" s="5"/>
      <c r="Q236" s="5"/>
      <c r="T236" s="5" t="str">
        <v>tengah</v>
      </c>
      <c r="U236" s="5"/>
      <c r="V236" s="5"/>
    </row>
    <row r="237" customFormat="false" ht="15" hidden="false" customHeight="false" outlineLevel="0" collapsed="false">
      <c r="E237" s="5" t="str">
        <v>kanan</v>
      </c>
      <c r="F237" s="5"/>
      <c r="G237" s="5"/>
      <c r="J237" s="5" t="str">
        <v>kanan</v>
      </c>
      <c r="K237" s="5"/>
      <c r="L237" s="5"/>
      <c r="O237" s="5" t="str">
        <v>kiri</v>
      </c>
      <c r="P237" s="5"/>
      <c r="Q237" s="5"/>
      <c r="T237" s="5" t="str">
        <v>kanan</v>
      </c>
      <c r="U237" s="5"/>
      <c r="V237" s="5"/>
    </row>
    <row r="238" customFormat="false" ht="15" hidden="false" customHeight="false" outlineLevel="0" collapsed="false">
      <c r="E238" s="5" t="str">
        <v>kiri</v>
      </c>
      <c r="F238" s="5"/>
      <c r="G238" s="5"/>
      <c r="J238" s="5" t="str">
        <v>kiri</v>
      </c>
      <c r="K238" s="5"/>
      <c r="L238" s="5"/>
      <c r="O238" s="5" t="str">
        <v>tengah</v>
      </c>
      <c r="P238" s="5"/>
      <c r="Q238" s="5"/>
      <c r="T238" s="5" t="str">
        <v>tengah</v>
      </c>
      <c r="U238" s="5"/>
      <c r="V238" s="5"/>
    </row>
    <row r="239" customFormat="false" ht="15" hidden="false" customHeight="false" outlineLevel="0" collapsed="false">
      <c r="E239" s="5" t="str">
        <v>kiri</v>
      </c>
      <c r="F239" s="5"/>
      <c r="G239" s="5"/>
      <c r="J239" s="5" t="str">
        <v>kiri</v>
      </c>
      <c r="K239" s="5"/>
      <c r="L239" s="5"/>
      <c r="O239" s="5" t="str">
        <v>tengah</v>
      </c>
      <c r="P239" s="5"/>
      <c r="Q239" s="5"/>
      <c r="T239" s="5" t="str">
        <v>kanan</v>
      </c>
      <c r="U239" s="5"/>
      <c r="V239" s="5"/>
    </row>
    <row r="240" customFormat="false" ht="15" hidden="false" customHeight="false" outlineLevel="0" collapsed="false">
      <c r="E240" s="5" t="str">
        <v>kiri</v>
      </c>
      <c r="F240" s="5"/>
      <c r="G240" s="5"/>
      <c r="J240" s="5" t="str">
        <v>kiri</v>
      </c>
      <c r="K240" s="5"/>
      <c r="L240" s="5"/>
      <c r="O240" s="5" t="str">
        <v>kanan</v>
      </c>
      <c r="P240" s="5"/>
      <c r="Q240" s="5"/>
      <c r="T240" s="5" t="str">
        <v>tengah</v>
      </c>
      <c r="U240" s="5"/>
      <c r="V240" s="5"/>
    </row>
    <row r="241" customFormat="false" ht="15" hidden="false" customHeight="false" outlineLevel="0" collapsed="false">
      <c r="E241" s="5" t="str">
        <v>tengah</v>
      </c>
      <c r="F241" s="5"/>
      <c r="G241" s="5"/>
      <c r="J241" s="5" t="str">
        <v>kiri</v>
      </c>
      <c r="K241" s="5"/>
      <c r="L241" s="5"/>
      <c r="O241" s="5" t="str">
        <v>kiri</v>
      </c>
      <c r="P241" s="5"/>
      <c r="Q241" s="5"/>
      <c r="T241" s="5" t="str">
        <v>tengah</v>
      </c>
      <c r="U241" s="5"/>
      <c r="V241" s="5"/>
    </row>
    <row r="242" customFormat="false" ht="15" hidden="false" customHeight="false" outlineLevel="0" collapsed="false">
      <c r="E242" s="5" t="str">
        <v>kiri</v>
      </c>
      <c r="F242" s="5"/>
      <c r="G242" s="5"/>
      <c r="J242" s="5" t="str">
        <v>kiri</v>
      </c>
      <c r="K242" s="5"/>
      <c r="L242" s="5"/>
      <c r="O242" s="5" t="str">
        <v>tengah</v>
      </c>
      <c r="P242" s="5"/>
      <c r="Q242" s="5"/>
      <c r="T242" s="5" t="str">
        <v>tengah</v>
      </c>
      <c r="U242" s="5"/>
      <c r="V242" s="5"/>
    </row>
    <row r="243" customFormat="false" ht="15" hidden="false" customHeight="false" outlineLevel="0" collapsed="false">
      <c r="E243" s="5" t="str">
        <v>kanan</v>
      </c>
      <c r="F243" s="5"/>
      <c r="G243" s="5"/>
      <c r="J243" s="5" t="str">
        <v>tengah</v>
      </c>
      <c r="K243" s="5"/>
      <c r="L243" s="5"/>
      <c r="O243" s="5" t="str">
        <v>tengah</v>
      </c>
      <c r="P243" s="5"/>
      <c r="Q243" s="5"/>
      <c r="T243" s="5" t="str">
        <v>tengah</v>
      </c>
      <c r="U243" s="5"/>
      <c r="V243" s="5"/>
    </row>
    <row r="244" customFormat="false" ht="15" hidden="false" customHeight="false" outlineLevel="0" collapsed="false">
      <c r="E244" s="5" t="str">
        <v>tengah</v>
      </c>
      <c r="F244" s="5"/>
      <c r="G244" s="5"/>
      <c r="J244" s="5" t="str">
        <v>tengah</v>
      </c>
      <c r="K244" s="5"/>
      <c r="L244" s="5"/>
      <c r="O244" s="5" t="str">
        <v>tengah</v>
      </c>
      <c r="P244" s="5"/>
      <c r="Q244" s="5"/>
      <c r="T244" s="5" t="str">
        <v>kanan</v>
      </c>
      <c r="U244" s="5"/>
      <c r="V244" s="5"/>
    </row>
    <row r="245" customFormat="false" ht="15" hidden="false" customHeight="false" outlineLevel="0" collapsed="false">
      <c r="E245" s="5" t="str">
        <v>tengah</v>
      </c>
      <c r="F245" s="5"/>
      <c r="G245" s="5"/>
      <c r="J245" s="5" t="str">
        <v>kiri</v>
      </c>
      <c r="K245" s="5"/>
      <c r="L245" s="5"/>
      <c r="O245" s="5" t="str">
        <v>tengah</v>
      </c>
      <c r="P245" s="5"/>
      <c r="Q245" s="5"/>
      <c r="T245" s="5" t="str">
        <v>kanan</v>
      </c>
      <c r="U245" s="5"/>
      <c r="V245" s="5"/>
    </row>
    <row r="246" customFormat="false" ht="15" hidden="false" customHeight="false" outlineLevel="0" collapsed="false">
      <c r="E246" s="5" t="str">
        <v>kanan</v>
      </c>
      <c r="F246" s="5"/>
      <c r="G246" s="5"/>
      <c r="J246" s="5" t="str">
        <v>kiri</v>
      </c>
      <c r="K246" s="5"/>
      <c r="L246" s="5"/>
      <c r="O246" s="5" t="str">
        <v>tengah</v>
      </c>
      <c r="P246" s="5"/>
      <c r="Q246" s="5"/>
      <c r="T246" s="5" t="str">
        <v>tengah</v>
      </c>
      <c r="U246" s="5"/>
      <c r="V246" s="5"/>
    </row>
    <row r="247" customFormat="false" ht="15" hidden="false" customHeight="false" outlineLevel="0" collapsed="false">
      <c r="E247" s="5" t="str">
        <v>kiri</v>
      </c>
      <c r="F247" s="5"/>
      <c r="G247" s="5"/>
      <c r="J247" s="5" t="str">
        <v>kanan</v>
      </c>
      <c r="K247" s="5"/>
      <c r="L247" s="5"/>
      <c r="O247" s="5" t="str">
        <v>kiri</v>
      </c>
      <c r="P247" s="5"/>
      <c r="Q247" s="5"/>
      <c r="T247" s="5" t="str">
        <v>tengah</v>
      </c>
      <c r="U247" s="5"/>
      <c r="V247" s="5"/>
    </row>
    <row r="248" customFormat="false" ht="15" hidden="false" customHeight="false" outlineLevel="0" collapsed="false">
      <c r="E248" s="5" t="str">
        <v>kiri</v>
      </c>
      <c r="F248" s="5"/>
      <c r="G248" s="5"/>
      <c r="J248" s="5" t="str">
        <v>kanan</v>
      </c>
      <c r="K248" s="5"/>
      <c r="L248" s="5"/>
      <c r="O248" s="5" t="str">
        <v>kiri</v>
      </c>
      <c r="P248" s="5"/>
      <c r="Q248" s="5"/>
      <c r="T248" s="5" t="str">
        <v>kanan</v>
      </c>
      <c r="U248" s="5"/>
      <c r="V248" s="5"/>
    </row>
    <row r="249" customFormat="false" ht="15" hidden="false" customHeight="false" outlineLevel="0" collapsed="false">
      <c r="E249" s="5" t="str">
        <v>tengah</v>
      </c>
      <c r="F249" s="5"/>
      <c r="G249" s="5"/>
      <c r="J249" s="5" t="str">
        <v>kiri</v>
      </c>
      <c r="K249" s="5"/>
      <c r="L249" s="5"/>
      <c r="O249" s="5" t="str">
        <v>tengah</v>
      </c>
      <c r="P249" s="5"/>
      <c r="Q249" s="5"/>
      <c r="T249" s="5" t="str">
        <v>kanan</v>
      </c>
      <c r="U249" s="5"/>
      <c r="V249" s="5"/>
    </row>
    <row r="250" customFormat="false" ht="15" hidden="false" customHeight="false" outlineLevel="0" collapsed="false">
      <c r="E250" s="5" t="str">
        <v>tengah</v>
      </c>
      <c r="F250" s="5"/>
      <c r="G250" s="5"/>
      <c r="J250" s="5" t="str">
        <v>kiri</v>
      </c>
      <c r="K250" s="5"/>
      <c r="L250" s="5"/>
      <c r="O250" s="5" t="str">
        <v>tengah</v>
      </c>
      <c r="P250" s="5"/>
      <c r="Q250" s="5"/>
      <c r="T250" s="5" t="str">
        <v>kanan</v>
      </c>
      <c r="U250" s="5"/>
      <c r="V250" s="5"/>
    </row>
    <row r="251" customFormat="false" ht="15" hidden="false" customHeight="false" outlineLevel="0" collapsed="false">
      <c r="E251" s="5" t="str">
        <v>kiri</v>
      </c>
      <c r="F251" s="5"/>
      <c r="G251" s="5"/>
      <c r="J251" s="5" t="str">
        <v>kiri</v>
      </c>
      <c r="K251" s="5"/>
      <c r="L251" s="5"/>
      <c r="O251" s="5" t="str">
        <v>tengah</v>
      </c>
      <c r="P251" s="5"/>
      <c r="Q251" s="5"/>
      <c r="T251" s="5" t="str">
        <v>tengah</v>
      </c>
      <c r="U251" s="5"/>
      <c r="V251" s="5"/>
    </row>
    <row r="252" customFormat="false" ht="15" hidden="false" customHeight="false" outlineLevel="0" collapsed="false">
      <c r="E252" s="5" t="str">
        <v>tengah</v>
      </c>
      <c r="F252" s="5"/>
      <c r="G252" s="5"/>
      <c r="J252" s="5" t="str">
        <v>tengah</v>
      </c>
      <c r="K252" s="5"/>
      <c r="L252" s="5"/>
      <c r="O252" s="5" t="str">
        <v>kiri</v>
      </c>
      <c r="P252" s="5"/>
      <c r="Q252" s="5"/>
      <c r="T252" s="5" t="str">
        <v>kanan</v>
      </c>
      <c r="U252" s="5"/>
      <c r="V252" s="5"/>
    </row>
    <row r="253" customFormat="false" ht="15" hidden="false" customHeight="false" outlineLevel="0" collapsed="false">
      <c r="E253" s="5" t="str">
        <v>kiri</v>
      </c>
      <c r="F253" s="5"/>
      <c r="G253" s="5"/>
      <c r="J253" s="5" t="str">
        <v>kiri</v>
      </c>
      <c r="K253" s="5"/>
      <c r="L253" s="5"/>
      <c r="O253" s="5" t="str">
        <v>tengah</v>
      </c>
      <c r="P253" s="5"/>
      <c r="Q253" s="5"/>
      <c r="T253" s="5" t="str">
        <v>tengah</v>
      </c>
      <c r="U253" s="5"/>
      <c r="V253" s="5"/>
    </row>
    <row r="254" customFormat="false" ht="15" hidden="false" customHeight="false" outlineLevel="0" collapsed="false">
      <c r="E254" s="5" t="str">
        <v>tengah</v>
      </c>
      <c r="F254" s="5"/>
      <c r="G254" s="5"/>
      <c r="J254" s="5" t="str">
        <v>tengah</v>
      </c>
      <c r="K254" s="5"/>
      <c r="L254" s="5"/>
      <c r="O254" s="5" t="str">
        <v>tengah</v>
      </c>
      <c r="P254" s="5"/>
      <c r="Q254" s="5"/>
      <c r="T254" s="5" t="str">
        <v>kanan</v>
      </c>
      <c r="U254" s="5"/>
      <c r="V254" s="5"/>
    </row>
    <row r="255" customFormat="false" ht="15" hidden="false" customHeight="false" outlineLevel="0" collapsed="false">
      <c r="E255" s="5" t="str">
        <v>tengah</v>
      </c>
      <c r="F255" s="5"/>
      <c r="G255" s="5"/>
      <c r="J255" s="5" t="str">
        <v>kiri</v>
      </c>
      <c r="K255" s="5"/>
      <c r="L255" s="5"/>
      <c r="O255" s="5" t="str">
        <v>tengah</v>
      </c>
      <c r="P255" s="5"/>
      <c r="Q255" s="5"/>
      <c r="T255" s="5" t="str">
        <v>kanan</v>
      </c>
      <c r="U255" s="5"/>
      <c r="V255" s="5"/>
    </row>
    <row r="256" customFormat="false" ht="15" hidden="false" customHeight="false" outlineLevel="0" collapsed="false">
      <c r="E256" s="5" t="str">
        <v>tengah</v>
      </c>
      <c r="F256" s="5"/>
      <c r="G256" s="5"/>
      <c r="J256" s="5" t="str">
        <v>tengah</v>
      </c>
      <c r="K256" s="5"/>
      <c r="L256" s="5"/>
      <c r="O256" s="5" t="str">
        <v>kiri</v>
      </c>
      <c r="P256" s="5"/>
      <c r="Q256" s="5"/>
      <c r="T256" s="5" t="str">
        <v>kanan</v>
      </c>
      <c r="U256" s="5"/>
      <c r="V256" s="5"/>
    </row>
    <row r="257" customFormat="false" ht="15" hidden="false" customHeight="false" outlineLevel="0" collapsed="false">
      <c r="E257" s="5" t="str">
        <v>tengah</v>
      </c>
      <c r="F257" s="5"/>
      <c r="G257" s="5"/>
      <c r="J257" s="5" t="str">
        <v>tengah</v>
      </c>
      <c r="K257" s="5"/>
      <c r="L257" s="5"/>
      <c r="O257" s="5" t="str">
        <v>tengah</v>
      </c>
      <c r="P257" s="5"/>
      <c r="Q257" s="5"/>
      <c r="T257" s="5" t="str">
        <v>tengah</v>
      </c>
      <c r="U257" s="5"/>
      <c r="V257" s="5"/>
    </row>
    <row r="258" customFormat="false" ht="15" hidden="false" customHeight="false" outlineLevel="0" collapsed="false">
      <c r="E258" s="5" t="str">
        <v>tengah</v>
      </c>
      <c r="F258" s="5"/>
      <c r="G258" s="5"/>
      <c r="J258" s="5" t="str">
        <v>tengah</v>
      </c>
      <c r="K258" s="5"/>
      <c r="L258" s="5"/>
      <c r="O258" s="5" t="str">
        <v>tengah</v>
      </c>
      <c r="P258" s="5"/>
      <c r="Q258" s="5"/>
      <c r="T258" s="5" t="str">
        <v>kanan</v>
      </c>
      <c r="U258" s="5"/>
      <c r="V258" s="5"/>
    </row>
    <row r="259" customFormat="false" ht="15" hidden="false" customHeight="false" outlineLevel="0" collapsed="false">
      <c r="E259" s="5" t="str">
        <v>kiri</v>
      </c>
      <c r="F259" s="5"/>
      <c r="G259" s="5"/>
      <c r="J259" s="5" t="str">
        <v>tengah</v>
      </c>
      <c r="K259" s="5"/>
      <c r="L259" s="5"/>
      <c r="O259" s="5" t="str">
        <v>kanan</v>
      </c>
      <c r="P259" s="5"/>
      <c r="Q259" s="5"/>
      <c r="T259" s="5" t="str">
        <v>tengah</v>
      </c>
      <c r="U259" s="5"/>
      <c r="V259" s="5"/>
    </row>
    <row r="260" customFormat="false" ht="15" hidden="false" customHeight="false" outlineLevel="0" collapsed="false">
      <c r="E260" s="5" t="str">
        <v>tengah</v>
      </c>
      <c r="F260" s="5"/>
      <c r="G260" s="5"/>
      <c r="J260" s="5" t="str">
        <v>tengah</v>
      </c>
      <c r="K260" s="5"/>
      <c r="L260" s="5"/>
      <c r="O260" s="5" t="str">
        <v>kanan</v>
      </c>
      <c r="P260" s="5"/>
      <c r="Q260" s="5"/>
      <c r="T260" s="5" t="str">
        <v>kanan</v>
      </c>
      <c r="U260" s="5"/>
      <c r="V260" s="5"/>
    </row>
    <row r="261" customFormat="false" ht="15" hidden="false" customHeight="false" outlineLevel="0" collapsed="false">
      <c r="E261" s="5" t="str">
        <v>kiri</v>
      </c>
      <c r="F261" s="5"/>
      <c r="G261" s="5"/>
      <c r="J261" s="5" t="str">
        <v>tengah</v>
      </c>
      <c r="K261" s="5"/>
      <c r="L261" s="5"/>
      <c r="O261" s="5" t="str">
        <v>tengah</v>
      </c>
      <c r="P261" s="5"/>
      <c r="Q261" s="5"/>
      <c r="T261" s="5" t="str">
        <v>tengah</v>
      </c>
      <c r="U261" s="5"/>
      <c r="V261" s="5"/>
    </row>
    <row r="262" customFormat="false" ht="15" hidden="false" customHeight="false" outlineLevel="0" collapsed="false">
      <c r="E262" s="5" t="str">
        <v>tengah</v>
      </c>
      <c r="F262" s="5"/>
      <c r="G262" s="5"/>
      <c r="J262" s="5" t="str">
        <v>tengah</v>
      </c>
      <c r="K262" s="5"/>
      <c r="L262" s="5"/>
      <c r="O262" s="5" t="str">
        <v>tengah</v>
      </c>
      <c r="P262" s="5"/>
      <c r="Q262" s="5"/>
      <c r="T262" s="5" t="str">
        <v>tengah</v>
      </c>
      <c r="U262" s="5"/>
      <c r="V262" s="5"/>
    </row>
    <row r="263" customFormat="false" ht="15" hidden="false" customHeight="false" outlineLevel="0" collapsed="false">
      <c r="E263" s="5" t="str">
        <v>tengah</v>
      </c>
      <c r="F263" s="5"/>
      <c r="G263" s="5"/>
      <c r="J263" s="5" t="str">
        <v>tengah</v>
      </c>
      <c r="K263" s="5"/>
      <c r="L263" s="5"/>
      <c r="O263" s="5" t="str">
        <v>kiri</v>
      </c>
      <c r="P263" s="5"/>
      <c r="Q263" s="5"/>
      <c r="T263" s="5" t="str">
        <v>kanan</v>
      </c>
      <c r="U263" s="5"/>
      <c r="V263" s="5"/>
    </row>
    <row r="264" customFormat="false" ht="15" hidden="false" customHeight="false" outlineLevel="0" collapsed="false">
      <c r="E264" s="5" t="str">
        <v>tengah</v>
      </c>
      <c r="F264" s="5"/>
      <c r="G264" s="5"/>
      <c r="J264" s="5" t="str">
        <v>tengah</v>
      </c>
      <c r="K264" s="5"/>
      <c r="L264" s="5"/>
      <c r="O264" s="5" t="str">
        <v>tengah</v>
      </c>
      <c r="P264" s="5"/>
      <c r="Q264" s="5"/>
      <c r="T264" s="5" t="str">
        <v>kanan</v>
      </c>
      <c r="U264" s="5"/>
      <c r="V264" s="5"/>
    </row>
    <row r="265" customFormat="false" ht="15" hidden="false" customHeight="false" outlineLevel="0" collapsed="false">
      <c r="E265" s="5" t="str">
        <v>kiri</v>
      </c>
      <c r="F265" s="5"/>
      <c r="G265" s="5"/>
      <c r="J265" s="5" t="str">
        <v>kiri</v>
      </c>
      <c r="K265" s="5"/>
      <c r="L265" s="5"/>
      <c r="O265" s="5" t="str">
        <v>tengah</v>
      </c>
      <c r="P265" s="5"/>
      <c r="Q265" s="5"/>
      <c r="T265" s="5" t="str">
        <v>kanan</v>
      </c>
      <c r="U265" s="5"/>
      <c r="V265" s="5"/>
    </row>
    <row r="266" customFormat="false" ht="15" hidden="false" customHeight="false" outlineLevel="0" collapsed="false">
      <c r="E266" s="5" t="str">
        <v>tengah</v>
      </c>
      <c r="F266" s="5"/>
      <c r="G266" s="5"/>
      <c r="J266" s="5" t="str">
        <v>tengah</v>
      </c>
      <c r="K266" s="5"/>
      <c r="L266" s="5"/>
      <c r="O266" s="5" t="str">
        <v>tengah</v>
      </c>
      <c r="P266" s="5"/>
      <c r="Q266" s="5"/>
      <c r="T266" s="5" t="str">
        <v>tengah</v>
      </c>
      <c r="U266" s="5"/>
      <c r="V266" s="5"/>
    </row>
    <row r="267" customFormat="false" ht="15" hidden="false" customHeight="false" outlineLevel="0" collapsed="false">
      <c r="E267" s="5" t="str">
        <v>kanan</v>
      </c>
      <c r="F267" s="5"/>
      <c r="G267" s="5"/>
      <c r="J267" s="5" t="str">
        <v>tengah</v>
      </c>
      <c r="K267" s="5"/>
      <c r="L267" s="5"/>
      <c r="O267" s="5" t="str">
        <v>tengah</v>
      </c>
      <c r="P267" s="5"/>
      <c r="Q267" s="5"/>
      <c r="T267" s="5" t="str">
        <v>kanan</v>
      </c>
      <c r="U267" s="5"/>
      <c r="V267" s="5"/>
    </row>
    <row r="268" customFormat="false" ht="15" hidden="false" customHeight="false" outlineLevel="0" collapsed="false">
      <c r="E268" s="5" t="str">
        <v>tengah</v>
      </c>
      <c r="F268" s="5"/>
      <c r="G268" s="5"/>
      <c r="J268" s="5" t="str">
        <v>tengah</v>
      </c>
      <c r="K268" s="5"/>
      <c r="L268" s="5"/>
      <c r="O268" s="5" t="str">
        <v>tengah</v>
      </c>
      <c r="P268" s="5"/>
      <c r="Q268" s="5"/>
      <c r="T268" s="5" t="str">
        <v>tengah</v>
      </c>
      <c r="U268" s="5"/>
      <c r="V268" s="5"/>
    </row>
    <row r="269" customFormat="false" ht="15" hidden="false" customHeight="false" outlineLevel="0" collapsed="false">
      <c r="E269" s="5" t="str">
        <v>tengah</v>
      </c>
      <c r="F269" s="5"/>
      <c r="G269" s="5"/>
      <c r="J269" s="5" t="str">
        <v>kiri</v>
      </c>
      <c r="K269" s="5"/>
      <c r="L269" s="5"/>
      <c r="O269" s="5" t="str">
        <v>kanan</v>
      </c>
      <c r="P269" s="5"/>
      <c r="Q269" s="5"/>
      <c r="T269" s="5" t="str">
        <v>tengah</v>
      </c>
      <c r="U269" s="5"/>
      <c r="V269" s="5"/>
    </row>
    <row r="270" customFormat="false" ht="15" hidden="false" customHeight="false" outlineLevel="0" collapsed="false">
      <c r="E270" s="5" t="str">
        <v>tengah</v>
      </c>
      <c r="F270" s="5"/>
      <c r="G270" s="5"/>
      <c r="J270" s="5" t="str">
        <v>tengah</v>
      </c>
      <c r="K270" s="5"/>
      <c r="L270" s="5"/>
      <c r="O270" s="5" t="str">
        <v>tengah</v>
      </c>
      <c r="P270" s="5"/>
      <c r="Q270" s="5"/>
      <c r="T270" s="5" t="str">
        <v>kanan</v>
      </c>
      <c r="U270" s="5"/>
      <c r="V270" s="5"/>
    </row>
    <row r="271" customFormat="false" ht="15" hidden="false" customHeight="false" outlineLevel="0" collapsed="false">
      <c r="E271" s="5" t="str">
        <v>tengah</v>
      </c>
      <c r="F271" s="5"/>
      <c r="G271" s="5"/>
      <c r="J271" s="5" t="str">
        <v>kanan</v>
      </c>
      <c r="K271" s="5"/>
      <c r="L271" s="5"/>
      <c r="O271" s="5" t="str">
        <v>tengah</v>
      </c>
      <c r="P271" s="5"/>
      <c r="Q271" s="5"/>
      <c r="T271" s="5" t="str">
        <v>tengah</v>
      </c>
      <c r="U271" s="5"/>
      <c r="V271" s="5"/>
    </row>
    <row r="272" customFormat="false" ht="15" hidden="false" customHeight="false" outlineLevel="0" collapsed="false">
      <c r="E272" s="5" t="str">
        <v>tengah</v>
      </c>
      <c r="F272" s="5"/>
      <c r="G272" s="5"/>
      <c r="J272" s="5" t="str">
        <v>tengah</v>
      </c>
      <c r="K272" s="5"/>
      <c r="L272" s="5"/>
      <c r="O272" s="5" t="str">
        <v>tengah</v>
      </c>
      <c r="P272" s="5"/>
      <c r="Q272" s="5"/>
      <c r="T272" s="5" t="str">
        <v>tengah</v>
      </c>
      <c r="U272" s="5"/>
      <c r="V272" s="5"/>
    </row>
    <row r="273" customFormat="false" ht="15" hidden="false" customHeight="false" outlineLevel="0" collapsed="false">
      <c r="E273" s="5" t="str">
        <v>tengah</v>
      </c>
      <c r="F273" s="5"/>
      <c r="G273" s="5"/>
      <c r="J273" s="5" t="str">
        <v>tengah</v>
      </c>
      <c r="K273" s="5"/>
      <c r="L273" s="5"/>
      <c r="O273" s="5" t="str">
        <v>tengah</v>
      </c>
      <c r="P273" s="5"/>
      <c r="Q273" s="5"/>
      <c r="T273" s="5" t="str">
        <v>tengah</v>
      </c>
      <c r="U273" s="5"/>
      <c r="V273" s="5"/>
    </row>
    <row r="274" customFormat="false" ht="15" hidden="false" customHeight="false" outlineLevel="0" collapsed="false">
      <c r="E274" s="5" t="str">
        <v>kiri</v>
      </c>
      <c r="F274" s="5"/>
      <c r="G274" s="5"/>
      <c r="J274" s="5" t="str">
        <v>kanan</v>
      </c>
      <c r="K274" s="5"/>
      <c r="L274" s="5"/>
      <c r="O274" s="5" t="str">
        <v>tengah</v>
      </c>
      <c r="P274" s="5"/>
      <c r="Q274" s="5"/>
      <c r="T274" s="5" t="str">
        <v>kanan</v>
      </c>
      <c r="U274" s="5"/>
      <c r="V274" s="5"/>
    </row>
    <row r="275" customFormat="false" ht="15" hidden="false" customHeight="false" outlineLevel="0" collapsed="false">
      <c r="E275" s="5" t="str">
        <v>kiri</v>
      </c>
      <c r="F275" s="5"/>
      <c r="G275" s="5"/>
      <c r="J275" s="5" t="str">
        <v>tengah</v>
      </c>
      <c r="K275" s="5"/>
      <c r="L275" s="5"/>
      <c r="O275" s="5" t="str">
        <v>kanan</v>
      </c>
      <c r="P275" s="5"/>
      <c r="Q275" s="5"/>
      <c r="T275" s="5" t="str">
        <v>tengah</v>
      </c>
      <c r="U275" s="5"/>
      <c r="V275" s="5"/>
    </row>
    <row r="276" customFormat="false" ht="15" hidden="false" customHeight="false" outlineLevel="0" collapsed="false">
      <c r="E276" s="5" t="str">
        <v>kanan</v>
      </c>
      <c r="F276" s="5"/>
      <c r="G276" s="5"/>
      <c r="J276" s="5" t="str">
        <v>tengah</v>
      </c>
      <c r="K276" s="5"/>
      <c r="L276" s="5"/>
      <c r="O276" s="5" t="str">
        <v>tengah</v>
      </c>
      <c r="P276" s="5"/>
      <c r="Q276" s="5"/>
      <c r="T276" s="5" t="str">
        <v>tengah</v>
      </c>
      <c r="U276" s="5"/>
      <c r="V276" s="5"/>
    </row>
    <row r="277" customFormat="false" ht="15" hidden="false" customHeight="false" outlineLevel="0" collapsed="false">
      <c r="E277" s="5" t="str">
        <v>kanan</v>
      </c>
      <c r="F277" s="5"/>
      <c r="G277" s="5"/>
      <c r="J277" s="5" t="str">
        <v>kanan</v>
      </c>
      <c r="K277" s="5"/>
      <c r="L277" s="5"/>
      <c r="O277" s="5" t="str">
        <v>kanan</v>
      </c>
      <c r="P277" s="5"/>
      <c r="Q277" s="5"/>
      <c r="T277" s="5" t="str">
        <v>kanan</v>
      </c>
      <c r="U277" s="5"/>
      <c r="V277" s="5"/>
    </row>
    <row r="278" customFormat="false" ht="15" hidden="false" customHeight="false" outlineLevel="0" collapsed="false">
      <c r="E278" s="5" t="str">
        <v>tengah</v>
      </c>
      <c r="F278" s="5"/>
      <c r="G278" s="5"/>
      <c r="J278" s="5" t="str">
        <v>kanan</v>
      </c>
      <c r="K278" s="5"/>
      <c r="L278" s="5"/>
      <c r="O278" s="5" t="str">
        <v>kiri</v>
      </c>
      <c r="P278" s="5"/>
      <c r="Q278" s="5"/>
      <c r="T278" s="5" t="str">
        <v>tengah</v>
      </c>
      <c r="U278" s="5"/>
      <c r="V278" s="5"/>
    </row>
    <row r="279" customFormat="false" ht="15" hidden="false" customHeight="false" outlineLevel="0" collapsed="false">
      <c r="E279" s="5" t="str">
        <v>kiri</v>
      </c>
      <c r="F279" s="5"/>
      <c r="G279" s="5"/>
      <c r="J279" s="5" t="str">
        <v>kiri</v>
      </c>
      <c r="K279" s="5"/>
      <c r="L279" s="5"/>
      <c r="O279" s="5" t="str">
        <v>kanan</v>
      </c>
      <c r="P279" s="5"/>
      <c r="Q279" s="5"/>
      <c r="T279" s="5" t="str">
        <v>kanan</v>
      </c>
      <c r="U279" s="5"/>
      <c r="V279" s="5"/>
    </row>
    <row r="280" customFormat="false" ht="15" hidden="false" customHeight="false" outlineLevel="0" collapsed="false">
      <c r="E280" s="5" t="str">
        <v>tengah</v>
      </c>
      <c r="F280" s="5"/>
      <c r="G280" s="5"/>
      <c r="J280" s="5" t="str">
        <v>tengah</v>
      </c>
      <c r="K280" s="5"/>
      <c r="L280" s="5"/>
      <c r="O280" s="5" t="str">
        <v>kiri</v>
      </c>
      <c r="P280" s="5"/>
      <c r="Q280" s="5"/>
      <c r="T280" s="5" t="str">
        <v>kanan</v>
      </c>
      <c r="U280" s="5"/>
      <c r="V280" s="5"/>
    </row>
    <row r="281" customFormat="false" ht="15" hidden="false" customHeight="false" outlineLevel="0" collapsed="false">
      <c r="E281" s="5" t="str">
        <v>tengah</v>
      </c>
      <c r="F281" s="5"/>
      <c r="G281" s="5"/>
      <c r="J281" s="5" t="str">
        <v>tengah</v>
      </c>
      <c r="K281" s="5"/>
      <c r="L281" s="5"/>
      <c r="O281" s="5" t="str">
        <v>tengah</v>
      </c>
      <c r="P281" s="5"/>
      <c r="Q281" s="5"/>
      <c r="T281" s="5" t="str">
        <v>kanan</v>
      </c>
      <c r="U281" s="5"/>
      <c r="V281" s="5"/>
    </row>
    <row r="282" customFormat="false" ht="15" hidden="false" customHeight="false" outlineLevel="0" collapsed="false">
      <c r="E282" s="5" t="str">
        <v>kanan</v>
      </c>
      <c r="F282" s="5"/>
      <c r="G282" s="5"/>
      <c r="J282" s="5" t="str">
        <v>kanan</v>
      </c>
      <c r="K282" s="5"/>
      <c r="L282" s="5"/>
      <c r="O282" s="5" t="str">
        <v>kanan</v>
      </c>
      <c r="P282" s="5"/>
      <c r="Q282" s="5"/>
      <c r="T282" s="5" t="str">
        <v>kanan</v>
      </c>
      <c r="U282" s="5"/>
      <c r="V282" s="5"/>
    </row>
    <row r="283" customFormat="false" ht="15" hidden="false" customHeight="false" outlineLevel="0" collapsed="false">
      <c r="E283" s="5" t="str">
        <v>kiri</v>
      </c>
      <c r="F283" s="5"/>
      <c r="G283" s="5"/>
      <c r="J283" s="5" t="str">
        <v>tengah</v>
      </c>
      <c r="K283" s="5"/>
      <c r="L283" s="5"/>
      <c r="O283" s="5" t="str">
        <v>tengah</v>
      </c>
      <c r="P283" s="5"/>
      <c r="Q283" s="5"/>
      <c r="T283" s="5" t="str">
        <v>tengah</v>
      </c>
      <c r="U283" s="5"/>
      <c r="V283" s="5"/>
    </row>
    <row r="284" customFormat="false" ht="15" hidden="false" customHeight="false" outlineLevel="0" collapsed="false">
      <c r="E284" s="5" t="str">
        <v>kiri</v>
      </c>
      <c r="F284" s="5"/>
      <c r="G284" s="5"/>
      <c r="J284" s="5" t="str">
        <v>kiri</v>
      </c>
      <c r="K284" s="5"/>
      <c r="L284" s="5"/>
      <c r="O284" s="5" t="str">
        <v>tengah</v>
      </c>
      <c r="P284" s="5"/>
      <c r="Q284" s="5"/>
      <c r="T284" s="5" t="str">
        <v>tengah</v>
      </c>
      <c r="U284" s="5"/>
      <c r="V284" s="5"/>
    </row>
    <row r="285" customFormat="false" ht="15" hidden="false" customHeight="false" outlineLevel="0" collapsed="false">
      <c r="E285" s="5" t="str">
        <v>kiri</v>
      </c>
      <c r="F285" s="5"/>
      <c r="G285" s="5"/>
      <c r="J285" s="5" t="str">
        <v>tengah</v>
      </c>
      <c r="K285" s="5"/>
      <c r="L285" s="5"/>
      <c r="O285" s="5" t="str">
        <v>tengah</v>
      </c>
      <c r="P285" s="5"/>
      <c r="Q285" s="5"/>
      <c r="T285" s="5" t="str">
        <v>tengah</v>
      </c>
      <c r="U285" s="5"/>
      <c r="V285" s="5"/>
    </row>
    <row r="286" customFormat="false" ht="15" hidden="false" customHeight="false" outlineLevel="0" collapsed="false">
      <c r="E286" s="5" t="str">
        <v>tengah</v>
      </c>
      <c r="F286" s="5"/>
      <c r="G286" s="5"/>
      <c r="J286" s="5" t="str">
        <v>kanan</v>
      </c>
      <c r="K286" s="5"/>
      <c r="L286" s="5"/>
      <c r="O286" s="5" t="str">
        <v>tengah</v>
      </c>
      <c r="P286" s="5"/>
      <c r="Q286" s="5"/>
      <c r="T286" s="5" t="str">
        <v>tengah</v>
      </c>
      <c r="U286" s="5"/>
      <c r="V286" s="5"/>
    </row>
    <row r="287" customFormat="false" ht="15" hidden="false" customHeight="false" outlineLevel="0" collapsed="false">
      <c r="E287" s="5" t="str">
        <v>tengah</v>
      </c>
      <c r="F287" s="5"/>
      <c r="G287" s="5"/>
      <c r="J287" s="5" t="str">
        <v>kanan</v>
      </c>
      <c r="K287" s="5"/>
      <c r="L287" s="5"/>
      <c r="O287" s="5" t="str">
        <v>tengah</v>
      </c>
      <c r="P287" s="5"/>
      <c r="Q287" s="5"/>
      <c r="T287" s="5" t="str">
        <v>kanan</v>
      </c>
      <c r="U287" s="5"/>
      <c r="V287" s="5"/>
    </row>
    <row r="288" customFormat="false" ht="15" hidden="false" customHeight="false" outlineLevel="0" collapsed="false">
      <c r="E288" s="5" t="str">
        <v>tengah</v>
      </c>
      <c r="F288" s="5"/>
      <c r="G288" s="5"/>
      <c r="J288" s="5" t="str">
        <v>tengah</v>
      </c>
      <c r="K288" s="5"/>
      <c r="L288" s="5"/>
      <c r="O288" s="5" t="str">
        <v>tengah</v>
      </c>
      <c r="P288" s="5"/>
      <c r="Q288" s="5"/>
      <c r="T288" s="5" t="str">
        <v>tengah</v>
      </c>
      <c r="U288" s="5"/>
      <c r="V288" s="5"/>
    </row>
    <row r="289" customFormat="false" ht="15" hidden="false" customHeight="false" outlineLevel="0" collapsed="false">
      <c r="E289" s="5" t="str">
        <v>kiri</v>
      </c>
      <c r="F289" s="5"/>
      <c r="G289" s="5"/>
      <c r="J289" s="5" t="str">
        <v>kiri</v>
      </c>
      <c r="K289" s="5"/>
      <c r="L289" s="5"/>
      <c r="O289" s="5" t="str">
        <v>kiri</v>
      </c>
      <c r="P289" s="5"/>
      <c r="Q289" s="5"/>
      <c r="T289" s="5" t="str">
        <v>kanan</v>
      </c>
      <c r="U289" s="5"/>
      <c r="V289" s="5"/>
    </row>
    <row r="290" customFormat="false" ht="15" hidden="false" customHeight="false" outlineLevel="0" collapsed="false">
      <c r="E290" s="5" t="str">
        <v>tengah</v>
      </c>
      <c r="F290" s="5"/>
      <c r="G290" s="5"/>
      <c r="J290" s="5" t="str">
        <v>kanan</v>
      </c>
      <c r="K290" s="5"/>
      <c r="L290" s="5"/>
      <c r="O290" s="5" t="str">
        <v>tengah</v>
      </c>
      <c r="P290" s="5"/>
      <c r="Q290" s="5"/>
      <c r="T290" s="5" t="str">
        <v>tengah</v>
      </c>
      <c r="U290" s="5"/>
      <c r="V290" s="5"/>
    </row>
    <row r="291" customFormat="false" ht="15" hidden="false" customHeight="false" outlineLevel="0" collapsed="false">
      <c r="E291" s="5" t="str">
        <v>kanan</v>
      </c>
      <c r="F291" s="5"/>
      <c r="G291" s="5"/>
      <c r="J291" s="5" t="str">
        <v>tengah</v>
      </c>
      <c r="K291" s="5"/>
      <c r="L291" s="5"/>
      <c r="O291" s="5" t="str">
        <v>tengah</v>
      </c>
      <c r="P291" s="5"/>
      <c r="Q291" s="5"/>
      <c r="T291" s="5" t="str">
        <v>kanan</v>
      </c>
      <c r="U291" s="5"/>
      <c r="V291" s="5"/>
    </row>
    <row r="292" customFormat="false" ht="15" hidden="false" customHeight="false" outlineLevel="0" collapsed="false">
      <c r="E292" s="5" t="str">
        <v>tengah</v>
      </c>
      <c r="F292" s="5"/>
      <c r="G292" s="5"/>
      <c r="J292" s="5" t="str">
        <v>tengah</v>
      </c>
      <c r="K292" s="5"/>
      <c r="L292" s="5"/>
      <c r="O292" s="5" t="str">
        <v>kanan</v>
      </c>
      <c r="P292" s="5"/>
      <c r="Q292" s="5"/>
      <c r="T292" s="5" t="str">
        <v>tengah</v>
      </c>
      <c r="U292" s="5"/>
      <c r="V292" s="5"/>
    </row>
    <row r="293" customFormat="false" ht="15" hidden="false" customHeight="false" outlineLevel="0" collapsed="false">
      <c r="E293" s="5" t="str">
        <v>tengah</v>
      </c>
      <c r="F293" s="5"/>
      <c r="G293" s="5"/>
      <c r="J293" s="5" t="str">
        <v>tengah</v>
      </c>
      <c r="K293" s="5"/>
      <c r="L293" s="5"/>
      <c r="O293" s="5" t="str">
        <v>tengah</v>
      </c>
      <c r="P293" s="5"/>
      <c r="Q293" s="5"/>
      <c r="T293" s="5" t="str">
        <v>tengah</v>
      </c>
      <c r="U293" s="5"/>
      <c r="V293" s="5"/>
    </row>
    <row r="294" customFormat="false" ht="15" hidden="false" customHeight="false" outlineLevel="0" collapsed="false">
      <c r="E294" s="5" t="str">
        <v>kanan</v>
      </c>
      <c r="F294" s="5"/>
      <c r="G294" s="5"/>
      <c r="J294" s="5" t="str">
        <v>tengah</v>
      </c>
      <c r="K294" s="5"/>
      <c r="L294" s="5"/>
      <c r="O294" s="5" t="str">
        <v>tengah</v>
      </c>
      <c r="P294" s="5"/>
      <c r="Q294" s="5"/>
      <c r="T294" s="5" t="str">
        <v>tengah</v>
      </c>
      <c r="U294" s="5"/>
      <c r="V294" s="5"/>
    </row>
    <row r="295" customFormat="false" ht="15" hidden="false" customHeight="false" outlineLevel="0" collapsed="false">
      <c r="E295" s="5" t="str">
        <v>tengah</v>
      </c>
      <c r="F295" s="5"/>
      <c r="G295" s="5"/>
      <c r="J295" s="5" t="str">
        <v>tengah</v>
      </c>
      <c r="K295" s="5"/>
      <c r="L295" s="5"/>
      <c r="O295" s="5" t="str">
        <v>kanan</v>
      </c>
      <c r="P295" s="5"/>
      <c r="Q295" s="5"/>
      <c r="T295" s="5" t="str">
        <v>kanan</v>
      </c>
      <c r="U295" s="5"/>
      <c r="V295" s="5"/>
    </row>
    <row r="296" customFormat="false" ht="15" hidden="false" customHeight="false" outlineLevel="0" collapsed="false">
      <c r="E296" s="5" t="str">
        <v>tengah</v>
      </c>
      <c r="F296" s="5"/>
      <c r="G296" s="5"/>
      <c r="J296" s="5" t="str">
        <v>kiri</v>
      </c>
      <c r="K296" s="5"/>
      <c r="L296" s="5"/>
      <c r="O296" s="5" t="str">
        <v>tengah</v>
      </c>
      <c r="P296" s="5"/>
      <c r="Q296" s="5"/>
      <c r="T296" s="5" t="str">
        <v>kanan</v>
      </c>
      <c r="U296" s="5"/>
      <c r="V296" s="5"/>
    </row>
    <row r="297" customFormat="false" ht="15" hidden="false" customHeight="false" outlineLevel="0" collapsed="false">
      <c r="E297" s="5" t="str">
        <v>tengah</v>
      </c>
      <c r="F297" s="5"/>
      <c r="G297" s="5"/>
      <c r="J297" s="5" t="str">
        <v>kanan</v>
      </c>
      <c r="K297" s="5"/>
      <c r="L297" s="5"/>
      <c r="O297" s="5" t="str">
        <v>tengah</v>
      </c>
      <c r="P297" s="5"/>
      <c r="Q297" s="5"/>
      <c r="T297" s="5" t="str">
        <v>kanan</v>
      </c>
      <c r="U297" s="5"/>
      <c r="V297" s="5"/>
    </row>
    <row r="298" customFormat="false" ht="15" hidden="false" customHeight="false" outlineLevel="0" collapsed="false">
      <c r="E298" s="5" t="str">
        <v>kanan</v>
      </c>
      <c r="F298" s="5"/>
      <c r="G298" s="5"/>
      <c r="J298" s="5" t="str">
        <v>kanan</v>
      </c>
      <c r="K298" s="5"/>
      <c r="L298" s="5"/>
      <c r="O298" s="5" t="str">
        <v>kiri</v>
      </c>
      <c r="P298" s="5"/>
      <c r="Q298" s="5"/>
      <c r="T298" s="5" t="str">
        <v>kanan</v>
      </c>
      <c r="U298" s="5"/>
      <c r="V298" s="5"/>
    </row>
    <row r="299" customFormat="false" ht="15" hidden="false" customHeight="false" outlineLevel="0" collapsed="false">
      <c r="E299" s="5" t="str">
        <v>tengah</v>
      </c>
      <c r="F299" s="5"/>
      <c r="G299" s="5"/>
      <c r="J299" s="5" t="str">
        <v>tengah</v>
      </c>
      <c r="K299" s="5"/>
      <c r="L299" s="5"/>
      <c r="O299" s="5" t="str">
        <v>kanan</v>
      </c>
      <c r="P299" s="5"/>
      <c r="Q299" s="5"/>
      <c r="T299" s="5" t="str">
        <v>kanan</v>
      </c>
      <c r="U299" s="5"/>
      <c r="V299" s="5"/>
    </row>
    <row r="300" customFormat="false" ht="15" hidden="false" customHeight="false" outlineLevel="0" collapsed="false">
      <c r="E300" s="5" t="str">
        <v>kiri</v>
      </c>
      <c r="F300" s="5"/>
      <c r="G300" s="5"/>
      <c r="J300" s="5" t="str">
        <v>tengah</v>
      </c>
      <c r="K300" s="5"/>
      <c r="L300" s="5"/>
      <c r="O300" s="5" t="str">
        <v>tengah</v>
      </c>
      <c r="P300" s="5"/>
      <c r="Q300" s="5"/>
      <c r="T300" s="5" t="str">
        <v>tengah</v>
      </c>
      <c r="U300" s="5"/>
      <c r="V300" s="5"/>
    </row>
    <row r="301" customFormat="false" ht="15" hidden="false" customHeight="false" outlineLevel="0" collapsed="false">
      <c r="E301" s="5" t="str">
        <v>tengah</v>
      </c>
      <c r="F301" s="5"/>
      <c r="G301" s="5"/>
      <c r="J301" s="5" t="str">
        <v>kiri</v>
      </c>
      <c r="K301" s="5"/>
      <c r="L301" s="5"/>
      <c r="O301" s="5" t="str">
        <v>tengah</v>
      </c>
      <c r="P301" s="5"/>
      <c r="Q301" s="5"/>
      <c r="T301" s="5" t="str">
        <v>kanan</v>
      </c>
      <c r="U301" s="5"/>
      <c r="V301" s="5"/>
    </row>
    <row r="302" customFormat="false" ht="15" hidden="false" customHeight="false" outlineLevel="0" collapsed="false">
      <c r="E302" s="5" t="str">
        <v>kiri</v>
      </c>
      <c r="F302" s="5"/>
      <c r="G302" s="5"/>
      <c r="J302" s="5" t="str">
        <v>kiri</v>
      </c>
      <c r="K302" s="5"/>
      <c r="L302" s="5"/>
      <c r="O302" s="5" t="str">
        <v>tengah</v>
      </c>
      <c r="P302" s="5"/>
      <c r="Q302" s="5"/>
      <c r="T302" s="5" t="str">
        <v>tengah</v>
      </c>
      <c r="U302" s="5"/>
      <c r="V302" s="5"/>
    </row>
    <row r="303" customFormat="false" ht="15" hidden="false" customHeight="false" outlineLevel="0" collapsed="false">
      <c r="E303" s="5" t="str">
        <v>tengah</v>
      </c>
      <c r="F303" s="5"/>
      <c r="G303" s="5"/>
      <c r="J303" s="5" t="str">
        <v>kanan</v>
      </c>
      <c r="K303" s="5"/>
      <c r="L303" s="5"/>
      <c r="O303" s="5" t="str">
        <v>tengah</v>
      </c>
      <c r="P303" s="5"/>
      <c r="Q303" s="5"/>
      <c r="T303" s="5" t="str">
        <v>tengah</v>
      </c>
      <c r="U303" s="5"/>
      <c r="V303" s="5"/>
    </row>
    <row r="304" customFormat="false" ht="15" hidden="false" customHeight="false" outlineLevel="0" collapsed="false">
      <c r="E304" s="5" t="str">
        <v>tengah</v>
      </c>
      <c r="F304" s="5"/>
      <c r="G304" s="5"/>
      <c r="J304" s="5" t="str">
        <v>tengah</v>
      </c>
      <c r="K304" s="5"/>
      <c r="L304" s="5"/>
      <c r="O304" s="5" t="str">
        <v>kanan</v>
      </c>
      <c r="P304" s="5"/>
      <c r="Q304" s="5"/>
      <c r="T304" s="5" t="str">
        <v>kanan</v>
      </c>
      <c r="U304" s="5"/>
      <c r="V304" s="5"/>
    </row>
    <row r="305" customFormat="false" ht="15" hidden="false" customHeight="false" outlineLevel="0" collapsed="false">
      <c r="E305" s="5" t="str">
        <v>tengah</v>
      </c>
      <c r="F305" s="5"/>
      <c r="G305" s="5"/>
      <c r="J305" s="5" t="str">
        <v>kanan</v>
      </c>
      <c r="K305" s="5"/>
      <c r="L305" s="5"/>
      <c r="O305" s="5" t="str">
        <v>tengah</v>
      </c>
      <c r="P305" s="5"/>
      <c r="Q305" s="5"/>
      <c r="T305" s="5" t="str">
        <v>tengah</v>
      </c>
      <c r="U305" s="5"/>
      <c r="V305" s="5"/>
    </row>
    <row r="306" customFormat="false" ht="15" hidden="false" customHeight="false" outlineLevel="0" collapsed="false">
      <c r="E306" s="5" t="str">
        <v>kiri</v>
      </c>
      <c r="F306" s="5"/>
      <c r="G306" s="5"/>
      <c r="J306" s="5" t="str">
        <v>tengah</v>
      </c>
      <c r="K306" s="5"/>
      <c r="L306" s="5"/>
      <c r="O306" s="5" t="str">
        <v>tengah</v>
      </c>
      <c r="P306" s="5"/>
      <c r="Q306" s="5"/>
      <c r="T306" s="5" t="str">
        <v>tengah</v>
      </c>
      <c r="U306" s="5"/>
      <c r="V306" s="5"/>
    </row>
    <row r="307" customFormat="false" ht="15" hidden="false" customHeight="false" outlineLevel="0" collapsed="false">
      <c r="E307" s="5" t="str">
        <v>kanan</v>
      </c>
      <c r="F307" s="5"/>
      <c r="G307" s="5"/>
      <c r="J307" s="5" t="str">
        <v>tengah</v>
      </c>
      <c r="K307" s="5"/>
      <c r="L307" s="5"/>
      <c r="O307" s="5" t="str">
        <v>kanan</v>
      </c>
      <c r="P307" s="5"/>
      <c r="Q307" s="5"/>
      <c r="T307" s="5" t="str">
        <v>kanan</v>
      </c>
      <c r="U307" s="5"/>
      <c r="V307" s="5"/>
    </row>
    <row r="308" customFormat="false" ht="15" hidden="false" customHeight="false" outlineLevel="0" collapsed="false">
      <c r="E308" s="5" t="str">
        <v>kiri</v>
      </c>
      <c r="F308" s="5"/>
      <c r="G308" s="5"/>
      <c r="J308" s="5" t="str">
        <v>tengah</v>
      </c>
      <c r="K308" s="5"/>
      <c r="L308" s="5"/>
      <c r="O308" s="5" t="str">
        <v>tengah</v>
      </c>
      <c r="P308" s="5"/>
      <c r="Q308" s="5"/>
      <c r="T308" s="5" t="str">
        <v>tengah</v>
      </c>
      <c r="U308" s="5"/>
      <c r="V308" s="5"/>
    </row>
    <row r="309" customFormat="false" ht="15" hidden="false" customHeight="false" outlineLevel="0" collapsed="false">
      <c r="E309" s="5" t="str">
        <v>tengah</v>
      </c>
      <c r="F309" s="5"/>
      <c r="G309" s="5"/>
      <c r="J309" s="5" t="str">
        <v>kiri</v>
      </c>
      <c r="K309" s="5"/>
      <c r="L309" s="5"/>
      <c r="O309" s="5" t="str">
        <v>tengah</v>
      </c>
      <c r="P309" s="5"/>
      <c r="Q309" s="5"/>
      <c r="T309" s="5" t="str">
        <v>kanan</v>
      </c>
      <c r="U309" s="5"/>
      <c r="V309" s="5"/>
    </row>
    <row r="310" customFormat="false" ht="15" hidden="false" customHeight="false" outlineLevel="0" collapsed="false">
      <c r="E310" s="5" t="str">
        <v>tengah</v>
      </c>
      <c r="F310" s="5"/>
      <c r="G310" s="5"/>
      <c r="J310" s="5" t="str">
        <v>tengah</v>
      </c>
      <c r="K310" s="5"/>
      <c r="L310" s="5"/>
      <c r="O310" s="5" t="str">
        <v>tengah</v>
      </c>
      <c r="P310" s="5"/>
      <c r="Q310" s="5"/>
      <c r="T310" s="5" t="str">
        <v>tengah</v>
      </c>
      <c r="U310" s="5"/>
      <c r="V310" s="5"/>
    </row>
    <row r="311" customFormat="false" ht="15" hidden="false" customHeight="false" outlineLevel="0" collapsed="false">
      <c r="E311" s="5" t="str">
        <v>tengah</v>
      </c>
      <c r="F311" s="5"/>
      <c r="G311" s="5"/>
      <c r="J311" s="5" t="str">
        <v>tengah</v>
      </c>
      <c r="K311" s="5"/>
      <c r="L311" s="5"/>
      <c r="O311" s="5" t="str">
        <v>kiri</v>
      </c>
      <c r="P311" s="5"/>
      <c r="Q311" s="5"/>
      <c r="T311" s="5" t="str">
        <v>kanan</v>
      </c>
      <c r="U311" s="5"/>
      <c r="V311" s="5"/>
    </row>
    <row r="312" customFormat="false" ht="15" hidden="false" customHeight="false" outlineLevel="0" collapsed="false">
      <c r="E312" s="5" t="str">
        <v>kanan</v>
      </c>
      <c r="F312" s="5"/>
      <c r="G312" s="5"/>
      <c r="J312" s="5" t="str">
        <v>kanan</v>
      </c>
      <c r="K312" s="5"/>
      <c r="L312" s="5"/>
      <c r="O312" s="5" t="str">
        <v>tengah</v>
      </c>
      <c r="P312" s="5"/>
      <c r="Q312" s="5"/>
      <c r="T312" s="5" t="str">
        <v>kanan</v>
      </c>
      <c r="U312" s="5"/>
      <c r="V312" s="5"/>
    </row>
    <row r="313" customFormat="false" ht="15" hidden="false" customHeight="false" outlineLevel="0" collapsed="false">
      <c r="E313" s="5" t="str">
        <v>tengah</v>
      </c>
      <c r="F313" s="5"/>
      <c r="G313" s="5"/>
      <c r="J313" s="5" t="str">
        <v>kiri</v>
      </c>
      <c r="K313" s="5"/>
      <c r="L313" s="5"/>
      <c r="O313" s="5" t="str">
        <v>kanan</v>
      </c>
      <c r="P313" s="5"/>
      <c r="Q313" s="5"/>
      <c r="T313" s="5" t="str">
        <v>tengah</v>
      </c>
      <c r="U313" s="5"/>
      <c r="V313" s="5"/>
    </row>
    <row r="314" customFormat="false" ht="15" hidden="false" customHeight="false" outlineLevel="0" collapsed="false">
      <c r="E314" s="5" t="str">
        <v>tengah</v>
      </c>
      <c r="F314" s="5"/>
      <c r="G314" s="5"/>
      <c r="J314" s="5" t="str">
        <v>kanan</v>
      </c>
      <c r="K314" s="5"/>
      <c r="L314" s="5"/>
      <c r="O314" s="5" t="str">
        <v>tengah</v>
      </c>
      <c r="P314" s="5"/>
      <c r="Q314" s="5"/>
      <c r="T314" s="5" t="str">
        <v>tengah</v>
      </c>
      <c r="U314" s="5"/>
      <c r="V314" s="5"/>
    </row>
    <row r="315" customFormat="false" ht="15" hidden="false" customHeight="false" outlineLevel="0" collapsed="false">
      <c r="E315" s="5" t="str">
        <v>tengah</v>
      </c>
      <c r="F315" s="5"/>
      <c r="G315" s="5"/>
      <c r="J315" s="5" t="str">
        <v>tengah</v>
      </c>
      <c r="K315" s="5"/>
      <c r="L315" s="5"/>
      <c r="O315" s="5" t="str">
        <v>tengah</v>
      </c>
      <c r="P315" s="5"/>
      <c r="Q315" s="5"/>
      <c r="T315" s="5" t="str">
        <v>kanan</v>
      </c>
      <c r="U315" s="5"/>
      <c r="V315" s="5"/>
    </row>
    <row r="316" customFormat="false" ht="15" hidden="false" customHeight="false" outlineLevel="0" collapsed="false">
      <c r="E316" s="5" t="str">
        <v>tengah</v>
      </c>
      <c r="F316" s="5"/>
      <c r="G316" s="5"/>
      <c r="J316" s="5" t="str">
        <v>kiri</v>
      </c>
      <c r="K316" s="5"/>
      <c r="L316" s="5"/>
      <c r="O316" s="5" t="str">
        <v>kiri</v>
      </c>
      <c r="P316" s="5"/>
      <c r="Q316" s="5"/>
      <c r="T316" s="5" t="str">
        <v>tengah</v>
      </c>
      <c r="U316" s="5"/>
      <c r="V316" s="5"/>
    </row>
    <row r="317" customFormat="false" ht="15" hidden="false" customHeight="false" outlineLevel="0" collapsed="false">
      <c r="E317" s="5" t="str">
        <v>kanan</v>
      </c>
      <c r="F317" s="5"/>
      <c r="G317" s="5"/>
      <c r="J317" s="5" t="str">
        <v>tengah</v>
      </c>
      <c r="K317" s="5"/>
      <c r="L317" s="5"/>
      <c r="O317" s="5" t="str">
        <v>tengah</v>
      </c>
      <c r="P317" s="5"/>
      <c r="Q317" s="5"/>
      <c r="T317" s="5" t="str">
        <v>tengah</v>
      </c>
      <c r="U317" s="5"/>
      <c r="V317" s="5"/>
    </row>
    <row r="318" customFormat="false" ht="15" hidden="false" customHeight="false" outlineLevel="0" collapsed="false">
      <c r="E318" s="5" t="str">
        <v>tengah</v>
      </c>
      <c r="F318" s="5"/>
      <c r="G318" s="5"/>
      <c r="J318" s="5" t="str">
        <v>kanan</v>
      </c>
      <c r="K318" s="5"/>
      <c r="L318" s="5"/>
      <c r="O318" s="5" t="str">
        <v>tengah</v>
      </c>
      <c r="P318" s="5"/>
      <c r="Q318" s="5"/>
      <c r="T318" s="5" t="str">
        <v>tengah</v>
      </c>
      <c r="U318" s="5"/>
      <c r="V318" s="5"/>
    </row>
    <row r="319" customFormat="false" ht="15" hidden="false" customHeight="false" outlineLevel="0" collapsed="false">
      <c r="E319" s="5" t="str">
        <v>tengah</v>
      </c>
      <c r="F319" s="5"/>
      <c r="G319" s="5"/>
      <c r="J319" s="5" t="str">
        <v>kanan</v>
      </c>
      <c r="K319" s="5"/>
      <c r="L319" s="5"/>
      <c r="O319" s="5" t="str">
        <v>kanan</v>
      </c>
      <c r="P319" s="5"/>
      <c r="Q319" s="5"/>
      <c r="T319" s="5" t="str">
        <v>tengah</v>
      </c>
      <c r="U319" s="5"/>
      <c r="V319" s="5"/>
    </row>
    <row r="320" customFormat="false" ht="15" hidden="false" customHeight="false" outlineLevel="0" collapsed="false">
      <c r="E320" s="5" t="str">
        <v>kanan</v>
      </c>
      <c r="F320" s="5"/>
      <c r="G320" s="5"/>
      <c r="J320" s="5" t="str">
        <v>tengah</v>
      </c>
      <c r="K320" s="5"/>
      <c r="L320" s="5"/>
      <c r="O320" s="5" t="str">
        <v>kiri</v>
      </c>
      <c r="P320" s="5"/>
      <c r="Q320" s="5"/>
      <c r="T320" s="5" t="str">
        <v>tengah</v>
      </c>
      <c r="U320" s="5"/>
      <c r="V320" s="5"/>
    </row>
    <row r="321" customFormat="false" ht="15" hidden="false" customHeight="false" outlineLevel="0" collapsed="false">
      <c r="E321" s="5" t="str">
        <v>kanan</v>
      </c>
      <c r="F321" s="5"/>
      <c r="G321" s="5"/>
      <c r="J321" s="5" t="str">
        <v>kanan</v>
      </c>
      <c r="K321" s="5"/>
      <c r="L321" s="5"/>
      <c r="O321" s="5" t="str">
        <v>kiri</v>
      </c>
      <c r="P321" s="5"/>
      <c r="Q321" s="5"/>
      <c r="T321" s="5" t="str">
        <v>kanan</v>
      </c>
      <c r="U321" s="5"/>
      <c r="V321" s="5"/>
    </row>
    <row r="322" customFormat="false" ht="15" hidden="false" customHeight="false" outlineLevel="0" collapsed="false">
      <c r="E322" s="5" t="str">
        <v>kiri</v>
      </c>
      <c r="F322" s="5"/>
      <c r="G322" s="5"/>
      <c r="J322" s="5" t="str">
        <v>tengah</v>
      </c>
      <c r="K322" s="5"/>
      <c r="L322" s="5"/>
      <c r="O322" s="5" t="str">
        <v>kanan</v>
      </c>
      <c r="P322" s="5"/>
      <c r="Q322" s="5"/>
      <c r="T322" s="5" t="str">
        <v>tengah</v>
      </c>
      <c r="U322" s="5"/>
      <c r="V322" s="5"/>
    </row>
    <row r="323" customFormat="false" ht="15" hidden="false" customHeight="false" outlineLevel="0" collapsed="false">
      <c r="E323" s="5" t="str">
        <v>tengah</v>
      </c>
      <c r="F323" s="5"/>
      <c r="G323" s="5"/>
      <c r="J323" s="5" t="str">
        <v>kiri</v>
      </c>
      <c r="K323" s="5"/>
      <c r="L323" s="5"/>
      <c r="O323" s="5" t="str">
        <v>kanan</v>
      </c>
      <c r="P323" s="5"/>
      <c r="Q323" s="5"/>
      <c r="T323" s="5" t="str">
        <v>tengah</v>
      </c>
      <c r="U323" s="5"/>
      <c r="V323" s="5"/>
    </row>
    <row r="324" customFormat="false" ht="15" hidden="false" customHeight="false" outlineLevel="0" collapsed="false">
      <c r="E324" s="5" t="str">
        <v>tengah</v>
      </c>
      <c r="F324" s="5"/>
      <c r="G324" s="5"/>
      <c r="J324" s="5" t="str">
        <v>tengah</v>
      </c>
      <c r="K324" s="5"/>
      <c r="L324" s="5"/>
      <c r="O324" s="5" t="str">
        <v>tengah</v>
      </c>
      <c r="P324" s="5"/>
      <c r="Q324" s="5"/>
      <c r="T324" s="5" t="str">
        <v>kanan</v>
      </c>
      <c r="U324" s="5"/>
      <c r="V324" s="5"/>
    </row>
    <row r="325" customFormat="false" ht="15" hidden="false" customHeight="false" outlineLevel="0" collapsed="false">
      <c r="E325" s="5" t="str">
        <v>tengah</v>
      </c>
      <c r="F325" s="5"/>
      <c r="G325" s="5"/>
      <c r="J325" s="5" t="str">
        <v>tengah</v>
      </c>
      <c r="K325" s="5"/>
      <c r="L325" s="5"/>
      <c r="O325" s="5" t="str">
        <v>tengah</v>
      </c>
      <c r="P325" s="5"/>
      <c r="Q325" s="5"/>
      <c r="T325" s="5" t="str">
        <v>kanan</v>
      </c>
      <c r="U325" s="5"/>
      <c r="V325" s="5"/>
    </row>
    <row r="326" customFormat="false" ht="15" hidden="false" customHeight="false" outlineLevel="0" collapsed="false">
      <c r="E326" s="5" t="str">
        <v>kanan</v>
      </c>
      <c r="F326" s="5"/>
      <c r="G326" s="5"/>
      <c r="J326" s="5" t="str">
        <v>tengah</v>
      </c>
      <c r="K326" s="5"/>
      <c r="L326" s="5"/>
      <c r="O326" s="5" t="str">
        <v>tengah</v>
      </c>
      <c r="P326" s="5"/>
      <c r="Q326" s="5"/>
      <c r="T326" s="5" t="str">
        <v>kanan</v>
      </c>
      <c r="U326" s="5"/>
      <c r="V326" s="5"/>
    </row>
    <row r="327" customFormat="false" ht="15" hidden="false" customHeight="false" outlineLevel="0" collapsed="false">
      <c r="E327" s="5" t="str">
        <v>kiri</v>
      </c>
      <c r="F327" s="5"/>
      <c r="G327" s="5"/>
      <c r="J327" s="5" t="str">
        <v>kanan</v>
      </c>
      <c r="K327" s="5"/>
      <c r="L327" s="5"/>
      <c r="O327" s="5" t="str">
        <v>kiri</v>
      </c>
      <c r="P327" s="5"/>
      <c r="Q327" s="5"/>
      <c r="T327" s="5" t="str">
        <v>tengah</v>
      </c>
      <c r="U327" s="5"/>
      <c r="V327" s="5"/>
    </row>
    <row r="328" customFormat="false" ht="15" hidden="false" customHeight="false" outlineLevel="0" collapsed="false">
      <c r="E328" s="5" t="str">
        <v>tengah</v>
      </c>
      <c r="F328" s="5"/>
      <c r="G328" s="5"/>
      <c r="J328" s="5" t="str">
        <v>tengah</v>
      </c>
      <c r="K328" s="5"/>
      <c r="L328" s="5"/>
      <c r="O328" s="5" t="str">
        <v>tengah</v>
      </c>
      <c r="P328" s="5"/>
      <c r="Q328" s="5"/>
      <c r="T328" s="5" t="str">
        <v>tengah</v>
      </c>
      <c r="U328" s="5"/>
      <c r="V328" s="5"/>
    </row>
    <row r="329" customFormat="false" ht="15" hidden="false" customHeight="false" outlineLevel="0" collapsed="false">
      <c r="E329" s="5" t="str">
        <v>kiri</v>
      </c>
      <c r="F329" s="5"/>
      <c r="G329" s="5"/>
      <c r="J329" s="5" t="str">
        <v>kiri</v>
      </c>
      <c r="K329" s="5"/>
      <c r="L329" s="5"/>
      <c r="O329" s="5" t="str">
        <v>tengah</v>
      </c>
      <c r="P329" s="5"/>
      <c r="Q329" s="5"/>
      <c r="T329" s="5" t="str">
        <v>tengah</v>
      </c>
      <c r="U329" s="5"/>
      <c r="V329" s="5"/>
    </row>
    <row r="330" customFormat="false" ht="15" hidden="false" customHeight="false" outlineLevel="0" collapsed="false">
      <c r="E330" s="5" t="str">
        <v>kiri</v>
      </c>
      <c r="F330" s="5"/>
      <c r="G330" s="5"/>
      <c r="J330" s="5" t="str">
        <v>kiri</v>
      </c>
      <c r="K330" s="5"/>
      <c r="L330" s="5"/>
      <c r="O330" s="5" t="str">
        <v>tengah</v>
      </c>
      <c r="P330" s="5"/>
      <c r="Q330" s="5"/>
      <c r="T330" s="5" t="str">
        <v>kanan</v>
      </c>
      <c r="U330" s="5"/>
      <c r="V330" s="5"/>
    </row>
    <row r="331" customFormat="false" ht="15" hidden="false" customHeight="false" outlineLevel="0" collapsed="false">
      <c r="E331" s="5" t="str">
        <v>tengah</v>
      </c>
      <c r="F331" s="5"/>
      <c r="G331" s="5"/>
      <c r="J331" s="5" t="str">
        <v>tengah</v>
      </c>
      <c r="K331" s="5"/>
      <c r="L331" s="5"/>
      <c r="O331" s="5" t="str">
        <v>tengah</v>
      </c>
      <c r="P331" s="5"/>
      <c r="Q331" s="5"/>
      <c r="T331" s="5" t="str">
        <v>kanan</v>
      </c>
      <c r="U331" s="5"/>
      <c r="V331" s="5"/>
    </row>
    <row r="332" customFormat="false" ht="15" hidden="false" customHeight="false" outlineLevel="0" collapsed="false">
      <c r="E332" s="5" t="str">
        <v>tengah</v>
      </c>
      <c r="F332" s="5"/>
      <c r="G332" s="5"/>
      <c r="J332" s="5" t="str">
        <v>tengah</v>
      </c>
      <c r="K332" s="5"/>
      <c r="L332" s="5"/>
      <c r="O332" s="5" t="str">
        <v>tengah</v>
      </c>
      <c r="P332" s="5"/>
      <c r="Q332" s="5"/>
      <c r="T332" s="5" t="str">
        <v>tengah</v>
      </c>
      <c r="U332" s="5"/>
      <c r="V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2"/>
  <sheetViews>
    <sheetView showFormulas="false" showGridLines="true" showRowColHeaders="true" showZeros="true" rightToLeft="false" tabSelected="false" showOutlineSymbols="true" defaultGridColor="true" view="normal" topLeftCell="M157" colorId="64" zoomScale="100" zoomScaleNormal="100" zoomScalePageLayoutView="100" workbookViewId="0">
      <selection pane="topLeft" activeCell="Z163" activeCellId="0" sqref="Z163"/>
    </sheetView>
  </sheetViews>
  <sheetFormatPr defaultColWidth="9.00390625" defaultRowHeight="15" customHeight="false" zeroHeight="false" outlineLevelRow="0" outlineLevelCol="0"/>
  <cols>
    <col collapsed="false" customWidth="true" hidden="false" outlineLevel="0" max="3" min="3" style="0" width="15.86"/>
    <col collapsed="false" customWidth="true" hidden="false" outlineLevel="0" max="4" min="4" style="0" width="13.29"/>
    <col collapsed="false" customWidth="true" hidden="false" outlineLevel="0" max="5" min="5" style="0" width="13.86"/>
    <col collapsed="false" customWidth="true" hidden="false" outlineLevel="0" max="6" min="6" style="0" width="12.57"/>
    <col collapsed="false" customWidth="true" hidden="false" outlineLevel="0" max="10" min="10" style="0" width="15.86"/>
    <col collapsed="false" customWidth="true" hidden="false" outlineLevel="0" max="11" min="11" style="0" width="13.29"/>
    <col collapsed="false" customWidth="true" hidden="false" outlineLevel="0" max="12" min="12" style="0" width="13.86"/>
  </cols>
  <sheetData>
    <row r="1" customFormat="false" ht="15" hidden="false" customHeight="false" outlineLevel="0" collapsed="false">
      <c r="A1" s="4" t="s">
        <v>173</v>
      </c>
      <c r="B1" s="4" t="s">
        <v>1</v>
      </c>
      <c r="C1" s="4" t="s">
        <v>2</v>
      </c>
      <c r="D1" s="4" t="s">
        <v>4</v>
      </c>
      <c r="E1" s="4" t="s">
        <v>5</v>
      </c>
      <c r="H1" s="16" t="s">
        <v>173</v>
      </c>
      <c r="I1" s="16" t="s">
        <v>1</v>
      </c>
      <c r="J1" s="16" t="s">
        <v>2</v>
      </c>
      <c r="K1" s="16" t="s">
        <v>4</v>
      </c>
      <c r="L1" s="16" t="s">
        <v>5</v>
      </c>
      <c r="O1" s="4" t="s">
        <v>174</v>
      </c>
      <c r="P1" s="3"/>
      <c r="Q1" s="3"/>
    </row>
    <row r="2" customFormat="false" ht="15" hidden="false" customHeight="false" outlineLevel="0" collapsed="false">
      <c r="A2" s="5" t="n">
        <f aca="false">RANDBETWEEN(2,164)</f>
        <v>43</v>
      </c>
      <c r="B2" s="5" t="n">
        <f aca="false" t="array" ref="B2:B2">INDEX(Data_DBD!$B:$B,$A2)</f>
        <v>15</v>
      </c>
      <c r="C2" s="5" t="n">
        <f aca="false" t="array" ref="C2:C2">INDEX(Data_DBD!$C:$C,$A2)</f>
        <v>4</v>
      </c>
      <c r="D2" s="5" t="n">
        <f aca="false" t="array" ref="D2:D2">INDEX(Data_DBD!$E:$E,$A2)</f>
        <v>0</v>
      </c>
      <c r="E2" s="5" t="str">
        <f aca="false" t="array" ref="E2:E2">INDEX(Data_DBD!$F:$F,$A2)</f>
        <v>Sedang</v>
      </c>
      <c r="H2" s="5" t="n">
        <v>54</v>
      </c>
      <c r="I2" s="5" t="n">
        <v>7</v>
      </c>
      <c r="J2" s="5" t="n">
        <v>3</v>
      </c>
      <c r="K2" s="5" t="n">
        <v>0</v>
      </c>
      <c r="L2" s="5" t="s">
        <v>7</v>
      </c>
      <c r="O2" s="3" t="s">
        <v>115</v>
      </c>
      <c r="P2" s="3" t="n">
        <f aca="false">COUNTIF(L2:L164,"Tinggi")</f>
        <v>69</v>
      </c>
      <c r="Q2" s="3" t="n">
        <f aca="false">P2/163</f>
        <v>0.423312883435583</v>
      </c>
    </row>
    <row r="3" customFormat="false" ht="15" hidden="false" customHeight="false" outlineLevel="0" collapsed="false">
      <c r="A3" s="5" t="n">
        <f aca="false">RANDBETWEEN(2,164)</f>
        <v>74</v>
      </c>
      <c r="B3" s="5" t="n">
        <f aca="false" t="array" ref="B3:B3">INDEX(Data_DBD!$B:$B,$A3)</f>
        <v>9</v>
      </c>
      <c r="C3" s="5" t="n">
        <f aca="false" t="array" ref="C3:C3">INDEX(Data_DBD!$C:$C,$A3)</f>
        <v>4</v>
      </c>
      <c r="D3" s="5" t="n">
        <f aca="false" t="array" ref="D3:D3">INDEX(Data_DBD!$E:$E,$A3)</f>
        <v>0</v>
      </c>
      <c r="E3" s="5" t="str">
        <f aca="false" t="array" ref="E3:E3">INDEX(Data_DBD!$F:$F,$A3)</f>
        <v>Rendah</v>
      </c>
      <c r="H3" s="5" t="n">
        <v>91</v>
      </c>
      <c r="I3" s="5" t="n">
        <v>35</v>
      </c>
      <c r="J3" s="5" t="n">
        <v>1</v>
      </c>
      <c r="K3" s="5" t="n">
        <v>1</v>
      </c>
      <c r="L3" s="5" t="s">
        <v>115</v>
      </c>
      <c r="O3" s="3" t="s">
        <v>7</v>
      </c>
      <c r="P3" s="3" t="n">
        <f aca="false">COUNTIF(L2:L164,"Sedang")</f>
        <v>84</v>
      </c>
      <c r="Q3" s="3" t="n">
        <f aca="false">P3/163</f>
        <v>0.515337423312884</v>
      </c>
    </row>
    <row r="4" customFormat="false" ht="15" hidden="false" customHeight="false" outlineLevel="0" collapsed="false">
      <c r="A4" s="5" t="n">
        <f aca="false">RANDBETWEEN(2,164)</f>
        <v>17</v>
      </c>
      <c r="B4" s="5" t="n">
        <f aca="false" t="array" ref="B4:B4">INDEX(Data_DBD!$B:$B,$A4)</f>
        <v>2</v>
      </c>
      <c r="C4" s="5" t="n">
        <f aca="false" t="array" ref="C4:C4">INDEX(Data_DBD!$C:$C,$A4)</f>
        <v>3</v>
      </c>
      <c r="D4" s="5" t="n">
        <f aca="false" t="array" ref="D4:D4">INDEX(Data_DBD!$E:$E,$A4)</f>
        <v>0</v>
      </c>
      <c r="E4" s="5" t="str">
        <f aca="false" t="array" ref="E4:E4">INDEX(Data_DBD!$F:$F,$A4)</f>
        <v>Rendah</v>
      </c>
      <c r="H4" s="5" t="n">
        <v>59</v>
      </c>
      <c r="I4" s="5" t="n">
        <v>28</v>
      </c>
      <c r="J4" s="5" t="n">
        <v>4</v>
      </c>
      <c r="K4" s="5" t="n">
        <v>0</v>
      </c>
      <c r="L4" s="5" t="s">
        <v>7</v>
      </c>
      <c r="O4" s="3" t="s">
        <v>20</v>
      </c>
      <c r="P4" s="3" t="n">
        <f aca="false">COUNTIF(L2:L164,"Rendah")</f>
        <v>10</v>
      </c>
      <c r="Q4" s="3" t="n">
        <f aca="false">P4/163</f>
        <v>0.0613496932515337</v>
      </c>
    </row>
    <row r="5" customFormat="false" ht="15" hidden="false" customHeight="false" outlineLevel="0" collapsed="false">
      <c r="A5" s="5" t="n">
        <f aca="false">RANDBETWEEN(2,164)</f>
        <v>20</v>
      </c>
      <c r="B5" s="5" t="n">
        <f aca="false" t="array" ref="B5:B5">INDEX(Data_DBD!$B:$B,$A5)</f>
        <v>15</v>
      </c>
      <c r="C5" s="5" t="n">
        <f aca="false" t="array" ref="C5:C5">INDEX(Data_DBD!$C:$C,$A5)</f>
        <v>5</v>
      </c>
      <c r="D5" s="5" t="n">
        <f aca="false" t="array" ref="D5:D5">INDEX(Data_DBD!$E:$E,$A5)</f>
        <v>0</v>
      </c>
      <c r="E5" s="5" t="str">
        <f aca="false" t="array" ref="E5:E5">INDEX(Data_DBD!$F:$F,$A5)</f>
        <v>Rendah</v>
      </c>
      <c r="H5" s="5" t="n">
        <v>38</v>
      </c>
      <c r="I5" s="5" t="n">
        <v>52</v>
      </c>
      <c r="J5" s="5" t="n">
        <v>3</v>
      </c>
      <c r="K5" s="5" t="n">
        <v>1</v>
      </c>
      <c r="L5" s="5" t="s">
        <v>20</v>
      </c>
      <c r="O5" s="6" t="s">
        <v>175</v>
      </c>
      <c r="P5" s="0" t="n">
        <f aca="false">-(IFERROR(Q2*LOG(Q2,2),0)+IFERROR(Q3*LOG(Q3,2),0)+IFERROR(Q4*LOG(Q4,2),0))</f>
        <v>1.26491139361768</v>
      </c>
    </row>
    <row r="6" customFormat="false" ht="15" hidden="false" customHeight="false" outlineLevel="0" collapsed="false">
      <c r="A6" s="5" t="n">
        <f aca="false">RANDBETWEEN(2,164)</f>
        <v>112</v>
      </c>
      <c r="B6" s="5" t="n">
        <f aca="false" t="array" ref="B6:B6">INDEX(Data_DBD!$B:$B,$A6)</f>
        <v>61</v>
      </c>
      <c r="C6" s="5" t="n">
        <f aca="false" t="array" ref="C6:C6">INDEX(Data_DBD!$C:$C,$A6)</f>
        <v>3</v>
      </c>
      <c r="D6" s="5" t="n">
        <f aca="false" t="array" ref="D6:D6">INDEX(Data_DBD!$E:$E,$A6)</f>
        <v>1</v>
      </c>
      <c r="E6" s="5" t="str">
        <f aca="false" t="array" ref="E6:E6">INDEX(Data_DBD!$F:$F,$A6)</f>
        <v>Tinggi</v>
      </c>
      <c r="H6" s="5" t="n">
        <v>142</v>
      </c>
      <c r="I6" s="5" t="n">
        <v>39</v>
      </c>
      <c r="J6" s="5" t="n">
        <v>2</v>
      </c>
      <c r="K6" s="5" t="n">
        <v>1</v>
      </c>
      <c r="L6" s="5" t="s">
        <v>115</v>
      </c>
    </row>
    <row r="7" customFormat="false" ht="15" hidden="false" customHeight="false" outlineLevel="0" collapsed="false">
      <c r="A7" s="5" t="n">
        <f aca="false">RANDBETWEEN(2,164)</f>
        <v>69</v>
      </c>
      <c r="B7" s="5" t="n">
        <f aca="false" t="array" ref="B7:B7">INDEX(Data_DBD!$B:$B,$A7)</f>
        <v>24</v>
      </c>
      <c r="C7" s="5" t="n">
        <f aca="false" t="array" ref="C7:C7">INDEX(Data_DBD!$C:$C,$A7)</f>
        <v>4</v>
      </c>
      <c r="D7" s="5" t="n">
        <f aca="false" t="array" ref="D7:D7">INDEX(Data_DBD!$E:$E,$A7)</f>
        <v>1</v>
      </c>
      <c r="E7" s="5" t="str">
        <f aca="false" t="array" ref="E7:E7">INDEX(Data_DBD!$F:$F,$A7)</f>
        <v>Rendah</v>
      </c>
      <c r="H7" s="5" t="n">
        <v>142</v>
      </c>
      <c r="I7" s="5" t="n">
        <v>39</v>
      </c>
      <c r="J7" s="5" t="n">
        <v>2</v>
      </c>
      <c r="K7" s="5" t="n">
        <v>1</v>
      </c>
      <c r="L7" s="5" t="s">
        <v>115</v>
      </c>
    </row>
    <row r="8" customFormat="false" ht="15" hidden="false" customHeight="false" outlineLevel="0" collapsed="false">
      <c r="A8" s="5" t="n">
        <f aca="false">RANDBETWEEN(2,164)</f>
        <v>77</v>
      </c>
      <c r="B8" s="5" t="n">
        <f aca="false" t="array" ref="B8:B8">INDEX(Data_DBD!$B:$B,$A8)</f>
        <v>16</v>
      </c>
      <c r="C8" s="5" t="n">
        <f aca="false" t="array" ref="C8:C8">INDEX(Data_DBD!$C:$C,$A8)</f>
        <v>4</v>
      </c>
      <c r="D8" s="5" t="n">
        <f aca="false" t="array" ref="D8:D8">INDEX(Data_DBD!$E:$E,$A8)</f>
        <v>1</v>
      </c>
      <c r="E8" s="5" t="str">
        <f aca="false" t="array" ref="E8:E8">INDEX(Data_DBD!$F:$F,$A8)</f>
        <v>Sedang</v>
      </c>
      <c r="H8" s="5" t="n">
        <v>33</v>
      </c>
      <c r="I8" s="5" t="n">
        <v>19</v>
      </c>
      <c r="J8" s="5" t="n">
        <v>4</v>
      </c>
      <c r="K8" s="5" t="n">
        <v>1</v>
      </c>
      <c r="L8" s="5" t="s">
        <v>7</v>
      </c>
    </row>
    <row r="9" customFormat="false" ht="15" hidden="false" customHeight="false" outlineLevel="0" collapsed="false">
      <c r="A9" s="5" t="n">
        <f aca="false">RANDBETWEEN(2,164)</f>
        <v>5</v>
      </c>
      <c r="B9" s="5" t="n">
        <f aca="false" t="array" ref="B9:B9">INDEX(Data_DBD!$B:$B,$A9)</f>
        <v>18</v>
      </c>
      <c r="C9" s="5" t="n">
        <f aca="false" t="array" ref="C9:C9">INDEX(Data_DBD!$C:$C,$A9)</f>
        <v>2</v>
      </c>
      <c r="D9" s="5" t="n">
        <f aca="false" t="array" ref="D9:D9">INDEX(Data_DBD!$E:$E,$A9)</f>
        <v>1</v>
      </c>
      <c r="E9" s="5" t="str">
        <f aca="false" t="array" ref="E9:E9">INDEX(Data_DBD!$F:$F,$A9)</f>
        <v>Sedang</v>
      </c>
      <c r="H9" s="5" t="n">
        <v>106</v>
      </c>
      <c r="I9" s="5" t="n">
        <v>23</v>
      </c>
      <c r="J9" s="5" t="n">
        <v>3</v>
      </c>
      <c r="K9" s="5" t="n">
        <v>1</v>
      </c>
      <c r="L9" s="5" t="s">
        <v>115</v>
      </c>
    </row>
    <row r="10" customFormat="false" ht="15" hidden="false" customHeight="false" outlineLevel="0" collapsed="false">
      <c r="A10" s="5" t="n">
        <f aca="false">RANDBETWEEN(2,164)</f>
        <v>93</v>
      </c>
      <c r="B10" s="5" t="n">
        <f aca="false" t="array" ref="B10:B10">INDEX(Data_DBD!$B:$B,$A10)</f>
        <v>65</v>
      </c>
      <c r="C10" s="5" t="n">
        <f aca="false" t="array" ref="C10:C10">INDEX(Data_DBD!$C:$C,$A10)</f>
        <v>4</v>
      </c>
      <c r="D10" s="5" t="n">
        <f aca="false" t="array" ref="D10:D10">INDEX(Data_DBD!$E:$E,$A10)</f>
        <v>0</v>
      </c>
      <c r="E10" s="5" t="str">
        <f aca="false" t="array" ref="E10:E10">INDEX(Data_DBD!$F:$F,$A10)</f>
        <v>Sedang</v>
      </c>
      <c r="H10" s="5" t="n">
        <v>109</v>
      </c>
      <c r="I10" s="5" t="n">
        <v>40</v>
      </c>
      <c r="J10" s="5" t="n">
        <v>3</v>
      </c>
      <c r="K10" s="5" t="n">
        <v>1</v>
      </c>
      <c r="L10" s="5" t="s">
        <v>115</v>
      </c>
    </row>
    <row r="11" customFormat="false" ht="15" hidden="false" customHeight="false" outlineLevel="0" collapsed="false">
      <c r="A11" s="5" t="n">
        <f aca="false">RANDBETWEEN(2,164)</f>
        <v>86</v>
      </c>
      <c r="B11" s="5" t="n">
        <f aca="false" t="array" ref="B11:B11">INDEX(Data_DBD!$B:$B,$A11)</f>
        <v>23</v>
      </c>
      <c r="C11" s="5" t="n">
        <f aca="false" t="array" ref="C11:C11">INDEX(Data_DBD!$C:$C,$A11)</f>
        <v>3</v>
      </c>
      <c r="D11" s="5" t="n">
        <f aca="false" t="array" ref="D11:D11">INDEX(Data_DBD!$E:$E,$A11)</f>
        <v>0</v>
      </c>
      <c r="E11" s="5" t="str">
        <f aca="false" t="array" ref="E11:E11">INDEX(Data_DBD!$F:$F,$A11)</f>
        <v>Sedang</v>
      </c>
      <c r="H11" s="5" t="n">
        <v>152</v>
      </c>
      <c r="I11" s="5" t="n">
        <v>47</v>
      </c>
      <c r="J11" s="5" t="n">
        <v>3</v>
      </c>
      <c r="K11" s="5" t="n">
        <v>1</v>
      </c>
      <c r="L11" s="5" t="s">
        <v>115</v>
      </c>
    </row>
    <row r="12" customFormat="false" ht="15" hidden="false" customHeight="false" outlineLevel="0" collapsed="false">
      <c r="A12" s="5" t="n">
        <f aca="false">RANDBETWEEN(2,164)</f>
        <v>108</v>
      </c>
      <c r="B12" s="5" t="n">
        <f aca="false" t="array" ref="B12:B12">INDEX(Data_DBD!$B:$B,$A12)</f>
        <v>69</v>
      </c>
      <c r="C12" s="5" t="n">
        <f aca="false" t="array" ref="C12:C12">INDEX(Data_DBD!$C:$C,$A12)</f>
        <v>7</v>
      </c>
      <c r="D12" s="5" t="n">
        <f aca="false" t="array" ref="D12:D12">INDEX(Data_DBD!$E:$E,$A12)</f>
        <v>1</v>
      </c>
      <c r="E12" s="5" t="str">
        <f aca="false" t="array" ref="E12:E12">INDEX(Data_DBD!$F:$F,$A12)</f>
        <v>Tinggi</v>
      </c>
      <c r="H12" s="5" t="n">
        <v>35</v>
      </c>
      <c r="I12" s="5" t="n">
        <v>40</v>
      </c>
      <c r="J12" s="5" t="n">
        <v>3</v>
      </c>
      <c r="K12" s="5" t="n">
        <v>1</v>
      </c>
      <c r="L12" s="5" t="s">
        <v>20</v>
      </c>
    </row>
    <row r="13" customFormat="false" ht="15" hidden="false" customHeight="false" outlineLevel="0" collapsed="false">
      <c r="A13" s="5" t="n">
        <f aca="false">RANDBETWEEN(2,164)</f>
        <v>21</v>
      </c>
      <c r="B13" s="5" t="n">
        <f aca="false" t="array" ref="B13:B13">INDEX(Data_DBD!$B:$B,$A13)</f>
        <v>10</v>
      </c>
      <c r="C13" s="5" t="n">
        <f aca="false" t="array" ref="C13:C13">INDEX(Data_DBD!$C:$C,$A13)</f>
        <v>5</v>
      </c>
      <c r="D13" s="5" t="n">
        <f aca="false" t="array" ref="D13:D13">INDEX(Data_DBD!$E:$E,$A13)</f>
        <v>1</v>
      </c>
      <c r="E13" s="5" t="str">
        <f aca="false" t="array" ref="E13:E13">INDEX(Data_DBD!$F:$F,$A13)</f>
        <v>Sedang</v>
      </c>
      <c r="H13" s="5" t="n">
        <v>129</v>
      </c>
      <c r="I13" s="5" t="n">
        <v>4</v>
      </c>
      <c r="J13" s="5" t="n">
        <v>3</v>
      </c>
      <c r="K13" s="5" t="n">
        <v>0</v>
      </c>
      <c r="L13" s="5" t="s">
        <v>115</v>
      </c>
    </row>
    <row r="14" customFormat="false" ht="15" hidden="false" customHeight="false" outlineLevel="0" collapsed="false">
      <c r="A14" s="5" t="n">
        <f aca="false">RANDBETWEEN(2,164)</f>
        <v>46</v>
      </c>
      <c r="B14" s="5" t="n">
        <f aca="false" t="array" ref="B14:B14">INDEX(Data_DBD!$B:$B,$A14)</f>
        <v>62</v>
      </c>
      <c r="C14" s="5" t="n">
        <f aca="false" t="array" ref="C14:C14">INDEX(Data_DBD!$C:$C,$A14)</f>
        <v>2</v>
      </c>
      <c r="D14" s="5" t="n">
        <f aca="false" t="array" ref="D14:D14">INDEX(Data_DBD!$E:$E,$A14)</f>
        <v>0</v>
      </c>
      <c r="E14" s="5" t="str">
        <f aca="false" t="array" ref="E14:E14">INDEX(Data_DBD!$F:$F,$A14)</f>
        <v>Sedang</v>
      </c>
      <c r="H14" s="5" t="n">
        <v>141</v>
      </c>
      <c r="I14" s="5" t="n">
        <v>36</v>
      </c>
      <c r="J14" s="5" t="n">
        <v>2</v>
      </c>
      <c r="K14" s="5" t="n">
        <v>0</v>
      </c>
      <c r="L14" s="5" t="s">
        <v>115</v>
      </c>
    </row>
    <row r="15" customFormat="false" ht="15" hidden="false" customHeight="false" outlineLevel="0" collapsed="false">
      <c r="A15" s="5" t="n">
        <f aca="false">RANDBETWEEN(2,164)</f>
        <v>92</v>
      </c>
      <c r="B15" s="5" t="n">
        <f aca="false" t="array" ref="B15:B15">INDEX(Data_DBD!$B:$B,$A15)</f>
        <v>55</v>
      </c>
      <c r="C15" s="5" t="n">
        <f aca="false" t="array" ref="C15:C15">INDEX(Data_DBD!$C:$C,$A15)</f>
        <v>7</v>
      </c>
      <c r="D15" s="5" t="n">
        <f aca="false" t="array" ref="D15:D15">INDEX(Data_DBD!$E:$E,$A15)</f>
        <v>0</v>
      </c>
      <c r="E15" s="5" t="str">
        <f aca="false" t="array" ref="E15:E15">INDEX(Data_DBD!$F:$F,$A15)</f>
        <v>Sedang</v>
      </c>
      <c r="H15" s="5" t="n">
        <v>134</v>
      </c>
      <c r="I15" s="5" t="n">
        <v>4</v>
      </c>
      <c r="J15" s="5" t="n">
        <v>2</v>
      </c>
      <c r="K15" s="5" t="n">
        <v>1</v>
      </c>
      <c r="L15" s="5" t="s">
        <v>115</v>
      </c>
    </row>
    <row r="16" customFormat="false" ht="15" hidden="false" customHeight="false" outlineLevel="0" collapsed="false">
      <c r="A16" s="5" t="n">
        <f aca="false">RANDBETWEEN(2,164)</f>
        <v>4</v>
      </c>
      <c r="B16" s="5" t="n">
        <f aca="false" t="array" ref="B16:B16">INDEX(Data_DBD!$B:$B,$A16)</f>
        <v>23</v>
      </c>
      <c r="C16" s="5" t="n">
        <f aca="false" t="array" ref="C16:C16">INDEX(Data_DBD!$C:$C,$A16)</f>
        <v>5</v>
      </c>
      <c r="D16" s="5" t="n">
        <f aca="false" t="array" ref="D16:D16">INDEX(Data_DBD!$E:$E,$A16)</f>
        <v>0</v>
      </c>
      <c r="E16" s="5" t="str">
        <f aca="false" t="array" ref="E16:E16">INDEX(Data_DBD!$F:$F,$A16)</f>
        <v>Sedang</v>
      </c>
      <c r="H16" s="5" t="n">
        <v>47</v>
      </c>
      <c r="I16" s="5" t="n">
        <v>19</v>
      </c>
      <c r="J16" s="5" t="n">
        <v>2</v>
      </c>
      <c r="K16" s="5" t="n">
        <v>0</v>
      </c>
      <c r="L16" s="5" t="s">
        <v>7</v>
      </c>
    </row>
    <row r="17" customFormat="false" ht="15" hidden="false" customHeight="false" outlineLevel="0" collapsed="false">
      <c r="A17" s="5" t="n">
        <f aca="false">RANDBETWEEN(2,164)</f>
        <v>152</v>
      </c>
      <c r="B17" s="5" t="n">
        <f aca="false" t="array" ref="B17:B17">INDEX(Data_DBD!$B:$B,$A17)</f>
        <v>47</v>
      </c>
      <c r="C17" s="5" t="n">
        <f aca="false" t="array" ref="C17:C17">INDEX(Data_DBD!$C:$C,$A17)</f>
        <v>3</v>
      </c>
      <c r="D17" s="5" t="n">
        <f aca="false" t="array" ref="D17:D17">INDEX(Data_DBD!$E:$E,$A17)</f>
        <v>1</v>
      </c>
      <c r="E17" s="5" t="str">
        <f aca="false" t="array" ref="E17:E17">INDEX(Data_DBD!$F:$F,$A17)</f>
        <v>Tinggi</v>
      </c>
      <c r="H17" s="5" t="n">
        <v>161</v>
      </c>
      <c r="I17" s="5" t="n">
        <v>12</v>
      </c>
      <c r="J17" s="5" t="n">
        <v>3</v>
      </c>
      <c r="K17" s="5" t="n">
        <v>1</v>
      </c>
      <c r="L17" s="5" t="s">
        <v>115</v>
      </c>
    </row>
    <row r="18" customFormat="false" ht="15" hidden="false" customHeight="false" outlineLevel="0" collapsed="false">
      <c r="A18" s="5" t="n">
        <f aca="false">RANDBETWEEN(2,164)</f>
        <v>23</v>
      </c>
      <c r="B18" s="5" t="n">
        <f aca="false" t="array" ref="B18:B18">INDEX(Data_DBD!$B:$B,$A18)</f>
        <v>28</v>
      </c>
      <c r="C18" s="5" t="n">
        <f aca="false" t="array" ref="C18:C18">INDEX(Data_DBD!$C:$C,$A18)</f>
        <v>4</v>
      </c>
      <c r="D18" s="5" t="n">
        <f aca="false" t="array" ref="D18:D18">INDEX(Data_DBD!$E:$E,$A18)</f>
        <v>1</v>
      </c>
      <c r="E18" s="5" t="str">
        <f aca="false" t="array" ref="E18:E18">INDEX(Data_DBD!$F:$F,$A18)</f>
        <v>Sedang</v>
      </c>
      <c r="H18" s="5" t="n">
        <v>47</v>
      </c>
      <c r="I18" s="5" t="n">
        <v>19</v>
      </c>
      <c r="J18" s="5" t="n">
        <v>2</v>
      </c>
      <c r="K18" s="5" t="n">
        <v>0</v>
      </c>
      <c r="L18" s="5" t="s">
        <v>7</v>
      </c>
    </row>
    <row r="19" customFormat="false" ht="15" hidden="false" customHeight="false" outlineLevel="0" collapsed="false">
      <c r="A19" s="5" t="n">
        <f aca="false">RANDBETWEEN(2,164)</f>
        <v>160</v>
      </c>
      <c r="B19" s="5" t="n">
        <f aca="false" t="array" ref="B19:B19">INDEX(Data_DBD!$B:$B,$A19)</f>
        <v>16</v>
      </c>
      <c r="C19" s="5" t="n">
        <f aca="false" t="array" ref="C19:C19">INDEX(Data_DBD!$C:$C,$A19)</f>
        <v>3</v>
      </c>
      <c r="D19" s="5" t="n">
        <f aca="false" t="array" ref="D19:D19">INDEX(Data_DBD!$E:$E,$A19)</f>
        <v>0</v>
      </c>
      <c r="E19" s="5" t="str">
        <f aca="false" t="array" ref="E19:E19">INDEX(Data_DBD!$F:$F,$A19)</f>
        <v>Tinggi</v>
      </c>
      <c r="H19" s="5" t="n">
        <v>43</v>
      </c>
      <c r="I19" s="5" t="n">
        <v>15</v>
      </c>
      <c r="J19" s="5" t="n">
        <v>4</v>
      </c>
      <c r="K19" s="5" t="n">
        <v>0</v>
      </c>
      <c r="L19" s="5" t="s">
        <v>7</v>
      </c>
    </row>
    <row r="20" customFormat="false" ht="15" hidden="false" customHeight="false" outlineLevel="0" collapsed="false">
      <c r="A20" s="5" t="n">
        <f aca="false">RANDBETWEEN(2,164)</f>
        <v>157</v>
      </c>
      <c r="B20" s="5" t="n">
        <f aca="false" t="array" ref="B20:B20">INDEX(Data_DBD!$B:$B,$A20)</f>
        <v>15</v>
      </c>
      <c r="C20" s="5" t="n">
        <f aca="false" t="array" ref="C20:C20">INDEX(Data_DBD!$C:$C,$A20)</f>
        <v>4</v>
      </c>
      <c r="D20" s="5" t="n">
        <f aca="false" t="array" ref="D20:D20">INDEX(Data_DBD!$E:$E,$A20)</f>
        <v>1</v>
      </c>
      <c r="E20" s="5" t="str">
        <f aca="false" t="array" ref="E20:E20">INDEX(Data_DBD!$F:$F,$A20)</f>
        <v>Tinggi</v>
      </c>
      <c r="H20" s="5" t="n">
        <v>5</v>
      </c>
      <c r="I20" s="5" t="n">
        <v>18</v>
      </c>
      <c r="J20" s="5" t="n">
        <v>2</v>
      </c>
      <c r="K20" s="5" t="n">
        <v>1</v>
      </c>
      <c r="L20" s="5" t="s">
        <v>7</v>
      </c>
    </row>
    <row r="21" customFormat="false" ht="15" hidden="false" customHeight="false" outlineLevel="0" collapsed="false">
      <c r="A21" s="5" t="n">
        <f aca="false">RANDBETWEEN(2,164)</f>
        <v>71</v>
      </c>
      <c r="B21" s="5" t="n">
        <f aca="false" t="array" ref="B21:B21">INDEX(Data_DBD!$B:$B,$A21)</f>
        <v>84</v>
      </c>
      <c r="C21" s="5" t="n">
        <f aca="false" t="array" ref="C21:C21">INDEX(Data_DBD!$C:$C,$A21)</f>
        <v>3</v>
      </c>
      <c r="D21" s="5" t="n">
        <f aca="false" t="array" ref="D21:D21">INDEX(Data_DBD!$E:$E,$A21)</f>
        <v>0</v>
      </c>
      <c r="E21" s="5" t="str">
        <f aca="false" t="array" ref="E21:E21">INDEX(Data_DBD!$F:$F,$A21)</f>
        <v>Rendah</v>
      </c>
      <c r="H21" s="5" t="n">
        <v>29</v>
      </c>
      <c r="I21" s="5" t="n">
        <v>19</v>
      </c>
      <c r="J21" s="5" t="n">
        <v>2</v>
      </c>
      <c r="K21" s="5" t="n">
        <v>1</v>
      </c>
      <c r="L21" s="5" t="s">
        <v>7</v>
      </c>
    </row>
    <row r="22" customFormat="false" ht="15" hidden="false" customHeight="false" outlineLevel="0" collapsed="false">
      <c r="A22" s="5" t="n">
        <f aca="false">RANDBETWEEN(2,164)</f>
        <v>79</v>
      </c>
      <c r="B22" s="5" t="n">
        <f aca="false" t="array" ref="B22:B22">INDEX(Data_DBD!$B:$B,$A22)</f>
        <v>29</v>
      </c>
      <c r="C22" s="5" t="n">
        <f aca="false" t="array" ref="C22:C22">INDEX(Data_DBD!$C:$C,$A22)</f>
        <v>3</v>
      </c>
      <c r="D22" s="5" t="n">
        <f aca="false" t="array" ref="D22:D22">INDEX(Data_DBD!$E:$E,$A22)</f>
        <v>0</v>
      </c>
      <c r="E22" s="5" t="str">
        <f aca="false" t="array" ref="E22:E22">INDEX(Data_DBD!$F:$F,$A22)</f>
        <v>Sedang</v>
      </c>
      <c r="H22" s="5" t="n">
        <v>158</v>
      </c>
      <c r="I22" s="5" t="n">
        <v>5</v>
      </c>
      <c r="J22" s="5" t="n">
        <v>2</v>
      </c>
      <c r="K22" s="5" t="n">
        <v>0</v>
      </c>
      <c r="L22" s="5" t="s">
        <v>115</v>
      </c>
    </row>
    <row r="23" customFormat="false" ht="15" hidden="false" customHeight="false" outlineLevel="0" collapsed="false">
      <c r="A23" s="5" t="n">
        <f aca="false">RANDBETWEEN(2,164)</f>
        <v>125</v>
      </c>
      <c r="B23" s="5" t="n">
        <f aca="false" t="array" ref="B23:B23">INDEX(Data_DBD!$B:$B,$A23)</f>
        <v>39</v>
      </c>
      <c r="C23" s="5" t="n">
        <f aca="false" t="array" ref="C23:C23">INDEX(Data_DBD!$C:$C,$A23)</f>
        <v>4</v>
      </c>
      <c r="D23" s="5" t="n">
        <f aca="false" t="array" ref="D23:D23">INDEX(Data_DBD!$E:$E,$A23)</f>
        <v>0</v>
      </c>
      <c r="E23" s="5" t="str">
        <f aca="false" t="array" ref="E23:E23">INDEX(Data_DBD!$F:$F,$A23)</f>
        <v>Tinggi</v>
      </c>
      <c r="H23" s="5" t="n">
        <v>34</v>
      </c>
      <c r="I23" s="5" t="n">
        <v>55</v>
      </c>
      <c r="J23" s="5" t="n">
        <v>3</v>
      </c>
      <c r="K23" s="5" t="n">
        <v>0</v>
      </c>
      <c r="L23" s="5" t="s">
        <v>7</v>
      </c>
    </row>
    <row r="24" customFormat="false" ht="15" hidden="false" customHeight="false" outlineLevel="0" collapsed="false">
      <c r="A24" s="5" t="n">
        <f aca="false">RANDBETWEEN(2,164)</f>
        <v>85</v>
      </c>
      <c r="B24" s="5" t="n">
        <f aca="false" t="array" ref="B24:B24">INDEX(Data_DBD!$B:$B,$A24)</f>
        <v>27</v>
      </c>
      <c r="C24" s="5" t="n">
        <f aca="false" t="array" ref="C24:C24">INDEX(Data_DBD!$C:$C,$A24)</f>
        <v>9</v>
      </c>
      <c r="D24" s="5" t="n">
        <f aca="false" t="array" ref="D24:D24">INDEX(Data_DBD!$E:$E,$A24)</f>
        <v>0</v>
      </c>
      <c r="E24" s="5" t="str">
        <f aca="false" t="array" ref="E24:E24">INDEX(Data_DBD!$F:$F,$A24)</f>
        <v>Sedang</v>
      </c>
      <c r="H24" s="5" t="n">
        <v>150</v>
      </c>
      <c r="I24" s="5" t="n">
        <v>61</v>
      </c>
      <c r="J24" s="5" t="n">
        <v>5</v>
      </c>
      <c r="K24" s="5" t="n">
        <v>1</v>
      </c>
      <c r="L24" s="5" t="s">
        <v>115</v>
      </c>
    </row>
    <row r="25" customFormat="false" ht="15" hidden="false" customHeight="false" outlineLevel="0" collapsed="false">
      <c r="A25" s="5" t="n">
        <f aca="false">RANDBETWEEN(2,164)</f>
        <v>6</v>
      </c>
      <c r="B25" s="5" t="n">
        <f aca="false" t="array" ref="B25:B25">INDEX(Data_DBD!$B:$B,$A25)</f>
        <v>14</v>
      </c>
      <c r="C25" s="5" t="n">
        <f aca="false" t="array" ref="C25:C25">INDEX(Data_DBD!$C:$C,$A25)</f>
        <v>4</v>
      </c>
      <c r="D25" s="5" t="n">
        <f aca="false" t="array" ref="D25:D25">INDEX(Data_DBD!$E:$E,$A25)</f>
        <v>0</v>
      </c>
      <c r="E25" s="5" t="str">
        <f aca="false" t="array" ref="E25:E25">INDEX(Data_DBD!$F:$F,$A25)</f>
        <v>Sedang</v>
      </c>
      <c r="H25" s="5" t="n">
        <v>27</v>
      </c>
      <c r="I25" s="5" t="n">
        <v>37</v>
      </c>
      <c r="J25" s="5" t="n">
        <v>4</v>
      </c>
      <c r="K25" s="5" t="n">
        <v>1</v>
      </c>
      <c r="L25" s="5" t="s">
        <v>7</v>
      </c>
    </row>
    <row r="26" customFormat="false" ht="15" hidden="false" customHeight="false" outlineLevel="0" collapsed="false">
      <c r="A26" s="5" t="n">
        <f aca="false">RANDBETWEEN(2,164)</f>
        <v>16</v>
      </c>
      <c r="B26" s="5" t="n">
        <f aca="false" t="array" ref="B26:B26">INDEX(Data_DBD!$B:$B,$A26)</f>
        <v>66</v>
      </c>
      <c r="C26" s="5" t="n">
        <f aca="false" t="array" ref="C26:C26">INDEX(Data_DBD!$C:$C,$A26)</f>
        <v>5</v>
      </c>
      <c r="D26" s="5" t="n">
        <f aca="false" t="array" ref="D26:D26">INDEX(Data_DBD!$E:$E,$A26)</f>
        <v>1</v>
      </c>
      <c r="E26" s="5" t="str">
        <f aca="false" t="array" ref="E26:E26">INDEX(Data_DBD!$F:$F,$A26)</f>
        <v>Rendah</v>
      </c>
      <c r="H26" s="5" t="n">
        <v>100</v>
      </c>
      <c r="I26" s="5" t="n">
        <v>19</v>
      </c>
      <c r="J26" s="5" t="n">
        <v>6</v>
      </c>
      <c r="K26" s="5" t="n">
        <v>0</v>
      </c>
      <c r="L26" s="5" t="s">
        <v>115</v>
      </c>
    </row>
    <row r="27" customFormat="false" ht="15" hidden="false" customHeight="false" outlineLevel="0" collapsed="false">
      <c r="A27" s="5" t="n">
        <f aca="false">RANDBETWEEN(2,164)</f>
        <v>10</v>
      </c>
      <c r="B27" s="5" t="n">
        <f aca="false" t="array" ref="B27:B27">INDEX(Data_DBD!$B:$B,$A27)</f>
        <v>18</v>
      </c>
      <c r="C27" s="5" t="n">
        <f aca="false" t="array" ref="C27:C27">INDEX(Data_DBD!$C:$C,$A27)</f>
        <v>5</v>
      </c>
      <c r="D27" s="5" t="n">
        <f aca="false" t="array" ref="D27:D27">INDEX(Data_DBD!$E:$E,$A27)</f>
        <v>0</v>
      </c>
      <c r="E27" s="5" t="str">
        <f aca="false" t="array" ref="E27:E27">INDEX(Data_DBD!$F:$F,$A27)</f>
        <v>Sedang</v>
      </c>
      <c r="H27" s="5" t="n">
        <v>5</v>
      </c>
      <c r="I27" s="5" t="n">
        <v>18</v>
      </c>
      <c r="J27" s="5" t="n">
        <v>2</v>
      </c>
      <c r="K27" s="5" t="n">
        <v>1</v>
      </c>
      <c r="L27" s="5" t="s">
        <v>7</v>
      </c>
    </row>
    <row r="28" customFormat="false" ht="15" hidden="false" customHeight="false" outlineLevel="0" collapsed="false">
      <c r="A28" s="5" t="n">
        <f aca="false">RANDBETWEEN(2,164)</f>
        <v>163</v>
      </c>
      <c r="B28" s="5" t="n">
        <f aca="false" t="array" ref="B28:B28">INDEX(Data_DBD!$B:$B,$A28)</f>
        <v>34</v>
      </c>
      <c r="C28" s="5" t="n">
        <f aca="false" t="array" ref="C28:C28">INDEX(Data_DBD!$C:$C,$A28)</f>
        <v>4</v>
      </c>
      <c r="D28" s="5" t="n">
        <f aca="false" t="array" ref="D28:D28">INDEX(Data_DBD!$E:$E,$A28)</f>
        <v>1</v>
      </c>
      <c r="E28" s="5" t="str">
        <f aca="false" t="array" ref="E28:E28">INDEX(Data_DBD!$F:$F,$A28)</f>
        <v>Rendah</v>
      </c>
      <c r="H28" s="5" t="n">
        <v>151</v>
      </c>
      <c r="I28" s="5" t="n">
        <v>24</v>
      </c>
      <c r="J28" s="5" t="n">
        <v>3</v>
      </c>
      <c r="K28" s="5" t="n">
        <v>0</v>
      </c>
      <c r="L28" s="5" t="s">
        <v>115</v>
      </c>
    </row>
    <row r="29" customFormat="false" ht="15" hidden="false" customHeight="false" outlineLevel="0" collapsed="false">
      <c r="A29" s="5" t="n">
        <f aca="false">RANDBETWEEN(2,164)</f>
        <v>24</v>
      </c>
      <c r="B29" s="5" t="n">
        <f aca="false" t="array" ref="B29:B29">INDEX(Data_DBD!$B:$B,$A29)</f>
        <v>60</v>
      </c>
      <c r="C29" s="5" t="n">
        <f aca="false" t="array" ref="C29:C29">INDEX(Data_DBD!$C:$C,$A29)</f>
        <v>4</v>
      </c>
      <c r="D29" s="5" t="n">
        <f aca="false" t="array" ref="D29:D29">INDEX(Data_DBD!$E:$E,$A29)</f>
        <v>0</v>
      </c>
      <c r="E29" s="5" t="str">
        <f aca="false" t="array" ref="E29:E29">INDEX(Data_DBD!$F:$F,$A29)</f>
        <v>Sedang</v>
      </c>
      <c r="H29" s="5" t="n">
        <v>25</v>
      </c>
      <c r="I29" s="5" t="n">
        <v>81</v>
      </c>
      <c r="J29" s="5" t="n">
        <v>5</v>
      </c>
      <c r="K29" s="5" t="n">
        <v>0</v>
      </c>
      <c r="L29" s="5" t="s">
        <v>7</v>
      </c>
    </row>
    <row r="30" customFormat="false" ht="15" hidden="false" customHeight="false" outlineLevel="0" collapsed="false">
      <c r="A30" s="5" t="n">
        <f aca="false">RANDBETWEEN(2,164)</f>
        <v>162</v>
      </c>
      <c r="B30" s="5" t="n">
        <f aca="false" t="array" ref="B30:B30">INDEX(Data_DBD!$B:$B,$A30)</f>
        <v>22</v>
      </c>
      <c r="C30" s="5" t="n">
        <f aca="false" t="array" ref="C30:C30">INDEX(Data_DBD!$C:$C,$A30)</f>
        <v>3</v>
      </c>
      <c r="D30" s="5" t="n">
        <f aca="false" t="array" ref="D30:D30">INDEX(Data_DBD!$E:$E,$A30)</f>
        <v>1</v>
      </c>
      <c r="E30" s="5" t="str">
        <f aca="false" t="array" ref="E30:E30">INDEX(Data_DBD!$F:$F,$A30)</f>
        <v>Rendah</v>
      </c>
      <c r="H30" s="5" t="n">
        <v>143</v>
      </c>
      <c r="I30" s="5" t="n">
        <v>20</v>
      </c>
      <c r="J30" s="5" t="n">
        <v>4</v>
      </c>
      <c r="K30" s="5" t="n">
        <v>1</v>
      </c>
      <c r="L30" s="5" t="s">
        <v>115</v>
      </c>
    </row>
    <row r="31" customFormat="false" ht="15" hidden="false" customHeight="false" outlineLevel="0" collapsed="false">
      <c r="A31" s="5" t="n">
        <f aca="false">RANDBETWEEN(2,164)</f>
        <v>32</v>
      </c>
      <c r="B31" s="5" t="n">
        <f aca="false" t="array" ref="B31:B31">INDEX(Data_DBD!$B:$B,$A31)</f>
        <v>54</v>
      </c>
      <c r="C31" s="5" t="n">
        <f aca="false" t="array" ref="C31:C31">INDEX(Data_DBD!$C:$C,$A31)</f>
        <v>4</v>
      </c>
      <c r="D31" s="5" t="n">
        <f aca="false" t="array" ref="D31:D31">INDEX(Data_DBD!$E:$E,$A31)</f>
        <v>0</v>
      </c>
      <c r="E31" s="5" t="str">
        <f aca="false" t="array" ref="E31:E31">INDEX(Data_DBD!$F:$F,$A31)</f>
        <v>Sedang</v>
      </c>
      <c r="H31" s="5" t="n">
        <v>85</v>
      </c>
      <c r="I31" s="5" t="n">
        <v>27</v>
      </c>
      <c r="J31" s="5" t="n">
        <v>9</v>
      </c>
      <c r="K31" s="5" t="n">
        <v>0</v>
      </c>
      <c r="L31" s="5" t="s">
        <v>7</v>
      </c>
    </row>
    <row r="32" customFormat="false" ht="15" hidden="false" customHeight="false" outlineLevel="0" collapsed="false">
      <c r="A32" s="5" t="n">
        <f aca="false">RANDBETWEEN(2,164)</f>
        <v>148</v>
      </c>
      <c r="B32" s="5" t="n">
        <f aca="false" t="array" ref="B32:B32">INDEX(Data_DBD!$B:$B,$A32)</f>
        <v>55</v>
      </c>
      <c r="C32" s="5" t="n">
        <f aca="false" t="array" ref="C32:C32">INDEX(Data_DBD!$C:$C,$A32)</f>
        <v>3</v>
      </c>
      <c r="D32" s="5" t="n">
        <f aca="false" t="array" ref="D32:D32">INDEX(Data_DBD!$E:$E,$A32)</f>
        <v>1</v>
      </c>
      <c r="E32" s="5" t="str">
        <f aca="false" t="array" ref="E32:E32">INDEX(Data_DBD!$F:$F,$A32)</f>
        <v>Tinggi</v>
      </c>
      <c r="H32" s="5" t="n">
        <v>100</v>
      </c>
      <c r="I32" s="5" t="n">
        <v>19</v>
      </c>
      <c r="J32" s="5" t="n">
        <v>6</v>
      </c>
      <c r="K32" s="5" t="n">
        <v>0</v>
      </c>
      <c r="L32" s="5" t="s">
        <v>115</v>
      </c>
    </row>
    <row r="33" customFormat="false" ht="15" hidden="false" customHeight="false" outlineLevel="0" collapsed="false">
      <c r="A33" s="5" t="n">
        <f aca="false">RANDBETWEEN(2,164)</f>
        <v>31</v>
      </c>
      <c r="B33" s="5" t="n">
        <f aca="false" t="array" ref="B33:B33">INDEX(Data_DBD!$B:$B,$A33)</f>
        <v>64</v>
      </c>
      <c r="C33" s="5" t="n">
        <f aca="false" t="array" ref="C33:C33">INDEX(Data_DBD!$C:$C,$A33)</f>
        <v>4</v>
      </c>
      <c r="D33" s="5" t="n">
        <f aca="false" t="array" ref="D33:D33">INDEX(Data_DBD!$E:$E,$A33)</f>
        <v>1</v>
      </c>
      <c r="E33" s="5" t="str">
        <f aca="false" t="array" ref="E33:E33">INDEX(Data_DBD!$F:$F,$A33)</f>
        <v>Sedang</v>
      </c>
      <c r="H33" s="5" t="n">
        <v>128</v>
      </c>
      <c r="I33" s="5" t="n">
        <v>38</v>
      </c>
      <c r="J33" s="5" t="n">
        <v>2</v>
      </c>
      <c r="K33" s="5" t="n">
        <v>0</v>
      </c>
      <c r="L33" s="5" t="s">
        <v>115</v>
      </c>
    </row>
    <row r="34" customFormat="false" ht="15" hidden="false" customHeight="false" outlineLevel="0" collapsed="false">
      <c r="A34" s="5" t="n">
        <f aca="false">RANDBETWEEN(2,164)</f>
        <v>146</v>
      </c>
      <c r="B34" s="5" t="n">
        <f aca="false" t="array" ref="B34:B34">INDEX(Data_DBD!$B:$B,$A34)</f>
        <v>34</v>
      </c>
      <c r="C34" s="5" t="n">
        <f aca="false" t="array" ref="C34:C34">INDEX(Data_DBD!$C:$C,$A34)</f>
        <v>2</v>
      </c>
      <c r="D34" s="5" t="n">
        <f aca="false" t="array" ref="D34:D34">INDEX(Data_DBD!$E:$E,$A34)</f>
        <v>1</v>
      </c>
      <c r="E34" s="5" t="str">
        <f aca="false" t="array" ref="E34:E34">INDEX(Data_DBD!$F:$F,$A34)</f>
        <v>Tinggi</v>
      </c>
      <c r="H34" s="5" t="n">
        <v>26</v>
      </c>
      <c r="I34" s="5" t="n">
        <v>75</v>
      </c>
      <c r="J34" s="5" t="n">
        <v>4</v>
      </c>
      <c r="K34" s="5" t="n">
        <v>1</v>
      </c>
      <c r="L34" s="5" t="s">
        <v>7</v>
      </c>
    </row>
    <row r="35" customFormat="false" ht="15" hidden="false" customHeight="false" outlineLevel="0" collapsed="false">
      <c r="A35" s="5" t="n">
        <f aca="false">RANDBETWEEN(2,164)</f>
        <v>2</v>
      </c>
      <c r="B35" s="5" t="n">
        <f aca="false" t="array" ref="B35:B35">INDEX(Data_DBD!$B:$B,$A35)</f>
        <v>34</v>
      </c>
      <c r="C35" s="5" t="n">
        <f aca="false" t="array" ref="C35:C35">INDEX(Data_DBD!$C:$C,$A35)</f>
        <v>3</v>
      </c>
      <c r="D35" s="5" t="n">
        <f aca="false" t="array" ref="D35:D35">INDEX(Data_DBD!$E:$E,$A35)</f>
        <v>0</v>
      </c>
      <c r="E35" s="5" t="str">
        <f aca="false" t="array" ref="E35:E35">INDEX(Data_DBD!$F:$F,$A35)</f>
        <v>Sedang</v>
      </c>
      <c r="H35" s="5" t="n">
        <v>88</v>
      </c>
      <c r="I35" s="5" t="n">
        <v>20</v>
      </c>
      <c r="J35" s="5" t="n">
        <v>4</v>
      </c>
      <c r="K35" s="5" t="n">
        <v>1</v>
      </c>
      <c r="L35" s="5" t="s">
        <v>7</v>
      </c>
    </row>
    <row r="36" customFormat="false" ht="15" hidden="false" customHeight="false" outlineLevel="0" collapsed="false">
      <c r="A36" s="5" t="n">
        <f aca="false">RANDBETWEEN(2,164)</f>
        <v>134</v>
      </c>
      <c r="B36" s="5" t="n">
        <f aca="false" t="array" ref="B36:B36">INDEX(Data_DBD!$B:$B,$A36)</f>
        <v>4</v>
      </c>
      <c r="C36" s="5" t="n">
        <f aca="false" t="array" ref="C36:C36">INDEX(Data_DBD!$C:$C,$A36)</f>
        <v>2</v>
      </c>
      <c r="D36" s="5" t="n">
        <f aca="false" t="array" ref="D36:D36">INDEX(Data_DBD!$E:$E,$A36)</f>
        <v>1</v>
      </c>
      <c r="E36" s="5" t="str">
        <f aca="false" t="array" ref="E36:E36">INDEX(Data_DBD!$F:$F,$A36)</f>
        <v>Tinggi</v>
      </c>
      <c r="H36" s="5" t="n">
        <v>75</v>
      </c>
      <c r="I36" s="5" t="n">
        <v>2</v>
      </c>
      <c r="J36" s="5" t="n">
        <v>2</v>
      </c>
      <c r="K36" s="5" t="n">
        <v>1</v>
      </c>
      <c r="L36" s="5" t="s">
        <v>7</v>
      </c>
    </row>
    <row r="37" customFormat="false" ht="15" hidden="false" customHeight="false" outlineLevel="0" collapsed="false">
      <c r="A37" s="5" t="n">
        <f aca="false">RANDBETWEEN(2,164)</f>
        <v>118</v>
      </c>
      <c r="B37" s="5" t="n">
        <f aca="false" t="array" ref="B37:B37">INDEX(Data_DBD!$B:$B,$A37)</f>
        <v>67</v>
      </c>
      <c r="C37" s="5" t="n">
        <f aca="false" t="array" ref="C37:C37">INDEX(Data_DBD!$C:$C,$A37)</f>
        <v>4</v>
      </c>
      <c r="D37" s="5" t="n">
        <f aca="false" t="array" ref="D37:D37">INDEX(Data_DBD!$E:$E,$A37)</f>
        <v>1</v>
      </c>
      <c r="E37" s="5" t="str">
        <f aca="false" t="array" ref="E37:E37">INDEX(Data_DBD!$F:$F,$A37)</f>
        <v>Tinggi</v>
      </c>
      <c r="H37" s="5" t="n">
        <v>121</v>
      </c>
      <c r="I37" s="5" t="n">
        <v>82</v>
      </c>
      <c r="J37" s="5" t="n">
        <v>5</v>
      </c>
      <c r="K37" s="5" t="n">
        <v>1</v>
      </c>
      <c r="L37" s="5" t="s">
        <v>115</v>
      </c>
    </row>
    <row r="38" customFormat="false" ht="15" hidden="false" customHeight="false" outlineLevel="0" collapsed="false">
      <c r="A38" s="5" t="n">
        <f aca="false">RANDBETWEEN(2,164)</f>
        <v>93</v>
      </c>
      <c r="B38" s="5" t="n">
        <f aca="false" t="array" ref="B38:B38">INDEX(Data_DBD!$B:$B,$A38)</f>
        <v>65</v>
      </c>
      <c r="C38" s="5" t="n">
        <f aca="false" t="array" ref="C38:C38">INDEX(Data_DBD!$C:$C,$A38)</f>
        <v>4</v>
      </c>
      <c r="D38" s="5" t="n">
        <f aca="false" t="array" ref="D38:D38">INDEX(Data_DBD!$E:$E,$A38)</f>
        <v>0</v>
      </c>
      <c r="E38" s="5" t="str">
        <f aca="false" t="array" ref="E38:E38">INDEX(Data_DBD!$F:$F,$A38)</f>
        <v>Sedang</v>
      </c>
      <c r="H38" s="5" t="n">
        <v>115</v>
      </c>
      <c r="I38" s="5" t="n">
        <v>52</v>
      </c>
      <c r="J38" s="5" t="n">
        <v>3</v>
      </c>
      <c r="K38" s="5" t="n">
        <v>1</v>
      </c>
      <c r="L38" s="5" t="s">
        <v>115</v>
      </c>
    </row>
    <row r="39" customFormat="false" ht="15" hidden="false" customHeight="false" outlineLevel="0" collapsed="false">
      <c r="A39" s="5" t="n">
        <f aca="false">RANDBETWEEN(2,164)</f>
        <v>119</v>
      </c>
      <c r="B39" s="5" t="n">
        <f aca="false" t="array" ref="B39:B39">INDEX(Data_DBD!$B:$B,$A39)</f>
        <v>30</v>
      </c>
      <c r="C39" s="5" t="n">
        <f aca="false" t="array" ref="C39:C39">INDEX(Data_DBD!$C:$C,$A39)</f>
        <v>7</v>
      </c>
      <c r="D39" s="5" t="n">
        <f aca="false" t="array" ref="D39:D39">INDEX(Data_DBD!$E:$E,$A39)</f>
        <v>0</v>
      </c>
      <c r="E39" s="5" t="str">
        <f aca="false" t="array" ref="E39:E39">INDEX(Data_DBD!$F:$F,$A39)</f>
        <v>Tinggi</v>
      </c>
      <c r="H39" s="5" t="n">
        <v>158</v>
      </c>
      <c r="I39" s="5" t="n">
        <v>5</v>
      </c>
      <c r="J39" s="5" t="n">
        <v>2</v>
      </c>
      <c r="K39" s="5" t="n">
        <v>0</v>
      </c>
      <c r="L39" s="5" t="s">
        <v>115</v>
      </c>
    </row>
    <row r="40" customFormat="false" ht="15" hidden="false" customHeight="false" outlineLevel="0" collapsed="false">
      <c r="A40" s="5" t="n">
        <f aca="false">RANDBETWEEN(2,164)</f>
        <v>128</v>
      </c>
      <c r="B40" s="5" t="n">
        <f aca="false" t="array" ref="B40:B40">INDEX(Data_DBD!$B:$B,$A40)</f>
        <v>38</v>
      </c>
      <c r="C40" s="5" t="n">
        <f aca="false" t="array" ref="C40:C40">INDEX(Data_DBD!$C:$C,$A40)</f>
        <v>2</v>
      </c>
      <c r="D40" s="5" t="n">
        <f aca="false" t="array" ref="D40:D40">INDEX(Data_DBD!$E:$E,$A40)</f>
        <v>0</v>
      </c>
      <c r="E40" s="5" t="str">
        <f aca="false" t="array" ref="E40:E40">INDEX(Data_DBD!$F:$F,$A40)</f>
        <v>Tinggi</v>
      </c>
      <c r="H40" s="5" t="n">
        <v>8</v>
      </c>
      <c r="I40" s="5" t="n">
        <v>4</v>
      </c>
      <c r="J40" s="5" t="n">
        <v>2</v>
      </c>
      <c r="K40" s="5" t="n">
        <v>0</v>
      </c>
      <c r="L40" s="5" t="s">
        <v>7</v>
      </c>
    </row>
    <row r="41" customFormat="false" ht="15" hidden="false" customHeight="false" outlineLevel="0" collapsed="false">
      <c r="A41" s="5" t="n">
        <f aca="false">RANDBETWEEN(2,164)</f>
        <v>131</v>
      </c>
      <c r="B41" s="5" t="n">
        <f aca="false" t="array" ref="B41:B41">INDEX(Data_DBD!$B:$B,$A41)</f>
        <v>10</v>
      </c>
      <c r="C41" s="5" t="n">
        <f aca="false" t="array" ref="C41:C41">INDEX(Data_DBD!$C:$C,$A41)</f>
        <v>2</v>
      </c>
      <c r="D41" s="5" t="n">
        <f aca="false" t="array" ref="D41:D41">INDEX(Data_DBD!$E:$E,$A41)</f>
        <v>0</v>
      </c>
      <c r="E41" s="5" t="str">
        <f aca="false" t="array" ref="E41:E41">INDEX(Data_DBD!$F:$F,$A41)</f>
        <v>Tinggi</v>
      </c>
      <c r="H41" s="5" t="n">
        <v>92</v>
      </c>
      <c r="I41" s="5" t="n">
        <v>55</v>
      </c>
      <c r="J41" s="5" t="n">
        <v>7</v>
      </c>
      <c r="K41" s="5" t="n">
        <v>0</v>
      </c>
      <c r="L41" s="5" t="s">
        <v>115</v>
      </c>
    </row>
    <row r="42" customFormat="false" ht="15" hidden="false" customHeight="false" outlineLevel="0" collapsed="false">
      <c r="A42" s="5" t="n">
        <f aca="false">RANDBETWEEN(2,164)</f>
        <v>37</v>
      </c>
      <c r="B42" s="5" t="n">
        <f aca="false" t="array" ref="B42:B42">INDEX(Data_DBD!$B:$B,$A42)</f>
        <v>28</v>
      </c>
      <c r="C42" s="5" t="n">
        <f aca="false" t="array" ref="C42:C42">INDEX(Data_DBD!$C:$C,$A42)</f>
        <v>4</v>
      </c>
      <c r="D42" s="5" t="n">
        <f aca="false" t="array" ref="D42:D42">INDEX(Data_DBD!$E:$E,$A42)</f>
        <v>1</v>
      </c>
      <c r="E42" s="5" t="str">
        <f aca="false" t="array" ref="E42:E42">INDEX(Data_DBD!$F:$F,$A42)</f>
        <v>Rendah</v>
      </c>
      <c r="H42" s="5" t="n">
        <v>16</v>
      </c>
      <c r="I42" s="5" t="n">
        <v>66</v>
      </c>
      <c r="J42" s="5" t="n">
        <v>5</v>
      </c>
      <c r="K42" s="5" t="n">
        <v>1</v>
      </c>
      <c r="L42" s="5" t="s">
        <v>20</v>
      </c>
    </row>
    <row r="43" customFormat="false" ht="15" hidden="false" customHeight="false" outlineLevel="0" collapsed="false">
      <c r="A43" s="5" t="n">
        <f aca="false">RANDBETWEEN(2,164)</f>
        <v>2</v>
      </c>
      <c r="B43" s="5" t="n">
        <f aca="false" t="array" ref="B43:B43">INDEX(Data_DBD!$B:$B,$A43)</f>
        <v>34</v>
      </c>
      <c r="C43" s="5" t="n">
        <f aca="false" t="array" ref="C43:C43">INDEX(Data_DBD!$C:$C,$A43)</f>
        <v>3</v>
      </c>
      <c r="D43" s="5" t="n">
        <f aca="false" t="array" ref="D43:D43">INDEX(Data_DBD!$E:$E,$A43)</f>
        <v>0</v>
      </c>
      <c r="E43" s="5" t="str">
        <f aca="false" t="array" ref="E43:E43">INDEX(Data_DBD!$F:$F,$A43)</f>
        <v>Sedang</v>
      </c>
      <c r="H43" s="5" t="n">
        <v>160</v>
      </c>
      <c r="I43" s="5" t="n">
        <v>16</v>
      </c>
      <c r="J43" s="5" t="n">
        <v>3</v>
      </c>
      <c r="K43" s="5" t="n">
        <v>0</v>
      </c>
      <c r="L43" s="5" t="s">
        <v>115</v>
      </c>
    </row>
    <row r="44" customFormat="false" ht="15" hidden="false" customHeight="false" outlineLevel="0" collapsed="false">
      <c r="A44" s="5" t="n">
        <f aca="false">RANDBETWEEN(2,164)</f>
        <v>121</v>
      </c>
      <c r="B44" s="5" t="n">
        <f aca="false" t="array" ref="B44:B44">INDEX(Data_DBD!$B:$B,$A44)</f>
        <v>82</v>
      </c>
      <c r="C44" s="5" t="n">
        <f aca="false" t="array" ref="C44:C44">INDEX(Data_DBD!$C:$C,$A44)</f>
        <v>5</v>
      </c>
      <c r="D44" s="5" t="n">
        <f aca="false" t="array" ref="D44:D44">INDEX(Data_DBD!$E:$E,$A44)</f>
        <v>1</v>
      </c>
      <c r="E44" s="5" t="str">
        <f aca="false" t="array" ref="E44:E44">INDEX(Data_DBD!$F:$F,$A44)</f>
        <v>Tinggi</v>
      </c>
      <c r="H44" s="5" t="n">
        <v>11</v>
      </c>
      <c r="I44" s="5" t="n">
        <v>24</v>
      </c>
      <c r="J44" s="5" t="n">
        <v>5</v>
      </c>
      <c r="K44" s="5" t="n">
        <v>1</v>
      </c>
      <c r="L44" s="5" t="s">
        <v>7</v>
      </c>
    </row>
    <row r="45" customFormat="false" ht="15" hidden="false" customHeight="false" outlineLevel="0" collapsed="false">
      <c r="A45" s="5" t="n">
        <f aca="false">RANDBETWEEN(2,164)</f>
        <v>28</v>
      </c>
      <c r="B45" s="5" t="n">
        <f aca="false" t="array" ref="B45:B45">INDEX(Data_DBD!$B:$B,$A45)</f>
        <v>22</v>
      </c>
      <c r="C45" s="5" t="n">
        <f aca="false" t="array" ref="C45:C45">INDEX(Data_DBD!$C:$C,$A45)</f>
        <v>2</v>
      </c>
      <c r="D45" s="5" t="n">
        <f aca="false" t="array" ref="D45:D45">INDEX(Data_DBD!$E:$E,$A45)</f>
        <v>1</v>
      </c>
      <c r="E45" s="5" t="str">
        <f aca="false" t="array" ref="E45:E45">INDEX(Data_DBD!$F:$F,$A45)</f>
        <v>Sedang</v>
      </c>
      <c r="H45" s="5" t="n">
        <v>75</v>
      </c>
      <c r="I45" s="5" t="n">
        <v>2</v>
      </c>
      <c r="J45" s="5" t="n">
        <v>2</v>
      </c>
      <c r="K45" s="5" t="n">
        <v>1</v>
      </c>
      <c r="L45" s="5" t="s">
        <v>7</v>
      </c>
    </row>
    <row r="46" customFormat="false" ht="15" hidden="false" customHeight="false" outlineLevel="0" collapsed="false">
      <c r="A46" s="5" t="n">
        <f aca="false">RANDBETWEEN(2,164)</f>
        <v>45</v>
      </c>
      <c r="B46" s="5" t="n">
        <f aca="false" t="array" ref="B46:B46">INDEX(Data_DBD!$B:$B,$A46)</f>
        <v>75</v>
      </c>
      <c r="C46" s="5" t="n">
        <f aca="false" t="array" ref="C46:C46">INDEX(Data_DBD!$C:$C,$A46)</f>
        <v>3</v>
      </c>
      <c r="D46" s="5" t="n">
        <f aca="false" t="array" ref="D46:D46">INDEX(Data_DBD!$E:$E,$A46)</f>
        <v>1</v>
      </c>
      <c r="E46" s="5" t="str">
        <f aca="false" t="array" ref="E46:E46">INDEX(Data_DBD!$F:$F,$A46)</f>
        <v>Sedang</v>
      </c>
      <c r="H46" s="5" t="n">
        <v>63</v>
      </c>
      <c r="I46" s="5" t="n">
        <v>25</v>
      </c>
      <c r="J46" s="5" t="n">
        <v>3</v>
      </c>
      <c r="K46" s="5" t="n">
        <v>0</v>
      </c>
      <c r="L46" s="5" t="s">
        <v>7</v>
      </c>
    </row>
    <row r="47" customFormat="false" ht="15" hidden="false" customHeight="false" outlineLevel="0" collapsed="false">
      <c r="A47" s="5" t="n">
        <f aca="false">RANDBETWEEN(2,164)</f>
        <v>28</v>
      </c>
      <c r="B47" s="5" t="n">
        <f aca="false" t="array" ref="B47:B47">INDEX(Data_DBD!$B:$B,$A47)</f>
        <v>22</v>
      </c>
      <c r="C47" s="5" t="n">
        <f aca="false" t="array" ref="C47:C47">INDEX(Data_DBD!$C:$C,$A47)</f>
        <v>2</v>
      </c>
      <c r="D47" s="5" t="n">
        <f aca="false" t="array" ref="D47:D47">INDEX(Data_DBD!$E:$E,$A47)</f>
        <v>1</v>
      </c>
      <c r="E47" s="5" t="str">
        <f aca="false" t="array" ref="E47:E47">INDEX(Data_DBD!$F:$F,$A47)</f>
        <v>Sedang</v>
      </c>
      <c r="H47" s="5" t="n">
        <v>123</v>
      </c>
      <c r="I47" s="5" t="n">
        <v>22</v>
      </c>
      <c r="J47" s="5" t="n">
        <v>4</v>
      </c>
      <c r="K47" s="5" t="n">
        <v>0</v>
      </c>
      <c r="L47" s="5" t="s">
        <v>115</v>
      </c>
    </row>
    <row r="48" customFormat="false" ht="15" hidden="false" customHeight="false" outlineLevel="0" collapsed="false">
      <c r="A48" s="5" t="n">
        <f aca="false">RANDBETWEEN(2,164)</f>
        <v>41</v>
      </c>
      <c r="B48" s="5" t="n">
        <f aca="false" t="array" ref="B48:B48">INDEX(Data_DBD!$B:$B,$A48)</f>
        <v>8</v>
      </c>
      <c r="C48" s="5" t="n">
        <f aca="false" t="array" ref="C48:C48">INDEX(Data_DBD!$C:$C,$A48)</f>
        <v>4</v>
      </c>
      <c r="D48" s="5" t="n">
        <f aca="false" t="array" ref="D48:D48">INDEX(Data_DBD!$E:$E,$A48)</f>
        <v>0</v>
      </c>
      <c r="E48" s="5" t="str">
        <f aca="false" t="array" ref="E48:E48">INDEX(Data_DBD!$F:$F,$A48)</f>
        <v>Sedang</v>
      </c>
      <c r="H48" s="5" t="n">
        <v>52</v>
      </c>
      <c r="I48" s="5" t="n">
        <v>59</v>
      </c>
      <c r="J48" s="5" t="n">
        <v>4</v>
      </c>
      <c r="K48" s="5" t="n">
        <v>1</v>
      </c>
      <c r="L48" s="5" t="s">
        <v>7</v>
      </c>
    </row>
    <row r="49" customFormat="false" ht="15" hidden="false" customHeight="false" outlineLevel="0" collapsed="false">
      <c r="A49" s="5" t="n">
        <f aca="false">RANDBETWEEN(2,164)</f>
        <v>93</v>
      </c>
      <c r="B49" s="5" t="n">
        <f aca="false" t="array" ref="B49:B49">INDEX(Data_DBD!$B:$B,$A49)</f>
        <v>65</v>
      </c>
      <c r="C49" s="5" t="n">
        <f aca="false" t="array" ref="C49:C49">INDEX(Data_DBD!$C:$C,$A49)</f>
        <v>4</v>
      </c>
      <c r="D49" s="5" t="n">
        <f aca="false" t="array" ref="D49:D49">INDEX(Data_DBD!$E:$E,$A49)</f>
        <v>0</v>
      </c>
      <c r="E49" s="5" t="str">
        <f aca="false" t="array" ref="E49:E49">INDEX(Data_DBD!$F:$F,$A49)</f>
        <v>Sedang</v>
      </c>
      <c r="H49" s="5" t="n">
        <v>126</v>
      </c>
      <c r="I49" s="5" t="n">
        <v>51</v>
      </c>
      <c r="J49" s="5" t="n">
        <v>3</v>
      </c>
      <c r="K49" s="5" t="n">
        <v>1</v>
      </c>
      <c r="L49" s="5" t="s">
        <v>115</v>
      </c>
    </row>
    <row r="50" customFormat="false" ht="15" hidden="false" customHeight="false" outlineLevel="0" collapsed="false">
      <c r="A50" s="5" t="n">
        <f aca="false">RANDBETWEEN(2,164)</f>
        <v>93</v>
      </c>
      <c r="B50" s="5" t="n">
        <f aca="false" t="array" ref="B50:B50">INDEX(Data_DBD!$B:$B,$A50)</f>
        <v>65</v>
      </c>
      <c r="C50" s="5" t="n">
        <f aca="false" t="array" ref="C50:C50">INDEX(Data_DBD!$C:$C,$A50)</f>
        <v>4</v>
      </c>
      <c r="D50" s="5" t="n">
        <f aca="false" t="array" ref="D50:D50">INDEX(Data_DBD!$E:$E,$A50)</f>
        <v>0</v>
      </c>
      <c r="E50" s="5" t="str">
        <f aca="false" t="array" ref="E50:E50">INDEX(Data_DBD!$F:$F,$A50)</f>
        <v>Sedang</v>
      </c>
      <c r="H50" s="5" t="n">
        <v>116</v>
      </c>
      <c r="I50" s="5" t="n">
        <v>32</v>
      </c>
      <c r="J50" s="5" t="n">
        <v>4</v>
      </c>
      <c r="K50" s="5" t="n">
        <v>1</v>
      </c>
      <c r="L50" s="5" t="s">
        <v>115</v>
      </c>
    </row>
    <row r="51" customFormat="false" ht="15" hidden="false" customHeight="false" outlineLevel="0" collapsed="false">
      <c r="A51" s="5" t="n">
        <f aca="false">RANDBETWEEN(2,164)</f>
        <v>22</v>
      </c>
      <c r="B51" s="5" t="n">
        <f aca="false" t="array" ref="B51:B51">INDEX(Data_DBD!$B:$B,$A51)</f>
        <v>6</v>
      </c>
      <c r="C51" s="5" t="n">
        <f aca="false" t="array" ref="C51:C51">INDEX(Data_DBD!$C:$C,$A51)</f>
        <v>3</v>
      </c>
      <c r="D51" s="5" t="n">
        <f aca="false" t="array" ref="D51:D51">INDEX(Data_DBD!$E:$E,$A51)</f>
        <v>0</v>
      </c>
      <c r="E51" s="5" t="str">
        <f aca="false" t="array" ref="E51:E51">INDEX(Data_DBD!$F:$F,$A51)</f>
        <v>Sedang</v>
      </c>
      <c r="H51" s="5" t="n">
        <v>116</v>
      </c>
      <c r="I51" s="5" t="n">
        <v>32</v>
      </c>
      <c r="J51" s="5" t="n">
        <v>4</v>
      </c>
      <c r="K51" s="5" t="n">
        <v>1</v>
      </c>
      <c r="L51" s="5" t="s">
        <v>115</v>
      </c>
    </row>
    <row r="52" customFormat="false" ht="15" hidden="false" customHeight="false" outlineLevel="0" collapsed="false">
      <c r="A52" s="5" t="n">
        <f aca="false">RANDBETWEEN(2,164)</f>
        <v>31</v>
      </c>
      <c r="B52" s="5" t="n">
        <f aca="false" t="array" ref="B52:B52">INDEX(Data_DBD!$B:$B,$A52)</f>
        <v>64</v>
      </c>
      <c r="C52" s="5" t="n">
        <f aca="false" t="array" ref="C52:C52">INDEX(Data_DBD!$C:$C,$A52)</f>
        <v>4</v>
      </c>
      <c r="D52" s="5" t="n">
        <f aca="false" t="array" ref="D52:D52">INDEX(Data_DBD!$E:$E,$A52)</f>
        <v>1</v>
      </c>
      <c r="E52" s="5" t="str">
        <f aca="false" t="array" ref="E52:E52">INDEX(Data_DBD!$F:$F,$A52)</f>
        <v>Sedang</v>
      </c>
      <c r="H52" s="5" t="n">
        <v>31</v>
      </c>
      <c r="I52" s="5" t="n">
        <v>64</v>
      </c>
      <c r="J52" s="5" t="n">
        <v>4</v>
      </c>
      <c r="K52" s="5" t="n">
        <v>1</v>
      </c>
      <c r="L52" s="5" t="s">
        <v>7</v>
      </c>
    </row>
    <row r="53" customFormat="false" ht="15" hidden="false" customHeight="false" outlineLevel="0" collapsed="false">
      <c r="A53" s="5" t="n">
        <f aca="false">RANDBETWEEN(2,164)</f>
        <v>119</v>
      </c>
      <c r="B53" s="5" t="n">
        <f aca="false" t="array" ref="B53:B53">INDEX(Data_DBD!$B:$B,$A53)</f>
        <v>30</v>
      </c>
      <c r="C53" s="5" t="n">
        <f aca="false" t="array" ref="C53:C53">INDEX(Data_DBD!$C:$C,$A53)</f>
        <v>7</v>
      </c>
      <c r="D53" s="5" t="n">
        <f aca="false" t="array" ref="D53:D53">INDEX(Data_DBD!$E:$E,$A53)</f>
        <v>0</v>
      </c>
      <c r="E53" s="5" t="str">
        <f aca="false" t="array" ref="E53:E53">INDEX(Data_DBD!$F:$F,$A53)</f>
        <v>Tinggi</v>
      </c>
      <c r="H53" s="5" t="n">
        <v>49</v>
      </c>
      <c r="I53" s="5" t="n">
        <v>64</v>
      </c>
      <c r="J53" s="5" t="n">
        <v>5</v>
      </c>
      <c r="K53" s="5" t="n">
        <v>0</v>
      </c>
      <c r="L53" s="5" t="s">
        <v>7</v>
      </c>
    </row>
    <row r="54" customFormat="false" ht="15" hidden="false" customHeight="false" outlineLevel="0" collapsed="false">
      <c r="A54" s="5" t="n">
        <f aca="false">RANDBETWEEN(2,164)</f>
        <v>98</v>
      </c>
      <c r="B54" s="5" t="n">
        <f aca="false" t="array" ref="B54:B54">INDEX(Data_DBD!$B:$B,$A54)</f>
        <v>16</v>
      </c>
      <c r="C54" s="5" t="n">
        <f aca="false" t="array" ref="C54:C54">INDEX(Data_DBD!$C:$C,$A54)</f>
        <v>2</v>
      </c>
      <c r="D54" s="5" t="n">
        <f aca="false" t="array" ref="D54:D54">INDEX(Data_DBD!$E:$E,$A54)</f>
        <v>1</v>
      </c>
      <c r="E54" s="5" t="str">
        <f aca="false" t="array" ref="E54:E54">INDEX(Data_DBD!$F:$F,$A54)</f>
        <v>Sedang</v>
      </c>
      <c r="H54" s="5" t="n">
        <v>11</v>
      </c>
      <c r="I54" s="5" t="n">
        <v>24</v>
      </c>
      <c r="J54" s="5" t="n">
        <v>5</v>
      </c>
      <c r="K54" s="5" t="n">
        <v>1</v>
      </c>
      <c r="L54" s="5" t="s">
        <v>7</v>
      </c>
    </row>
    <row r="55" customFormat="false" ht="15" hidden="false" customHeight="false" outlineLevel="0" collapsed="false">
      <c r="A55" s="5" t="n">
        <f aca="false">RANDBETWEEN(2,164)</f>
        <v>15</v>
      </c>
      <c r="B55" s="5" t="n">
        <f aca="false" t="array" ref="B55:B55">INDEX(Data_DBD!$B:$B,$A55)</f>
        <v>21</v>
      </c>
      <c r="C55" s="5" t="n">
        <f aca="false" t="array" ref="C55:C55">INDEX(Data_DBD!$C:$C,$A55)</f>
        <v>2</v>
      </c>
      <c r="D55" s="5" t="n">
        <f aca="false" t="array" ref="D55:D55">INDEX(Data_DBD!$E:$E,$A55)</f>
        <v>0</v>
      </c>
      <c r="E55" s="5" t="str">
        <f aca="false" t="array" ref="E55:E55">INDEX(Data_DBD!$F:$F,$A55)</f>
        <v>Rendah</v>
      </c>
      <c r="H55" s="5" t="n">
        <v>53</v>
      </c>
      <c r="I55" s="5" t="n">
        <v>35</v>
      </c>
      <c r="J55" s="5" t="n">
        <v>4</v>
      </c>
      <c r="K55" s="5" t="n">
        <v>1</v>
      </c>
      <c r="L55" s="5" t="s">
        <v>7</v>
      </c>
    </row>
    <row r="56" customFormat="false" ht="15" hidden="false" customHeight="false" outlineLevel="0" collapsed="false">
      <c r="A56" s="5" t="n">
        <f aca="false">RANDBETWEEN(2,164)</f>
        <v>61</v>
      </c>
      <c r="B56" s="5" t="n">
        <f aca="false" t="array" ref="B56:B56">INDEX(Data_DBD!$B:$B,$A56)</f>
        <v>29</v>
      </c>
      <c r="C56" s="5" t="n">
        <f aca="false" t="array" ref="C56:C56">INDEX(Data_DBD!$C:$C,$A56)</f>
        <v>3</v>
      </c>
      <c r="D56" s="5" t="n">
        <f aca="false" t="array" ref="D56:D56">INDEX(Data_DBD!$E:$E,$A56)</f>
        <v>1</v>
      </c>
      <c r="E56" s="5" t="str">
        <f aca="false" t="array" ref="E56:E56">INDEX(Data_DBD!$F:$F,$A56)</f>
        <v>Sedang</v>
      </c>
      <c r="H56" s="5" t="n">
        <v>111</v>
      </c>
      <c r="I56" s="5" t="n">
        <v>25</v>
      </c>
      <c r="J56" s="5" t="n">
        <v>4</v>
      </c>
      <c r="K56" s="5" t="n">
        <v>0</v>
      </c>
      <c r="L56" s="5" t="s">
        <v>115</v>
      </c>
    </row>
    <row r="57" customFormat="false" ht="15" hidden="false" customHeight="false" outlineLevel="0" collapsed="false">
      <c r="A57" s="5" t="n">
        <f aca="false">RANDBETWEEN(2,164)</f>
        <v>40</v>
      </c>
      <c r="B57" s="5" t="n">
        <f aca="false" t="array" ref="B57:B57">INDEX(Data_DBD!$B:$B,$A57)</f>
        <v>65</v>
      </c>
      <c r="C57" s="5" t="n">
        <f aca="false" t="array" ref="C57:C57">INDEX(Data_DBD!$C:$C,$A57)</f>
        <v>3</v>
      </c>
      <c r="D57" s="5" t="n">
        <f aca="false" t="array" ref="D57:D57">INDEX(Data_DBD!$E:$E,$A57)</f>
        <v>1</v>
      </c>
      <c r="E57" s="5" t="str">
        <f aca="false" t="array" ref="E57:E57">INDEX(Data_DBD!$F:$F,$A57)</f>
        <v>Sedang</v>
      </c>
      <c r="H57" s="5" t="n">
        <v>18</v>
      </c>
      <c r="I57" s="5" t="n">
        <v>49</v>
      </c>
      <c r="J57" s="5" t="n">
        <v>4</v>
      </c>
      <c r="K57" s="5" t="n">
        <v>1</v>
      </c>
      <c r="L57" s="5" t="s">
        <v>20</v>
      </c>
    </row>
    <row r="58" customFormat="false" ht="15" hidden="false" customHeight="false" outlineLevel="0" collapsed="false">
      <c r="A58" s="5" t="n">
        <f aca="false">RANDBETWEEN(2,164)</f>
        <v>115</v>
      </c>
      <c r="B58" s="5" t="n">
        <f aca="false" t="array" ref="B58:B58">INDEX(Data_DBD!$B:$B,$A58)</f>
        <v>52</v>
      </c>
      <c r="C58" s="5" t="n">
        <f aca="false" t="array" ref="C58:C58">INDEX(Data_DBD!$C:$C,$A58)</f>
        <v>3</v>
      </c>
      <c r="D58" s="5" t="n">
        <f aca="false" t="array" ref="D58:D58">INDEX(Data_DBD!$E:$E,$A58)</f>
        <v>1</v>
      </c>
      <c r="E58" s="5" t="str">
        <f aca="false" t="array" ref="E58:E58">INDEX(Data_DBD!$F:$F,$A58)</f>
        <v>Tinggi</v>
      </c>
      <c r="H58" s="5" t="n">
        <v>24</v>
      </c>
      <c r="I58" s="5" t="n">
        <v>60</v>
      </c>
      <c r="J58" s="5" t="n">
        <v>4</v>
      </c>
      <c r="K58" s="5" t="n">
        <v>0</v>
      </c>
      <c r="L58" s="5" t="s">
        <v>7</v>
      </c>
    </row>
    <row r="59" customFormat="false" ht="15" hidden="false" customHeight="false" outlineLevel="0" collapsed="false">
      <c r="A59" s="5" t="n">
        <f aca="false">RANDBETWEEN(2,164)</f>
        <v>21</v>
      </c>
      <c r="B59" s="5" t="n">
        <f aca="false" t="array" ref="B59:B59">INDEX(Data_DBD!$B:$B,$A59)</f>
        <v>10</v>
      </c>
      <c r="C59" s="5" t="n">
        <f aca="false" t="array" ref="C59:C59">INDEX(Data_DBD!$C:$C,$A59)</f>
        <v>5</v>
      </c>
      <c r="D59" s="5" t="n">
        <f aca="false" t="array" ref="D59:D59">INDEX(Data_DBD!$E:$E,$A59)</f>
        <v>1</v>
      </c>
      <c r="E59" s="5" t="str">
        <f aca="false" t="array" ref="E59:E59">INDEX(Data_DBD!$F:$F,$A59)</f>
        <v>Sedang</v>
      </c>
      <c r="H59" s="5" t="n">
        <v>40</v>
      </c>
      <c r="I59" s="5" t="n">
        <v>65</v>
      </c>
      <c r="J59" s="5" t="n">
        <v>3</v>
      </c>
      <c r="K59" s="5" t="n">
        <v>1</v>
      </c>
      <c r="L59" s="5" t="s">
        <v>7</v>
      </c>
    </row>
    <row r="60" customFormat="false" ht="15" hidden="false" customHeight="false" outlineLevel="0" collapsed="false">
      <c r="A60" s="5" t="n">
        <f aca="false">RANDBETWEEN(2,164)</f>
        <v>142</v>
      </c>
      <c r="B60" s="5" t="n">
        <f aca="false" t="array" ref="B60:B60">INDEX(Data_DBD!$B:$B,$A60)</f>
        <v>39</v>
      </c>
      <c r="C60" s="5" t="n">
        <f aca="false" t="array" ref="C60:C60">INDEX(Data_DBD!$C:$C,$A60)</f>
        <v>2</v>
      </c>
      <c r="D60" s="5" t="n">
        <f aca="false" t="array" ref="D60:D60">INDEX(Data_DBD!$E:$E,$A60)</f>
        <v>1</v>
      </c>
      <c r="E60" s="5" t="str">
        <f aca="false" t="array" ref="E60:E60">INDEX(Data_DBD!$F:$F,$A60)</f>
        <v>Tinggi</v>
      </c>
      <c r="H60" s="5" t="n">
        <v>137</v>
      </c>
      <c r="I60" s="5" t="n">
        <v>3</v>
      </c>
      <c r="J60" s="5" t="n">
        <v>1</v>
      </c>
      <c r="K60" s="5" t="n">
        <v>1</v>
      </c>
      <c r="L60" s="5" t="s">
        <v>115</v>
      </c>
    </row>
    <row r="61" customFormat="false" ht="15" hidden="false" customHeight="false" outlineLevel="0" collapsed="false">
      <c r="A61" s="5" t="n">
        <f aca="false">RANDBETWEEN(2,164)</f>
        <v>108</v>
      </c>
      <c r="B61" s="5" t="n">
        <f aca="false" t="array" ref="B61:B61">INDEX(Data_DBD!$B:$B,$A61)</f>
        <v>69</v>
      </c>
      <c r="C61" s="5" t="n">
        <f aca="false" t="array" ref="C61:C61">INDEX(Data_DBD!$C:$C,$A61)</f>
        <v>7</v>
      </c>
      <c r="D61" s="5" t="n">
        <f aca="false" t="array" ref="D61:D61">INDEX(Data_DBD!$E:$E,$A61)</f>
        <v>1</v>
      </c>
      <c r="E61" s="5" t="str">
        <f aca="false" t="array" ref="E61:E61">INDEX(Data_DBD!$F:$F,$A61)</f>
        <v>Tinggi</v>
      </c>
      <c r="H61" s="5" t="n">
        <v>33</v>
      </c>
      <c r="I61" s="5" t="n">
        <v>19</v>
      </c>
      <c r="J61" s="5" t="n">
        <v>4</v>
      </c>
      <c r="K61" s="5" t="n">
        <v>1</v>
      </c>
      <c r="L61" s="5" t="s">
        <v>7</v>
      </c>
    </row>
    <row r="62" customFormat="false" ht="15" hidden="false" customHeight="false" outlineLevel="0" collapsed="false">
      <c r="A62" s="5" t="n">
        <f aca="false">RANDBETWEEN(2,164)</f>
        <v>129</v>
      </c>
      <c r="B62" s="5" t="n">
        <f aca="false" t="array" ref="B62:B62">INDEX(Data_DBD!$B:$B,$A62)</f>
        <v>4</v>
      </c>
      <c r="C62" s="5" t="n">
        <f aca="false" t="array" ref="C62:C62">INDEX(Data_DBD!$C:$C,$A62)</f>
        <v>3</v>
      </c>
      <c r="D62" s="5" t="n">
        <f aca="false" t="array" ref="D62:D62">INDEX(Data_DBD!$E:$E,$A62)</f>
        <v>0</v>
      </c>
      <c r="E62" s="5" t="str">
        <f aca="false" t="array" ref="E62:E62">INDEX(Data_DBD!$F:$F,$A62)</f>
        <v>Tinggi</v>
      </c>
      <c r="H62" s="5" t="n">
        <v>55</v>
      </c>
      <c r="I62" s="5" t="n">
        <v>7</v>
      </c>
      <c r="J62" s="5" t="n">
        <v>4</v>
      </c>
      <c r="K62" s="5" t="n">
        <v>1</v>
      </c>
      <c r="L62" s="5" t="s">
        <v>7</v>
      </c>
    </row>
    <row r="63" customFormat="false" ht="15" hidden="false" customHeight="false" outlineLevel="0" collapsed="false">
      <c r="A63" s="5" t="n">
        <f aca="false">RANDBETWEEN(2,164)</f>
        <v>85</v>
      </c>
      <c r="B63" s="5" t="n">
        <f aca="false" t="array" ref="B63:B63">INDEX(Data_DBD!$B:$B,$A63)</f>
        <v>27</v>
      </c>
      <c r="C63" s="5" t="n">
        <f aca="false" t="array" ref="C63:C63">INDEX(Data_DBD!$C:$C,$A63)</f>
        <v>9</v>
      </c>
      <c r="D63" s="5" t="n">
        <f aca="false" t="array" ref="D63:D63">INDEX(Data_DBD!$E:$E,$A63)</f>
        <v>0</v>
      </c>
      <c r="E63" s="5" t="str">
        <f aca="false" t="array" ref="E63:E63">INDEX(Data_DBD!$F:$F,$A63)</f>
        <v>Sedang</v>
      </c>
      <c r="H63" s="5" t="n">
        <v>77</v>
      </c>
      <c r="I63" s="5" t="n">
        <v>16</v>
      </c>
      <c r="J63" s="5" t="n">
        <v>4</v>
      </c>
      <c r="K63" s="5" t="n">
        <v>1</v>
      </c>
      <c r="L63" s="5" t="s">
        <v>7</v>
      </c>
    </row>
    <row r="64" customFormat="false" ht="15" hidden="false" customHeight="false" outlineLevel="0" collapsed="false">
      <c r="A64" s="5" t="n">
        <f aca="false">RANDBETWEEN(2,164)</f>
        <v>53</v>
      </c>
      <c r="B64" s="5" t="n">
        <f aca="false" t="array" ref="B64:B64">INDEX(Data_DBD!$B:$B,$A64)</f>
        <v>35</v>
      </c>
      <c r="C64" s="5" t="n">
        <f aca="false" t="array" ref="C64:C64">INDEX(Data_DBD!$C:$C,$A64)</f>
        <v>4</v>
      </c>
      <c r="D64" s="5" t="n">
        <f aca="false" t="array" ref="D64:D64">INDEX(Data_DBD!$E:$E,$A64)</f>
        <v>1</v>
      </c>
      <c r="E64" s="5" t="str">
        <f aca="false" t="array" ref="E64:E64">INDEX(Data_DBD!$F:$F,$A64)</f>
        <v>Sedang</v>
      </c>
      <c r="H64" s="5" t="n">
        <v>93</v>
      </c>
      <c r="I64" s="5" t="n">
        <v>65</v>
      </c>
      <c r="J64" s="5" t="n">
        <v>4</v>
      </c>
      <c r="K64" s="5" t="n">
        <v>0</v>
      </c>
      <c r="L64" s="5" t="s">
        <v>115</v>
      </c>
    </row>
    <row r="65" customFormat="false" ht="15" hidden="false" customHeight="false" outlineLevel="0" collapsed="false">
      <c r="A65" s="5" t="n">
        <f aca="false">RANDBETWEEN(2,164)</f>
        <v>58</v>
      </c>
      <c r="B65" s="5" t="n">
        <f aca="false" t="array" ref="B65:B65">INDEX(Data_DBD!$B:$B,$A65)</f>
        <v>17</v>
      </c>
      <c r="C65" s="5" t="n">
        <f aca="false" t="array" ref="C65:C65">INDEX(Data_DBD!$C:$C,$A65)</f>
        <v>3</v>
      </c>
      <c r="D65" s="5" t="n">
        <f aca="false" t="array" ref="D65:D65">INDEX(Data_DBD!$E:$E,$A65)</f>
        <v>0</v>
      </c>
      <c r="E65" s="5" t="str">
        <f aca="false" t="array" ref="E65:E65">INDEX(Data_DBD!$F:$F,$A65)</f>
        <v>Sedang</v>
      </c>
      <c r="H65" s="5" t="n">
        <v>39</v>
      </c>
      <c r="I65" s="5" t="n">
        <v>12</v>
      </c>
      <c r="J65" s="5" t="n">
        <v>5</v>
      </c>
      <c r="K65" s="5" t="n">
        <v>1</v>
      </c>
      <c r="L65" s="5" t="s">
        <v>7</v>
      </c>
    </row>
    <row r="66" customFormat="false" ht="15" hidden="false" customHeight="false" outlineLevel="0" collapsed="false">
      <c r="A66" s="5" t="n">
        <f aca="false">RANDBETWEEN(2,164)</f>
        <v>111</v>
      </c>
      <c r="B66" s="5" t="n">
        <f aca="false" t="array" ref="B66:B66">INDEX(Data_DBD!$B:$B,$A66)</f>
        <v>25</v>
      </c>
      <c r="C66" s="5" t="n">
        <f aca="false" t="array" ref="C66:C66">INDEX(Data_DBD!$C:$C,$A66)</f>
        <v>4</v>
      </c>
      <c r="D66" s="5" t="n">
        <f aca="false" t="array" ref="D66:D66">INDEX(Data_DBD!$E:$E,$A66)</f>
        <v>0</v>
      </c>
      <c r="E66" s="5" t="str">
        <f aca="false" t="array" ref="E66:E66">INDEX(Data_DBD!$F:$F,$A66)</f>
        <v>Tinggi</v>
      </c>
      <c r="H66" s="5" t="n">
        <v>34</v>
      </c>
      <c r="I66" s="5" t="n">
        <v>55</v>
      </c>
      <c r="J66" s="5" t="n">
        <v>3</v>
      </c>
      <c r="K66" s="5" t="n">
        <v>0</v>
      </c>
      <c r="L66" s="5" t="s">
        <v>7</v>
      </c>
    </row>
    <row r="67" customFormat="false" ht="15" hidden="false" customHeight="false" outlineLevel="0" collapsed="false">
      <c r="A67" s="5" t="n">
        <f aca="false">RANDBETWEEN(2,164)</f>
        <v>80</v>
      </c>
      <c r="B67" s="5" t="n">
        <f aca="false" t="array" ref="B67:B67">INDEX(Data_DBD!$B:$B,$A67)</f>
        <v>27</v>
      </c>
      <c r="C67" s="5" t="n">
        <f aca="false" t="array" ref="C67:C67">INDEX(Data_DBD!$C:$C,$A67)</f>
        <v>3</v>
      </c>
      <c r="D67" s="5" t="n">
        <f aca="false" t="array" ref="D67:D67">INDEX(Data_DBD!$E:$E,$A67)</f>
        <v>1</v>
      </c>
      <c r="E67" s="5" t="str">
        <f aca="false" t="array" ref="E67:E67">INDEX(Data_DBD!$F:$F,$A67)</f>
        <v>Sedang</v>
      </c>
      <c r="H67" s="5" t="n">
        <v>49</v>
      </c>
      <c r="I67" s="5" t="n">
        <v>64</v>
      </c>
      <c r="J67" s="5" t="n">
        <v>5</v>
      </c>
      <c r="K67" s="5" t="n">
        <v>0</v>
      </c>
      <c r="L67" s="5" t="s">
        <v>7</v>
      </c>
    </row>
    <row r="68" customFormat="false" ht="15" hidden="false" customHeight="false" outlineLevel="0" collapsed="false">
      <c r="A68" s="5" t="n">
        <f aca="false">RANDBETWEEN(2,164)</f>
        <v>45</v>
      </c>
      <c r="B68" s="5" t="n">
        <f aca="false" t="array" ref="B68:B68">INDEX(Data_DBD!$B:$B,$A68)</f>
        <v>75</v>
      </c>
      <c r="C68" s="5" t="n">
        <f aca="false" t="array" ref="C68:C68">INDEX(Data_DBD!$C:$C,$A68)</f>
        <v>3</v>
      </c>
      <c r="D68" s="5" t="n">
        <f aca="false" t="array" ref="D68:D68">INDEX(Data_DBD!$E:$E,$A68)</f>
        <v>1</v>
      </c>
      <c r="E68" s="5" t="str">
        <f aca="false" t="array" ref="E68:E68">INDEX(Data_DBD!$F:$F,$A68)</f>
        <v>Sedang</v>
      </c>
      <c r="H68" s="5" t="n">
        <v>123</v>
      </c>
      <c r="I68" s="5" t="n">
        <v>22</v>
      </c>
      <c r="J68" s="5" t="n">
        <v>4</v>
      </c>
      <c r="K68" s="5" t="n">
        <v>0</v>
      </c>
      <c r="L68" s="5" t="s">
        <v>115</v>
      </c>
    </row>
    <row r="69" customFormat="false" ht="15" hidden="false" customHeight="false" outlineLevel="0" collapsed="false">
      <c r="A69" s="5" t="n">
        <f aca="false">RANDBETWEEN(2,164)</f>
        <v>10</v>
      </c>
      <c r="B69" s="5" t="n">
        <f aca="false" t="array" ref="B69:B69">INDEX(Data_DBD!$B:$B,$A69)</f>
        <v>18</v>
      </c>
      <c r="C69" s="5" t="n">
        <f aca="false" t="array" ref="C69:C69">INDEX(Data_DBD!$C:$C,$A69)</f>
        <v>5</v>
      </c>
      <c r="D69" s="5" t="n">
        <f aca="false" t="array" ref="D69:D69">INDEX(Data_DBD!$E:$E,$A69)</f>
        <v>0</v>
      </c>
      <c r="E69" s="5" t="str">
        <f aca="false" t="array" ref="E69:E69">INDEX(Data_DBD!$F:$F,$A69)</f>
        <v>Sedang</v>
      </c>
      <c r="H69" s="5" t="n">
        <v>81</v>
      </c>
      <c r="I69" s="5" t="n">
        <v>23</v>
      </c>
      <c r="J69" s="5" t="n">
        <v>5</v>
      </c>
      <c r="K69" s="5" t="n">
        <v>1</v>
      </c>
      <c r="L69" s="5" t="s">
        <v>7</v>
      </c>
    </row>
    <row r="70" customFormat="false" ht="15" hidden="false" customHeight="false" outlineLevel="0" collapsed="false">
      <c r="A70" s="5" t="n">
        <f aca="false">RANDBETWEEN(2,164)</f>
        <v>98</v>
      </c>
      <c r="B70" s="5" t="n">
        <f aca="false" t="array" ref="B70:B70">INDEX(Data_DBD!$B:$B,$A70)</f>
        <v>16</v>
      </c>
      <c r="C70" s="5" t="n">
        <f aca="false" t="array" ref="C70:C70">INDEX(Data_DBD!$C:$C,$A70)</f>
        <v>2</v>
      </c>
      <c r="D70" s="5" t="n">
        <f aca="false" t="array" ref="D70:D70">INDEX(Data_DBD!$E:$E,$A70)</f>
        <v>1</v>
      </c>
      <c r="E70" s="5" t="str">
        <f aca="false" t="array" ref="E70:E70">INDEX(Data_DBD!$F:$F,$A70)</f>
        <v>Sedang</v>
      </c>
      <c r="H70" s="5" t="n">
        <v>137</v>
      </c>
      <c r="I70" s="5" t="n">
        <v>3</v>
      </c>
      <c r="J70" s="5" t="n">
        <v>1</v>
      </c>
      <c r="K70" s="5" t="n">
        <v>1</v>
      </c>
      <c r="L70" s="5" t="s">
        <v>115</v>
      </c>
    </row>
    <row r="71" customFormat="false" ht="15" hidden="false" customHeight="false" outlineLevel="0" collapsed="false">
      <c r="A71" s="5" t="n">
        <f aca="false">RANDBETWEEN(2,164)</f>
        <v>123</v>
      </c>
      <c r="B71" s="5" t="n">
        <f aca="false" t="array" ref="B71:B71">INDEX(Data_DBD!$B:$B,$A71)</f>
        <v>22</v>
      </c>
      <c r="C71" s="5" t="n">
        <f aca="false" t="array" ref="C71:C71">INDEX(Data_DBD!$C:$C,$A71)</f>
        <v>4</v>
      </c>
      <c r="D71" s="5" t="n">
        <f aca="false" t="array" ref="D71:D71">INDEX(Data_DBD!$E:$E,$A71)</f>
        <v>0</v>
      </c>
      <c r="E71" s="5" t="str">
        <f aca="false" t="array" ref="E71:E71">INDEX(Data_DBD!$F:$F,$A71)</f>
        <v>Tinggi</v>
      </c>
      <c r="H71" s="5" t="n">
        <v>114</v>
      </c>
      <c r="I71" s="5" t="n">
        <v>14</v>
      </c>
      <c r="J71" s="5" t="n">
        <v>2</v>
      </c>
      <c r="K71" s="5" t="n">
        <v>1</v>
      </c>
      <c r="L71" s="5" t="s">
        <v>115</v>
      </c>
    </row>
    <row r="72" customFormat="false" ht="15" hidden="false" customHeight="false" outlineLevel="0" collapsed="false">
      <c r="A72" s="5" t="n">
        <f aca="false">RANDBETWEEN(2,164)</f>
        <v>86</v>
      </c>
      <c r="B72" s="5" t="n">
        <f aca="false" t="array" ref="B72:B72">INDEX(Data_DBD!$B:$B,$A72)</f>
        <v>23</v>
      </c>
      <c r="C72" s="5" t="n">
        <f aca="false" t="array" ref="C72:C72">INDEX(Data_DBD!$C:$C,$A72)</f>
        <v>3</v>
      </c>
      <c r="D72" s="5" t="n">
        <f aca="false" t="array" ref="D72:D72">INDEX(Data_DBD!$E:$E,$A72)</f>
        <v>0</v>
      </c>
      <c r="E72" s="5" t="str">
        <f aca="false" t="array" ref="E72:E72">INDEX(Data_DBD!$F:$F,$A72)</f>
        <v>Sedang</v>
      </c>
      <c r="H72" s="5" t="n">
        <v>108</v>
      </c>
      <c r="I72" s="5" t="n">
        <v>69</v>
      </c>
      <c r="J72" s="5" t="n">
        <v>7</v>
      </c>
      <c r="K72" s="5" t="n">
        <v>1</v>
      </c>
      <c r="L72" s="5" t="s">
        <v>115</v>
      </c>
    </row>
    <row r="73" customFormat="false" ht="15" hidden="false" customHeight="false" outlineLevel="0" collapsed="false">
      <c r="A73" s="5" t="n">
        <f aca="false">RANDBETWEEN(2,164)</f>
        <v>103</v>
      </c>
      <c r="B73" s="5" t="n">
        <f aca="false" t="array" ref="B73:B73">INDEX(Data_DBD!$B:$B,$A73)</f>
        <v>22</v>
      </c>
      <c r="C73" s="5" t="n">
        <f aca="false" t="array" ref="C73:C73">INDEX(Data_DBD!$C:$C,$A73)</f>
        <v>5</v>
      </c>
      <c r="D73" s="5" t="n">
        <f aca="false" t="array" ref="D73:D73">INDEX(Data_DBD!$E:$E,$A73)</f>
        <v>0</v>
      </c>
      <c r="E73" s="5" t="str">
        <f aca="false" t="array" ref="E73:E73">INDEX(Data_DBD!$F:$F,$A73)</f>
        <v>Sedang</v>
      </c>
      <c r="H73" s="5" t="n">
        <v>108</v>
      </c>
      <c r="I73" s="5" t="n">
        <v>69</v>
      </c>
      <c r="J73" s="5" t="n">
        <v>7</v>
      </c>
      <c r="K73" s="5" t="n">
        <v>1</v>
      </c>
      <c r="L73" s="5" t="s">
        <v>115</v>
      </c>
    </row>
    <row r="74" customFormat="false" ht="15" hidden="false" customHeight="false" outlineLevel="0" collapsed="false">
      <c r="A74" s="5" t="n">
        <f aca="false">RANDBETWEEN(2,164)</f>
        <v>132</v>
      </c>
      <c r="B74" s="5" t="n">
        <f aca="false" t="array" ref="B74:B74">INDEX(Data_DBD!$B:$B,$A74)</f>
        <v>10</v>
      </c>
      <c r="C74" s="5" t="n">
        <f aca="false" t="array" ref="C74:C74">INDEX(Data_DBD!$C:$C,$A74)</f>
        <v>3</v>
      </c>
      <c r="D74" s="5" t="n">
        <f aca="false" t="array" ref="D74:D74">INDEX(Data_DBD!$E:$E,$A74)</f>
        <v>1</v>
      </c>
      <c r="E74" s="5" t="str">
        <f aca="false" t="array" ref="E74:E74">INDEX(Data_DBD!$F:$F,$A74)</f>
        <v>Tinggi</v>
      </c>
      <c r="H74" s="5" t="n">
        <v>45</v>
      </c>
      <c r="I74" s="5" t="n">
        <v>75</v>
      </c>
      <c r="J74" s="5" t="n">
        <v>3</v>
      </c>
      <c r="K74" s="5" t="n">
        <v>1</v>
      </c>
      <c r="L74" s="5" t="s">
        <v>7</v>
      </c>
    </row>
    <row r="75" customFormat="false" ht="15" hidden="false" customHeight="false" outlineLevel="0" collapsed="false">
      <c r="A75" s="5" t="n">
        <f aca="false">RANDBETWEEN(2,164)</f>
        <v>45</v>
      </c>
      <c r="B75" s="5" t="n">
        <f aca="false" t="array" ref="B75:B75">INDEX(Data_DBD!$B:$B,$A75)</f>
        <v>75</v>
      </c>
      <c r="C75" s="5" t="n">
        <f aca="false" t="array" ref="C75:C75">INDEX(Data_DBD!$C:$C,$A75)</f>
        <v>3</v>
      </c>
      <c r="D75" s="5" t="n">
        <f aca="false" t="array" ref="D75:D75">INDEX(Data_DBD!$E:$E,$A75)</f>
        <v>1</v>
      </c>
      <c r="E75" s="5" t="str">
        <f aca="false" t="array" ref="E75:E75">INDEX(Data_DBD!$F:$F,$A75)</f>
        <v>Sedang</v>
      </c>
      <c r="H75" s="5" t="n">
        <v>139</v>
      </c>
      <c r="I75" s="5" t="n">
        <v>52</v>
      </c>
      <c r="J75" s="5" t="n">
        <v>7</v>
      </c>
      <c r="K75" s="5" t="n">
        <v>0</v>
      </c>
      <c r="L75" s="5" t="s">
        <v>115</v>
      </c>
    </row>
    <row r="76" customFormat="false" ht="15" hidden="false" customHeight="false" outlineLevel="0" collapsed="false">
      <c r="A76" s="5" t="n">
        <f aca="false">RANDBETWEEN(2,164)</f>
        <v>16</v>
      </c>
      <c r="B76" s="5" t="n">
        <f aca="false" t="array" ref="B76:B76">INDEX(Data_DBD!$B:$B,$A76)</f>
        <v>66</v>
      </c>
      <c r="C76" s="5" t="n">
        <f aca="false" t="array" ref="C76:C76">INDEX(Data_DBD!$C:$C,$A76)</f>
        <v>5</v>
      </c>
      <c r="D76" s="5" t="n">
        <f aca="false" t="array" ref="D76:D76">INDEX(Data_DBD!$E:$E,$A76)</f>
        <v>1</v>
      </c>
      <c r="E76" s="5" t="str">
        <f aca="false" t="array" ref="E76:E76">INDEX(Data_DBD!$F:$F,$A76)</f>
        <v>Rendah</v>
      </c>
      <c r="H76" s="5" t="n">
        <v>21</v>
      </c>
      <c r="I76" s="5" t="n">
        <v>10</v>
      </c>
      <c r="J76" s="5" t="n">
        <v>5</v>
      </c>
      <c r="K76" s="5" t="n">
        <v>1</v>
      </c>
      <c r="L76" s="5" t="s">
        <v>7</v>
      </c>
    </row>
    <row r="77" customFormat="false" ht="15" hidden="false" customHeight="false" outlineLevel="0" collapsed="false">
      <c r="A77" s="5" t="n">
        <f aca="false">RANDBETWEEN(2,164)</f>
        <v>98</v>
      </c>
      <c r="B77" s="5" t="n">
        <f aca="false" t="array" ref="B77:B77">INDEX(Data_DBD!$B:$B,$A77)</f>
        <v>16</v>
      </c>
      <c r="C77" s="5" t="n">
        <f aca="false" t="array" ref="C77:C77">INDEX(Data_DBD!$C:$C,$A77)</f>
        <v>2</v>
      </c>
      <c r="D77" s="5" t="n">
        <f aca="false" t="array" ref="D77:D77">INDEX(Data_DBD!$E:$E,$A77)</f>
        <v>1</v>
      </c>
      <c r="E77" s="5" t="str">
        <f aca="false" t="array" ref="E77:E77">INDEX(Data_DBD!$F:$F,$A77)</f>
        <v>Sedang</v>
      </c>
      <c r="H77" s="5" t="n">
        <v>75</v>
      </c>
      <c r="I77" s="5" t="n">
        <v>2</v>
      </c>
      <c r="J77" s="5" t="n">
        <v>2</v>
      </c>
      <c r="K77" s="5" t="n">
        <v>1</v>
      </c>
      <c r="L77" s="5" t="s">
        <v>7</v>
      </c>
    </row>
    <row r="78" customFormat="false" ht="15" hidden="false" customHeight="false" outlineLevel="0" collapsed="false">
      <c r="A78" s="5" t="n">
        <f aca="false">RANDBETWEEN(2,164)</f>
        <v>49</v>
      </c>
      <c r="B78" s="5" t="n">
        <f aca="false" t="array" ref="B78:B78">INDEX(Data_DBD!$B:$B,$A78)</f>
        <v>64</v>
      </c>
      <c r="C78" s="5" t="n">
        <f aca="false" t="array" ref="C78:C78">INDEX(Data_DBD!$C:$C,$A78)</f>
        <v>5</v>
      </c>
      <c r="D78" s="5" t="n">
        <f aca="false" t="array" ref="D78:D78">INDEX(Data_DBD!$E:$E,$A78)</f>
        <v>0</v>
      </c>
      <c r="E78" s="5" t="str">
        <f aca="false" t="array" ref="E78:E78">INDEX(Data_DBD!$F:$F,$A78)</f>
        <v>Sedang</v>
      </c>
      <c r="H78" s="5" t="n">
        <v>135</v>
      </c>
      <c r="I78" s="5" t="n">
        <v>10</v>
      </c>
      <c r="J78" s="5" t="n">
        <v>2</v>
      </c>
      <c r="K78" s="5" t="n">
        <v>0</v>
      </c>
      <c r="L78" s="5" t="s">
        <v>115</v>
      </c>
    </row>
    <row r="79" customFormat="false" ht="15" hidden="false" customHeight="false" outlineLevel="0" collapsed="false">
      <c r="A79" s="5" t="n">
        <f aca="false">RANDBETWEEN(2,164)</f>
        <v>38</v>
      </c>
      <c r="B79" s="5" t="n">
        <f aca="false" t="array" ref="B79:B79">INDEX(Data_DBD!$B:$B,$A79)</f>
        <v>52</v>
      </c>
      <c r="C79" s="5" t="n">
        <f aca="false" t="array" ref="C79:C79">INDEX(Data_DBD!$C:$C,$A79)</f>
        <v>3</v>
      </c>
      <c r="D79" s="5" t="n">
        <f aca="false" t="array" ref="D79:D79">INDEX(Data_DBD!$E:$E,$A79)</f>
        <v>1</v>
      </c>
      <c r="E79" s="5" t="str">
        <f aca="false" t="array" ref="E79:E79">INDEX(Data_DBD!$F:$F,$A79)</f>
        <v>Rendah</v>
      </c>
      <c r="H79" s="5" t="n">
        <v>79</v>
      </c>
      <c r="I79" s="5" t="n">
        <v>29</v>
      </c>
      <c r="J79" s="5" t="n">
        <v>3</v>
      </c>
      <c r="K79" s="5" t="n">
        <v>0</v>
      </c>
      <c r="L79" s="5" t="s">
        <v>7</v>
      </c>
    </row>
    <row r="80" customFormat="false" ht="15" hidden="false" customHeight="false" outlineLevel="0" collapsed="false">
      <c r="A80" s="5" t="n">
        <f aca="false">RANDBETWEEN(2,164)</f>
        <v>42</v>
      </c>
      <c r="B80" s="5" t="n">
        <f aca="false" t="array" ref="B80:B80">INDEX(Data_DBD!$B:$B,$A80)</f>
        <v>21</v>
      </c>
      <c r="C80" s="5" t="n">
        <f aca="false" t="array" ref="C80:C80">INDEX(Data_DBD!$C:$C,$A80)</f>
        <v>5</v>
      </c>
      <c r="D80" s="5" t="n">
        <f aca="false" t="array" ref="D80:D80">INDEX(Data_DBD!$E:$E,$A80)</f>
        <v>1</v>
      </c>
      <c r="E80" s="5" t="str">
        <f aca="false" t="array" ref="E80:E80">INDEX(Data_DBD!$F:$F,$A80)</f>
        <v>Sedang</v>
      </c>
      <c r="H80" s="5" t="n">
        <v>37</v>
      </c>
      <c r="I80" s="5" t="n">
        <v>28</v>
      </c>
      <c r="J80" s="5" t="n">
        <v>4</v>
      </c>
      <c r="K80" s="5" t="n">
        <v>1</v>
      </c>
      <c r="L80" s="5" t="s">
        <v>20</v>
      </c>
    </row>
    <row r="81" customFormat="false" ht="15" hidden="false" customHeight="false" outlineLevel="0" collapsed="false">
      <c r="A81" s="5" t="n">
        <f aca="false">RANDBETWEEN(2,164)</f>
        <v>96</v>
      </c>
      <c r="B81" s="5" t="n">
        <f aca="false" t="array" ref="B81:B81">INDEX(Data_DBD!$B:$B,$A81)</f>
        <v>56</v>
      </c>
      <c r="C81" s="5" t="n">
        <f aca="false" t="array" ref="C81:C81">INDEX(Data_DBD!$C:$C,$A81)</f>
        <v>4</v>
      </c>
      <c r="D81" s="5" t="n">
        <f aca="false" t="array" ref="D81:D81">INDEX(Data_DBD!$E:$E,$A81)</f>
        <v>0</v>
      </c>
      <c r="E81" s="5" t="str">
        <f aca="false" t="array" ref="E81:E81">INDEX(Data_DBD!$F:$F,$A81)</f>
        <v>Sedang</v>
      </c>
      <c r="H81" s="5" t="n">
        <v>112</v>
      </c>
      <c r="I81" s="5" t="n">
        <v>61</v>
      </c>
      <c r="J81" s="5" t="n">
        <v>3</v>
      </c>
      <c r="K81" s="5" t="n">
        <v>1</v>
      </c>
      <c r="L81" s="5" t="s">
        <v>115</v>
      </c>
    </row>
    <row r="82" customFormat="false" ht="15" hidden="false" customHeight="false" outlineLevel="0" collapsed="false">
      <c r="A82" s="5" t="n">
        <f aca="false">RANDBETWEEN(2,164)</f>
        <v>57</v>
      </c>
      <c r="B82" s="5" t="n">
        <f aca="false" t="array" ref="B82:B82">INDEX(Data_DBD!$B:$B,$A82)</f>
        <v>2</v>
      </c>
      <c r="C82" s="5" t="n">
        <f aca="false" t="array" ref="C82:C82">INDEX(Data_DBD!$C:$C,$A82)</f>
        <v>2</v>
      </c>
      <c r="D82" s="5" t="n">
        <f aca="false" t="array" ref="D82:D82">INDEX(Data_DBD!$E:$E,$A82)</f>
        <v>1</v>
      </c>
      <c r="E82" s="5" t="str">
        <f aca="false" t="array" ref="E82:E82">INDEX(Data_DBD!$F:$F,$A82)</f>
        <v>Sedang</v>
      </c>
      <c r="H82" s="5" t="n">
        <v>74</v>
      </c>
      <c r="I82" s="5" t="n">
        <v>9</v>
      </c>
      <c r="J82" s="5" t="n">
        <v>4</v>
      </c>
      <c r="K82" s="5" t="n">
        <v>0</v>
      </c>
      <c r="L82" s="5" t="s">
        <v>7</v>
      </c>
    </row>
    <row r="83" customFormat="false" ht="15" hidden="false" customHeight="false" outlineLevel="0" collapsed="false">
      <c r="A83" s="5" t="n">
        <f aca="false">RANDBETWEEN(2,164)</f>
        <v>111</v>
      </c>
      <c r="B83" s="5" t="n">
        <f aca="false" t="array" ref="B83:B83">INDEX(Data_DBD!$B:$B,$A83)</f>
        <v>25</v>
      </c>
      <c r="C83" s="5" t="n">
        <f aca="false" t="array" ref="C83:C83">INDEX(Data_DBD!$C:$C,$A83)</f>
        <v>4</v>
      </c>
      <c r="D83" s="5" t="n">
        <f aca="false" t="array" ref="D83:D83">INDEX(Data_DBD!$E:$E,$A83)</f>
        <v>0</v>
      </c>
      <c r="E83" s="5" t="str">
        <f aca="false" t="array" ref="E83:E83">INDEX(Data_DBD!$F:$F,$A83)</f>
        <v>Tinggi</v>
      </c>
      <c r="H83" s="5" t="n">
        <v>106</v>
      </c>
      <c r="I83" s="5" t="n">
        <v>23</v>
      </c>
      <c r="J83" s="5" t="n">
        <v>3</v>
      </c>
      <c r="K83" s="5" t="n">
        <v>1</v>
      </c>
      <c r="L83" s="5" t="s">
        <v>115</v>
      </c>
    </row>
    <row r="84" customFormat="false" ht="15" hidden="false" customHeight="false" outlineLevel="0" collapsed="false">
      <c r="A84" s="5" t="n">
        <f aca="false">RANDBETWEEN(2,164)</f>
        <v>152</v>
      </c>
      <c r="B84" s="5" t="n">
        <f aca="false" t="array" ref="B84:B84">INDEX(Data_DBD!$B:$B,$A84)</f>
        <v>47</v>
      </c>
      <c r="C84" s="5" t="n">
        <f aca="false" t="array" ref="C84:C84">INDEX(Data_DBD!$C:$C,$A84)</f>
        <v>3</v>
      </c>
      <c r="D84" s="5" t="n">
        <f aca="false" t="array" ref="D84:D84">INDEX(Data_DBD!$E:$E,$A84)</f>
        <v>1</v>
      </c>
      <c r="E84" s="5" t="str">
        <f aca="false" t="array" ref="E84:E84">INDEX(Data_DBD!$F:$F,$A84)</f>
        <v>Tinggi</v>
      </c>
      <c r="H84" s="5" t="n">
        <v>127</v>
      </c>
      <c r="I84" s="5" t="n">
        <v>21</v>
      </c>
      <c r="J84" s="5" t="n">
        <v>2</v>
      </c>
      <c r="K84" s="5" t="n">
        <v>0</v>
      </c>
      <c r="L84" s="5" t="s">
        <v>115</v>
      </c>
    </row>
    <row r="85" customFormat="false" ht="15" hidden="false" customHeight="false" outlineLevel="0" collapsed="false">
      <c r="A85" s="5" t="n">
        <f aca="false">RANDBETWEEN(2,164)</f>
        <v>104</v>
      </c>
      <c r="B85" s="5" t="n">
        <f aca="false" t="array" ref="B85:B85">INDEX(Data_DBD!$B:$B,$A85)</f>
        <v>37</v>
      </c>
      <c r="C85" s="5" t="n">
        <f aca="false" t="array" ref="C85:C85">INDEX(Data_DBD!$C:$C,$A85)</f>
        <v>4</v>
      </c>
      <c r="D85" s="5" t="n">
        <f aca="false" t="array" ref="D85:D85">INDEX(Data_DBD!$E:$E,$A85)</f>
        <v>1</v>
      </c>
      <c r="E85" s="5" t="str">
        <f aca="false" t="array" ref="E85:E85">INDEX(Data_DBD!$F:$F,$A85)</f>
        <v>Sedang</v>
      </c>
      <c r="H85" s="5" t="n">
        <v>81</v>
      </c>
      <c r="I85" s="5" t="n">
        <v>23</v>
      </c>
      <c r="J85" s="5" t="n">
        <v>5</v>
      </c>
      <c r="K85" s="5" t="n">
        <v>1</v>
      </c>
      <c r="L85" s="5" t="s">
        <v>7</v>
      </c>
    </row>
    <row r="86" customFormat="false" ht="15" hidden="false" customHeight="false" outlineLevel="0" collapsed="false">
      <c r="A86" s="5" t="n">
        <f aca="false">RANDBETWEEN(2,164)</f>
        <v>125</v>
      </c>
      <c r="B86" s="5" t="n">
        <f aca="false" t="array" ref="B86:B86">INDEX(Data_DBD!$B:$B,$A86)</f>
        <v>39</v>
      </c>
      <c r="C86" s="5" t="n">
        <f aca="false" t="array" ref="C86:C86">INDEX(Data_DBD!$C:$C,$A86)</f>
        <v>4</v>
      </c>
      <c r="D86" s="5" t="n">
        <f aca="false" t="array" ref="D86:D86">INDEX(Data_DBD!$E:$E,$A86)</f>
        <v>0</v>
      </c>
      <c r="E86" s="5" t="str">
        <f aca="false" t="array" ref="E86:E86">INDEX(Data_DBD!$F:$F,$A86)</f>
        <v>Tinggi</v>
      </c>
      <c r="H86" s="5" t="n">
        <v>124</v>
      </c>
      <c r="I86" s="5" t="n">
        <v>24</v>
      </c>
      <c r="J86" s="5" t="n">
        <v>3</v>
      </c>
      <c r="K86" s="5" t="n">
        <v>1</v>
      </c>
      <c r="L86" s="5" t="s">
        <v>115</v>
      </c>
    </row>
    <row r="87" customFormat="false" ht="15" hidden="false" customHeight="false" outlineLevel="0" collapsed="false">
      <c r="A87" s="5" t="n">
        <f aca="false">RANDBETWEEN(2,164)</f>
        <v>45</v>
      </c>
      <c r="B87" s="5" t="n">
        <f aca="false" t="array" ref="B87:B87">INDEX(Data_DBD!$B:$B,$A87)</f>
        <v>75</v>
      </c>
      <c r="C87" s="5" t="n">
        <f aca="false" t="array" ref="C87:C87">INDEX(Data_DBD!$C:$C,$A87)</f>
        <v>3</v>
      </c>
      <c r="D87" s="5" t="n">
        <f aca="false" t="array" ref="D87:D87">INDEX(Data_DBD!$E:$E,$A87)</f>
        <v>1</v>
      </c>
      <c r="E87" s="5" t="str">
        <f aca="false" t="array" ref="E87:E87">INDEX(Data_DBD!$F:$F,$A87)</f>
        <v>Sedang</v>
      </c>
      <c r="H87" s="5" t="n">
        <v>93</v>
      </c>
      <c r="I87" s="5" t="n">
        <v>65</v>
      </c>
      <c r="J87" s="5" t="n">
        <v>4</v>
      </c>
      <c r="K87" s="5" t="n">
        <v>0</v>
      </c>
      <c r="L87" s="5" t="s">
        <v>115</v>
      </c>
    </row>
    <row r="88" customFormat="false" ht="15" hidden="false" customHeight="false" outlineLevel="0" collapsed="false">
      <c r="A88" s="5" t="n">
        <f aca="false">RANDBETWEEN(2,164)</f>
        <v>26</v>
      </c>
      <c r="B88" s="5" t="n">
        <f aca="false" t="array" ref="B88:B88">INDEX(Data_DBD!$B:$B,$A88)</f>
        <v>75</v>
      </c>
      <c r="C88" s="5" t="n">
        <f aca="false" t="array" ref="C88:C88">INDEX(Data_DBD!$C:$C,$A88)</f>
        <v>4</v>
      </c>
      <c r="D88" s="5" t="n">
        <f aca="false" t="array" ref="D88:D88">INDEX(Data_DBD!$E:$E,$A88)</f>
        <v>1</v>
      </c>
      <c r="E88" s="5" t="str">
        <f aca="false" t="array" ref="E88:E88">INDEX(Data_DBD!$F:$F,$A88)</f>
        <v>Sedang</v>
      </c>
      <c r="H88" s="5" t="n">
        <v>133</v>
      </c>
      <c r="I88" s="5" t="n">
        <v>6</v>
      </c>
      <c r="J88" s="5" t="n">
        <v>4</v>
      </c>
      <c r="K88" s="5" t="n">
        <v>0</v>
      </c>
      <c r="L88" s="5" t="s">
        <v>115</v>
      </c>
    </row>
    <row r="89" customFormat="false" ht="15" hidden="false" customHeight="false" outlineLevel="0" collapsed="false">
      <c r="A89" s="5" t="n">
        <f aca="false">RANDBETWEEN(2,164)</f>
        <v>46</v>
      </c>
      <c r="B89" s="5" t="n">
        <f aca="false" t="array" ref="B89:B89">INDEX(Data_DBD!$B:$B,$A89)</f>
        <v>62</v>
      </c>
      <c r="C89" s="5" t="n">
        <f aca="false" t="array" ref="C89:C89">INDEX(Data_DBD!$C:$C,$A89)</f>
        <v>2</v>
      </c>
      <c r="D89" s="5" t="n">
        <f aca="false" t="array" ref="D89:D89">INDEX(Data_DBD!$E:$E,$A89)</f>
        <v>0</v>
      </c>
      <c r="E89" s="5" t="str">
        <f aca="false" t="array" ref="E89:E89">INDEX(Data_DBD!$F:$F,$A89)</f>
        <v>Sedang</v>
      </c>
      <c r="H89" s="5" t="n">
        <v>32</v>
      </c>
      <c r="I89" s="5" t="n">
        <v>54</v>
      </c>
      <c r="J89" s="5" t="n">
        <v>4</v>
      </c>
      <c r="K89" s="5" t="n">
        <v>0</v>
      </c>
      <c r="L89" s="5" t="s">
        <v>7</v>
      </c>
    </row>
    <row r="90" customFormat="false" ht="15" hidden="false" customHeight="false" outlineLevel="0" collapsed="false">
      <c r="A90" s="5" t="n">
        <f aca="false">RANDBETWEEN(2,164)</f>
        <v>40</v>
      </c>
      <c r="B90" s="5" t="n">
        <f aca="false" t="array" ref="B90:B90">INDEX(Data_DBD!$B:$B,$A90)</f>
        <v>65</v>
      </c>
      <c r="C90" s="5" t="n">
        <f aca="false" t="array" ref="C90:C90">INDEX(Data_DBD!$C:$C,$A90)</f>
        <v>3</v>
      </c>
      <c r="D90" s="5" t="n">
        <f aca="false" t="array" ref="D90:D90">INDEX(Data_DBD!$E:$E,$A90)</f>
        <v>1</v>
      </c>
      <c r="E90" s="5" t="str">
        <f aca="false" t="array" ref="E90:E90">INDEX(Data_DBD!$F:$F,$A90)</f>
        <v>Sedang</v>
      </c>
      <c r="H90" s="5" t="n">
        <v>8</v>
      </c>
      <c r="I90" s="5" t="n">
        <v>4</v>
      </c>
      <c r="J90" s="5" t="n">
        <v>2</v>
      </c>
      <c r="K90" s="5" t="n">
        <v>0</v>
      </c>
      <c r="L90" s="5" t="s">
        <v>7</v>
      </c>
    </row>
    <row r="91" customFormat="false" ht="15" hidden="false" customHeight="false" outlineLevel="0" collapsed="false">
      <c r="A91" s="5" t="n">
        <f aca="false">RANDBETWEEN(2,164)</f>
        <v>76</v>
      </c>
      <c r="B91" s="5" t="n">
        <f aca="false" t="array" ref="B91:B91">INDEX(Data_DBD!$B:$B,$A91)</f>
        <v>70</v>
      </c>
      <c r="C91" s="5" t="n">
        <f aca="false" t="array" ref="C91:C91">INDEX(Data_DBD!$C:$C,$A91)</f>
        <v>2</v>
      </c>
      <c r="D91" s="5" t="n">
        <f aca="false" t="array" ref="D91:D91">INDEX(Data_DBD!$E:$E,$A91)</f>
        <v>0</v>
      </c>
      <c r="E91" s="5" t="str">
        <f aca="false" t="array" ref="E91:E91">INDEX(Data_DBD!$F:$F,$A91)</f>
        <v>Rendah</v>
      </c>
      <c r="H91" s="5" t="n">
        <v>101</v>
      </c>
      <c r="I91" s="5" t="n">
        <v>42</v>
      </c>
      <c r="J91" s="5" t="n">
        <v>5</v>
      </c>
      <c r="K91" s="5" t="n">
        <v>0</v>
      </c>
      <c r="L91" s="5" t="s">
        <v>115</v>
      </c>
    </row>
    <row r="92" customFormat="false" ht="15" hidden="false" customHeight="false" outlineLevel="0" collapsed="false">
      <c r="A92" s="5" t="n">
        <f aca="false">RANDBETWEEN(2,164)</f>
        <v>73</v>
      </c>
      <c r="B92" s="5" t="n">
        <f aca="false" t="array" ref="B92:B92">INDEX(Data_DBD!$B:$B,$A92)</f>
        <v>15</v>
      </c>
      <c r="C92" s="5" t="n">
        <f aca="false" t="array" ref="C92:C92">INDEX(Data_DBD!$C:$C,$A92)</f>
        <v>3</v>
      </c>
      <c r="D92" s="5" t="n">
        <f aca="false" t="array" ref="D92:D92">INDEX(Data_DBD!$E:$E,$A92)</f>
        <v>1</v>
      </c>
      <c r="E92" s="5" t="str">
        <f aca="false" t="array" ref="E92:E92">INDEX(Data_DBD!$F:$F,$A92)</f>
        <v>Rendah</v>
      </c>
      <c r="H92" s="5" t="n">
        <v>32</v>
      </c>
      <c r="I92" s="5" t="n">
        <v>54</v>
      </c>
      <c r="J92" s="5" t="n">
        <v>4</v>
      </c>
      <c r="K92" s="5" t="n">
        <v>0</v>
      </c>
      <c r="L92" s="5" t="s">
        <v>7</v>
      </c>
    </row>
    <row r="93" customFormat="false" ht="15" hidden="false" customHeight="false" outlineLevel="0" collapsed="false">
      <c r="A93" s="5" t="n">
        <f aca="false">RANDBETWEEN(2,164)</f>
        <v>113</v>
      </c>
      <c r="B93" s="5" t="n">
        <f aca="false" t="array" ref="B93:B93">INDEX(Data_DBD!$B:$B,$A93)</f>
        <v>69</v>
      </c>
      <c r="C93" s="5" t="n">
        <f aca="false" t="array" ref="C93:C93">INDEX(Data_DBD!$C:$C,$A93)</f>
        <v>1</v>
      </c>
      <c r="D93" s="5" t="n">
        <f aca="false" t="array" ref="D93:D93">INDEX(Data_DBD!$E:$E,$A93)</f>
        <v>1</v>
      </c>
      <c r="E93" s="5" t="str">
        <f aca="false" t="array" ref="E93:E93">INDEX(Data_DBD!$F:$F,$A93)</f>
        <v>Tinggi</v>
      </c>
      <c r="H93" s="5" t="n">
        <v>140</v>
      </c>
      <c r="I93" s="5" t="n">
        <v>74</v>
      </c>
      <c r="J93" s="5" t="n">
        <v>5</v>
      </c>
      <c r="K93" s="5" t="n">
        <v>1</v>
      </c>
      <c r="L93" s="5" t="s">
        <v>115</v>
      </c>
    </row>
    <row r="94" customFormat="false" ht="15" hidden="false" customHeight="false" outlineLevel="0" collapsed="false">
      <c r="A94" s="5" t="n">
        <f aca="false">RANDBETWEEN(2,164)</f>
        <v>130</v>
      </c>
      <c r="B94" s="5" t="n">
        <f aca="false" t="array" ref="B94:B94">INDEX(Data_DBD!$B:$B,$A94)</f>
        <v>12</v>
      </c>
      <c r="C94" s="5" t="n">
        <f aca="false" t="array" ref="C94:C94">INDEX(Data_DBD!$C:$C,$A94)</f>
        <v>4</v>
      </c>
      <c r="D94" s="5" t="n">
        <f aca="false" t="array" ref="D94:D94">INDEX(Data_DBD!$E:$E,$A94)</f>
        <v>0</v>
      </c>
      <c r="E94" s="5" t="str">
        <f aca="false" t="array" ref="E94:E94">INDEX(Data_DBD!$F:$F,$A94)</f>
        <v>Tinggi</v>
      </c>
      <c r="H94" s="5" t="n">
        <v>69</v>
      </c>
      <c r="I94" s="5" t="n">
        <v>24</v>
      </c>
      <c r="J94" s="5" t="n">
        <v>4</v>
      </c>
      <c r="K94" s="5" t="n">
        <v>1</v>
      </c>
      <c r="L94" s="5" t="s">
        <v>7</v>
      </c>
    </row>
    <row r="95" customFormat="false" ht="15" hidden="false" customHeight="false" outlineLevel="0" collapsed="false">
      <c r="A95" s="5" t="n">
        <f aca="false">RANDBETWEEN(2,164)</f>
        <v>87</v>
      </c>
      <c r="B95" s="5" t="n">
        <f aca="false" t="array" ref="B95:B95">INDEX(Data_DBD!$B:$B,$A95)</f>
        <v>21</v>
      </c>
      <c r="C95" s="5" t="n">
        <f aca="false" t="array" ref="C95:C95">INDEX(Data_DBD!$C:$C,$A95)</f>
        <v>3</v>
      </c>
      <c r="D95" s="5" t="n">
        <f aca="false" t="array" ref="D95:D95">INDEX(Data_DBD!$E:$E,$A95)</f>
        <v>0</v>
      </c>
      <c r="E95" s="5" t="str">
        <f aca="false" t="array" ref="E95:E95">INDEX(Data_DBD!$F:$F,$A95)</f>
        <v>Sedang</v>
      </c>
      <c r="H95" s="5" t="n">
        <v>78</v>
      </c>
      <c r="I95" s="5" t="n">
        <v>6</v>
      </c>
      <c r="J95" s="5" t="n">
        <v>3</v>
      </c>
      <c r="K95" s="5" t="n">
        <v>0</v>
      </c>
      <c r="L95" s="5" t="s">
        <v>7</v>
      </c>
    </row>
    <row r="96" customFormat="false" ht="15" hidden="false" customHeight="false" outlineLevel="0" collapsed="false">
      <c r="A96" s="5" t="n">
        <f aca="false">RANDBETWEEN(2,164)</f>
        <v>70</v>
      </c>
      <c r="B96" s="5" t="n">
        <f aca="false" t="array" ref="B96:B96">INDEX(Data_DBD!$B:$B,$A96)</f>
        <v>26</v>
      </c>
      <c r="C96" s="5" t="n">
        <f aca="false" t="array" ref="C96:C96">INDEX(Data_DBD!$C:$C,$A96)</f>
        <v>3</v>
      </c>
      <c r="D96" s="5" t="n">
        <f aca="false" t="array" ref="D96:D96">INDEX(Data_DBD!$E:$E,$A96)</f>
        <v>1</v>
      </c>
      <c r="E96" s="5" t="str">
        <f aca="false" t="array" ref="E96:E96">INDEX(Data_DBD!$F:$F,$A96)</f>
        <v>Rendah</v>
      </c>
      <c r="H96" s="5" t="n">
        <v>131</v>
      </c>
      <c r="I96" s="5" t="n">
        <v>10</v>
      </c>
      <c r="J96" s="5" t="n">
        <v>2</v>
      </c>
      <c r="K96" s="5" t="n">
        <v>0</v>
      </c>
      <c r="L96" s="5" t="s">
        <v>115</v>
      </c>
    </row>
    <row r="97" customFormat="false" ht="15" hidden="false" customHeight="false" outlineLevel="0" collapsed="false">
      <c r="A97" s="5" t="n">
        <f aca="false">RANDBETWEEN(2,164)</f>
        <v>9</v>
      </c>
      <c r="B97" s="5" t="n">
        <f aca="false" t="array" ref="B97:B97">INDEX(Data_DBD!$B:$B,$A97)</f>
        <v>16</v>
      </c>
      <c r="C97" s="5" t="n">
        <f aca="false" t="array" ref="C97:C97">INDEX(Data_DBD!$C:$C,$A97)</f>
        <v>6</v>
      </c>
      <c r="D97" s="5" t="n">
        <f aca="false" t="array" ref="D97:D97">INDEX(Data_DBD!$E:$E,$A97)</f>
        <v>1</v>
      </c>
      <c r="E97" s="5" t="str">
        <f aca="false" t="array" ref="E97:E97">INDEX(Data_DBD!$F:$F,$A97)</f>
        <v>Sedang</v>
      </c>
      <c r="H97" s="5" t="n">
        <v>147</v>
      </c>
      <c r="I97" s="5" t="n">
        <v>66</v>
      </c>
      <c r="J97" s="5" t="n">
        <v>10</v>
      </c>
      <c r="K97" s="5" t="n">
        <v>1</v>
      </c>
      <c r="L97" s="5" t="s">
        <v>115</v>
      </c>
    </row>
    <row r="98" customFormat="false" ht="15" hidden="false" customHeight="false" outlineLevel="0" collapsed="false">
      <c r="A98" s="5" t="n">
        <f aca="false">RANDBETWEEN(2,164)</f>
        <v>111</v>
      </c>
      <c r="B98" s="5" t="n">
        <f aca="false" t="array" ref="B98:B98">INDEX(Data_DBD!$B:$B,$A98)</f>
        <v>25</v>
      </c>
      <c r="C98" s="5" t="n">
        <f aca="false" t="array" ref="C98:C98">INDEX(Data_DBD!$C:$C,$A98)</f>
        <v>4</v>
      </c>
      <c r="D98" s="5" t="n">
        <f aca="false" t="array" ref="D98:D98">INDEX(Data_DBD!$E:$E,$A98)</f>
        <v>0</v>
      </c>
      <c r="E98" s="5" t="str">
        <f aca="false" t="array" ref="E98:E98">INDEX(Data_DBD!$F:$F,$A98)</f>
        <v>Tinggi</v>
      </c>
      <c r="H98" s="5" t="n">
        <v>54</v>
      </c>
      <c r="I98" s="5" t="n">
        <v>7</v>
      </c>
      <c r="J98" s="5" t="n">
        <v>3</v>
      </c>
      <c r="K98" s="5" t="n">
        <v>0</v>
      </c>
      <c r="L98" s="5" t="s">
        <v>7</v>
      </c>
    </row>
    <row r="99" customFormat="false" ht="15" hidden="false" customHeight="false" outlineLevel="0" collapsed="false">
      <c r="A99" s="5" t="n">
        <f aca="false">RANDBETWEEN(2,164)</f>
        <v>3</v>
      </c>
      <c r="B99" s="5" t="n">
        <f aca="false" t="array" ref="B99:B99">INDEX(Data_DBD!$B:$B,$A99)</f>
        <v>43</v>
      </c>
      <c r="C99" s="5" t="n">
        <f aca="false" t="array" ref="C99:C99">INDEX(Data_DBD!$C:$C,$A99)</f>
        <v>3</v>
      </c>
      <c r="D99" s="5" t="n">
        <f aca="false" t="array" ref="D99:D99">INDEX(Data_DBD!$E:$E,$A99)</f>
        <v>1</v>
      </c>
      <c r="E99" s="5" t="str">
        <f aca="false" t="array" ref="E99:E99">INDEX(Data_DBD!$F:$F,$A99)</f>
        <v>Sedang</v>
      </c>
      <c r="H99" s="5" t="n">
        <v>64</v>
      </c>
      <c r="I99" s="5" t="n">
        <v>35</v>
      </c>
      <c r="J99" s="5" t="n">
        <v>1</v>
      </c>
      <c r="K99" s="5" t="n">
        <v>0</v>
      </c>
      <c r="L99" s="5" t="s">
        <v>7</v>
      </c>
    </row>
    <row r="100" customFormat="false" ht="15" hidden="false" customHeight="false" outlineLevel="0" collapsed="false">
      <c r="A100" s="5" t="n">
        <f aca="false">RANDBETWEEN(2,164)</f>
        <v>10</v>
      </c>
      <c r="B100" s="5" t="n">
        <f aca="false" t="array" ref="B100:B100">INDEX(Data_DBD!$B:$B,$A100)</f>
        <v>18</v>
      </c>
      <c r="C100" s="5" t="n">
        <f aca="false" t="array" ref="C100:C100">INDEX(Data_DBD!$C:$C,$A100)</f>
        <v>5</v>
      </c>
      <c r="D100" s="5" t="n">
        <f aca="false" t="array" ref="D100:D100">INDEX(Data_DBD!$E:$E,$A100)</f>
        <v>0</v>
      </c>
      <c r="E100" s="5" t="str">
        <f aca="false" t="array" ref="E100:E100">INDEX(Data_DBD!$F:$F,$A100)</f>
        <v>Sedang</v>
      </c>
      <c r="H100" s="5" t="n">
        <v>74</v>
      </c>
      <c r="I100" s="5" t="n">
        <v>9</v>
      </c>
      <c r="J100" s="5" t="n">
        <v>4</v>
      </c>
      <c r="K100" s="5" t="n">
        <v>0</v>
      </c>
      <c r="L100" s="5" t="s">
        <v>7</v>
      </c>
    </row>
    <row r="101" customFormat="false" ht="15" hidden="false" customHeight="false" outlineLevel="0" collapsed="false">
      <c r="A101" s="5" t="n">
        <f aca="false">RANDBETWEEN(2,164)</f>
        <v>96</v>
      </c>
      <c r="B101" s="5" t="n">
        <f aca="false" t="array" ref="B101:B101">INDEX(Data_DBD!$B:$B,$A101)</f>
        <v>56</v>
      </c>
      <c r="C101" s="5" t="n">
        <f aca="false" t="array" ref="C101:C101">INDEX(Data_DBD!$C:$C,$A101)</f>
        <v>4</v>
      </c>
      <c r="D101" s="5" t="n">
        <f aca="false" t="array" ref="D101:D101">INDEX(Data_DBD!$E:$E,$A101)</f>
        <v>0</v>
      </c>
      <c r="E101" s="5" t="str">
        <f aca="false" t="array" ref="E101:E101">INDEX(Data_DBD!$F:$F,$A101)</f>
        <v>Sedang</v>
      </c>
      <c r="H101" s="5" t="n">
        <v>67</v>
      </c>
      <c r="I101" s="5" t="n">
        <v>21</v>
      </c>
      <c r="J101" s="5" t="n">
        <v>3</v>
      </c>
      <c r="K101" s="5" t="n">
        <v>1</v>
      </c>
      <c r="L101" s="5" t="s">
        <v>7</v>
      </c>
    </row>
    <row r="102" customFormat="false" ht="15" hidden="false" customHeight="false" outlineLevel="0" collapsed="false">
      <c r="A102" s="5" t="n">
        <f aca="false">RANDBETWEEN(2,164)</f>
        <v>85</v>
      </c>
      <c r="B102" s="5" t="n">
        <f aca="false" t="array" ref="B102:B102">INDEX(Data_DBD!$B:$B,$A102)</f>
        <v>27</v>
      </c>
      <c r="C102" s="5" t="n">
        <f aca="false" t="array" ref="C102:C102">INDEX(Data_DBD!$C:$C,$A102)</f>
        <v>9</v>
      </c>
      <c r="D102" s="5" t="n">
        <f aca="false" t="array" ref="D102:D102">INDEX(Data_DBD!$E:$E,$A102)</f>
        <v>0</v>
      </c>
      <c r="E102" s="5" t="str">
        <f aca="false" t="array" ref="E102:E102">INDEX(Data_DBD!$F:$F,$A102)</f>
        <v>Sedang</v>
      </c>
      <c r="H102" s="5" t="n">
        <v>44</v>
      </c>
      <c r="I102" s="5" t="n">
        <v>28</v>
      </c>
      <c r="J102" s="5" t="n">
        <v>5</v>
      </c>
      <c r="K102" s="5" t="n">
        <v>1</v>
      </c>
      <c r="L102" s="5" t="s">
        <v>7</v>
      </c>
    </row>
    <row r="103" customFormat="false" ht="15" hidden="false" customHeight="false" outlineLevel="0" collapsed="false">
      <c r="A103" s="5" t="n">
        <f aca="false">RANDBETWEEN(2,164)</f>
        <v>139</v>
      </c>
      <c r="B103" s="5" t="n">
        <f aca="false" t="array" ref="B103:B103">INDEX(Data_DBD!$B:$B,$A103)</f>
        <v>52</v>
      </c>
      <c r="C103" s="5" t="n">
        <f aca="false" t="array" ref="C103:C103">INDEX(Data_DBD!$C:$C,$A103)</f>
        <v>7</v>
      </c>
      <c r="D103" s="5" t="n">
        <f aca="false" t="array" ref="D103:D103">INDEX(Data_DBD!$E:$E,$A103)</f>
        <v>0</v>
      </c>
      <c r="E103" s="5" t="str">
        <f aca="false" t="array" ref="E103:E103">INDEX(Data_DBD!$F:$F,$A103)</f>
        <v>Tinggi</v>
      </c>
      <c r="H103" s="5" t="n">
        <v>76</v>
      </c>
      <c r="I103" s="5" t="n">
        <v>70</v>
      </c>
      <c r="J103" s="5" t="n">
        <v>2</v>
      </c>
      <c r="K103" s="5" t="n">
        <v>0</v>
      </c>
      <c r="L103" s="5" t="s">
        <v>7</v>
      </c>
    </row>
    <row r="104" customFormat="false" ht="15" hidden="false" customHeight="false" outlineLevel="0" collapsed="false">
      <c r="A104" s="5" t="n">
        <f aca="false">RANDBETWEEN(2,164)</f>
        <v>8</v>
      </c>
      <c r="B104" s="5" t="n">
        <f aca="false" t="array" ref="B104:B104">INDEX(Data_DBD!$B:$B,$A104)</f>
        <v>4</v>
      </c>
      <c r="C104" s="5" t="n">
        <f aca="false" t="array" ref="C104:C104">INDEX(Data_DBD!$C:$C,$A104)</f>
        <v>2</v>
      </c>
      <c r="D104" s="5" t="n">
        <f aca="false" t="array" ref="D104:D104">INDEX(Data_DBD!$E:$E,$A104)</f>
        <v>0</v>
      </c>
      <c r="E104" s="5" t="str">
        <f aca="false" t="array" ref="E104:E104">INDEX(Data_DBD!$F:$F,$A104)</f>
        <v>Sedang</v>
      </c>
      <c r="H104" s="5" t="n">
        <v>40</v>
      </c>
      <c r="I104" s="5" t="n">
        <v>65</v>
      </c>
      <c r="J104" s="5" t="n">
        <v>3</v>
      </c>
      <c r="K104" s="5" t="n">
        <v>1</v>
      </c>
      <c r="L104" s="5" t="s">
        <v>7</v>
      </c>
    </row>
    <row r="105" customFormat="false" ht="15" hidden="false" customHeight="false" outlineLevel="0" collapsed="false">
      <c r="A105" s="5" t="n">
        <f aca="false">RANDBETWEEN(2,164)</f>
        <v>34</v>
      </c>
      <c r="B105" s="5" t="n">
        <f aca="false" t="array" ref="B105:B105">INDEX(Data_DBD!$B:$B,$A105)</f>
        <v>55</v>
      </c>
      <c r="C105" s="5" t="n">
        <f aca="false" t="array" ref="C105:C105">INDEX(Data_DBD!$C:$C,$A105)</f>
        <v>3</v>
      </c>
      <c r="D105" s="5" t="n">
        <f aca="false" t="array" ref="D105:D105">INDEX(Data_DBD!$E:$E,$A105)</f>
        <v>0</v>
      </c>
      <c r="E105" s="5" t="str">
        <f aca="false" t="array" ref="E105:E105">INDEX(Data_DBD!$F:$F,$A105)</f>
        <v>Sedang</v>
      </c>
      <c r="H105" s="5" t="n">
        <v>48</v>
      </c>
      <c r="I105" s="5" t="n">
        <v>50</v>
      </c>
      <c r="J105" s="5" t="n">
        <v>5</v>
      </c>
      <c r="K105" s="5" t="n">
        <v>1</v>
      </c>
      <c r="L105" s="5" t="s">
        <v>7</v>
      </c>
    </row>
    <row r="106" customFormat="false" ht="15" hidden="false" customHeight="false" outlineLevel="0" collapsed="false">
      <c r="A106" s="5" t="n">
        <f aca="false">RANDBETWEEN(2,164)</f>
        <v>140</v>
      </c>
      <c r="B106" s="5" t="n">
        <f aca="false" t="array" ref="B106:B106">INDEX(Data_DBD!$B:$B,$A106)</f>
        <v>74</v>
      </c>
      <c r="C106" s="5" t="n">
        <f aca="false" t="array" ref="C106:C106">INDEX(Data_DBD!$C:$C,$A106)</f>
        <v>5</v>
      </c>
      <c r="D106" s="5" t="n">
        <f aca="false" t="array" ref="D106:D106">INDEX(Data_DBD!$E:$E,$A106)</f>
        <v>1</v>
      </c>
      <c r="E106" s="5" t="str">
        <f aca="false" t="array" ref="E106:E106">INDEX(Data_DBD!$F:$F,$A106)</f>
        <v>Tinggi</v>
      </c>
      <c r="H106" s="5" t="n">
        <v>117</v>
      </c>
      <c r="I106" s="5" t="n">
        <v>49</v>
      </c>
      <c r="J106" s="5" t="n">
        <v>4</v>
      </c>
      <c r="K106" s="5" t="n">
        <v>1</v>
      </c>
      <c r="L106" s="5" t="s">
        <v>115</v>
      </c>
    </row>
    <row r="107" customFormat="false" ht="15" hidden="false" customHeight="false" outlineLevel="0" collapsed="false">
      <c r="A107" s="5" t="n">
        <f aca="false">RANDBETWEEN(2,164)</f>
        <v>107</v>
      </c>
      <c r="B107" s="5" t="n">
        <f aca="false" t="array" ref="B107:B107">INDEX(Data_DBD!$B:$B,$A107)</f>
        <v>48</v>
      </c>
      <c r="C107" s="5" t="n">
        <f aca="false" t="array" ref="C107:C107">INDEX(Data_DBD!$C:$C,$A107)</f>
        <v>5</v>
      </c>
      <c r="D107" s="5" t="n">
        <f aca="false" t="array" ref="D107:D107">INDEX(Data_DBD!$E:$E,$A107)</f>
        <v>0</v>
      </c>
      <c r="E107" s="5" t="str">
        <f aca="false" t="array" ref="E107:E107">INDEX(Data_DBD!$F:$F,$A107)</f>
        <v>Sedang</v>
      </c>
      <c r="H107" s="5" t="n">
        <v>126</v>
      </c>
      <c r="I107" s="5" t="n">
        <v>51</v>
      </c>
      <c r="J107" s="5" t="n">
        <v>3</v>
      </c>
      <c r="K107" s="5" t="n">
        <v>1</v>
      </c>
      <c r="L107" s="5" t="s">
        <v>115</v>
      </c>
    </row>
    <row r="108" customFormat="false" ht="15" hidden="false" customHeight="false" outlineLevel="0" collapsed="false">
      <c r="A108" s="5" t="n">
        <f aca="false">RANDBETWEEN(2,164)</f>
        <v>67</v>
      </c>
      <c r="B108" s="5" t="n">
        <f aca="false" t="array" ref="B108:B108">INDEX(Data_DBD!$B:$B,$A108)</f>
        <v>21</v>
      </c>
      <c r="C108" s="5" t="n">
        <f aca="false" t="array" ref="C108:C108">INDEX(Data_DBD!$C:$C,$A108)</f>
        <v>3</v>
      </c>
      <c r="D108" s="5" t="n">
        <f aca="false" t="array" ref="D108:D108">INDEX(Data_DBD!$E:$E,$A108)</f>
        <v>1</v>
      </c>
      <c r="E108" s="5" t="str">
        <f aca="false" t="array" ref="E108:E108">INDEX(Data_DBD!$F:$F,$A108)</f>
        <v>Rendah</v>
      </c>
      <c r="H108" s="5" t="n">
        <v>49</v>
      </c>
      <c r="I108" s="5" t="n">
        <v>64</v>
      </c>
      <c r="J108" s="5" t="n">
        <v>5</v>
      </c>
      <c r="K108" s="5" t="n">
        <v>0</v>
      </c>
      <c r="L108" s="5" t="s">
        <v>7</v>
      </c>
    </row>
    <row r="109" customFormat="false" ht="15" hidden="false" customHeight="false" outlineLevel="0" collapsed="false">
      <c r="A109" s="5" t="n">
        <f aca="false">RANDBETWEEN(2,164)</f>
        <v>153</v>
      </c>
      <c r="B109" s="5" t="n">
        <f aca="false" t="array" ref="B109:B109">INDEX(Data_DBD!$B:$B,$A109)</f>
        <v>73</v>
      </c>
      <c r="C109" s="5" t="n">
        <f aca="false" t="array" ref="C109:C109">INDEX(Data_DBD!$C:$C,$A109)</f>
        <v>7</v>
      </c>
      <c r="D109" s="5" t="n">
        <f aca="false" t="array" ref="D109:D109">INDEX(Data_DBD!$E:$E,$A109)</f>
        <v>1</v>
      </c>
      <c r="E109" s="5" t="str">
        <f aca="false" t="array" ref="E109:E109">INDEX(Data_DBD!$F:$F,$A109)</f>
        <v>Tinggi</v>
      </c>
      <c r="H109" s="5" t="n">
        <v>17</v>
      </c>
      <c r="I109" s="5" t="n">
        <v>2</v>
      </c>
      <c r="J109" s="5" t="n">
        <v>3</v>
      </c>
      <c r="K109" s="5" t="n">
        <v>0</v>
      </c>
      <c r="L109" s="5" t="s">
        <v>20</v>
      </c>
    </row>
    <row r="110" customFormat="false" ht="15" hidden="false" customHeight="false" outlineLevel="0" collapsed="false">
      <c r="A110" s="5" t="n">
        <f aca="false">RANDBETWEEN(2,164)</f>
        <v>79</v>
      </c>
      <c r="B110" s="5" t="n">
        <f aca="false" t="array" ref="B110:B110">INDEX(Data_DBD!$B:$B,$A110)</f>
        <v>29</v>
      </c>
      <c r="C110" s="5" t="n">
        <f aca="false" t="array" ref="C110:C110">INDEX(Data_DBD!$C:$C,$A110)</f>
        <v>3</v>
      </c>
      <c r="D110" s="5" t="n">
        <f aca="false" t="array" ref="D110:D110">INDEX(Data_DBD!$E:$E,$A110)</f>
        <v>0</v>
      </c>
      <c r="E110" s="5" t="str">
        <f aca="false" t="array" ref="E110:E110">INDEX(Data_DBD!$F:$F,$A110)</f>
        <v>Sedang</v>
      </c>
      <c r="H110" s="5" t="n">
        <v>70</v>
      </c>
      <c r="I110" s="5" t="n">
        <v>26</v>
      </c>
      <c r="J110" s="5" t="n">
        <v>3</v>
      </c>
      <c r="K110" s="5" t="n">
        <v>1</v>
      </c>
      <c r="L110" s="5" t="s">
        <v>7</v>
      </c>
    </row>
    <row r="111" customFormat="false" ht="15" hidden="false" customHeight="false" outlineLevel="0" collapsed="false">
      <c r="A111" s="5" t="n">
        <f aca="false">RANDBETWEEN(2,164)</f>
        <v>91</v>
      </c>
      <c r="B111" s="5" t="n">
        <f aca="false" t="array" ref="B111:B111">INDEX(Data_DBD!$B:$B,$A111)</f>
        <v>35</v>
      </c>
      <c r="C111" s="5" t="n">
        <f aca="false" t="array" ref="C111:C111">INDEX(Data_DBD!$C:$C,$A111)</f>
        <v>1</v>
      </c>
      <c r="D111" s="5" t="n">
        <f aca="false" t="array" ref="D111:D111">INDEX(Data_DBD!$E:$E,$A111)</f>
        <v>1</v>
      </c>
      <c r="E111" s="5" t="str">
        <f aca="false" t="array" ref="E111:E111">INDEX(Data_DBD!$F:$F,$A111)</f>
        <v>Sedang</v>
      </c>
      <c r="H111" s="5" t="n">
        <v>30</v>
      </c>
      <c r="I111" s="5" t="n">
        <v>3</v>
      </c>
      <c r="J111" s="5" t="n">
        <v>2</v>
      </c>
      <c r="K111" s="5" t="n">
        <v>1</v>
      </c>
      <c r="L111" s="5" t="s">
        <v>7</v>
      </c>
    </row>
    <row r="112" customFormat="false" ht="15" hidden="false" customHeight="false" outlineLevel="0" collapsed="false">
      <c r="A112" s="5" t="n">
        <f aca="false">RANDBETWEEN(2,164)</f>
        <v>17</v>
      </c>
      <c r="B112" s="5" t="n">
        <f aca="false" t="array" ref="B112:B112">INDEX(Data_DBD!$B:$B,$A112)</f>
        <v>2</v>
      </c>
      <c r="C112" s="5" t="n">
        <f aca="false" t="array" ref="C112:C112">INDEX(Data_DBD!$C:$C,$A112)</f>
        <v>3</v>
      </c>
      <c r="D112" s="5" t="n">
        <f aca="false" t="array" ref="D112:D112">INDEX(Data_DBD!$E:$E,$A112)</f>
        <v>0</v>
      </c>
      <c r="E112" s="5" t="str">
        <f aca="false" t="array" ref="E112:E112">INDEX(Data_DBD!$F:$F,$A112)</f>
        <v>Rendah</v>
      </c>
      <c r="H112" s="5" t="n">
        <v>72</v>
      </c>
      <c r="I112" s="5" t="n">
        <v>3</v>
      </c>
      <c r="J112" s="5" t="n">
        <v>5</v>
      </c>
      <c r="K112" s="5" t="n">
        <v>1</v>
      </c>
      <c r="L112" s="5" t="s">
        <v>7</v>
      </c>
    </row>
    <row r="113" customFormat="false" ht="15" hidden="false" customHeight="false" outlineLevel="0" collapsed="false">
      <c r="A113" s="5" t="n">
        <f aca="false">RANDBETWEEN(2,164)</f>
        <v>67</v>
      </c>
      <c r="B113" s="5" t="n">
        <f aca="false" t="array" ref="B113:B113">INDEX(Data_DBD!$B:$B,$A113)</f>
        <v>21</v>
      </c>
      <c r="C113" s="5" t="n">
        <f aca="false" t="array" ref="C113:C113">INDEX(Data_DBD!$C:$C,$A113)</f>
        <v>3</v>
      </c>
      <c r="D113" s="5" t="n">
        <f aca="false" t="array" ref="D113:D113">INDEX(Data_DBD!$E:$E,$A113)</f>
        <v>1</v>
      </c>
      <c r="E113" s="5" t="str">
        <f aca="false" t="array" ref="E113:E113">INDEX(Data_DBD!$F:$F,$A113)</f>
        <v>Rendah</v>
      </c>
      <c r="H113" s="5" t="n">
        <v>38</v>
      </c>
      <c r="I113" s="5" t="n">
        <v>52</v>
      </c>
      <c r="J113" s="5" t="n">
        <v>3</v>
      </c>
      <c r="K113" s="5" t="n">
        <v>1</v>
      </c>
      <c r="L113" s="5" t="s">
        <v>20</v>
      </c>
    </row>
    <row r="114" customFormat="false" ht="15" hidden="false" customHeight="false" outlineLevel="0" collapsed="false">
      <c r="A114" s="5" t="n">
        <f aca="false">RANDBETWEEN(2,164)</f>
        <v>13</v>
      </c>
      <c r="B114" s="5" t="n">
        <f aca="false" t="array" ref="B114:B114">INDEX(Data_DBD!$B:$B,$A114)</f>
        <v>47</v>
      </c>
      <c r="C114" s="5" t="n">
        <f aca="false" t="array" ref="C114:C114">INDEX(Data_DBD!$C:$C,$A114)</f>
        <v>2</v>
      </c>
      <c r="D114" s="5" t="n">
        <f aca="false" t="array" ref="D114:D114">INDEX(Data_DBD!$E:$E,$A114)</f>
        <v>0</v>
      </c>
      <c r="E114" s="5" t="str">
        <f aca="false" t="array" ref="E114:E114">INDEX(Data_DBD!$F:$F,$A114)</f>
        <v>Sedang</v>
      </c>
      <c r="H114" s="5" t="n">
        <v>70</v>
      </c>
      <c r="I114" s="5" t="n">
        <v>26</v>
      </c>
      <c r="J114" s="5" t="n">
        <v>3</v>
      </c>
      <c r="K114" s="5" t="n">
        <v>1</v>
      </c>
      <c r="L114" s="5" t="s">
        <v>7</v>
      </c>
    </row>
    <row r="115" customFormat="false" ht="15" hidden="false" customHeight="false" outlineLevel="0" collapsed="false">
      <c r="A115" s="5" t="n">
        <f aca="false">RANDBETWEEN(2,164)</f>
        <v>127</v>
      </c>
      <c r="B115" s="5" t="n">
        <f aca="false" t="array" ref="B115:B115">INDEX(Data_DBD!$B:$B,$A115)</f>
        <v>21</v>
      </c>
      <c r="C115" s="5" t="n">
        <f aca="false" t="array" ref="C115:C115">INDEX(Data_DBD!$C:$C,$A115)</f>
        <v>2</v>
      </c>
      <c r="D115" s="5" t="n">
        <f aca="false" t="array" ref="D115:D115">INDEX(Data_DBD!$E:$E,$A115)</f>
        <v>0</v>
      </c>
      <c r="E115" s="5" t="str">
        <f aca="false" t="array" ref="E115:E115">INDEX(Data_DBD!$F:$F,$A115)</f>
        <v>Tinggi</v>
      </c>
      <c r="H115" s="5" t="n">
        <v>48</v>
      </c>
      <c r="I115" s="5" t="n">
        <v>50</v>
      </c>
      <c r="J115" s="5" t="n">
        <v>5</v>
      </c>
      <c r="K115" s="5" t="n">
        <v>1</v>
      </c>
      <c r="L115" s="5" t="s">
        <v>7</v>
      </c>
    </row>
    <row r="116" customFormat="false" ht="15" hidden="false" customHeight="false" outlineLevel="0" collapsed="false">
      <c r="A116" s="5" t="n">
        <f aca="false">RANDBETWEEN(2,164)</f>
        <v>129</v>
      </c>
      <c r="B116" s="5" t="n">
        <f aca="false" t="array" ref="B116:B116">INDEX(Data_DBD!$B:$B,$A116)</f>
        <v>4</v>
      </c>
      <c r="C116" s="5" t="n">
        <f aca="false" t="array" ref="C116:C116">INDEX(Data_DBD!$C:$C,$A116)</f>
        <v>3</v>
      </c>
      <c r="D116" s="5" t="n">
        <f aca="false" t="array" ref="D116:D116">INDEX(Data_DBD!$E:$E,$A116)</f>
        <v>0</v>
      </c>
      <c r="E116" s="5" t="str">
        <f aca="false" t="array" ref="E116:E116">INDEX(Data_DBD!$F:$F,$A116)</f>
        <v>Tinggi</v>
      </c>
      <c r="H116" s="5" t="n">
        <v>89</v>
      </c>
      <c r="I116" s="5" t="n">
        <v>32</v>
      </c>
      <c r="J116" s="5" t="n">
        <v>4</v>
      </c>
      <c r="K116" s="5" t="n">
        <v>0</v>
      </c>
      <c r="L116" s="5" t="s">
        <v>7</v>
      </c>
    </row>
    <row r="117" customFormat="false" ht="15" hidden="false" customHeight="false" outlineLevel="0" collapsed="false">
      <c r="A117" s="5" t="n">
        <f aca="false">RANDBETWEEN(2,164)</f>
        <v>36</v>
      </c>
      <c r="B117" s="5" t="n">
        <f aca="false" t="array" ref="B117:B117">INDEX(Data_DBD!$B:$B,$A117)</f>
        <v>27</v>
      </c>
      <c r="C117" s="5" t="n">
        <f aca="false" t="array" ref="C117:C117">INDEX(Data_DBD!$C:$C,$A117)</f>
        <v>1</v>
      </c>
      <c r="D117" s="5" t="n">
        <f aca="false" t="array" ref="D117:D117">INDEX(Data_DBD!$E:$E,$A117)</f>
        <v>1</v>
      </c>
      <c r="E117" s="5" t="str">
        <f aca="false" t="array" ref="E117:E117">INDEX(Data_DBD!$F:$F,$A117)</f>
        <v>Rendah</v>
      </c>
      <c r="H117" s="5" t="n">
        <v>15</v>
      </c>
      <c r="I117" s="5" t="n">
        <v>21</v>
      </c>
      <c r="J117" s="5" t="n">
        <v>2</v>
      </c>
      <c r="K117" s="5" t="n">
        <v>0</v>
      </c>
      <c r="L117" s="5" t="s">
        <v>20</v>
      </c>
    </row>
    <row r="118" customFormat="false" ht="15" hidden="false" customHeight="false" outlineLevel="0" collapsed="false">
      <c r="A118" s="5" t="n">
        <f aca="false">RANDBETWEEN(2,164)</f>
        <v>26</v>
      </c>
      <c r="B118" s="5" t="n">
        <f aca="false" t="array" ref="B118:B118">INDEX(Data_DBD!$B:$B,$A118)</f>
        <v>75</v>
      </c>
      <c r="C118" s="5" t="n">
        <f aca="false" t="array" ref="C118:C118">INDEX(Data_DBD!$C:$C,$A118)</f>
        <v>4</v>
      </c>
      <c r="D118" s="5" t="n">
        <f aca="false" t="array" ref="D118:D118">INDEX(Data_DBD!$E:$E,$A118)</f>
        <v>1</v>
      </c>
      <c r="E118" s="5" t="str">
        <f aca="false" t="array" ref="E118:E118">INDEX(Data_DBD!$F:$F,$A118)</f>
        <v>Sedang</v>
      </c>
      <c r="H118" s="5" t="n">
        <v>7</v>
      </c>
      <c r="I118" s="5" t="n">
        <v>12</v>
      </c>
      <c r="J118" s="5" t="n">
        <v>1</v>
      </c>
      <c r="K118" s="5" t="n">
        <v>1</v>
      </c>
      <c r="L118" s="5" t="s">
        <v>7</v>
      </c>
    </row>
    <row r="119" customFormat="false" ht="15" hidden="false" customHeight="false" outlineLevel="0" collapsed="false">
      <c r="A119" s="5" t="n">
        <f aca="false">RANDBETWEEN(2,164)</f>
        <v>68</v>
      </c>
      <c r="B119" s="5" t="n">
        <f aca="false" t="array" ref="B119:B119">INDEX(Data_DBD!$B:$B,$A119)</f>
        <v>44</v>
      </c>
      <c r="C119" s="5" t="n">
        <f aca="false" t="array" ref="C119:C119">INDEX(Data_DBD!$C:$C,$A119)</f>
        <v>5</v>
      </c>
      <c r="D119" s="5" t="n">
        <f aca="false" t="array" ref="D119:D119">INDEX(Data_DBD!$E:$E,$A119)</f>
        <v>0</v>
      </c>
      <c r="E119" s="5" t="str">
        <f aca="false" t="array" ref="E119:E119">INDEX(Data_DBD!$F:$F,$A119)</f>
        <v>Rendah</v>
      </c>
      <c r="H119" s="5" t="n">
        <v>108</v>
      </c>
      <c r="I119" s="5" t="n">
        <v>69</v>
      </c>
      <c r="J119" s="5" t="n">
        <v>7</v>
      </c>
      <c r="K119" s="5" t="n">
        <v>1</v>
      </c>
      <c r="L119" s="5" t="s">
        <v>115</v>
      </c>
    </row>
    <row r="120" customFormat="false" ht="15" hidden="false" customHeight="false" outlineLevel="0" collapsed="false">
      <c r="A120" s="5" t="n">
        <f aca="false">RANDBETWEEN(2,164)</f>
        <v>114</v>
      </c>
      <c r="B120" s="5" t="n">
        <f aca="false" t="array" ref="B120:B120">INDEX(Data_DBD!$B:$B,$A120)</f>
        <v>14</v>
      </c>
      <c r="C120" s="5" t="n">
        <f aca="false" t="array" ref="C120:C120">INDEX(Data_DBD!$C:$C,$A120)</f>
        <v>2</v>
      </c>
      <c r="D120" s="5" t="n">
        <f aca="false" t="array" ref="D120:D120">INDEX(Data_DBD!$E:$E,$A120)</f>
        <v>1</v>
      </c>
      <c r="E120" s="5" t="str">
        <f aca="false" t="array" ref="E120:E120">INDEX(Data_DBD!$F:$F,$A120)</f>
        <v>Tinggi</v>
      </c>
      <c r="H120" s="5" t="n">
        <v>13</v>
      </c>
      <c r="I120" s="5" t="n">
        <v>47</v>
      </c>
      <c r="J120" s="5" t="n">
        <v>2</v>
      </c>
      <c r="K120" s="5" t="n">
        <v>0</v>
      </c>
      <c r="L120" s="5" t="s">
        <v>7</v>
      </c>
    </row>
    <row r="121" customFormat="false" ht="15" hidden="false" customHeight="false" outlineLevel="0" collapsed="false">
      <c r="A121" s="5" t="n">
        <f aca="false">RANDBETWEEN(2,164)</f>
        <v>13</v>
      </c>
      <c r="B121" s="5" t="n">
        <f aca="false" t="array" ref="B121:B121">INDEX(Data_DBD!$B:$B,$A121)</f>
        <v>47</v>
      </c>
      <c r="C121" s="5" t="n">
        <f aca="false" t="array" ref="C121:C121">INDEX(Data_DBD!$C:$C,$A121)</f>
        <v>2</v>
      </c>
      <c r="D121" s="5" t="n">
        <f aca="false" t="array" ref="D121:D121">INDEX(Data_DBD!$E:$E,$A121)</f>
        <v>0</v>
      </c>
      <c r="E121" s="5" t="str">
        <f aca="false" t="array" ref="E121:E121">INDEX(Data_DBD!$F:$F,$A121)</f>
        <v>Sedang</v>
      </c>
      <c r="H121" s="5" t="n">
        <v>150</v>
      </c>
      <c r="I121" s="5" t="n">
        <v>61</v>
      </c>
      <c r="J121" s="5" t="n">
        <v>5</v>
      </c>
      <c r="K121" s="5" t="n">
        <v>1</v>
      </c>
      <c r="L121" s="5" t="s">
        <v>115</v>
      </c>
    </row>
    <row r="122" customFormat="false" ht="15" hidden="false" customHeight="false" outlineLevel="0" collapsed="false">
      <c r="A122" s="5" t="n">
        <f aca="false">RANDBETWEEN(2,164)</f>
        <v>54</v>
      </c>
      <c r="B122" s="5" t="n">
        <f aca="false" t="array" ref="B122:B122">INDEX(Data_DBD!$B:$B,$A122)</f>
        <v>7</v>
      </c>
      <c r="C122" s="5" t="n">
        <f aca="false" t="array" ref="C122:C122">INDEX(Data_DBD!$C:$C,$A122)</f>
        <v>3</v>
      </c>
      <c r="D122" s="5" t="n">
        <f aca="false" t="array" ref="D122:D122">INDEX(Data_DBD!$E:$E,$A122)</f>
        <v>0</v>
      </c>
      <c r="E122" s="5" t="str">
        <f aca="false" t="array" ref="E122:E122">INDEX(Data_DBD!$F:$F,$A122)</f>
        <v>Sedang</v>
      </c>
      <c r="H122" s="5" t="n">
        <v>55</v>
      </c>
      <c r="I122" s="5" t="n">
        <v>7</v>
      </c>
      <c r="J122" s="5" t="n">
        <v>4</v>
      </c>
      <c r="K122" s="5" t="n">
        <v>1</v>
      </c>
      <c r="L122" s="5" t="s">
        <v>7</v>
      </c>
    </row>
    <row r="123" customFormat="false" ht="15" hidden="false" customHeight="false" outlineLevel="0" collapsed="false">
      <c r="A123" s="5" t="n">
        <f aca="false">RANDBETWEEN(2,164)</f>
        <v>139</v>
      </c>
      <c r="B123" s="5" t="n">
        <f aca="false" t="array" ref="B123:B123">INDEX(Data_DBD!$B:$B,$A123)</f>
        <v>52</v>
      </c>
      <c r="C123" s="5" t="n">
        <f aca="false" t="array" ref="C123:C123">INDEX(Data_DBD!$C:$C,$A123)</f>
        <v>7</v>
      </c>
      <c r="D123" s="5" t="n">
        <f aca="false" t="array" ref="D123:D123">INDEX(Data_DBD!$E:$E,$A123)</f>
        <v>0</v>
      </c>
      <c r="E123" s="5" t="str">
        <f aca="false" t="array" ref="E123:E123">INDEX(Data_DBD!$F:$F,$A123)</f>
        <v>Tinggi</v>
      </c>
      <c r="H123" s="5" t="n">
        <v>23</v>
      </c>
      <c r="I123" s="5" t="n">
        <v>28</v>
      </c>
      <c r="J123" s="5" t="n">
        <v>4</v>
      </c>
      <c r="K123" s="5" t="n">
        <v>1</v>
      </c>
      <c r="L123" s="5" t="s">
        <v>7</v>
      </c>
    </row>
    <row r="124" customFormat="false" ht="15" hidden="false" customHeight="false" outlineLevel="0" collapsed="false">
      <c r="A124" s="5" t="n">
        <f aca="false">RANDBETWEEN(2,164)</f>
        <v>95</v>
      </c>
      <c r="B124" s="5" t="n">
        <f aca="false" t="array" ref="B124:B124">INDEX(Data_DBD!$B:$B,$A124)</f>
        <v>11</v>
      </c>
      <c r="C124" s="5" t="n">
        <f aca="false" t="array" ref="C124:C124">INDEX(Data_DBD!$C:$C,$A124)</f>
        <v>3</v>
      </c>
      <c r="D124" s="5" t="n">
        <f aca="false" t="array" ref="D124:D124">INDEX(Data_DBD!$E:$E,$A124)</f>
        <v>1</v>
      </c>
      <c r="E124" s="5" t="str">
        <f aca="false" t="array" ref="E124:E124">INDEX(Data_DBD!$F:$F,$A124)</f>
        <v>Sedang</v>
      </c>
      <c r="H124" s="5" t="n">
        <v>70</v>
      </c>
      <c r="I124" s="5" t="n">
        <v>26</v>
      </c>
      <c r="J124" s="5" t="n">
        <v>3</v>
      </c>
      <c r="K124" s="5" t="n">
        <v>1</v>
      </c>
      <c r="L124" s="5" t="s">
        <v>7</v>
      </c>
    </row>
    <row r="125" customFormat="false" ht="15" hidden="false" customHeight="false" outlineLevel="0" collapsed="false">
      <c r="A125" s="5" t="n">
        <f aca="false">RANDBETWEEN(2,164)</f>
        <v>160</v>
      </c>
      <c r="B125" s="5" t="n">
        <f aca="false" t="array" ref="B125:B125">INDEX(Data_DBD!$B:$B,$A125)</f>
        <v>16</v>
      </c>
      <c r="C125" s="5" t="n">
        <f aca="false" t="array" ref="C125:C125">INDEX(Data_DBD!$C:$C,$A125)</f>
        <v>3</v>
      </c>
      <c r="D125" s="5" t="n">
        <f aca="false" t="array" ref="D125:D125">INDEX(Data_DBD!$E:$E,$A125)</f>
        <v>0</v>
      </c>
      <c r="E125" s="5" t="str">
        <f aca="false" t="array" ref="E125:E125">INDEX(Data_DBD!$F:$F,$A125)</f>
        <v>Tinggi</v>
      </c>
      <c r="H125" s="5" t="n">
        <v>135</v>
      </c>
      <c r="I125" s="5" t="n">
        <v>10</v>
      </c>
      <c r="J125" s="5" t="n">
        <v>2</v>
      </c>
      <c r="K125" s="5" t="n">
        <v>0</v>
      </c>
      <c r="L125" s="5" t="s">
        <v>115</v>
      </c>
    </row>
    <row r="126" customFormat="false" ht="15" hidden="false" customHeight="false" outlineLevel="0" collapsed="false">
      <c r="A126" s="5" t="n">
        <f aca="false">RANDBETWEEN(2,164)</f>
        <v>91</v>
      </c>
      <c r="B126" s="5" t="n">
        <f aca="false" t="array" ref="B126:B126">INDEX(Data_DBD!$B:$B,$A126)</f>
        <v>35</v>
      </c>
      <c r="C126" s="5" t="n">
        <f aca="false" t="array" ref="C126:C126">INDEX(Data_DBD!$C:$C,$A126)</f>
        <v>1</v>
      </c>
      <c r="D126" s="5" t="n">
        <f aca="false" t="array" ref="D126:D126">INDEX(Data_DBD!$E:$E,$A126)</f>
        <v>1</v>
      </c>
      <c r="E126" s="5" t="str">
        <f aca="false" t="array" ref="E126:E126">INDEX(Data_DBD!$F:$F,$A126)</f>
        <v>Sedang</v>
      </c>
      <c r="H126" s="5" t="n">
        <v>133</v>
      </c>
      <c r="I126" s="5" t="n">
        <v>6</v>
      </c>
      <c r="J126" s="5" t="n">
        <v>4</v>
      </c>
      <c r="K126" s="5" t="n">
        <v>0</v>
      </c>
      <c r="L126" s="5" t="s">
        <v>115</v>
      </c>
    </row>
    <row r="127" customFormat="false" ht="15" hidden="false" customHeight="false" outlineLevel="0" collapsed="false">
      <c r="A127" s="5" t="n">
        <f aca="false">RANDBETWEEN(2,164)</f>
        <v>84</v>
      </c>
      <c r="B127" s="5" t="n">
        <f aca="false" t="array" ref="B127:B127">INDEX(Data_DBD!$B:$B,$A127)</f>
        <v>42</v>
      </c>
      <c r="C127" s="5" t="n">
        <f aca="false" t="array" ref="C127:C127">INDEX(Data_DBD!$C:$C,$A127)</f>
        <v>4</v>
      </c>
      <c r="D127" s="5" t="n">
        <f aca="false" t="array" ref="D127:D127">INDEX(Data_DBD!$E:$E,$A127)</f>
        <v>1</v>
      </c>
      <c r="E127" s="5" t="str">
        <f aca="false" t="array" ref="E127:E127">INDEX(Data_DBD!$F:$F,$A127)</f>
        <v>Sedang</v>
      </c>
      <c r="H127" s="5" t="n">
        <v>88</v>
      </c>
      <c r="I127" s="5" t="n">
        <v>20</v>
      </c>
      <c r="J127" s="5" t="n">
        <v>4</v>
      </c>
      <c r="K127" s="5" t="n">
        <v>1</v>
      </c>
      <c r="L127" s="5" t="s">
        <v>7</v>
      </c>
    </row>
    <row r="128" customFormat="false" ht="15" hidden="false" customHeight="false" outlineLevel="0" collapsed="false">
      <c r="A128" s="5" t="n">
        <f aca="false">RANDBETWEEN(2,164)</f>
        <v>31</v>
      </c>
      <c r="B128" s="5" t="n">
        <f aca="false" t="array" ref="B128:B128">INDEX(Data_DBD!$B:$B,$A128)</f>
        <v>64</v>
      </c>
      <c r="C128" s="5" t="n">
        <f aca="false" t="array" ref="C128:C128">INDEX(Data_DBD!$C:$C,$A128)</f>
        <v>4</v>
      </c>
      <c r="D128" s="5" t="n">
        <f aca="false" t="array" ref="D128:D128">INDEX(Data_DBD!$E:$E,$A128)</f>
        <v>1</v>
      </c>
      <c r="E128" s="5" t="str">
        <f aca="false" t="array" ref="E128:E128">INDEX(Data_DBD!$F:$F,$A128)</f>
        <v>Sedang</v>
      </c>
      <c r="H128" s="5" t="n">
        <v>93</v>
      </c>
      <c r="I128" s="5" t="n">
        <v>65</v>
      </c>
      <c r="J128" s="5" t="n">
        <v>4</v>
      </c>
      <c r="K128" s="5" t="n">
        <v>0</v>
      </c>
      <c r="L128" s="5" t="s">
        <v>115</v>
      </c>
    </row>
    <row r="129" customFormat="false" ht="15" hidden="false" customHeight="false" outlineLevel="0" collapsed="false">
      <c r="A129" s="5" t="n">
        <f aca="false">RANDBETWEEN(2,164)</f>
        <v>15</v>
      </c>
      <c r="B129" s="5" t="n">
        <f aca="false" t="array" ref="B129:B129">INDEX(Data_DBD!$B:$B,$A129)</f>
        <v>21</v>
      </c>
      <c r="C129" s="5" t="n">
        <f aca="false" t="array" ref="C129:C129">INDEX(Data_DBD!$C:$C,$A129)</f>
        <v>2</v>
      </c>
      <c r="D129" s="5" t="n">
        <f aca="false" t="array" ref="D129:D129">INDEX(Data_DBD!$E:$E,$A129)</f>
        <v>0</v>
      </c>
      <c r="E129" s="5" t="str">
        <f aca="false" t="array" ref="E129:E129">INDEX(Data_DBD!$F:$F,$A129)</f>
        <v>Rendah</v>
      </c>
      <c r="H129" s="5" t="n">
        <v>101</v>
      </c>
      <c r="I129" s="5" t="n">
        <v>42</v>
      </c>
      <c r="J129" s="5" t="n">
        <v>5</v>
      </c>
      <c r="K129" s="5" t="n">
        <v>0</v>
      </c>
      <c r="L129" s="5" t="s">
        <v>115</v>
      </c>
    </row>
    <row r="130" customFormat="false" ht="15" hidden="false" customHeight="false" outlineLevel="0" collapsed="false">
      <c r="A130" s="5" t="n">
        <f aca="false">RANDBETWEEN(2,164)</f>
        <v>78</v>
      </c>
      <c r="B130" s="5" t="n">
        <f aca="false" t="array" ref="B130:B130">INDEX(Data_DBD!$B:$B,$A130)</f>
        <v>6</v>
      </c>
      <c r="C130" s="5" t="n">
        <f aca="false" t="array" ref="C130:C130">INDEX(Data_DBD!$C:$C,$A130)</f>
        <v>3</v>
      </c>
      <c r="D130" s="5" t="n">
        <f aca="false" t="array" ref="D130:D130">INDEX(Data_DBD!$E:$E,$A130)</f>
        <v>0</v>
      </c>
      <c r="E130" s="5" t="str">
        <f aca="false" t="array" ref="E130:E130">INDEX(Data_DBD!$F:$F,$A130)</f>
        <v>Sedang</v>
      </c>
      <c r="H130" s="5" t="n">
        <v>30</v>
      </c>
      <c r="I130" s="5" t="n">
        <v>3</v>
      </c>
      <c r="J130" s="5" t="n">
        <v>2</v>
      </c>
      <c r="K130" s="5" t="n">
        <v>1</v>
      </c>
      <c r="L130" s="5" t="s">
        <v>7</v>
      </c>
    </row>
    <row r="131" customFormat="false" ht="15" hidden="false" customHeight="false" outlineLevel="0" collapsed="false">
      <c r="A131" s="5" t="n">
        <f aca="false">RANDBETWEEN(2,164)</f>
        <v>81</v>
      </c>
      <c r="B131" s="5" t="n">
        <f aca="false" t="array" ref="B131:B131">INDEX(Data_DBD!$B:$B,$A131)</f>
        <v>23</v>
      </c>
      <c r="C131" s="5" t="n">
        <f aca="false" t="array" ref="C131:C131">INDEX(Data_DBD!$C:$C,$A131)</f>
        <v>5</v>
      </c>
      <c r="D131" s="5" t="n">
        <f aca="false" t="array" ref="D131:D131">INDEX(Data_DBD!$E:$E,$A131)</f>
        <v>1</v>
      </c>
      <c r="E131" s="5" t="str">
        <f aca="false" t="array" ref="E131:E131">INDEX(Data_DBD!$F:$F,$A131)</f>
        <v>Sedang</v>
      </c>
      <c r="H131" s="5" t="n">
        <v>158</v>
      </c>
      <c r="I131" s="5" t="n">
        <v>5</v>
      </c>
      <c r="J131" s="5" t="n">
        <v>2</v>
      </c>
      <c r="K131" s="5" t="n">
        <v>0</v>
      </c>
      <c r="L131" s="5" t="s">
        <v>115</v>
      </c>
    </row>
    <row r="132" customFormat="false" ht="15" hidden="false" customHeight="false" outlineLevel="0" collapsed="false">
      <c r="A132" s="5" t="n">
        <f aca="false">RANDBETWEEN(2,164)</f>
        <v>163</v>
      </c>
      <c r="B132" s="5" t="n">
        <f aca="false" t="array" ref="B132:B132">INDEX(Data_DBD!$B:$B,$A132)</f>
        <v>34</v>
      </c>
      <c r="C132" s="5" t="n">
        <f aca="false" t="array" ref="C132:C132">INDEX(Data_DBD!$C:$C,$A132)</f>
        <v>4</v>
      </c>
      <c r="D132" s="5" t="n">
        <f aca="false" t="array" ref="D132:D132">INDEX(Data_DBD!$E:$E,$A132)</f>
        <v>1</v>
      </c>
      <c r="E132" s="5" t="str">
        <f aca="false" t="array" ref="E132:E132">INDEX(Data_DBD!$F:$F,$A132)</f>
        <v>Rendah</v>
      </c>
      <c r="H132" s="5" t="n">
        <v>27</v>
      </c>
      <c r="I132" s="5" t="n">
        <v>37</v>
      </c>
      <c r="J132" s="5" t="n">
        <v>4</v>
      </c>
      <c r="K132" s="5" t="n">
        <v>1</v>
      </c>
      <c r="L132" s="5" t="s">
        <v>7</v>
      </c>
    </row>
    <row r="133" customFormat="false" ht="15" hidden="false" customHeight="false" outlineLevel="0" collapsed="false">
      <c r="A133" s="5" t="n">
        <f aca="false">RANDBETWEEN(2,164)</f>
        <v>98</v>
      </c>
      <c r="B133" s="5" t="n">
        <f aca="false" t="array" ref="B133:B133">INDEX(Data_DBD!$B:$B,$A133)</f>
        <v>16</v>
      </c>
      <c r="C133" s="5" t="n">
        <f aca="false" t="array" ref="C133:C133">INDEX(Data_DBD!$C:$C,$A133)</f>
        <v>2</v>
      </c>
      <c r="D133" s="5" t="n">
        <f aca="false" t="array" ref="D133:D133">INDEX(Data_DBD!$E:$E,$A133)</f>
        <v>1</v>
      </c>
      <c r="E133" s="5" t="str">
        <f aca="false" t="array" ref="E133:E133">INDEX(Data_DBD!$F:$F,$A133)</f>
        <v>Sedang</v>
      </c>
      <c r="H133" s="5" t="n">
        <v>119</v>
      </c>
      <c r="I133" s="5" t="n">
        <v>30</v>
      </c>
      <c r="J133" s="5" t="n">
        <v>7</v>
      </c>
      <c r="K133" s="5" t="n">
        <v>0</v>
      </c>
      <c r="L133" s="5" t="s">
        <v>115</v>
      </c>
    </row>
    <row r="134" customFormat="false" ht="15" hidden="false" customHeight="false" outlineLevel="0" collapsed="false">
      <c r="A134" s="5" t="n">
        <f aca="false">RANDBETWEEN(2,164)</f>
        <v>68</v>
      </c>
      <c r="B134" s="5" t="n">
        <f aca="false" t="array" ref="B134:B134">INDEX(Data_DBD!$B:$B,$A134)</f>
        <v>44</v>
      </c>
      <c r="C134" s="5" t="n">
        <f aca="false" t="array" ref="C134:C134">INDEX(Data_DBD!$C:$C,$A134)</f>
        <v>5</v>
      </c>
      <c r="D134" s="5" t="n">
        <f aca="false" t="array" ref="D134:D134">INDEX(Data_DBD!$E:$E,$A134)</f>
        <v>0</v>
      </c>
      <c r="E134" s="5" t="str">
        <f aca="false" t="array" ref="E134:E134">INDEX(Data_DBD!$F:$F,$A134)</f>
        <v>Rendah</v>
      </c>
      <c r="H134" s="5" t="n">
        <v>146</v>
      </c>
      <c r="I134" s="5" t="n">
        <v>34</v>
      </c>
      <c r="J134" s="5" t="n">
        <v>2</v>
      </c>
      <c r="K134" s="5" t="n">
        <v>1</v>
      </c>
      <c r="L134" s="5" t="s">
        <v>115</v>
      </c>
    </row>
    <row r="135" customFormat="false" ht="15" hidden="false" customHeight="false" outlineLevel="0" collapsed="false">
      <c r="A135" s="5" t="n">
        <f aca="false">RANDBETWEEN(2,164)</f>
        <v>30</v>
      </c>
      <c r="B135" s="5" t="n">
        <f aca="false" t="array" ref="B135:B135">INDEX(Data_DBD!$B:$B,$A135)</f>
        <v>3</v>
      </c>
      <c r="C135" s="5" t="n">
        <f aca="false" t="array" ref="C135:C135">INDEX(Data_DBD!$C:$C,$A135)</f>
        <v>2</v>
      </c>
      <c r="D135" s="5" t="n">
        <f aca="false" t="array" ref="D135:D135">INDEX(Data_DBD!$E:$E,$A135)</f>
        <v>1</v>
      </c>
      <c r="E135" s="5" t="str">
        <f aca="false" t="array" ref="E135:E135">INDEX(Data_DBD!$F:$F,$A135)</f>
        <v>Sedang</v>
      </c>
      <c r="H135" s="5" t="n">
        <v>42</v>
      </c>
      <c r="I135" s="5" t="n">
        <v>21</v>
      </c>
      <c r="J135" s="5" t="n">
        <v>5</v>
      </c>
      <c r="K135" s="5" t="n">
        <v>1</v>
      </c>
      <c r="L135" s="5" t="s">
        <v>7</v>
      </c>
    </row>
    <row r="136" customFormat="false" ht="15" hidden="false" customHeight="false" outlineLevel="0" collapsed="false">
      <c r="A136" s="5" t="n">
        <f aca="false">RANDBETWEEN(2,164)</f>
        <v>58</v>
      </c>
      <c r="B136" s="5" t="n">
        <f aca="false" t="array" ref="B136:B136">INDEX(Data_DBD!$B:$B,$A136)</f>
        <v>17</v>
      </c>
      <c r="C136" s="5" t="n">
        <f aca="false" t="array" ref="C136:C136">INDEX(Data_DBD!$C:$C,$A136)</f>
        <v>3</v>
      </c>
      <c r="D136" s="5" t="n">
        <f aca="false" t="array" ref="D136:D136">INDEX(Data_DBD!$E:$E,$A136)</f>
        <v>0</v>
      </c>
      <c r="E136" s="5" t="str">
        <f aca="false" t="array" ref="E136:E136">INDEX(Data_DBD!$F:$F,$A136)</f>
        <v>Sedang</v>
      </c>
      <c r="H136" s="5" t="n">
        <v>153</v>
      </c>
      <c r="I136" s="5" t="n">
        <v>73</v>
      </c>
      <c r="J136" s="5" t="n">
        <v>7</v>
      </c>
      <c r="K136" s="5" t="n">
        <v>1</v>
      </c>
      <c r="L136" s="5" t="s">
        <v>115</v>
      </c>
    </row>
    <row r="137" customFormat="false" ht="15" hidden="false" customHeight="false" outlineLevel="0" collapsed="false">
      <c r="A137" s="5" t="n">
        <f aca="false">RANDBETWEEN(2,164)</f>
        <v>65</v>
      </c>
      <c r="B137" s="5" t="n">
        <f aca="false" t="array" ref="B137:B137">INDEX(Data_DBD!$B:$B,$A137)</f>
        <v>49</v>
      </c>
      <c r="C137" s="5" t="n">
        <f aca="false" t="array" ref="C137:C137">INDEX(Data_DBD!$C:$C,$A137)</f>
        <v>3</v>
      </c>
      <c r="D137" s="5" t="n">
        <f aca="false" t="array" ref="D137:D137">INDEX(Data_DBD!$E:$E,$A137)</f>
        <v>0</v>
      </c>
      <c r="E137" s="5" t="str">
        <f aca="false" t="array" ref="E137:E137">INDEX(Data_DBD!$F:$F,$A137)</f>
        <v>Sedang</v>
      </c>
      <c r="H137" s="5" t="n">
        <v>58</v>
      </c>
      <c r="I137" s="5" t="n">
        <v>17</v>
      </c>
      <c r="J137" s="5" t="n">
        <v>3</v>
      </c>
      <c r="K137" s="5" t="n">
        <v>0</v>
      </c>
      <c r="L137" s="5" t="s">
        <v>7</v>
      </c>
    </row>
    <row r="138" customFormat="false" ht="15" hidden="false" customHeight="false" outlineLevel="0" collapsed="false">
      <c r="A138" s="5" t="n">
        <f aca="false">RANDBETWEEN(2,164)</f>
        <v>28</v>
      </c>
      <c r="B138" s="5" t="n">
        <f aca="false" t="array" ref="B138:B138">INDEX(Data_DBD!$B:$B,$A138)</f>
        <v>22</v>
      </c>
      <c r="C138" s="5" t="n">
        <f aca="false" t="array" ref="C138:C138">INDEX(Data_DBD!$C:$C,$A138)</f>
        <v>2</v>
      </c>
      <c r="D138" s="5" t="n">
        <f aca="false" t="array" ref="D138:D138">INDEX(Data_DBD!$E:$E,$A138)</f>
        <v>1</v>
      </c>
      <c r="E138" s="5" t="str">
        <f aca="false" t="array" ref="E138:E138">INDEX(Data_DBD!$F:$F,$A138)</f>
        <v>Sedang</v>
      </c>
      <c r="H138" s="5" t="n">
        <v>143</v>
      </c>
      <c r="I138" s="5" t="n">
        <v>20</v>
      </c>
      <c r="J138" s="5" t="n">
        <v>4</v>
      </c>
      <c r="K138" s="5" t="n">
        <v>1</v>
      </c>
      <c r="L138" s="5" t="s">
        <v>115</v>
      </c>
    </row>
    <row r="139" customFormat="false" ht="15" hidden="false" customHeight="false" outlineLevel="0" collapsed="false">
      <c r="A139" s="5" t="n">
        <f aca="false">RANDBETWEEN(2,164)</f>
        <v>110</v>
      </c>
      <c r="B139" s="5" t="n">
        <f aca="false" t="array" ref="B139:B139">INDEX(Data_DBD!$B:$B,$A139)</f>
        <v>42</v>
      </c>
      <c r="C139" s="5" t="n">
        <f aca="false" t="array" ref="C139:C139">INDEX(Data_DBD!$C:$C,$A139)</f>
        <v>2</v>
      </c>
      <c r="D139" s="5" t="n">
        <f aca="false" t="array" ref="D139:D139">INDEX(Data_DBD!$E:$E,$A139)</f>
        <v>1</v>
      </c>
      <c r="E139" s="5" t="str">
        <f aca="false" t="array" ref="E139:E139">INDEX(Data_DBD!$F:$F,$A139)</f>
        <v>Tinggi</v>
      </c>
      <c r="H139" s="5" t="n">
        <v>129</v>
      </c>
      <c r="I139" s="5" t="n">
        <v>4</v>
      </c>
      <c r="J139" s="5" t="n">
        <v>3</v>
      </c>
      <c r="K139" s="5" t="n">
        <v>0</v>
      </c>
      <c r="L139" s="5" t="s">
        <v>115</v>
      </c>
    </row>
    <row r="140" customFormat="false" ht="15" hidden="false" customHeight="false" outlineLevel="0" collapsed="false">
      <c r="A140" s="5" t="n">
        <f aca="false">RANDBETWEEN(2,164)</f>
        <v>35</v>
      </c>
      <c r="B140" s="5" t="n">
        <f aca="false" t="array" ref="B140:B140">INDEX(Data_DBD!$B:$B,$A140)</f>
        <v>40</v>
      </c>
      <c r="C140" s="5" t="n">
        <f aca="false" t="array" ref="C140:C140">INDEX(Data_DBD!$C:$C,$A140)</f>
        <v>3</v>
      </c>
      <c r="D140" s="5" t="n">
        <f aca="false" t="array" ref="D140:D140">INDEX(Data_DBD!$E:$E,$A140)</f>
        <v>1</v>
      </c>
      <c r="E140" s="5" t="str">
        <f aca="false" t="array" ref="E140:E140">INDEX(Data_DBD!$F:$F,$A140)</f>
        <v>Rendah</v>
      </c>
      <c r="H140" s="5" t="n">
        <v>2</v>
      </c>
      <c r="I140" s="5" t="n">
        <v>34</v>
      </c>
      <c r="J140" s="5" t="n">
        <v>3</v>
      </c>
      <c r="K140" s="5" t="n">
        <v>0</v>
      </c>
      <c r="L140" s="5" t="s">
        <v>7</v>
      </c>
    </row>
    <row r="141" customFormat="false" ht="15" hidden="false" customHeight="false" outlineLevel="0" collapsed="false">
      <c r="A141" s="5" t="n">
        <f aca="false">RANDBETWEEN(2,164)</f>
        <v>135</v>
      </c>
      <c r="B141" s="5" t="n">
        <f aca="false" t="array" ref="B141:B141">INDEX(Data_DBD!$B:$B,$A141)</f>
        <v>10</v>
      </c>
      <c r="C141" s="5" t="n">
        <f aca="false" t="array" ref="C141:C141">INDEX(Data_DBD!$C:$C,$A141)</f>
        <v>2</v>
      </c>
      <c r="D141" s="5" t="n">
        <f aca="false" t="array" ref="D141:D141">INDEX(Data_DBD!$E:$E,$A141)</f>
        <v>0</v>
      </c>
      <c r="E141" s="5" t="str">
        <f aca="false" t="array" ref="E141:E141">INDEX(Data_DBD!$F:$F,$A141)</f>
        <v>Tinggi</v>
      </c>
      <c r="H141" s="5" t="n">
        <v>128</v>
      </c>
      <c r="I141" s="5" t="n">
        <v>38</v>
      </c>
      <c r="J141" s="5" t="n">
        <v>2</v>
      </c>
      <c r="K141" s="5" t="n">
        <v>0</v>
      </c>
      <c r="L141" s="5" t="s">
        <v>115</v>
      </c>
    </row>
    <row r="142" customFormat="false" ht="15" hidden="false" customHeight="false" outlineLevel="0" collapsed="false">
      <c r="A142" s="5" t="n">
        <f aca="false">RANDBETWEEN(2,164)</f>
        <v>83</v>
      </c>
      <c r="B142" s="5" t="n">
        <f aca="false" t="array" ref="B142:B142">INDEX(Data_DBD!$B:$B,$A142)</f>
        <v>50</v>
      </c>
      <c r="C142" s="5" t="n">
        <f aca="false" t="array" ref="C142:C142">INDEX(Data_DBD!$C:$C,$A142)</f>
        <v>3</v>
      </c>
      <c r="D142" s="5" t="n">
        <f aca="false" t="array" ref="D142:D142">INDEX(Data_DBD!$E:$E,$A142)</f>
        <v>0</v>
      </c>
      <c r="E142" s="5" t="str">
        <f aca="false" t="array" ref="E142:E142">INDEX(Data_DBD!$F:$F,$A142)</f>
        <v>Sedang</v>
      </c>
      <c r="H142" s="5" t="n">
        <v>46</v>
      </c>
      <c r="I142" s="5" t="n">
        <v>62</v>
      </c>
      <c r="J142" s="5" t="n">
        <v>2</v>
      </c>
      <c r="K142" s="5" t="n">
        <v>0</v>
      </c>
      <c r="L142" s="5" t="s">
        <v>7</v>
      </c>
    </row>
    <row r="143" customFormat="false" ht="15" hidden="false" customHeight="false" outlineLevel="0" collapsed="false">
      <c r="A143" s="5" t="n">
        <f aca="false">RANDBETWEEN(2,164)</f>
        <v>156</v>
      </c>
      <c r="B143" s="5" t="n">
        <f aca="false" t="array" ref="B143:B143">INDEX(Data_DBD!$B:$B,$A143)</f>
        <v>5</v>
      </c>
      <c r="C143" s="5" t="n">
        <f aca="false" t="array" ref="C143:C143">INDEX(Data_DBD!$C:$C,$A143)</f>
        <v>2</v>
      </c>
      <c r="D143" s="5" t="n">
        <f aca="false" t="array" ref="D143:D143">INDEX(Data_DBD!$E:$E,$A143)</f>
        <v>0</v>
      </c>
      <c r="E143" s="5" t="str">
        <f aca="false" t="array" ref="E143:E143">INDEX(Data_DBD!$F:$F,$A143)</f>
        <v>Tinggi</v>
      </c>
      <c r="H143" s="5" t="n">
        <v>102</v>
      </c>
      <c r="I143" s="5" t="n">
        <v>41</v>
      </c>
      <c r="J143" s="5" t="n">
        <v>4</v>
      </c>
      <c r="K143" s="5" t="n">
        <v>0</v>
      </c>
      <c r="L143" s="5" t="s">
        <v>115</v>
      </c>
    </row>
    <row r="144" customFormat="false" ht="15" hidden="false" customHeight="false" outlineLevel="0" collapsed="false">
      <c r="A144" s="5" t="n">
        <f aca="false">RANDBETWEEN(2,164)</f>
        <v>42</v>
      </c>
      <c r="B144" s="5" t="n">
        <f aca="false" t="array" ref="B144:B144">INDEX(Data_DBD!$B:$B,$A144)</f>
        <v>21</v>
      </c>
      <c r="C144" s="5" t="n">
        <f aca="false" t="array" ref="C144:C144">INDEX(Data_DBD!$C:$C,$A144)</f>
        <v>5</v>
      </c>
      <c r="D144" s="5" t="n">
        <f aca="false" t="array" ref="D144:D144">INDEX(Data_DBD!$E:$E,$A144)</f>
        <v>1</v>
      </c>
      <c r="E144" s="5" t="str">
        <f aca="false" t="array" ref="E144:E144">INDEX(Data_DBD!$F:$F,$A144)</f>
        <v>Sedang</v>
      </c>
      <c r="H144" s="5" t="n">
        <v>45</v>
      </c>
      <c r="I144" s="5" t="n">
        <v>75</v>
      </c>
      <c r="J144" s="5" t="n">
        <v>3</v>
      </c>
      <c r="K144" s="5" t="n">
        <v>1</v>
      </c>
      <c r="L144" s="5" t="s">
        <v>7</v>
      </c>
    </row>
    <row r="145" customFormat="false" ht="15" hidden="false" customHeight="false" outlineLevel="0" collapsed="false">
      <c r="A145" s="5" t="n">
        <f aca="false">RANDBETWEEN(2,164)</f>
        <v>109</v>
      </c>
      <c r="B145" s="5" t="n">
        <f aca="false" t="array" ref="B145:B145">INDEX(Data_DBD!$B:$B,$A145)</f>
        <v>40</v>
      </c>
      <c r="C145" s="5" t="n">
        <f aca="false" t="array" ref="C145:C145">INDEX(Data_DBD!$C:$C,$A145)</f>
        <v>3</v>
      </c>
      <c r="D145" s="5" t="n">
        <f aca="false" t="array" ref="D145:D145">INDEX(Data_DBD!$E:$E,$A145)</f>
        <v>1</v>
      </c>
      <c r="E145" s="5" t="str">
        <f aca="false" t="array" ref="E145:E145">INDEX(Data_DBD!$F:$F,$A145)</f>
        <v>Tinggi</v>
      </c>
      <c r="H145" s="5" t="n">
        <v>12</v>
      </c>
      <c r="I145" s="5" t="n">
        <v>23</v>
      </c>
      <c r="J145" s="5" t="n">
        <v>3</v>
      </c>
      <c r="K145" s="5" t="n">
        <v>0</v>
      </c>
      <c r="L145" s="5" t="s">
        <v>7</v>
      </c>
    </row>
    <row r="146" customFormat="false" ht="15" hidden="false" customHeight="false" outlineLevel="0" collapsed="false">
      <c r="A146" s="5" t="n">
        <f aca="false">RANDBETWEEN(2,164)</f>
        <v>150</v>
      </c>
      <c r="B146" s="5" t="n">
        <f aca="false" t="array" ref="B146:B146">INDEX(Data_DBD!$B:$B,$A146)</f>
        <v>61</v>
      </c>
      <c r="C146" s="5" t="n">
        <f aca="false" t="array" ref="C146:C146">INDEX(Data_DBD!$C:$C,$A146)</f>
        <v>5</v>
      </c>
      <c r="D146" s="5" t="n">
        <f aca="false" t="array" ref="D146:D146">INDEX(Data_DBD!$E:$E,$A146)</f>
        <v>1</v>
      </c>
      <c r="E146" s="5" t="str">
        <f aca="false" t="array" ref="E146:E146">INDEX(Data_DBD!$F:$F,$A146)</f>
        <v>Tinggi</v>
      </c>
      <c r="H146" s="5" t="n">
        <v>81</v>
      </c>
      <c r="I146" s="5" t="n">
        <v>23</v>
      </c>
      <c r="J146" s="5" t="n">
        <v>5</v>
      </c>
      <c r="K146" s="5" t="n">
        <v>1</v>
      </c>
      <c r="L146" s="5" t="s">
        <v>7</v>
      </c>
    </row>
    <row r="147" customFormat="false" ht="15" hidden="false" customHeight="false" outlineLevel="0" collapsed="false">
      <c r="A147" s="5" t="n">
        <f aca="false">RANDBETWEEN(2,164)</f>
        <v>102</v>
      </c>
      <c r="B147" s="5" t="n">
        <f aca="false" t="array" ref="B147:B147">INDEX(Data_DBD!$B:$B,$A147)</f>
        <v>41</v>
      </c>
      <c r="C147" s="5" t="n">
        <f aca="false" t="array" ref="C147:C147">INDEX(Data_DBD!$C:$C,$A147)</f>
        <v>4</v>
      </c>
      <c r="D147" s="5" t="n">
        <f aca="false" t="array" ref="D147:D147">INDEX(Data_DBD!$E:$E,$A147)</f>
        <v>0</v>
      </c>
      <c r="E147" s="5" t="str">
        <f aca="false" t="array" ref="E147:E147">INDEX(Data_DBD!$F:$F,$A147)</f>
        <v>Sedang</v>
      </c>
      <c r="H147" s="5" t="n">
        <v>36</v>
      </c>
      <c r="I147" s="5" t="n">
        <v>27</v>
      </c>
      <c r="J147" s="5" t="n">
        <v>1</v>
      </c>
      <c r="K147" s="5" t="n">
        <v>1</v>
      </c>
      <c r="L147" s="5" t="s">
        <v>20</v>
      </c>
    </row>
    <row r="148" customFormat="false" ht="15" hidden="false" customHeight="false" outlineLevel="0" collapsed="false">
      <c r="A148" s="5" t="n">
        <f aca="false">RANDBETWEEN(2,164)</f>
        <v>49</v>
      </c>
      <c r="B148" s="5" t="n">
        <f aca="false" t="array" ref="B148:B148">INDEX(Data_DBD!$B:$B,$A148)</f>
        <v>64</v>
      </c>
      <c r="C148" s="5" t="n">
        <f aca="false" t="array" ref="C148:C148">INDEX(Data_DBD!$C:$C,$A148)</f>
        <v>5</v>
      </c>
      <c r="D148" s="5" t="n">
        <f aca="false" t="array" ref="D148:D148">INDEX(Data_DBD!$E:$E,$A148)</f>
        <v>0</v>
      </c>
      <c r="E148" s="5" t="str">
        <f aca="false" t="array" ref="E148:E148">INDEX(Data_DBD!$F:$F,$A148)</f>
        <v>Sedang</v>
      </c>
      <c r="H148" s="5" t="n">
        <v>140</v>
      </c>
      <c r="I148" s="5" t="n">
        <v>74</v>
      </c>
      <c r="J148" s="5" t="n">
        <v>5</v>
      </c>
      <c r="K148" s="5" t="n">
        <v>1</v>
      </c>
      <c r="L148" s="5" t="s">
        <v>115</v>
      </c>
    </row>
    <row r="149" customFormat="false" ht="15" hidden="false" customHeight="false" outlineLevel="0" collapsed="false">
      <c r="A149" s="5" t="n">
        <f aca="false">RANDBETWEEN(2,164)</f>
        <v>63</v>
      </c>
      <c r="B149" s="5" t="n">
        <f aca="false" t="array" ref="B149:B149">INDEX(Data_DBD!$B:$B,$A149)</f>
        <v>25</v>
      </c>
      <c r="C149" s="5" t="n">
        <f aca="false" t="array" ref="C149:C149">INDEX(Data_DBD!$C:$C,$A149)</f>
        <v>3</v>
      </c>
      <c r="D149" s="5" t="n">
        <f aca="false" t="array" ref="D149:D149">INDEX(Data_DBD!$E:$E,$A149)</f>
        <v>0</v>
      </c>
      <c r="E149" s="5" t="str">
        <f aca="false" t="array" ref="E149:E149">INDEX(Data_DBD!$F:$F,$A149)</f>
        <v>Sedang</v>
      </c>
      <c r="H149" s="5" t="n">
        <v>91</v>
      </c>
      <c r="I149" s="5" t="n">
        <v>35</v>
      </c>
      <c r="J149" s="5" t="n">
        <v>1</v>
      </c>
      <c r="K149" s="5" t="n">
        <v>1</v>
      </c>
      <c r="L149" s="5" t="s">
        <v>115</v>
      </c>
    </row>
    <row r="150" customFormat="false" ht="15" hidden="false" customHeight="false" outlineLevel="0" collapsed="false">
      <c r="A150" s="5" t="n">
        <f aca="false">RANDBETWEEN(2,164)</f>
        <v>128</v>
      </c>
      <c r="B150" s="5" t="n">
        <f aca="false" t="array" ref="B150:B150">INDEX(Data_DBD!$B:$B,$A150)</f>
        <v>38</v>
      </c>
      <c r="C150" s="5" t="n">
        <f aca="false" t="array" ref="C150:C150">INDEX(Data_DBD!$C:$C,$A150)</f>
        <v>2</v>
      </c>
      <c r="D150" s="5" t="n">
        <f aca="false" t="array" ref="D150:D150">INDEX(Data_DBD!$E:$E,$A150)</f>
        <v>0</v>
      </c>
      <c r="E150" s="5" t="str">
        <f aca="false" t="array" ref="E150:E150">INDEX(Data_DBD!$F:$F,$A150)</f>
        <v>Tinggi</v>
      </c>
      <c r="H150" s="5" t="n">
        <v>57</v>
      </c>
      <c r="I150" s="5" t="n">
        <v>2</v>
      </c>
      <c r="J150" s="5" t="n">
        <v>2</v>
      </c>
      <c r="K150" s="5" t="n">
        <v>1</v>
      </c>
      <c r="L150" s="5" t="s">
        <v>7</v>
      </c>
    </row>
    <row r="151" customFormat="false" ht="15" hidden="false" customHeight="false" outlineLevel="0" collapsed="false">
      <c r="A151" s="5" t="n">
        <f aca="false">RANDBETWEEN(2,164)</f>
        <v>42</v>
      </c>
      <c r="B151" s="5" t="n">
        <f aca="false" t="array" ref="B151:B151">INDEX(Data_DBD!$B:$B,$A151)</f>
        <v>21</v>
      </c>
      <c r="C151" s="5" t="n">
        <f aca="false" t="array" ref="C151:C151">INDEX(Data_DBD!$C:$C,$A151)</f>
        <v>5</v>
      </c>
      <c r="D151" s="5" t="n">
        <f aca="false" t="array" ref="D151:D151">INDEX(Data_DBD!$E:$E,$A151)</f>
        <v>1</v>
      </c>
      <c r="E151" s="5" t="str">
        <f aca="false" t="array" ref="E151:E151">INDEX(Data_DBD!$F:$F,$A151)</f>
        <v>Sedang</v>
      </c>
      <c r="H151" s="5" t="n">
        <v>29</v>
      </c>
      <c r="I151" s="5" t="n">
        <v>19</v>
      </c>
      <c r="J151" s="5" t="n">
        <v>2</v>
      </c>
      <c r="K151" s="5" t="n">
        <v>1</v>
      </c>
      <c r="L151" s="5" t="s">
        <v>7</v>
      </c>
    </row>
    <row r="152" customFormat="false" ht="15" hidden="false" customHeight="false" outlineLevel="0" collapsed="false">
      <c r="A152" s="5" t="n">
        <f aca="false">RANDBETWEEN(2,164)</f>
        <v>105</v>
      </c>
      <c r="B152" s="5" t="n">
        <f aca="false" t="array" ref="B152:B152">INDEX(Data_DBD!$B:$B,$A152)</f>
        <v>61</v>
      </c>
      <c r="C152" s="5" t="n">
        <f aca="false" t="array" ref="C152:C152">INDEX(Data_DBD!$C:$C,$A152)</f>
        <v>3</v>
      </c>
      <c r="D152" s="5" t="n">
        <f aca="false" t="array" ref="D152:D152">INDEX(Data_DBD!$E:$E,$A152)</f>
        <v>1</v>
      </c>
      <c r="E152" s="5" t="str">
        <f aca="false" t="array" ref="E152:E152">INDEX(Data_DBD!$F:$F,$A152)</f>
        <v>Sedang</v>
      </c>
      <c r="H152" s="5" t="n">
        <v>163</v>
      </c>
      <c r="I152" s="5" t="n">
        <v>34</v>
      </c>
      <c r="J152" s="5" t="n">
        <v>4</v>
      </c>
      <c r="K152" s="5" t="n">
        <v>1</v>
      </c>
      <c r="L152" s="5" t="s">
        <v>20</v>
      </c>
    </row>
    <row r="153" customFormat="false" ht="15" hidden="false" customHeight="false" outlineLevel="0" collapsed="false">
      <c r="A153" s="5" t="n">
        <f aca="false">RANDBETWEEN(2,164)</f>
        <v>159</v>
      </c>
      <c r="B153" s="5" t="n">
        <f aca="false" t="array" ref="B153:B153">INDEX(Data_DBD!$B:$B,$A153)</f>
        <v>17</v>
      </c>
      <c r="C153" s="5" t="n">
        <f aca="false" t="array" ref="C153:C153">INDEX(Data_DBD!$C:$C,$A153)</f>
        <v>2</v>
      </c>
      <c r="D153" s="5" t="n">
        <f aca="false" t="array" ref="D153:D153">INDEX(Data_DBD!$E:$E,$A153)</f>
        <v>0</v>
      </c>
      <c r="E153" s="5" t="str">
        <f aca="false" t="array" ref="E153:E153">INDEX(Data_DBD!$F:$F,$A153)</f>
        <v>Tinggi</v>
      </c>
      <c r="H153" s="5" t="n">
        <v>57</v>
      </c>
      <c r="I153" s="5" t="n">
        <v>2</v>
      </c>
      <c r="J153" s="5" t="n">
        <v>2</v>
      </c>
      <c r="K153" s="5" t="n">
        <v>1</v>
      </c>
      <c r="L153" s="5" t="s">
        <v>7</v>
      </c>
    </row>
    <row r="154" customFormat="false" ht="15" hidden="false" customHeight="false" outlineLevel="0" collapsed="false">
      <c r="A154" s="5" t="n">
        <f aca="false">RANDBETWEEN(2,164)</f>
        <v>15</v>
      </c>
      <c r="B154" s="5" t="n">
        <f aca="false" t="array" ref="B154:B154">INDEX(Data_DBD!$B:$B,$A154)</f>
        <v>21</v>
      </c>
      <c r="C154" s="5" t="n">
        <f aca="false" t="array" ref="C154:C154">INDEX(Data_DBD!$C:$C,$A154)</f>
        <v>2</v>
      </c>
      <c r="D154" s="5" t="n">
        <f aca="false" t="array" ref="D154:D154">INDEX(Data_DBD!$E:$E,$A154)</f>
        <v>0</v>
      </c>
      <c r="E154" s="5" t="str">
        <f aca="false" t="array" ref="E154:E154">INDEX(Data_DBD!$F:$F,$A154)</f>
        <v>Rendah</v>
      </c>
      <c r="H154" s="5" t="n">
        <v>57</v>
      </c>
      <c r="I154" s="5" t="n">
        <v>2</v>
      </c>
      <c r="J154" s="5" t="n">
        <v>2</v>
      </c>
      <c r="K154" s="5" t="n">
        <v>1</v>
      </c>
      <c r="L154" s="5" t="s">
        <v>7</v>
      </c>
    </row>
    <row r="155" customFormat="false" ht="15" hidden="false" customHeight="false" outlineLevel="0" collapsed="false">
      <c r="A155" s="5" t="n">
        <f aca="false">RANDBETWEEN(2,164)</f>
        <v>67</v>
      </c>
      <c r="B155" s="5" t="n">
        <f aca="false" t="array" ref="B155:B155">INDEX(Data_DBD!$B:$B,$A155)</f>
        <v>21</v>
      </c>
      <c r="C155" s="5" t="n">
        <f aca="false" t="array" ref="C155:C155">INDEX(Data_DBD!$C:$C,$A155)</f>
        <v>3</v>
      </c>
      <c r="D155" s="5" t="n">
        <f aca="false" t="array" ref="D155:D155">INDEX(Data_DBD!$E:$E,$A155)</f>
        <v>1</v>
      </c>
      <c r="E155" s="5" t="str">
        <f aca="false" t="array" ref="E155:E155">INDEX(Data_DBD!$F:$F,$A155)</f>
        <v>Rendah</v>
      </c>
      <c r="H155" s="5" t="n">
        <v>51</v>
      </c>
      <c r="I155" s="5" t="n">
        <v>48</v>
      </c>
      <c r="J155" s="5" t="n">
        <v>4</v>
      </c>
      <c r="K155" s="5" t="n">
        <v>0</v>
      </c>
      <c r="L155" s="5" t="s">
        <v>7</v>
      </c>
    </row>
    <row r="156" customFormat="false" ht="15" hidden="false" customHeight="false" outlineLevel="0" collapsed="false">
      <c r="A156" s="5" t="n">
        <f aca="false">RANDBETWEEN(2,164)</f>
        <v>86</v>
      </c>
      <c r="B156" s="5" t="n">
        <f aca="false" t="array" ref="B156:B156">INDEX(Data_DBD!$B:$B,$A156)</f>
        <v>23</v>
      </c>
      <c r="C156" s="5" t="n">
        <f aca="false" t="array" ref="C156:C156">INDEX(Data_DBD!$C:$C,$A156)</f>
        <v>3</v>
      </c>
      <c r="D156" s="5" t="n">
        <f aca="false" t="array" ref="D156:D156">INDEX(Data_DBD!$E:$E,$A156)</f>
        <v>0</v>
      </c>
      <c r="E156" s="5" t="str">
        <f aca="false" t="array" ref="E156:E156">INDEX(Data_DBD!$F:$F,$A156)</f>
        <v>Sedang</v>
      </c>
      <c r="H156" s="5" t="n">
        <v>13</v>
      </c>
      <c r="I156" s="5" t="n">
        <v>47</v>
      </c>
      <c r="J156" s="5" t="n">
        <v>2</v>
      </c>
      <c r="K156" s="5" t="n">
        <v>0</v>
      </c>
      <c r="L156" s="5" t="s">
        <v>7</v>
      </c>
    </row>
    <row r="157" customFormat="false" ht="15" hidden="false" customHeight="false" outlineLevel="0" collapsed="false">
      <c r="A157" s="5" t="n">
        <f aca="false">RANDBETWEEN(2,164)</f>
        <v>86</v>
      </c>
      <c r="B157" s="5" t="n">
        <f aca="false" t="array" ref="B157:B157">INDEX(Data_DBD!$B:$B,$A157)</f>
        <v>23</v>
      </c>
      <c r="C157" s="5" t="n">
        <f aca="false" t="array" ref="C157:C157">INDEX(Data_DBD!$C:$C,$A157)</f>
        <v>3</v>
      </c>
      <c r="D157" s="5" t="n">
        <f aca="false" t="array" ref="D157:D157">INDEX(Data_DBD!$E:$E,$A157)</f>
        <v>0</v>
      </c>
      <c r="E157" s="5" t="str">
        <f aca="false" t="array" ref="E157:E157">INDEX(Data_DBD!$F:$F,$A157)</f>
        <v>Sedang</v>
      </c>
      <c r="H157" s="5" t="n">
        <v>95</v>
      </c>
      <c r="I157" s="5" t="n">
        <v>11</v>
      </c>
      <c r="J157" s="5" t="n">
        <v>3</v>
      </c>
      <c r="K157" s="5" t="n">
        <v>1</v>
      </c>
      <c r="L157" s="5" t="s">
        <v>115</v>
      </c>
    </row>
    <row r="158" customFormat="false" ht="15" hidden="false" customHeight="false" outlineLevel="0" collapsed="false">
      <c r="A158" s="5" t="n">
        <f aca="false">RANDBETWEEN(2,164)</f>
        <v>149</v>
      </c>
      <c r="B158" s="5" t="n">
        <f aca="false" t="array" ref="B158:B158">INDEX(Data_DBD!$B:$B,$A158)</f>
        <v>19</v>
      </c>
      <c r="C158" s="5" t="n">
        <f aca="false" t="array" ref="C158:C158">INDEX(Data_DBD!$C:$C,$A158)</f>
        <v>5</v>
      </c>
      <c r="D158" s="5" t="n">
        <f aca="false" t="array" ref="D158:D158">INDEX(Data_DBD!$E:$E,$A158)</f>
        <v>0</v>
      </c>
      <c r="E158" s="5" t="str">
        <f aca="false" t="array" ref="E158:E158">INDEX(Data_DBD!$F:$F,$A158)</f>
        <v>Tinggi</v>
      </c>
      <c r="H158" s="5" t="n">
        <v>92</v>
      </c>
      <c r="I158" s="5" t="n">
        <v>55</v>
      </c>
      <c r="J158" s="5" t="n">
        <v>7</v>
      </c>
      <c r="K158" s="5" t="n">
        <v>0</v>
      </c>
      <c r="L158" s="5" t="s">
        <v>115</v>
      </c>
    </row>
    <row r="159" customFormat="false" ht="15.75" hidden="false" customHeight="true" outlineLevel="0" collapsed="false">
      <c r="A159" s="5" t="n">
        <f aca="false">RANDBETWEEN(2,164)</f>
        <v>18</v>
      </c>
      <c r="B159" s="5" t="n">
        <f aca="false" t="array" ref="B159:B159">INDEX(Data_DBD!$B:$B,$A159)</f>
        <v>49</v>
      </c>
      <c r="C159" s="5" t="n">
        <f aca="false" t="array" ref="C159:C159">INDEX(Data_DBD!$C:$C,$A159)</f>
        <v>4</v>
      </c>
      <c r="D159" s="5" t="n">
        <f aca="false" t="array" ref="D159:D159">INDEX(Data_DBD!$E:$E,$A159)</f>
        <v>1</v>
      </c>
      <c r="E159" s="5" t="str">
        <f aca="false" t="array" ref="E159:E159">INDEX(Data_DBD!$F:$F,$A159)</f>
        <v>Rendah</v>
      </c>
      <c r="H159" s="5" t="n">
        <v>123</v>
      </c>
      <c r="I159" s="5" t="n">
        <v>22</v>
      </c>
      <c r="J159" s="5" t="n">
        <v>4</v>
      </c>
      <c r="K159" s="5" t="n">
        <v>0</v>
      </c>
      <c r="L159" s="5" t="s">
        <v>115</v>
      </c>
      <c r="W159" s="7" t="s">
        <v>290</v>
      </c>
    </row>
    <row r="160" customFormat="false" ht="15.75" hidden="false" customHeight="true" outlineLevel="0" collapsed="false">
      <c r="A160" s="5" t="n">
        <f aca="false">RANDBETWEEN(2,164)</f>
        <v>92</v>
      </c>
      <c r="B160" s="5" t="n">
        <f aca="false" t="array" ref="B160:B160">INDEX(Data_DBD!$B:$B,$A160)</f>
        <v>55</v>
      </c>
      <c r="C160" s="5" t="n">
        <f aca="false" t="array" ref="C160:C160">INDEX(Data_DBD!$C:$C,$A160)</f>
        <v>7</v>
      </c>
      <c r="D160" s="5" t="n">
        <f aca="false" t="array" ref="D160:D160">INDEX(Data_DBD!$E:$E,$A160)</f>
        <v>0</v>
      </c>
      <c r="E160" s="5" t="str">
        <f aca="false" t="array" ref="E160:E160">INDEX(Data_DBD!$F:$F,$A160)</f>
        <v>Sedang</v>
      </c>
      <c r="H160" s="5" t="n">
        <v>135</v>
      </c>
      <c r="I160" s="5" t="n">
        <v>10</v>
      </c>
      <c r="J160" s="5" t="n">
        <v>2</v>
      </c>
      <c r="K160" s="5" t="n">
        <v>0</v>
      </c>
      <c r="L160" s="5" t="s">
        <v>115</v>
      </c>
      <c r="W160" s="8" t="s">
        <v>177</v>
      </c>
    </row>
    <row r="161" customFormat="false" ht="15.75" hidden="false" customHeight="true" outlineLevel="0" collapsed="false">
      <c r="A161" s="5" t="n">
        <f aca="false">RANDBETWEEN(2,164)</f>
        <v>68</v>
      </c>
      <c r="B161" s="5" t="n">
        <f aca="false" t="array" ref="B161:B161">INDEX(Data_DBD!$B:$B,$A161)</f>
        <v>44</v>
      </c>
      <c r="C161" s="5" t="n">
        <f aca="false" t="array" ref="C161:C161">INDEX(Data_DBD!$C:$C,$A161)</f>
        <v>5</v>
      </c>
      <c r="D161" s="5" t="n">
        <f aca="false" t="array" ref="D161:D161">INDEX(Data_DBD!$E:$E,$A161)</f>
        <v>0</v>
      </c>
      <c r="E161" s="5" t="str">
        <f aca="false" t="array" ref="E161:E161">INDEX(Data_DBD!$F:$F,$A161)</f>
        <v>Rendah</v>
      </c>
      <c r="H161" s="5" t="n">
        <v>71</v>
      </c>
      <c r="I161" s="5" t="n">
        <v>84</v>
      </c>
      <c r="J161" s="5" t="n">
        <v>3</v>
      </c>
      <c r="K161" s="5" t="n">
        <v>0</v>
      </c>
      <c r="L161" s="5" t="s">
        <v>7</v>
      </c>
      <c r="W161" s="9" t="s">
        <v>267</v>
      </c>
    </row>
    <row r="162" customFormat="false" ht="15.75" hidden="false" customHeight="true" outlineLevel="0" collapsed="false">
      <c r="A162" s="5" t="n">
        <f aca="false">RANDBETWEEN(2,164)</f>
        <v>121</v>
      </c>
      <c r="B162" s="5" t="n">
        <f aca="false" t="array" ref="B162:B162">INDEX(Data_DBD!$B:$B,$A162)</f>
        <v>82</v>
      </c>
      <c r="C162" s="5" t="n">
        <f aca="false" t="array" ref="C162:C162">INDEX(Data_DBD!$C:$C,$A162)</f>
        <v>5</v>
      </c>
      <c r="D162" s="5" t="n">
        <f aca="false" t="array" ref="D162:D162">INDEX(Data_DBD!$E:$E,$A162)</f>
        <v>1</v>
      </c>
      <c r="E162" s="5" t="str">
        <f aca="false" t="array" ref="E162:E162">INDEX(Data_DBD!$F:$F,$A162)</f>
        <v>Tinggi</v>
      </c>
      <c r="H162" s="5" t="n">
        <v>80</v>
      </c>
      <c r="I162" s="5" t="n">
        <v>27</v>
      </c>
      <c r="J162" s="5" t="n">
        <v>3</v>
      </c>
      <c r="K162" s="5" t="n">
        <v>1</v>
      </c>
      <c r="L162" s="5" t="s">
        <v>7</v>
      </c>
      <c r="W162" s="9" t="s">
        <v>268</v>
      </c>
    </row>
    <row r="163" customFormat="false" ht="15.75" hidden="false" customHeight="true" outlineLevel="0" collapsed="false">
      <c r="A163" s="5" t="n">
        <f aca="false">RANDBETWEEN(2,164)</f>
        <v>58</v>
      </c>
      <c r="B163" s="5" t="n">
        <f aca="false" t="array" ref="B163:B163">INDEX(Data_DBD!$B:$B,$A163)</f>
        <v>17</v>
      </c>
      <c r="C163" s="5" t="n">
        <f aca="false" t="array" ref="C163:C163">INDEX(Data_DBD!$C:$C,$A163)</f>
        <v>3</v>
      </c>
      <c r="D163" s="5" t="n">
        <f aca="false" t="array" ref="D163:D163">INDEX(Data_DBD!$E:$E,$A163)</f>
        <v>0</v>
      </c>
      <c r="E163" s="5" t="str">
        <f aca="false" t="array" ref="E163:E163">INDEX(Data_DBD!$F:$F,$A163)</f>
        <v>Sedang</v>
      </c>
      <c r="H163" s="5" t="n">
        <v>109</v>
      </c>
      <c r="I163" s="5" t="n">
        <v>40</v>
      </c>
      <c r="J163" s="5" t="n">
        <v>3</v>
      </c>
      <c r="K163" s="5" t="n">
        <v>1</v>
      </c>
      <c r="L163" s="5" t="s">
        <v>115</v>
      </c>
      <c r="W163" s="8" t="s">
        <v>180</v>
      </c>
    </row>
    <row r="164" customFormat="false" ht="15.75" hidden="false" customHeight="true" outlineLevel="0" collapsed="false">
      <c r="A164" s="5" t="n">
        <f aca="false">RANDBETWEEN(2,164)</f>
        <v>122</v>
      </c>
      <c r="B164" s="5" t="n">
        <f aca="false" t="array" ref="B164:B164">INDEX(Data_DBD!$B:$B,$A164)</f>
        <v>28</v>
      </c>
      <c r="C164" s="5" t="n">
        <f aca="false" t="array" ref="C164:C164">INDEX(Data_DBD!$C:$C,$A164)</f>
        <v>3</v>
      </c>
      <c r="D164" s="5" t="n">
        <f aca="false" t="array" ref="D164:D164">INDEX(Data_DBD!$E:$E,$A164)</f>
        <v>1</v>
      </c>
      <c r="E164" s="5" t="str">
        <f aca="false" t="array" ref="E164:E164">INDEX(Data_DBD!$F:$F,$A164)</f>
        <v>Tinggi</v>
      </c>
      <c r="H164" s="5" t="n">
        <v>63</v>
      </c>
      <c r="I164" s="5" t="n">
        <v>25</v>
      </c>
      <c r="J164" s="5" t="n">
        <v>3</v>
      </c>
      <c r="K164" s="5" t="n">
        <v>0</v>
      </c>
      <c r="L164" s="5" t="s">
        <v>7</v>
      </c>
      <c r="W164" s="9" t="s">
        <v>291</v>
      </c>
    </row>
    <row r="165" customFormat="false" ht="15.75" hidden="false" customHeight="true" outlineLevel="0" collapsed="false">
      <c r="I165" s="0" t="n">
        <f aca="false">AVERAGE(I2:I164)</f>
        <v>32.5337423312883</v>
      </c>
      <c r="J165" s="0" t="n">
        <f aca="false">AVERAGE(J2:J164)</f>
        <v>3.5521472392638</v>
      </c>
      <c r="K165" s="0" t="n">
        <f aca="false">AVERAGE(K2:K164)</f>
        <v>0.570552147239264</v>
      </c>
      <c r="W165" s="9" t="s">
        <v>207</v>
      </c>
    </row>
    <row r="166" customFormat="false" ht="15.75" hidden="false" customHeight="true" outlineLevel="0" collapsed="false">
      <c r="B166" s="0" t="n">
        <v>45</v>
      </c>
      <c r="W166" s="8" t="s">
        <v>183</v>
      </c>
    </row>
    <row r="167" customFormat="false" ht="15.75" hidden="false" customHeight="true" outlineLevel="0" collapsed="false">
      <c r="W167" s="9" t="s">
        <v>292</v>
      </c>
    </row>
    <row r="168" customFormat="false" ht="15" hidden="false" customHeight="false" outlineLevel="0" collapsed="false">
      <c r="E168" s="11" t="s">
        <v>185</v>
      </c>
      <c r="I168" s="11" t="s">
        <v>186</v>
      </c>
      <c r="M168" s="11" t="s">
        <v>188</v>
      </c>
    </row>
    <row r="169" customFormat="false" ht="15" hidden="false" customHeight="false" outlineLevel="0" collapsed="false">
      <c r="E169" s="5" t="s">
        <v>1</v>
      </c>
      <c r="F169" s="5" t="n">
        <f aca="false">AVERAGEIF($I$2:$I$164,"&lt;="&amp;$I$165)</f>
        <v>15.9139784946237</v>
      </c>
      <c r="G169" s="5" t="n">
        <f aca="false">AVERAGEIF($I$2:$I$164,"&gt;"&amp;$I$165)</f>
        <v>54.6142857142857</v>
      </c>
      <c r="I169" s="5" t="s">
        <v>189</v>
      </c>
      <c r="J169" s="5" t="n">
        <f aca="false">AVERAGEIF($J$2:$J$164,"&lt;="&amp;$J$165)</f>
        <v>2.4</v>
      </c>
      <c r="K169" s="5" t="n">
        <f aca="false">AVERAGEIF($J$2:$J$164,"&gt;"&amp;$J$165)</f>
        <v>4.80769230769231</v>
      </c>
      <c r="M169" s="5" t="s">
        <v>191</v>
      </c>
      <c r="N169" s="5" t="n">
        <f aca="false">AVERAGEIF($K$2:$K$164,"&lt;="&amp;$K$165)</f>
        <v>0</v>
      </c>
      <c r="O169" s="5" t="n">
        <f aca="false">AVERAGEIF($K$2:$K$164,"&gt;"&amp;$K$165)</f>
        <v>1</v>
      </c>
    </row>
    <row r="170" customFormat="false" ht="15" hidden="false" customHeight="false" outlineLevel="0" collapsed="false">
      <c r="E170" s="5" t="str">
        <f aca="false" t="array" ref="E170:E332">IF($I$2:$I$164&lt;$F$169,"kiri",IF($I$2:$I$164&lt;$G$169,"tengah","kanan"))</f>
        <v>kiri</v>
      </c>
      <c r="F170" s="5" t="s">
        <v>293</v>
      </c>
      <c r="G170" s="5"/>
      <c r="I170" s="5" t="str">
        <f aca="false" t="array" ref="I170:I332">IF($J$2:$J$164&lt;$J$169,"kiri",IF($J$2:$J$164&lt;$K$169,"tengah","kanan"))</f>
        <v>tengah</v>
      </c>
      <c r="J170" s="5" t="s">
        <v>294</v>
      </c>
      <c r="K170" s="5"/>
      <c r="M170" s="5" t="str">
        <f aca="false" t="array" ref="M170:M332">IF($K$2:$K$164&lt;$N$169,"kiri",IF($K$2:$K$164&lt;$O$169,"tengah","kanan"))</f>
        <v>tengah</v>
      </c>
      <c r="N170" s="5" t="s">
        <v>195</v>
      </c>
      <c r="O170" s="5"/>
    </row>
    <row r="171" customFormat="false" ht="15" hidden="false" customHeight="false" outlineLevel="0" collapsed="false">
      <c r="E171" s="5" t="str">
        <v>tengah</v>
      </c>
      <c r="F171" s="5" t="n">
        <f aca="false">COUNTIFS($E$170:$E$332,"Kanan",$L$2:$L$164,"Tinggi")</f>
        <v>16</v>
      </c>
      <c r="G171" s="5" t="n">
        <f aca="false">F171/34</f>
        <v>0.470588235294118</v>
      </c>
      <c r="I171" s="5" t="str">
        <v>kiri</v>
      </c>
      <c r="J171" s="5" t="n">
        <f aca="false">COUNTIFS($I$170:$I$332,"Kanan",$L$2:$L$164,"Tinggi")</f>
        <v>18</v>
      </c>
      <c r="K171" s="5" t="n">
        <f aca="false">J171/36</f>
        <v>0.5</v>
      </c>
      <c r="M171" s="5" t="str">
        <v>kanan</v>
      </c>
      <c r="N171" s="5" t="n">
        <f aca="false">COUNTIFS($M$170:$M$332,"Kanan",$L$2:$L$164,"Tinggi")</f>
        <v>36</v>
      </c>
      <c r="O171" s="5" t="n">
        <f aca="false">N171/93</f>
        <v>0.387096774193548</v>
      </c>
    </row>
    <row r="172" customFormat="false" ht="15" hidden="false" customHeight="false" outlineLevel="0" collapsed="false">
      <c r="E172" s="5" t="str">
        <v>tengah</v>
      </c>
      <c r="F172" s="5" t="n">
        <f aca="false">COUNTIFS($E$170:$E$332,"Kanan",$L$2:$L$164,"Sedang")</f>
        <v>17</v>
      </c>
      <c r="G172" s="5" t="n">
        <f aca="false">F172/34</f>
        <v>0.5</v>
      </c>
      <c r="I172" s="5" t="str">
        <v>tengah</v>
      </c>
      <c r="J172" s="5" t="n">
        <f aca="false">COUNTIFS($I$170:$I$332,"Kanan",$L$2:$L$164,"Sedang")</f>
        <v>17</v>
      </c>
      <c r="K172" s="5" t="n">
        <f aca="false">J172/36</f>
        <v>0.472222222222222</v>
      </c>
      <c r="M172" s="5" t="str">
        <v>tengah</v>
      </c>
      <c r="N172" s="5" t="n">
        <f aca="false">COUNTIFS($M$170:$M$332,"Kanan",$L$2:$L$164,"Sedang")</f>
        <v>49</v>
      </c>
      <c r="O172" s="5" t="n">
        <f aca="false">N172/93</f>
        <v>0.526881720430108</v>
      </c>
    </row>
    <row r="173" customFormat="false" ht="15" hidden="false" customHeight="false" outlineLevel="0" collapsed="false">
      <c r="E173" s="5" t="str">
        <v>tengah</v>
      </c>
      <c r="F173" s="5" t="n">
        <f aca="false">COUNTIFS($E$170:$E$332,"Kanan",$L$2:$L$164,"Rendah")</f>
        <v>1</v>
      </c>
      <c r="G173" s="5" t="n">
        <f aca="false">F173/34</f>
        <v>0.0294117647058824</v>
      </c>
      <c r="I173" s="5" t="str">
        <v>tengah</v>
      </c>
      <c r="J173" s="5" t="n">
        <f aca="false">COUNTIFS($I$170:$I$332,"Kanan",$L$2:$L$164,"Rendah")</f>
        <v>1</v>
      </c>
      <c r="K173" s="5" t="n">
        <f aca="false">J173/36</f>
        <v>0.0277777777777778</v>
      </c>
      <c r="M173" s="5" t="str">
        <v>kanan</v>
      </c>
      <c r="N173" s="5" t="n">
        <f aca="false">COUNTIFS($M$170:$M$332,"Kanan",$L$2:$L$164,"Rendah")</f>
        <v>8</v>
      </c>
      <c r="O173" s="5" t="n">
        <f aca="false">N173/93</f>
        <v>0.0860215053763441</v>
      </c>
    </row>
    <row r="174" customFormat="false" ht="15" hidden="false" customHeight="false" outlineLevel="0" collapsed="false">
      <c r="E174" s="5" t="str">
        <v>tengah</v>
      </c>
      <c r="F174" s="5" t="s">
        <v>196</v>
      </c>
      <c r="G174" s="5" t="n">
        <f aca="false">-(IFERROR(G171*LOG(G171,2),0)+IFERROR(G172*LOG(G172,2),0)+IFERROR(G173*LOG(G173,2),0))</f>
        <v>1.1613784794487</v>
      </c>
      <c r="I174" s="5" t="str">
        <v>kiri</v>
      </c>
      <c r="J174" s="5" t="s">
        <v>196</v>
      </c>
      <c r="K174" s="5" t="n">
        <f aca="false">-(IFERROR(K171*LOG(K171,2),0)+IFERROR(K172*LOG(K172,2),0)+IFERROR(K173*LOG(K173,2),0))</f>
        <v>1.15477171457516</v>
      </c>
      <c r="M174" s="5" t="str">
        <v>kanan</v>
      </c>
      <c r="N174" s="5" t="s">
        <v>196</v>
      </c>
      <c r="O174" s="5" t="n">
        <f aca="false">-(IFERROR(O171*LOG(O171,2),0)+IFERROR(O172*LOG(O172,2),0)+IFERROR(O173*LOG(O173,2),0))</f>
        <v>1.32154502171482</v>
      </c>
    </row>
    <row r="175" customFormat="false" ht="15" hidden="false" customHeight="false" outlineLevel="0" collapsed="false">
      <c r="E175" s="5" t="str">
        <v>tengah</v>
      </c>
      <c r="F175" s="5"/>
      <c r="G175" s="5" t="n">
        <f aca="false">SUM(F171:F173)/163</f>
        <v>0.208588957055215</v>
      </c>
      <c r="I175" s="5" t="str">
        <v>kiri</v>
      </c>
      <c r="J175" s="5"/>
      <c r="K175" s="5" t="n">
        <f aca="false">SUM(J171:J173)/163</f>
        <v>0.220858895705521</v>
      </c>
      <c r="M175" s="5" t="str">
        <v>kanan</v>
      </c>
      <c r="N175" s="5"/>
      <c r="O175" s="5" t="n">
        <f aca="false">SUM(N171:N173)/163</f>
        <v>0.570552147239264</v>
      </c>
    </row>
    <row r="176" customFormat="false" ht="15" hidden="false" customHeight="false" outlineLevel="0" collapsed="false">
      <c r="E176" s="5" t="str">
        <v>tengah</v>
      </c>
      <c r="F176" s="5"/>
      <c r="G176" s="12" t="n">
        <f aca="false">G174*G175</f>
        <v>0.242250725774575</v>
      </c>
      <c r="I176" s="5" t="str">
        <v>tengah</v>
      </c>
      <c r="J176" s="5"/>
      <c r="K176" s="12" t="n">
        <f aca="false">K174*K175</f>
        <v>0.255041605673042</v>
      </c>
      <c r="M176" s="5" t="str">
        <v>kanan</v>
      </c>
      <c r="N176" s="5"/>
      <c r="O176" s="12" t="n">
        <f aca="false">O174*O175</f>
        <v>0.754010349812752</v>
      </c>
    </row>
    <row r="177" customFormat="false" ht="15" hidden="false" customHeight="false" outlineLevel="0" collapsed="false">
      <c r="E177" s="5" t="str">
        <v>tengah</v>
      </c>
      <c r="F177" s="5"/>
      <c r="G177" s="5"/>
      <c r="I177" s="5" t="str">
        <v>tengah</v>
      </c>
      <c r="J177" s="5"/>
      <c r="K177" s="5"/>
      <c r="M177" s="5" t="str">
        <v>kanan</v>
      </c>
      <c r="N177" s="5"/>
      <c r="O177" s="5"/>
    </row>
    <row r="178" customFormat="false" ht="15" hidden="false" customHeight="false" outlineLevel="0" collapsed="false">
      <c r="E178" s="5" t="str">
        <v>tengah</v>
      </c>
      <c r="F178" s="5"/>
      <c r="G178" s="5"/>
      <c r="I178" s="5" t="str">
        <v>tengah</v>
      </c>
      <c r="J178" s="5"/>
      <c r="K178" s="5"/>
      <c r="M178" s="5" t="str">
        <v>kanan</v>
      </c>
      <c r="N178" s="5"/>
      <c r="O178" s="5"/>
    </row>
    <row r="179" customFormat="false" ht="15" hidden="false" customHeight="false" outlineLevel="0" collapsed="false">
      <c r="E179" s="5" t="str">
        <v>tengah</v>
      </c>
      <c r="F179" s="5" t="s">
        <v>272</v>
      </c>
      <c r="G179" s="5"/>
      <c r="I179" s="5" t="str">
        <v>tengah</v>
      </c>
      <c r="J179" s="5" t="s">
        <v>295</v>
      </c>
      <c r="K179" s="5"/>
      <c r="M179" s="5" t="str">
        <v>kanan</v>
      </c>
      <c r="N179" s="5" t="s">
        <v>200</v>
      </c>
      <c r="O179" s="5"/>
    </row>
    <row r="180" customFormat="false" ht="15" hidden="false" customHeight="false" outlineLevel="0" collapsed="false">
      <c r="E180" s="5" t="str">
        <v>tengah</v>
      </c>
      <c r="F180" s="5" t="n">
        <f aca="false">COUNTIFS($E$170:$E$332,"Kiri",$L$2:$L$164,"Tinggi")</f>
        <v>17</v>
      </c>
      <c r="G180" s="5" t="n">
        <f aca="false">F180/40</f>
        <v>0.425</v>
      </c>
      <c r="I180" s="5" t="str">
        <v>tengah</v>
      </c>
      <c r="J180" s="5" t="n">
        <f aca="false">COUNTIFS($I$170:$I$332,"Kiri",$L$2:$L$164,"Tinggi")</f>
        <v>20</v>
      </c>
      <c r="K180" s="5" t="n">
        <f aca="false">J180/44</f>
        <v>0.454545454545455</v>
      </c>
      <c r="M180" s="5" t="str">
        <v>kanan</v>
      </c>
      <c r="N180" s="5" t="n">
        <f aca="false">COUNTIFS($M$170:$M$332,"Kiri",$L$2:$L$164,"Tinggi")</f>
        <v>0</v>
      </c>
      <c r="O180" s="5" t="n">
        <f aca="false">N180/78</f>
        <v>0</v>
      </c>
    </row>
    <row r="181" customFormat="false" ht="15" hidden="false" customHeight="false" outlineLevel="0" collapsed="false">
      <c r="E181" s="5" t="str">
        <v>kiri</v>
      </c>
      <c r="F181" s="5" t="n">
        <f aca="false">COUNTIFS($E$170:$E$332,"Kiri",$L$2:$L$164,"Sedang")</f>
        <v>22</v>
      </c>
      <c r="G181" s="5" t="n">
        <f aca="false">F181/40</f>
        <v>0.55</v>
      </c>
      <c r="I181" s="5" t="str">
        <v>tengah</v>
      </c>
      <c r="J181" s="5" t="n">
        <f aca="false">COUNTIFS($I$170:$I$332,"Kiri",$L$2:$L$164,"Sedang")</f>
        <v>22</v>
      </c>
      <c r="K181" s="5" t="n">
        <f aca="false">J181/44</f>
        <v>0.5</v>
      </c>
      <c r="M181" s="5" t="str">
        <v>tengah</v>
      </c>
      <c r="N181" s="5" t="n">
        <f aca="false">COUNTIFS($T$170:$T$332,"Kiri",$M$2:$M$164,"Sedang")</f>
        <v>0</v>
      </c>
      <c r="O181" s="5" t="n">
        <f aca="false">N181/78</f>
        <v>0</v>
      </c>
    </row>
    <row r="182" customFormat="false" ht="15" hidden="false" customHeight="false" outlineLevel="0" collapsed="false">
      <c r="E182" s="5" t="str">
        <v>tengah</v>
      </c>
      <c r="F182" s="5" t="n">
        <f aca="false">COUNTIFS($E$170:$E$332,"Kiri",$L$2:$L$164,"Rendah")</f>
        <v>1</v>
      </c>
      <c r="G182" s="5" t="n">
        <f aca="false">F182/40</f>
        <v>0.025</v>
      </c>
      <c r="I182" s="5" t="str">
        <v>kiri</v>
      </c>
      <c r="J182" s="5" t="n">
        <f aca="false">COUNTIFS($I$170:$I$332,"Kiri",$L$2:$L$164,"Rendah")</f>
        <v>2</v>
      </c>
      <c r="K182" s="5" t="n">
        <f aca="false">J182/44</f>
        <v>0.0454545454545455</v>
      </c>
      <c r="M182" s="5" t="str">
        <v>tengah</v>
      </c>
      <c r="N182" s="5" t="n">
        <f aca="false">COUNTIFS($T$170:$T$332,"Kiri",$M$2:$M$164,"Rendah")</f>
        <v>0</v>
      </c>
      <c r="O182" s="5" t="n">
        <f aca="false">N182/78</f>
        <v>0</v>
      </c>
    </row>
    <row r="183" customFormat="false" ht="15" hidden="false" customHeight="false" outlineLevel="0" collapsed="false">
      <c r="E183" s="5" t="str">
        <v>kiri</v>
      </c>
      <c r="F183" s="5" t="s">
        <v>196</v>
      </c>
      <c r="G183" s="5" t="n">
        <f aca="false">-(IFERROR(G180*LOG(G180,2),0)+IFERROR(G181*LOG(G181,2),0)+IFERROR(G182*LOG(G182,2),0))</f>
        <v>1.13206899710545</v>
      </c>
      <c r="I183" s="5" t="str">
        <v>kiri</v>
      </c>
      <c r="J183" s="5" t="s">
        <v>196</v>
      </c>
      <c r="K183" s="5" t="n">
        <f aca="false">-(IFERROR(K180*LOG(K180,2),0)+IFERROR(K181*LOG(K181,2),0)+IFERROR(K182*LOG(K182,2),0))</f>
        <v>1.21974849346076</v>
      </c>
      <c r="M183" s="5" t="str">
        <v>kanan</v>
      </c>
      <c r="N183" s="5" t="s">
        <v>196</v>
      </c>
      <c r="O183" s="5" t="n">
        <f aca="false">-(IFERROR(O180*LOG(O180,2),0)+IFERROR(O181*LOG(O181,2),0)+IFERROR(O182*LOG(O182,2),0))</f>
        <v>-0</v>
      </c>
    </row>
    <row r="184" customFormat="false" ht="15" hidden="false" customHeight="false" outlineLevel="0" collapsed="false">
      <c r="E184" s="5" t="str">
        <v>tengah</v>
      </c>
      <c r="F184" s="5"/>
      <c r="G184" s="5" t="n">
        <f aca="false">SUM(F180:F182)/163</f>
        <v>0.245398773006135</v>
      </c>
      <c r="I184" s="5" t="str">
        <v>kiri</v>
      </c>
      <c r="J184" s="5"/>
      <c r="K184" s="5" t="n">
        <f aca="false">SUM(J180:J182)/163</f>
        <v>0.269938650306748</v>
      </c>
      <c r="M184" s="5" t="str">
        <v>tengah</v>
      </c>
      <c r="N184" s="5"/>
      <c r="O184" s="5" t="n">
        <f aca="false">SUM(N180:N182)/163</f>
        <v>0</v>
      </c>
    </row>
    <row r="185" customFormat="false" ht="15" hidden="false" customHeight="false" outlineLevel="0" collapsed="false">
      <c r="E185" s="5" t="str">
        <v>kiri</v>
      </c>
      <c r="F185" s="5"/>
      <c r="G185" s="12" t="n">
        <f aca="false">G183*G184</f>
        <v>0.277808342847964</v>
      </c>
      <c r="I185" s="5" t="str">
        <v>tengah</v>
      </c>
      <c r="J185" s="5"/>
      <c r="K185" s="12" t="n">
        <f aca="false">K183*K184</f>
        <v>0.329257262038486</v>
      </c>
      <c r="M185" s="5" t="str">
        <v>kanan</v>
      </c>
      <c r="N185" s="5"/>
      <c r="O185" s="12" t="n">
        <f aca="false">O183*O184</f>
        <v>-0</v>
      </c>
    </row>
    <row r="186" customFormat="false" ht="15" hidden="false" customHeight="false" outlineLevel="0" collapsed="false">
      <c r="E186" s="5" t="str">
        <v>tengah</v>
      </c>
      <c r="F186" s="5"/>
      <c r="G186" s="5"/>
      <c r="I186" s="5" t="str">
        <v>kiri</v>
      </c>
      <c r="J186" s="5"/>
      <c r="K186" s="5"/>
      <c r="M186" s="5" t="str">
        <v>tengah</v>
      </c>
      <c r="N186" s="5"/>
      <c r="O186" s="5"/>
    </row>
    <row r="187" customFormat="false" ht="15" hidden="false" customHeight="false" outlineLevel="0" collapsed="false">
      <c r="E187" s="5" t="str">
        <v>kiri</v>
      </c>
      <c r="F187" s="5"/>
      <c r="G187" s="5"/>
      <c r="I187" s="5" t="str">
        <v>tengah</v>
      </c>
      <c r="J187" s="5"/>
      <c r="K187" s="5"/>
      <c r="M187" s="5" t="str">
        <v>tengah</v>
      </c>
      <c r="N187" s="5"/>
      <c r="O187" s="5"/>
    </row>
    <row r="188" customFormat="false" ht="15" hidden="false" customHeight="false" outlineLevel="0" collapsed="false">
      <c r="E188" s="5" t="str">
        <v>tengah</v>
      </c>
      <c r="F188" s="5" t="s">
        <v>201</v>
      </c>
      <c r="G188" s="5"/>
      <c r="I188" s="5" t="str">
        <v>kiri</v>
      </c>
      <c r="J188" s="5" t="s">
        <v>201</v>
      </c>
      <c r="K188" s="5"/>
      <c r="M188" s="5" t="str">
        <v>kanan</v>
      </c>
      <c r="N188" s="5" t="s">
        <v>201</v>
      </c>
      <c r="O188" s="5"/>
    </row>
    <row r="189" customFormat="false" ht="15" hidden="false" customHeight="false" outlineLevel="0" collapsed="false">
      <c r="E189" s="5" t="str">
        <v>tengah</v>
      </c>
      <c r="F189" s="5" t="n">
        <f aca="false">COUNTIFS($E$170:$E$332,"Tengah",$L$2:$L$164,"Tinggi")</f>
        <v>36</v>
      </c>
      <c r="G189" s="5" t="n">
        <f aca="false">F189/89</f>
        <v>0.404494382022472</v>
      </c>
      <c r="I189" s="5" t="str">
        <v>kiri</v>
      </c>
      <c r="J189" s="5" t="n">
        <f aca="false">COUNTIFS($I$170:$I$332,"Tengah",$L$2:$L$164,"Tinggi")</f>
        <v>31</v>
      </c>
      <c r="K189" s="5" t="n">
        <f aca="false">J189/83</f>
        <v>0.373493975903614</v>
      </c>
      <c r="M189" s="5" t="str">
        <v>kanan</v>
      </c>
      <c r="N189" s="5" t="n">
        <f aca="false">COUNTIFS($M$170:$M$332,"Tengah",$L$2:$L$164,"Tinggi")</f>
        <v>33</v>
      </c>
      <c r="O189" s="5" t="n">
        <f aca="false">N189/70</f>
        <v>0.471428571428571</v>
      </c>
    </row>
    <row r="190" customFormat="false" ht="15" hidden="false" customHeight="false" outlineLevel="0" collapsed="false">
      <c r="E190" s="5" t="str">
        <v>kiri</v>
      </c>
      <c r="F190" s="5" t="n">
        <f aca="false">COUNTIFS($E$170:$E$332,"Tengah",$L$2:$L$164,"Sedang")</f>
        <v>45</v>
      </c>
      <c r="G190" s="5" t="n">
        <f aca="false">F190/89</f>
        <v>0.50561797752809</v>
      </c>
      <c r="I190" s="5" t="str">
        <v>kiri</v>
      </c>
      <c r="J190" s="5" t="n">
        <f aca="false">COUNTIFS($I$170:$I$332,"Tengah",$L$2:$L$164,"Sedang")</f>
        <v>45</v>
      </c>
      <c r="K190" s="5" t="n">
        <f aca="false">J190/83</f>
        <v>0.542168674698795</v>
      </c>
      <c r="M190" s="5" t="str">
        <v>tengah</v>
      </c>
      <c r="N190" s="5" t="n">
        <f aca="false">COUNTIFS($M$170:$M$332,"Tengah",$L$2:$L$164,"Sedang")</f>
        <v>35</v>
      </c>
      <c r="O190" s="5" t="n">
        <f aca="false">N190/70</f>
        <v>0.5</v>
      </c>
    </row>
    <row r="191" customFormat="false" ht="15" hidden="false" customHeight="false" outlineLevel="0" collapsed="false">
      <c r="E191" s="5" t="str">
        <v>kanan</v>
      </c>
      <c r="F191" s="5" t="n">
        <f aca="false">COUNTIFS($E$170:$E$332,"Tengah",$L$2:$L$164,"Rendah")</f>
        <v>8</v>
      </c>
      <c r="G191" s="5" t="n">
        <f aca="false">F191/89</f>
        <v>0.0898876404494382</v>
      </c>
      <c r="I191" s="5" t="str">
        <v>tengah</v>
      </c>
      <c r="J191" s="5" t="n">
        <f aca="false">COUNTIFS($I$170:$I$332,"Tengah",$L$2:$L$164,"Rendah")</f>
        <v>7</v>
      </c>
      <c r="K191" s="5" t="n">
        <f aca="false">J191/83</f>
        <v>0.0843373493975904</v>
      </c>
      <c r="M191" s="5" t="str">
        <v>tengah</v>
      </c>
      <c r="N191" s="5" t="n">
        <f aca="false">COUNTIFS($M$170:$M$332,"Tengah",$L$2:$L$164,"Rendah")</f>
        <v>2</v>
      </c>
      <c r="O191" s="5" t="n">
        <f aca="false">N191/70</f>
        <v>0.0285714285714286</v>
      </c>
    </row>
    <row r="192" customFormat="false" ht="15" hidden="false" customHeight="false" outlineLevel="0" collapsed="false">
      <c r="E192" s="5" t="str">
        <v>kanan</v>
      </c>
      <c r="F192" s="5" t="s">
        <v>196</v>
      </c>
      <c r="G192" s="5" t="n">
        <f aca="false">-(IFERROR(G189*LOG(G189,2),0)+IFERROR(G190*LOG(G190,2),0)+IFERROR(G191*LOG(G191,2),0))</f>
        <v>1.33808523560956</v>
      </c>
      <c r="I192" s="5" t="str">
        <v>kanan</v>
      </c>
      <c r="J192" s="5" t="s">
        <v>196</v>
      </c>
      <c r="K192" s="5" t="n">
        <f aca="false">-(IFERROR(K189*LOG(K189,2),0)+IFERROR(K190*LOG(K190,2),0)+IFERROR(K191*LOG(K191,2),0))</f>
        <v>1.31040136615136</v>
      </c>
      <c r="M192" s="5" t="str">
        <v>kanan</v>
      </c>
      <c r="N192" s="5" t="s">
        <v>196</v>
      </c>
      <c r="O192" s="5" t="n">
        <f aca="false">-(IFERROR(O189*LOG(O189,2),0)+IFERROR(O190*LOG(O190,2),0)+IFERROR(O191*LOG(O191,2),0))</f>
        <v>1.15799856648921</v>
      </c>
    </row>
    <row r="193" customFormat="false" ht="15" hidden="false" customHeight="false" outlineLevel="0" collapsed="false">
      <c r="E193" s="5" t="str">
        <v>tengah</v>
      </c>
      <c r="F193" s="5"/>
      <c r="G193" s="5" t="n">
        <f aca="false">SUM(F189:F191)/163</f>
        <v>0.54601226993865</v>
      </c>
      <c r="I193" s="5" t="str">
        <v>tengah</v>
      </c>
      <c r="J193" s="5"/>
      <c r="K193" s="5" t="n">
        <f aca="false">SUM(J189:J191)/163</f>
        <v>0.50920245398773</v>
      </c>
      <c r="M193" s="5" t="str">
        <v>kanan</v>
      </c>
      <c r="N193" s="5"/>
      <c r="O193" s="5" t="n">
        <f aca="false">SUM(N189:N191)/163</f>
        <v>0.429447852760736</v>
      </c>
    </row>
    <row r="194" customFormat="false" ht="15" hidden="false" customHeight="false" outlineLevel="0" collapsed="false">
      <c r="E194" s="5" t="str">
        <v>tengah</v>
      </c>
      <c r="F194" s="5"/>
      <c r="G194" s="12" t="n">
        <f aca="false">G192*G193</f>
        <v>0.730610956866569</v>
      </c>
      <c r="I194" s="5" t="str">
        <v>kanan</v>
      </c>
      <c r="J194" s="5"/>
      <c r="K194" s="12" t="n">
        <f aca="false">K192*K193</f>
        <v>0.667259591353147</v>
      </c>
      <c r="M194" s="5" t="str">
        <v>tengah</v>
      </c>
      <c r="N194" s="5"/>
      <c r="O194" s="12" t="n">
        <f aca="false">O192*O193</f>
        <v>0.497299997878803</v>
      </c>
    </row>
    <row r="195" customFormat="false" ht="15" hidden="false" customHeight="false" outlineLevel="0" collapsed="false">
      <c r="E195" s="5" t="str">
        <v>tengah</v>
      </c>
      <c r="F195" s="5"/>
      <c r="G195" s="5"/>
      <c r="I195" s="5" t="str">
        <v>kiri</v>
      </c>
      <c r="J195" s="5"/>
      <c r="K195" s="5"/>
      <c r="M195" s="5" t="str">
        <v>kanan</v>
      </c>
      <c r="N195" s="5"/>
      <c r="O195" s="5"/>
    </row>
    <row r="196" customFormat="false" ht="15" hidden="false" customHeight="false" outlineLevel="0" collapsed="false">
      <c r="E196" s="5" t="str">
        <v>tengah</v>
      </c>
      <c r="F196" s="5" t="s">
        <v>202</v>
      </c>
      <c r="G196" s="5"/>
      <c r="I196" s="5" t="str">
        <v>tengah</v>
      </c>
      <c r="J196" s="5" t="s">
        <v>202</v>
      </c>
      <c r="K196" s="5"/>
      <c r="M196" s="5" t="str">
        <v>tengah</v>
      </c>
      <c r="N196" s="5" t="s">
        <v>202</v>
      </c>
      <c r="O196" s="5"/>
    </row>
    <row r="197" customFormat="false" ht="15" hidden="false" customHeight="false" outlineLevel="0" collapsed="false">
      <c r="E197" s="5" t="str">
        <v>kanan</v>
      </c>
      <c r="F197" s="13" t="n">
        <f aca="false">P5-(G176+G185+G194)</f>
        <v>0.0142413681285756</v>
      </c>
      <c r="G197" s="5"/>
      <c r="I197" s="5" t="str">
        <v>kanan</v>
      </c>
      <c r="J197" s="13" t="n">
        <f aca="false">P5-(K176+K185+K194)</f>
        <v>0.0133529345530083</v>
      </c>
      <c r="K197" s="5"/>
      <c r="M197" s="5" t="str">
        <v>tengah</v>
      </c>
      <c r="N197" s="13" t="n">
        <f aca="false">P5-(O176+O185+O194)</f>
        <v>0.0136010459261298</v>
      </c>
      <c r="O197" s="5"/>
    </row>
    <row r="198" customFormat="false" ht="15" hidden="false" customHeight="false" outlineLevel="0" collapsed="false">
      <c r="E198" s="5" t="str">
        <v>tengah</v>
      </c>
      <c r="F198" s="5"/>
      <c r="G198" s="5"/>
      <c r="I198" s="5" t="str">
        <v>tengah</v>
      </c>
      <c r="J198" s="5"/>
      <c r="K198" s="5"/>
      <c r="M198" s="5" t="str">
        <v>kanan</v>
      </c>
      <c r="N198" s="5"/>
      <c r="O198" s="5"/>
    </row>
    <row r="199" customFormat="false" ht="15" hidden="false" customHeight="false" outlineLevel="0" collapsed="false">
      <c r="E199" s="5" t="str">
        <v>tengah</v>
      </c>
      <c r="F199" s="5"/>
      <c r="G199" s="5"/>
      <c r="I199" s="5" t="str">
        <v>kanan</v>
      </c>
      <c r="J199" s="5"/>
      <c r="K199" s="5"/>
      <c r="M199" s="5" t="str">
        <v>tengah</v>
      </c>
      <c r="N199" s="5"/>
      <c r="O199" s="5"/>
    </row>
    <row r="200" customFormat="false" ht="15" hidden="false" customHeight="false" outlineLevel="0" collapsed="false">
      <c r="E200" s="5" t="str">
        <v>tengah</v>
      </c>
      <c r="F200" s="5"/>
      <c r="G200" s="5"/>
      <c r="I200" s="5" t="str">
        <v>kanan</v>
      </c>
      <c r="J200" s="5"/>
      <c r="K200" s="5"/>
      <c r="M200" s="5" t="str">
        <v>tengah</v>
      </c>
      <c r="N200" s="5"/>
      <c r="O200" s="5"/>
    </row>
    <row r="201" customFormat="false" ht="15" hidden="false" customHeight="false" outlineLevel="0" collapsed="false">
      <c r="E201" s="5" t="str">
        <v>tengah</v>
      </c>
      <c r="F201" s="5"/>
      <c r="G201" s="5"/>
      <c r="I201" s="5" t="str">
        <v>kiri</v>
      </c>
      <c r="J201" s="5"/>
      <c r="K201" s="5"/>
      <c r="M201" s="5" t="str">
        <v>tengah</v>
      </c>
      <c r="N201" s="5"/>
      <c r="O201" s="5"/>
    </row>
    <row r="202" customFormat="false" ht="15" hidden="false" customHeight="false" outlineLevel="0" collapsed="false">
      <c r="E202" s="5" t="str">
        <v>kanan</v>
      </c>
      <c r="F202" s="5"/>
      <c r="G202" s="5"/>
      <c r="I202" s="5" t="str">
        <v>tengah</v>
      </c>
      <c r="J202" s="5"/>
      <c r="K202" s="5"/>
      <c r="M202" s="5" t="str">
        <v>kanan</v>
      </c>
      <c r="N202" s="5"/>
      <c r="O202" s="5"/>
    </row>
    <row r="203" customFormat="false" ht="15" hidden="false" customHeight="false" outlineLevel="0" collapsed="false">
      <c r="E203" s="5" t="str">
        <v>tengah</v>
      </c>
      <c r="F203" s="5"/>
      <c r="G203" s="5"/>
      <c r="I203" s="5" t="str">
        <v>tengah</v>
      </c>
      <c r="J203" s="5"/>
      <c r="K203" s="5"/>
      <c r="M203" s="5" t="str">
        <v>kanan</v>
      </c>
      <c r="N203" s="5"/>
      <c r="O203" s="5"/>
    </row>
    <row r="204" customFormat="false" ht="15" hidden="false" customHeight="false" outlineLevel="0" collapsed="false">
      <c r="E204" s="5" t="str">
        <v>kiri</v>
      </c>
      <c r="F204" s="5"/>
      <c r="G204" s="5"/>
      <c r="I204" s="5" t="str">
        <v>kiri</v>
      </c>
      <c r="J204" s="5"/>
      <c r="K204" s="5"/>
      <c r="M204" s="5" t="str">
        <v>kanan</v>
      </c>
      <c r="N204" s="5"/>
      <c r="O204" s="5"/>
    </row>
    <row r="205" customFormat="false" ht="15" hidden="false" customHeight="false" outlineLevel="0" collapsed="false">
      <c r="E205" s="5" t="str">
        <v>kanan</v>
      </c>
      <c r="F205" s="5"/>
      <c r="G205" s="5"/>
      <c r="I205" s="5" t="str">
        <v>kanan</v>
      </c>
      <c r="J205" s="5"/>
      <c r="K205" s="5"/>
      <c r="M205" s="5" t="str">
        <v>kanan</v>
      </c>
      <c r="N205" s="5"/>
      <c r="O205" s="5"/>
    </row>
    <row r="206" customFormat="false" ht="15" hidden="false" customHeight="false" outlineLevel="0" collapsed="false">
      <c r="E206" s="5" t="str">
        <v>tengah</v>
      </c>
      <c r="F206" s="5"/>
      <c r="G206" s="5"/>
      <c r="I206" s="5" t="str">
        <v>tengah</v>
      </c>
      <c r="J206" s="5"/>
      <c r="K206" s="5"/>
      <c r="M206" s="5" t="str">
        <v>kanan</v>
      </c>
      <c r="N206" s="5"/>
      <c r="O206" s="5"/>
    </row>
    <row r="207" customFormat="false" ht="15" hidden="false" customHeight="false" outlineLevel="0" collapsed="false">
      <c r="E207" s="5" t="str">
        <v>kiri</v>
      </c>
      <c r="F207" s="5"/>
      <c r="G207" s="5"/>
      <c r="I207" s="5" t="str">
        <v>kiri</v>
      </c>
      <c r="J207" s="5"/>
      <c r="K207" s="5"/>
      <c r="M207" s="5" t="str">
        <v>tengah</v>
      </c>
      <c r="N207" s="5"/>
      <c r="O207" s="5"/>
    </row>
    <row r="208" customFormat="false" ht="15" hidden="false" customHeight="false" outlineLevel="0" collapsed="false">
      <c r="E208" s="5" t="str">
        <v>kiri</v>
      </c>
      <c r="F208" s="5"/>
      <c r="G208" s="5"/>
      <c r="I208" s="5" t="str">
        <v>kiri</v>
      </c>
      <c r="J208" s="5"/>
      <c r="K208" s="5"/>
      <c r="M208" s="5" t="str">
        <v>tengah</v>
      </c>
      <c r="N208" s="5"/>
      <c r="O208" s="5"/>
    </row>
    <row r="209" customFormat="false" ht="15" hidden="false" customHeight="false" outlineLevel="0" collapsed="false">
      <c r="E209" s="5" t="str">
        <v>kanan</v>
      </c>
      <c r="F209" s="5"/>
      <c r="G209" s="5"/>
      <c r="I209" s="5" t="str">
        <v>kanan</v>
      </c>
      <c r="J209" s="5"/>
      <c r="K209" s="5"/>
      <c r="M209" s="5" t="str">
        <v>tengah</v>
      </c>
      <c r="N209" s="5"/>
      <c r="O209" s="5"/>
    </row>
    <row r="210" customFormat="false" ht="15" hidden="false" customHeight="false" outlineLevel="0" collapsed="false">
      <c r="E210" s="5" t="str">
        <v>kanan</v>
      </c>
      <c r="F210" s="5"/>
      <c r="G210" s="5"/>
      <c r="I210" s="5" t="str">
        <v>kanan</v>
      </c>
      <c r="J210" s="5"/>
      <c r="K210" s="5"/>
      <c r="M210" s="5" t="str">
        <v>kanan</v>
      </c>
      <c r="N210" s="5"/>
      <c r="O210" s="5"/>
    </row>
    <row r="211" customFormat="false" ht="15" hidden="false" customHeight="false" outlineLevel="0" collapsed="false">
      <c r="E211" s="5" t="str">
        <v>tengah</v>
      </c>
      <c r="F211" s="5"/>
      <c r="G211" s="5"/>
      <c r="I211" s="5" t="str">
        <v>tengah</v>
      </c>
      <c r="J211" s="5"/>
      <c r="K211" s="5"/>
      <c r="M211" s="5" t="str">
        <v>tengah</v>
      </c>
      <c r="N211" s="5"/>
      <c r="O211" s="5"/>
    </row>
    <row r="212" customFormat="false" ht="15" hidden="false" customHeight="false" outlineLevel="0" collapsed="false">
      <c r="E212" s="5" t="str">
        <v>tengah</v>
      </c>
      <c r="F212" s="5"/>
      <c r="G212" s="5"/>
      <c r="I212" s="5" t="str">
        <v>kanan</v>
      </c>
      <c r="J212" s="5"/>
      <c r="K212" s="5"/>
      <c r="M212" s="5" t="str">
        <v>kanan</v>
      </c>
      <c r="N212" s="5"/>
      <c r="O212" s="5"/>
    </row>
    <row r="213" customFormat="false" ht="15" hidden="false" customHeight="false" outlineLevel="0" collapsed="false">
      <c r="E213" s="5" t="str">
        <v>kiri</v>
      </c>
      <c r="F213" s="5"/>
      <c r="G213" s="5"/>
      <c r="I213" s="5" t="str">
        <v>kiri</v>
      </c>
      <c r="J213" s="5"/>
      <c r="K213" s="5"/>
      <c r="M213" s="5" t="str">
        <v>kanan</v>
      </c>
      <c r="N213" s="5"/>
      <c r="O213" s="5"/>
    </row>
    <row r="214" customFormat="false" ht="15" hidden="false" customHeight="false" outlineLevel="0" collapsed="false">
      <c r="E214" s="5" t="str">
        <v>tengah</v>
      </c>
      <c r="F214" s="5"/>
      <c r="G214" s="5"/>
      <c r="I214" s="5" t="str">
        <v>tengah</v>
      </c>
      <c r="J214" s="5"/>
      <c r="K214" s="5"/>
      <c r="M214" s="5" t="str">
        <v>tengah</v>
      </c>
      <c r="N214" s="5"/>
      <c r="O214" s="5"/>
    </row>
    <row r="215" customFormat="false" ht="15" hidden="false" customHeight="false" outlineLevel="0" collapsed="false">
      <c r="E215" s="5" t="str">
        <v>tengah</v>
      </c>
      <c r="F215" s="5"/>
      <c r="G215" s="5"/>
      <c r="I215" s="5" t="str">
        <v>tengah</v>
      </c>
      <c r="J215" s="5"/>
      <c r="K215" s="5"/>
      <c r="M215" s="5" t="str">
        <v>tengah</v>
      </c>
      <c r="N215" s="5"/>
      <c r="O215" s="5"/>
    </row>
    <row r="216" customFormat="false" ht="15" hidden="false" customHeight="false" outlineLevel="0" collapsed="false">
      <c r="E216" s="5" t="str">
        <v>kanan</v>
      </c>
      <c r="F216" s="5"/>
      <c r="G216" s="5"/>
      <c r="I216" s="5" t="str">
        <v>tengah</v>
      </c>
      <c r="J216" s="5"/>
      <c r="K216" s="5"/>
      <c r="M216" s="5" t="str">
        <v>kanan</v>
      </c>
      <c r="N216" s="5"/>
      <c r="O216" s="5"/>
    </row>
    <row r="217" customFormat="false" ht="15" hidden="false" customHeight="false" outlineLevel="0" collapsed="false">
      <c r="E217" s="5" t="str">
        <v>tengah</v>
      </c>
      <c r="F217" s="5"/>
      <c r="G217" s="5"/>
      <c r="I217" s="5" t="str">
        <v>tengah</v>
      </c>
      <c r="J217" s="5"/>
      <c r="K217" s="5"/>
      <c r="M217" s="5" t="str">
        <v>kanan</v>
      </c>
      <c r="N217" s="5"/>
      <c r="O217" s="5"/>
    </row>
    <row r="218" customFormat="false" ht="15" hidden="false" customHeight="false" outlineLevel="0" collapsed="false">
      <c r="E218" s="5" t="str">
        <v>tengah</v>
      </c>
      <c r="F218" s="5"/>
      <c r="G218" s="5"/>
      <c r="I218" s="5" t="str">
        <v>tengah</v>
      </c>
      <c r="J218" s="5"/>
      <c r="K218" s="5"/>
      <c r="M218" s="5" t="str">
        <v>kanan</v>
      </c>
      <c r="N218" s="5"/>
      <c r="O218" s="5"/>
    </row>
    <row r="219" customFormat="false" ht="15" hidden="false" customHeight="false" outlineLevel="0" collapsed="false">
      <c r="E219" s="5" t="str">
        <v>tengah</v>
      </c>
      <c r="F219" s="5"/>
      <c r="G219" s="5"/>
      <c r="I219" s="5" t="str">
        <v>tengah</v>
      </c>
      <c r="J219" s="5"/>
      <c r="K219" s="5"/>
      <c r="M219" s="5" t="str">
        <v>kanan</v>
      </c>
      <c r="N219" s="5"/>
      <c r="O219" s="5"/>
    </row>
    <row r="220" customFormat="false" ht="15" hidden="false" customHeight="false" outlineLevel="0" collapsed="false">
      <c r="E220" s="5" t="str">
        <v>kanan</v>
      </c>
      <c r="F220" s="5"/>
      <c r="G220" s="5"/>
      <c r="I220" s="5" t="str">
        <v>tengah</v>
      </c>
      <c r="J220" s="5"/>
      <c r="K220" s="5"/>
      <c r="M220" s="5" t="str">
        <v>kanan</v>
      </c>
      <c r="N220" s="5"/>
      <c r="O220" s="5"/>
    </row>
    <row r="221" customFormat="false" ht="15" hidden="false" customHeight="false" outlineLevel="0" collapsed="false">
      <c r="E221" s="5" t="str">
        <v>kanan</v>
      </c>
      <c r="F221" s="5"/>
      <c r="G221" s="5"/>
      <c r="I221" s="5" t="str">
        <v>kanan</v>
      </c>
      <c r="J221" s="5"/>
      <c r="K221" s="5"/>
      <c r="M221" s="5" t="str">
        <v>tengah</v>
      </c>
      <c r="N221" s="5"/>
      <c r="O221" s="5"/>
    </row>
    <row r="222" customFormat="false" ht="15" hidden="false" customHeight="false" outlineLevel="0" collapsed="false">
      <c r="E222" s="5" t="str">
        <v>tengah</v>
      </c>
      <c r="F222" s="5"/>
      <c r="G222" s="5"/>
      <c r="I222" s="5" t="str">
        <v>kanan</v>
      </c>
      <c r="J222" s="5"/>
      <c r="K222" s="5"/>
      <c r="M222" s="5" t="str">
        <v>kanan</v>
      </c>
      <c r="N222" s="5"/>
      <c r="O222" s="5"/>
    </row>
    <row r="223" customFormat="false" ht="15" hidden="false" customHeight="false" outlineLevel="0" collapsed="false">
      <c r="E223" s="5" t="str">
        <v>tengah</v>
      </c>
      <c r="F223" s="5"/>
      <c r="G223" s="5"/>
      <c r="I223" s="5" t="str">
        <v>tengah</v>
      </c>
      <c r="J223" s="5"/>
      <c r="K223" s="5"/>
      <c r="M223" s="5" t="str">
        <v>kanan</v>
      </c>
      <c r="N223" s="5"/>
      <c r="O223" s="5"/>
    </row>
    <row r="224" customFormat="false" ht="15" hidden="false" customHeight="false" outlineLevel="0" collapsed="false">
      <c r="E224" s="5" t="str">
        <v>tengah</v>
      </c>
      <c r="F224" s="5"/>
      <c r="G224" s="5"/>
      <c r="I224" s="5" t="str">
        <v>tengah</v>
      </c>
      <c r="J224" s="5"/>
      <c r="K224" s="5"/>
      <c r="M224" s="5" t="str">
        <v>tengah</v>
      </c>
      <c r="N224" s="5"/>
      <c r="O224" s="5"/>
    </row>
    <row r="225" customFormat="false" ht="15" hidden="false" customHeight="false" outlineLevel="0" collapsed="false">
      <c r="E225" s="5" t="str">
        <v>tengah</v>
      </c>
      <c r="F225" s="5"/>
      <c r="G225" s="5"/>
      <c r="I225" s="5" t="str">
        <v>tengah</v>
      </c>
      <c r="J225" s="5"/>
      <c r="K225" s="5"/>
      <c r="M225" s="5" t="str">
        <v>kanan</v>
      </c>
      <c r="N225" s="5"/>
      <c r="O225" s="5"/>
    </row>
    <row r="226" customFormat="false" ht="15" hidden="false" customHeight="false" outlineLevel="0" collapsed="false">
      <c r="E226" s="5" t="str">
        <v>kanan</v>
      </c>
      <c r="F226" s="5"/>
      <c r="G226" s="5"/>
      <c r="I226" s="5" t="str">
        <v>tengah</v>
      </c>
      <c r="J226" s="5"/>
      <c r="K226" s="5"/>
      <c r="M226" s="5" t="str">
        <v>tengah</v>
      </c>
      <c r="N226" s="5"/>
      <c r="O226" s="5"/>
    </row>
    <row r="227" customFormat="false" ht="15" hidden="false" customHeight="false" outlineLevel="0" collapsed="false">
      <c r="E227" s="5" t="str">
        <v>kanan</v>
      </c>
      <c r="F227" s="5"/>
      <c r="G227" s="5"/>
      <c r="I227" s="5" t="str">
        <v>tengah</v>
      </c>
      <c r="J227" s="5"/>
      <c r="K227" s="5"/>
      <c r="M227" s="5" t="str">
        <v>kanan</v>
      </c>
      <c r="N227" s="5"/>
      <c r="O227" s="5"/>
    </row>
    <row r="228" customFormat="false" ht="15" hidden="false" customHeight="false" outlineLevel="0" collapsed="false">
      <c r="E228" s="5" t="str">
        <v>kiri</v>
      </c>
      <c r="F228" s="5"/>
      <c r="G228" s="5"/>
      <c r="I228" s="5" t="str">
        <v>kiri</v>
      </c>
      <c r="J228" s="5"/>
      <c r="K228" s="5"/>
      <c r="M228" s="5" t="str">
        <v>kanan</v>
      </c>
      <c r="N228" s="5"/>
      <c r="O228" s="5"/>
    </row>
    <row r="229" customFormat="false" ht="15" hidden="false" customHeight="false" outlineLevel="0" collapsed="false">
      <c r="E229" s="5" t="str">
        <v>tengah</v>
      </c>
      <c r="F229" s="5"/>
      <c r="G229" s="5"/>
      <c r="I229" s="5" t="str">
        <v>tengah</v>
      </c>
      <c r="J229" s="5"/>
      <c r="K229" s="5"/>
      <c r="M229" s="5" t="str">
        <v>kanan</v>
      </c>
      <c r="N229" s="5"/>
      <c r="O229" s="5"/>
    </row>
    <row r="230" customFormat="false" ht="15" hidden="false" customHeight="false" outlineLevel="0" collapsed="false">
      <c r="E230" s="5" t="str">
        <v>kiri</v>
      </c>
      <c r="F230" s="5"/>
      <c r="G230" s="5"/>
      <c r="I230" s="5" t="str">
        <v>tengah</v>
      </c>
      <c r="J230" s="5"/>
      <c r="K230" s="5"/>
      <c r="M230" s="5" t="str">
        <v>kanan</v>
      </c>
      <c r="N230" s="5"/>
      <c r="O230" s="5"/>
    </row>
    <row r="231" customFormat="false" ht="15" hidden="false" customHeight="false" outlineLevel="0" collapsed="false">
      <c r="E231" s="5" t="str">
        <v>tengah</v>
      </c>
      <c r="F231" s="5"/>
      <c r="G231" s="5"/>
      <c r="I231" s="5" t="str">
        <v>tengah</v>
      </c>
      <c r="J231" s="5"/>
      <c r="K231" s="5"/>
      <c r="M231" s="5" t="str">
        <v>kanan</v>
      </c>
      <c r="N231" s="5"/>
      <c r="O231" s="5"/>
    </row>
    <row r="232" customFormat="false" ht="15" hidden="false" customHeight="false" outlineLevel="0" collapsed="false">
      <c r="E232" s="5" t="str">
        <v>kanan</v>
      </c>
      <c r="F232" s="5"/>
      <c r="G232" s="5"/>
      <c r="I232" s="5" t="str">
        <v>tengah</v>
      </c>
      <c r="J232" s="5"/>
      <c r="K232" s="5"/>
      <c r="M232" s="5" t="str">
        <v>tengah</v>
      </c>
      <c r="N232" s="5"/>
      <c r="O232" s="5"/>
    </row>
    <row r="233" customFormat="false" ht="15" hidden="false" customHeight="false" outlineLevel="0" collapsed="false">
      <c r="E233" s="5" t="str">
        <v>kiri</v>
      </c>
      <c r="F233" s="5"/>
      <c r="G233" s="5"/>
      <c r="I233" s="5" t="str">
        <v>kanan</v>
      </c>
      <c r="J233" s="5"/>
      <c r="K233" s="5"/>
      <c r="M233" s="5" t="str">
        <v>kanan</v>
      </c>
      <c r="N233" s="5"/>
      <c r="O233" s="5"/>
    </row>
    <row r="234" customFormat="false" ht="15" hidden="false" customHeight="false" outlineLevel="0" collapsed="false">
      <c r="E234" s="5" t="str">
        <v>kanan</v>
      </c>
      <c r="F234" s="5"/>
      <c r="G234" s="5"/>
      <c r="I234" s="5" t="str">
        <v>tengah</v>
      </c>
      <c r="J234" s="5"/>
      <c r="K234" s="5"/>
      <c r="M234" s="5" t="str">
        <v>tengah</v>
      </c>
      <c r="N234" s="5"/>
      <c r="O234" s="5"/>
    </row>
    <row r="235" customFormat="false" ht="15" hidden="false" customHeight="false" outlineLevel="0" collapsed="false">
      <c r="E235" s="5" t="str">
        <v>kanan</v>
      </c>
      <c r="F235" s="5"/>
      <c r="G235" s="5"/>
      <c r="I235" s="5" t="str">
        <v>kanan</v>
      </c>
      <c r="J235" s="5"/>
      <c r="K235" s="5"/>
      <c r="M235" s="5" t="str">
        <v>tengah</v>
      </c>
      <c r="N235" s="5"/>
      <c r="O235" s="5"/>
    </row>
    <row r="236" customFormat="false" ht="15" hidden="false" customHeight="false" outlineLevel="0" collapsed="false">
      <c r="E236" s="5" t="str">
        <v>tengah</v>
      </c>
      <c r="F236" s="5"/>
      <c r="G236" s="5"/>
      <c r="I236" s="5" t="str">
        <v>tengah</v>
      </c>
      <c r="J236" s="5"/>
      <c r="K236" s="5"/>
      <c r="M236" s="5" t="str">
        <v>tengah</v>
      </c>
      <c r="N236" s="5"/>
      <c r="O236" s="5"/>
    </row>
    <row r="237" customFormat="false" ht="15" hidden="false" customHeight="false" outlineLevel="0" collapsed="false">
      <c r="E237" s="5" t="str">
        <v>tengah</v>
      </c>
      <c r="F237" s="5"/>
      <c r="G237" s="5"/>
      <c r="I237" s="5" t="str">
        <v>kanan</v>
      </c>
      <c r="J237" s="5"/>
      <c r="K237" s="5"/>
      <c r="M237" s="5" t="str">
        <v>kanan</v>
      </c>
      <c r="N237" s="5"/>
      <c r="O237" s="5"/>
    </row>
    <row r="238" customFormat="false" ht="15" hidden="false" customHeight="false" outlineLevel="0" collapsed="false">
      <c r="E238" s="5" t="str">
        <v>kiri</v>
      </c>
      <c r="F238" s="5"/>
      <c r="G238" s="5"/>
      <c r="I238" s="5" t="str">
        <v>kiri</v>
      </c>
      <c r="J238" s="5"/>
      <c r="K238" s="5"/>
      <c r="M238" s="5" t="str">
        <v>kanan</v>
      </c>
      <c r="N238" s="5"/>
      <c r="O238" s="5"/>
    </row>
    <row r="239" customFormat="false" ht="15" hidden="false" customHeight="false" outlineLevel="0" collapsed="false">
      <c r="E239" s="5" t="str">
        <v>kiri</v>
      </c>
      <c r="F239" s="5"/>
      <c r="G239" s="5"/>
      <c r="I239" s="5" t="str">
        <v>kiri</v>
      </c>
      <c r="J239" s="5"/>
      <c r="K239" s="5"/>
      <c r="M239" s="5" t="str">
        <v>kanan</v>
      </c>
      <c r="N239" s="5"/>
      <c r="O239" s="5"/>
    </row>
    <row r="240" customFormat="false" ht="15" hidden="false" customHeight="false" outlineLevel="0" collapsed="false">
      <c r="E240" s="5" t="str">
        <v>kanan</v>
      </c>
      <c r="F240" s="5"/>
      <c r="G240" s="5"/>
      <c r="I240" s="5" t="str">
        <v>kanan</v>
      </c>
      <c r="J240" s="5"/>
      <c r="K240" s="5"/>
      <c r="M240" s="5" t="str">
        <v>kanan</v>
      </c>
      <c r="N240" s="5"/>
      <c r="O240" s="5"/>
    </row>
    <row r="241" customFormat="false" ht="15" hidden="false" customHeight="false" outlineLevel="0" collapsed="false">
      <c r="E241" s="5" t="str">
        <v>kanan</v>
      </c>
      <c r="F241" s="5"/>
      <c r="G241" s="5"/>
      <c r="I241" s="5" t="str">
        <v>kanan</v>
      </c>
      <c r="J241" s="5"/>
      <c r="K241" s="5"/>
      <c r="M241" s="5" t="str">
        <v>kanan</v>
      </c>
      <c r="N241" s="5"/>
      <c r="O241" s="5"/>
    </row>
    <row r="242" customFormat="false" ht="15" hidden="false" customHeight="false" outlineLevel="0" collapsed="false">
      <c r="E242" s="5" t="str">
        <v>kanan</v>
      </c>
      <c r="F242" s="5"/>
      <c r="G242" s="5"/>
      <c r="I242" s="5" t="str">
        <v>tengah</v>
      </c>
      <c r="J242" s="5"/>
      <c r="K242" s="5"/>
      <c r="M242" s="5" t="str">
        <v>kanan</v>
      </c>
      <c r="N242" s="5"/>
      <c r="O242" s="5"/>
    </row>
    <row r="243" customFormat="false" ht="15" hidden="false" customHeight="false" outlineLevel="0" collapsed="false">
      <c r="E243" s="5" t="str">
        <v>tengah</v>
      </c>
      <c r="F243" s="5"/>
      <c r="G243" s="5"/>
      <c r="I243" s="5" t="str">
        <v>kanan</v>
      </c>
      <c r="J243" s="5"/>
      <c r="K243" s="5"/>
      <c r="M243" s="5" t="str">
        <v>tengah</v>
      </c>
      <c r="N243" s="5"/>
      <c r="O243" s="5"/>
    </row>
    <row r="244" customFormat="false" ht="15" hidden="false" customHeight="false" outlineLevel="0" collapsed="false">
      <c r="E244" s="5" t="str">
        <v>kiri</v>
      </c>
      <c r="F244" s="5"/>
      <c r="G244" s="5"/>
      <c r="I244" s="5" t="str">
        <v>kanan</v>
      </c>
      <c r="J244" s="5"/>
      <c r="K244" s="5"/>
      <c r="M244" s="5" t="str">
        <v>kanan</v>
      </c>
      <c r="N244" s="5"/>
      <c r="O244" s="5"/>
    </row>
    <row r="245" customFormat="false" ht="15" hidden="false" customHeight="false" outlineLevel="0" collapsed="false">
      <c r="E245" s="5" t="str">
        <v>kiri</v>
      </c>
      <c r="F245" s="5"/>
      <c r="G245" s="5"/>
      <c r="I245" s="5" t="str">
        <v>kiri</v>
      </c>
      <c r="J245" s="5"/>
      <c r="K245" s="5"/>
      <c r="M245" s="5" t="str">
        <v>kanan</v>
      </c>
      <c r="N245" s="5"/>
      <c r="O245" s="5"/>
    </row>
    <row r="246" customFormat="false" ht="15" hidden="false" customHeight="false" outlineLevel="0" collapsed="false">
      <c r="E246" s="5" t="str">
        <v>kiri</v>
      </c>
      <c r="F246" s="5"/>
      <c r="G246" s="5"/>
      <c r="I246" s="5" t="str">
        <v>kiri</v>
      </c>
      <c r="J246" s="5"/>
      <c r="K246" s="5"/>
      <c r="M246" s="5" t="str">
        <v>tengah</v>
      </c>
      <c r="N246" s="5"/>
      <c r="O246" s="5"/>
    </row>
    <row r="247" customFormat="false" ht="15" hidden="false" customHeight="false" outlineLevel="0" collapsed="false">
      <c r="E247" s="5" t="str">
        <v>tengah</v>
      </c>
      <c r="F247" s="5"/>
      <c r="G247" s="5"/>
      <c r="I247" s="5" t="str">
        <v>tengah</v>
      </c>
      <c r="J247" s="5"/>
      <c r="K247" s="5"/>
      <c r="M247" s="5" t="str">
        <v>tengah</v>
      </c>
      <c r="N247" s="5"/>
      <c r="O247" s="5"/>
    </row>
    <row r="248" customFormat="false" ht="15" hidden="false" customHeight="false" outlineLevel="0" collapsed="false">
      <c r="E248" s="5" t="str">
        <v>tengah</v>
      </c>
      <c r="F248" s="5"/>
      <c r="G248" s="5"/>
      <c r="I248" s="5" t="str">
        <v>tengah</v>
      </c>
      <c r="J248" s="5"/>
      <c r="K248" s="5"/>
      <c r="M248" s="5" t="str">
        <v>kanan</v>
      </c>
      <c r="N248" s="5"/>
      <c r="O248" s="5"/>
    </row>
    <row r="249" customFormat="false" ht="15" hidden="false" customHeight="false" outlineLevel="0" collapsed="false">
      <c r="E249" s="5" t="str">
        <v>kanan</v>
      </c>
      <c r="F249" s="5"/>
      <c r="G249" s="5"/>
      <c r="I249" s="5" t="str">
        <v>tengah</v>
      </c>
      <c r="J249" s="5"/>
      <c r="K249" s="5"/>
      <c r="M249" s="5" t="str">
        <v>kanan</v>
      </c>
      <c r="N249" s="5"/>
      <c r="O249" s="5"/>
    </row>
    <row r="250" customFormat="false" ht="15" hidden="false" customHeight="false" outlineLevel="0" collapsed="false">
      <c r="E250" s="5" t="str">
        <v>kiri</v>
      </c>
      <c r="F250" s="5"/>
      <c r="G250" s="5"/>
      <c r="I250" s="5" t="str">
        <v>tengah</v>
      </c>
      <c r="J250" s="5"/>
      <c r="K250" s="5"/>
      <c r="M250" s="5" t="str">
        <v>tengah</v>
      </c>
      <c r="N250" s="5"/>
      <c r="O250" s="5"/>
    </row>
    <row r="251" customFormat="false" ht="15" hidden="false" customHeight="false" outlineLevel="0" collapsed="false">
      <c r="E251" s="5" t="str">
        <v>tengah</v>
      </c>
      <c r="F251" s="5"/>
      <c r="G251" s="5"/>
      <c r="I251" s="5" t="str">
        <v>tengah</v>
      </c>
      <c r="J251" s="5"/>
      <c r="K251" s="5"/>
      <c r="M251" s="5" t="str">
        <v>kanan</v>
      </c>
      <c r="N251" s="5"/>
      <c r="O251" s="5"/>
    </row>
    <row r="252" customFormat="false" ht="15" hidden="false" customHeight="false" outlineLevel="0" collapsed="false">
      <c r="E252" s="5" t="str">
        <v>tengah</v>
      </c>
      <c r="F252" s="5"/>
      <c r="G252" s="5"/>
      <c r="I252" s="5" t="str">
        <v>kiri</v>
      </c>
      <c r="J252" s="5"/>
      <c r="K252" s="5"/>
      <c r="M252" s="5" t="str">
        <v>tengah</v>
      </c>
      <c r="N252" s="5"/>
      <c r="O252" s="5"/>
    </row>
    <row r="253" customFormat="false" ht="15" hidden="false" customHeight="false" outlineLevel="0" collapsed="false">
      <c r="E253" s="5" t="str">
        <v>tengah</v>
      </c>
      <c r="F253" s="5"/>
      <c r="G253" s="5"/>
      <c r="I253" s="5" t="str">
        <v>kanan</v>
      </c>
      <c r="J253" s="5"/>
      <c r="K253" s="5"/>
      <c r="M253" s="5" t="str">
        <v>kanan</v>
      </c>
      <c r="N253" s="5"/>
      <c r="O253" s="5"/>
    </row>
    <row r="254" customFormat="false" ht="15" hidden="false" customHeight="false" outlineLevel="0" collapsed="false">
      <c r="E254" s="5" t="str">
        <v>tengah</v>
      </c>
      <c r="F254" s="5"/>
      <c r="G254" s="5"/>
      <c r="I254" s="5" t="str">
        <v>tengah</v>
      </c>
      <c r="J254" s="5"/>
      <c r="K254" s="5"/>
      <c r="M254" s="5" t="str">
        <v>kanan</v>
      </c>
      <c r="N254" s="5"/>
      <c r="O254" s="5"/>
    </row>
    <row r="255" customFormat="false" ht="15" hidden="false" customHeight="false" outlineLevel="0" collapsed="false">
      <c r="E255" s="5" t="str">
        <v>kanan</v>
      </c>
      <c r="F255" s="5"/>
      <c r="G255" s="5"/>
      <c r="I255" s="5" t="str">
        <v>tengah</v>
      </c>
      <c r="J255" s="5"/>
      <c r="K255" s="5"/>
      <c r="M255" s="5" t="str">
        <v>tengah</v>
      </c>
      <c r="N255" s="5"/>
      <c r="O255" s="5"/>
    </row>
    <row r="256" customFormat="false" ht="15" hidden="false" customHeight="false" outlineLevel="0" collapsed="false">
      <c r="E256" s="5" t="str">
        <v>kiri</v>
      </c>
      <c r="F256" s="5"/>
      <c r="G256" s="5"/>
      <c r="I256" s="5" t="str">
        <v>tengah</v>
      </c>
      <c r="J256" s="5"/>
      <c r="K256" s="5"/>
      <c r="M256" s="5" t="str">
        <v>tengah</v>
      </c>
      <c r="N256" s="5"/>
      <c r="O256" s="5"/>
    </row>
    <row r="257" customFormat="false" ht="15" hidden="false" customHeight="false" outlineLevel="0" collapsed="false">
      <c r="E257" s="5" t="str">
        <v>tengah</v>
      </c>
      <c r="F257" s="5"/>
      <c r="G257" s="5"/>
      <c r="I257" s="5" t="str">
        <v>tengah</v>
      </c>
      <c r="J257" s="5"/>
      <c r="K257" s="5"/>
      <c r="M257" s="5" t="str">
        <v>tengah</v>
      </c>
      <c r="N257" s="5"/>
      <c r="O257" s="5"/>
    </row>
    <row r="258" customFormat="false" ht="15" hidden="false" customHeight="false" outlineLevel="0" collapsed="false">
      <c r="E258" s="5" t="str">
        <v>kiri</v>
      </c>
      <c r="F258" s="5"/>
      <c r="G258" s="5"/>
      <c r="I258" s="5" t="str">
        <v>kiri</v>
      </c>
      <c r="J258" s="5"/>
      <c r="K258" s="5"/>
      <c r="M258" s="5" t="str">
        <v>tengah</v>
      </c>
      <c r="N258" s="5"/>
      <c r="O258" s="5"/>
    </row>
    <row r="259" customFormat="false" ht="15" hidden="false" customHeight="false" outlineLevel="0" collapsed="false">
      <c r="E259" s="5" t="str">
        <v>tengah</v>
      </c>
      <c r="F259" s="5"/>
      <c r="G259" s="5"/>
      <c r="I259" s="5" t="str">
        <v>kanan</v>
      </c>
      <c r="J259" s="5"/>
      <c r="K259" s="5"/>
      <c r="M259" s="5" t="str">
        <v>tengah</v>
      </c>
      <c r="N259" s="5"/>
      <c r="O259" s="5"/>
    </row>
    <row r="260" customFormat="false" ht="15" hidden="false" customHeight="false" outlineLevel="0" collapsed="false">
      <c r="E260" s="5" t="str">
        <v>tengah</v>
      </c>
      <c r="F260" s="5"/>
      <c r="G260" s="5"/>
      <c r="I260" s="5" t="str">
        <v>tengah</v>
      </c>
      <c r="J260" s="5"/>
      <c r="K260" s="5"/>
      <c r="M260" s="5" t="str">
        <v>tengah</v>
      </c>
      <c r="N260" s="5"/>
      <c r="O260" s="5"/>
    </row>
    <row r="261" customFormat="false" ht="15" hidden="false" customHeight="false" outlineLevel="0" collapsed="false">
      <c r="E261" s="5" t="str">
        <v>kanan</v>
      </c>
      <c r="F261" s="5"/>
      <c r="G261" s="5"/>
      <c r="I261" s="5" t="str">
        <v>kanan</v>
      </c>
      <c r="J261" s="5"/>
      <c r="K261" s="5"/>
      <c r="M261" s="5" t="str">
        <v>kanan</v>
      </c>
      <c r="N261" s="5"/>
      <c r="O261" s="5"/>
    </row>
    <row r="262" customFormat="false" ht="15" hidden="false" customHeight="false" outlineLevel="0" collapsed="false">
      <c r="E262" s="5" t="str">
        <v>tengah</v>
      </c>
      <c r="F262" s="5"/>
      <c r="G262" s="5"/>
      <c r="I262" s="5" t="str">
        <v>tengah</v>
      </c>
      <c r="J262" s="5"/>
      <c r="K262" s="5"/>
      <c r="M262" s="5" t="str">
        <v>kanan</v>
      </c>
      <c r="N262" s="5"/>
      <c r="O262" s="5"/>
    </row>
    <row r="263" customFormat="false" ht="15" hidden="false" customHeight="false" outlineLevel="0" collapsed="false">
      <c r="E263" s="5" t="str">
        <v>kiri</v>
      </c>
      <c r="F263" s="5"/>
      <c r="G263" s="5"/>
      <c r="I263" s="5" t="str">
        <v>tengah</v>
      </c>
      <c r="J263" s="5"/>
      <c r="K263" s="5"/>
      <c r="M263" s="5" t="str">
        <v>tengah</v>
      </c>
      <c r="N263" s="5"/>
      <c r="O263" s="5"/>
    </row>
    <row r="264" customFormat="false" ht="15" hidden="false" customHeight="false" outlineLevel="0" collapsed="false">
      <c r="E264" s="5" t="str">
        <v>kiri</v>
      </c>
      <c r="F264" s="5"/>
      <c r="G264" s="5"/>
      <c r="I264" s="5" t="str">
        <v>kiri</v>
      </c>
      <c r="J264" s="5"/>
      <c r="K264" s="5"/>
      <c r="M264" s="5" t="str">
        <v>tengah</v>
      </c>
      <c r="N264" s="5"/>
      <c r="O264" s="5"/>
    </row>
    <row r="265" customFormat="false" ht="15" hidden="false" customHeight="false" outlineLevel="0" collapsed="false">
      <c r="E265" s="5" t="str">
        <v>kanan</v>
      </c>
      <c r="F265" s="5"/>
      <c r="G265" s="5"/>
      <c r="I265" s="5" t="str">
        <v>kanan</v>
      </c>
      <c r="J265" s="5"/>
      <c r="K265" s="5"/>
      <c r="M265" s="5" t="str">
        <v>kanan</v>
      </c>
      <c r="N265" s="5"/>
      <c r="O265" s="5"/>
    </row>
    <row r="266" customFormat="false" ht="15" hidden="false" customHeight="false" outlineLevel="0" collapsed="false">
      <c r="E266" s="5" t="str">
        <v>kiri</v>
      </c>
      <c r="F266" s="5"/>
      <c r="G266" s="5"/>
      <c r="I266" s="5" t="str">
        <v>tengah</v>
      </c>
      <c r="J266" s="5"/>
      <c r="K266" s="5"/>
      <c r="M266" s="5" t="str">
        <v>tengah</v>
      </c>
      <c r="N266" s="5"/>
      <c r="O266" s="5"/>
    </row>
    <row r="267" customFormat="false" ht="15" hidden="false" customHeight="false" outlineLevel="0" collapsed="false">
      <c r="E267" s="5" t="str">
        <v>tengah</v>
      </c>
      <c r="F267" s="5"/>
      <c r="G267" s="5"/>
      <c r="I267" s="5" t="str">
        <v>kiri</v>
      </c>
      <c r="J267" s="5"/>
      <c r="K267" s="5"/>
      <c r="M267" s="5" t="str">
        <v>tengah</v>
      </c>
      <c r="N267" s="5"/>
      <c r="O267" s="5"/>
    </row>
    <row r="268" customFormat="false" ht="15" hidden="false" customHeight="false" outlineLevel="0" collapsed="false">
      <c r="E268" s="5" t="str">
        <v>kiri</v>
      </c>
      <c r="F268" s="5"/>
      <c r="G268" s="5"/>
      <c r="I268" s="5" t="str">
        <v>tengah</v>
      </c>
      <c r="J268" s="5"/>
      <c r="K268" s="5"/>
      <c r="M268" s="5" t="str">
        <v>tengah</v>
      </c>
      <c r="N268" s="5"/>
      <c r="O268" s="5"/>
    </row>
    <row r="269" customFormat="false" ht="15" hidden="false" customHeight="false" outlineLevel="0" collapsed="false">
      <c r="E269" s="5" t="str">
        <v>tengah</v>
      </c>
      <c r="F269" s="5"/>
      <c r="G269" s="5"/>
      <c r="I269" s="5" t="str">
        <v>tengah</v>
      </c>
      <c r="J269" s="5"/>
      <c r="K269" s="5"/>
      <c r="M269" s="5" t="str">
        <v>kanan</v>
      </c>
      <c r="N269" s="5"/>
      <c r="O269" s="5"/>
    </row>
    <row r="270" customFormat="false" ht="15" hidden="false" customHeight="false" outlineLevel="0" collapsed="false">
      <c r="E270" s="5" t="str">
        <v>tengah</v>
      </c>
      <c r="F270" s="5"/>
      <c r="G270" s="5"/>
      <c r="I270" s="5" t="str">
        <v>kanan</v>
      </c>
      <c r="J270" s="5"/>
      <c r="K270" s="5"/>
      <c r="M270" s="5" t="str">
        <v>kanan</v>
      </c>
      <c r="N270" s="5"/>
      <c r="O270" s="5"/>
    </row>
    <row r="271" customFormat="false" ht="15" hidden="false" customHeight="false" outlineLevel="0" collapsed="false">
      <c r="E271" s="5" t="str">
        <v>kanan</v>
      </c>
      <c r="F271" s="5"/>
      <c r="G271" s="5"/>
      <c r="I271" s="5" t="str">
        <v>kiri</v>
      </c>
      <c r="J271" s="5"/>
      <c r="K271" s="5"/>
      <c r="M271" s="5" t="str">
        <v>tengah</v>
      </c>
      <c r="N271" s="5"/>
      <c r="O271" s="5"/>
    </row>
    <row r="272" customFormat="false" ht="15" hidden="false" customHeight="false" outlineLevel="0" collapsed="false">
      <c r="E272" s="5" t="str">
        <v>kanan</v>
      </c>
      <c r="F272" s="5"/>
      <c r="G272" s="5"/>
      <c r="I272" s="5" t="str">
        <v>tengah</v>
      </c>
      <c r="J272" s="5"/>
      <c r="K272" s="5"/>
      <c r="M272" s="5" t="str">
        <v>kanan</v>
      </c>
      <c r="N272" s="5"/>
      <c r="O272" s="5"/>
    </row>
    <row r="273" customFormat="false" ht="15" hidden="false" customHeight="false" outlineLevel="0" collapsed="false">
      <c r="E273" s="5" t="str">
        <v>tengah</v>
      </c>
      <c r="F273" s="5"/>
      <c r="G273" s="5"/>
      <c r="I273" s="5" t="str">
        <v>kanan</v>
      </c>
      <c r="J273" s="5"/>
      <c r="K273" s="5"/>
      <c r="M273" s="5" t="str">
        <v>kanan</v>
      </c>
      <c r="N273" s="5"/>
      <c r="O273" s="5"/>
    </row>
    <row r="274" customFormat="false" ht="15" hidden="false" customHeight="false" outlineLevel="0" collapsed="false">
      <c r="E274" s="5" t="str">
        <v>tengah</v>
      </c>
      <c r="F274" s="5"/>
      <c r="G274" s="5"/>
      <c r="I274" s="5" t="str">
        <v>tengah</v>
      </c>
      <c r="J274" s="5"/>
      <c r="K274" s="5"/>
      <c r="M274" s="5" t="str">
        <v>kanan</v>
      </c>
      <c r="N274" s="5"/>
      <c r="O274" s="5"/>
    </row>
    <row r="275" customFormat="false" ht="15" hidden="false" customHeight="false" outlineLevel="0" collapsed="false">
      <c r="E275" s="5" t="str">
        <v>tengah</v>
      </c>
      <c r="F275" s="5"/>
      <c r="G275" s="5"/>
      <c r="I275" s="5" t="str">
        <v>tengah</v>
      </c>
      <c r="J275" s="5"/>
      <c r="K275" s="5"/>
      <c r="M275" s="5" t="str">
        <v>kanan</v>
      </c>
      <c r="N275" s="5"/>
      <c r="O275" s="5"/>
    </row>
    <row r="276" customFormat="false" ht="15" hidden="false" customHeight="false" outlineLevel="0" collapsed="false">
      <c r="E276" s="5" t="str">
        <v>kanan</v>
      </c>
      <c r="F276" s="5"/>
      <c r="G276" s="5"/>
      <c r="I276" s="5" t="str">
        <v>kanan</v>
      </c>
      <c r="J276" s="5"/>
      <c r="K276" s="5"/>
      <c r="M276" s="5" t="str">
        <v>tengah</v>
      </c>
      <c r="N276" s="5"/>
      <c r="O276" s="5"/>
    </row>
    <row r="277" customFormat="false" ht="15" hidden="false" customHeight="false" outlineLevel="0" collapsed="false">
      <c r="E277" s="5" t="str">
        <v>kiri</v>
      </c>
      <c r="F277" s="5"/>
      <c r="G277" s="5"/>
      <c r="I277" s="5" t="str">
        <v>tengah</v>
      </c>
      <c r="J277" s="5"/>
      <c r="K277" s="5"/>
      <c r="M277" s="5" t="str">
        <v>tengah</v>
      </c>
      <c r="N277" s="5"/>
      <c r="O277" s="5"/>
    </row>
    <row r="278" customFormat="false" ht="15" hidden="false" customHeight="false" outlineLevel="0" collapsed="false">
      <c r="E278" s="5" t="str">
        <v>tengah</v>
      </c>
      <c r="F278" s="5"/>
      <c r="G278" s="5"/>
      <c r="I278" s="5" t="str">
        <v>tengah</v>
      </c>
      <c r="J278" s="5"/>
      <c r="K278" s="5"/>
      <c r="M278" s="5" t="str">
        <v>kanan</v>
      </c>
      <c r="N278" s="5"/>
      <c r="O278" s="5"/>
    </row>
    <row r="279" customFormat="false" ht="15" hidden="false" customHeight="false" outlineLevel="0" collapsed="false">
      <c r="E279" s="5" t="str">
        <v>kiri</v>
      </c>
      <c r="F279" s="5"/>
      <c r="G279" s="5"/>
      <c r="I279" s="5" t="str">
        <v>kiri</v>
      </c>
      <c r="J279" s="5"/>
      <c r="K279" s="5"/>
      <c r="M279" s="5" t="str">
        <v>kanan</v>
      </c>
      <c r="N279" s="5"/>
      <c r="O279" s="5"/>
    </row>
    <row r="280" customFormat="false" ht="15" hidden="false" customHeight="false" outlineLevel="0" collapsed="false">
      <c r="E280" s="5" t="str">
        <v>kiri</v>
      </c>
      <c r="F280" s="5"/>
      <c r="G280" s="5"/>
      <c r="I280" s="5" t="str">
        <v>kanan</v>
      </c>
      <c r="J280" s="5"/>
      <c r="K280" s="5"/>
      <c r="M280" s="5" t="str">
        <v>kanan</v>
      </c>
      <c r="N280" s="5"/>
      <c r="O280" s="5"/>
    </row>
    <row r="281" customFormat="false" ht="15" hidden="false" customHeight="false" outlineLevel="0" collapsed="false">
      <c r="E281" s="5" t="str">
        <v>tengah</v>
      </c>
      <c r="F281" s="5"/>
      <c r="G281" s="5"/>
      <c r="I281" s="5" t="str">
        <v>tengah</v>
      </c>
      <c r="J281" s="5"/>
      <c r="K281" s="5"/>
      <c r="M281" s="5" t="str">
        <v>kanan</v>
      </c>
      <c r="N281" s="5"/>
      <c r="O281" s="5"/>
    </row>
    <row r="282" customFormat="false" ht="15" hidden="false" customHeight="false" outlineLevel="0" collapsed="false">
      <c r="E282" s="5" t="str">
        <v>tengah</v>
      </c>
      <c r="F282" s="5"/>
      <c r="G282" s="5"/>
      <c r="I282" s="5" t="str">
        <v>tengah</v>
      </c>
      <c r="J282" s="5"/>
      <c r="K282" s="5"/>
      <c r="M282" s="5" t="str">
        <v>kanan</v>
      </c>
      <c r="N282" s="5"/>
      <c r="O282" s="5"/>
    </row>
    <row r="283" customFormat="false" ht="15" hidden="false" customHeight="false" outlineLevel="0" collapsed="false">
      <c r="E283" s="5" t="str">
        <v>tengah</v>
      </c>
      <c r="F283" s="5"/>
      <c r="G283" s="5"/>
      <c r="I283" s="5" t="str">
        <v>kanan</v>
      </c>
      <c r="J283" s="5"/>
      <c r="K283" s="5"/>
      <c r="M283" s="5" t="str">
        <v>kanan</v>
      </c>
      <c r="N283" s="5"/>
      <c r="O283" s="5"/>
    </row>
    <row r="284" customFormat="false" ht="15" hidden="false" customHeight="false" outlineLevel="0" collapsed="false">
      <c r="E284" s="5" t="str">
        <v>tengah</v>
      </c>
      <c r="F284" s="5"/>
      <c r="G284" s="5"/>
      <c r="I284" s="5" t="str">
        <v>tengah</v>
      </c>
      <c r="J284" s="5"/>
      <c r="K284" s="5"/>
      <c r="M284" s="5" t="str">
        <v>tengah</v>
      </c>
      <c r="N284" s="5"/>
      <c r="O284" s="5"/>
    </row>
    <row r="285" customFormat="false" ht="15" hidden="false" customHeight="false" outlineLevel="0" collapsed="false">
      <c r="E285" s="5" t="str">
        <v>tengah</v>
      </c>
      <c r="F285" s="5"/>
      <c r="G285" s="5"/>
      <c r="I285" s="5" t="str">
        <v>kiri</v>
      </c>
      <c r="J285" s="5"/>
      <c r="K285" s="5"/>
      <c r="M285" s="5" t="str">
        <v>tengah</v>
      </c>
      <c r="N285" s="5"/>
      <c r="O285" s="5"/>
    </row>
    <row r="286" customFormat="false" ht="15" hidden="false" customHeight="false" outlineLevel="0" collapsed="false">
      <c r="E286" s="5" t="str">
        <v>kiri</v>
      </c>
      <c r="F286" s="5"/>
      <c r="G286" s="5"/>
      <c r="I286" s="5" t="str">
        <v>kiri</v>
      </c>
      <c r="J286" s="5"/>
      <c r="K286" s="5"/>
      <c r="M286" s="5" t="str">
        <v>kanan</v>
      </c>
      <c r="N286" s="5"/>
      <c r="O286" s="5"/>
    </row>
    <row r="287" customFormat="false" ht="15" hidden="false" customHeight="false" outlineLevel="0" collapsed="false">
      <c r="E287" s="5" t="str">
        <v>kanan</v>
      </c>
      <c r="F287" s="5"/>
      <c r="G287" s="5"/>
      <c r="I287" s="5" t="str">
        <v>kanan</v>
      </c>
      <c r="J287" s="5"/>
      <c r="K287" s="5"/>
      <c r="M287" s="5" t="str">
        <v>kanan</v>
      </c>
      <c r="N287" s="5"/>
      <c r="O287" s="5"/>
    </row>
    <row r="288" customFormat="false" ht="15" hidden="false" customHeight="false" outlineLevel="0" collapsed="false">
      <c r="E288" s="5" t="str">
        <v>tengah</v>
      </c>
      <c r="F288" s="5"/>
      <c r="G288" s="5"/>
      <c r="I288" s="5" t="str">
        <v>kiri</v>
      </c>
      <c r="J288" s="5"/>
      <c r="K288" s="5"/>
      <c r="M288" s="5" t="str">
        <v>tengah</v>
      </c>
      <c r="N288" s="5"/>
      <c r="O288" s="5"/>
    </row>
    <row r="289" customFormat="false" ht="15" hidden="false" customHeight="false" outlineLevel="0" collapsed="false">
      <c r="E289" s="5" t="str">
        <v>kanan</v>
      </c>
      <c r="F289" s="5"/>
      <c r="G289" s="5"/>
      <c r="I289" s="5" t="str">
        <v>kanan</v>
      </c>
      <c r="J289" s="5"/>
      <c r="K289" s="5"/>
      <c r="M289" s="5" t="str">
        <v>kanan</v>
      </c>
      <c r="N289" s="5"/>
      <c r="O289" s="5"/>
    </row>
    <row r="290" customFormat="false" ht="15" hidden="false" customHeight="false" outlineLevel="0" collapsed="false">
      <c r="E290" s="5" t="str">
        <v>kiri</v>
      </c>
      <c r="F290" s="5"/>
      <c r="G290" s="5"/>
      <c r="I290" s="5" t="str">
        <v>tengah</v>
      </c>
      <c r="J290" s="5"/>
      <c r="K290" s="5"/>
      <c r="M290" s="5" t="str">
        <v>kanan</v>
      </c>
      <c r="N290" s="5"/>
      <c r="O290" s="5"/>
    </row>
    <row r="291" customFormat="false" ht="15" hidden="false" customHeight="false" outlineLevel="0" collapsed="false">
      <c r="E291" s="5" t="str">
        <v>tengah</v>
      </c>
      <c r="F291" s="5"/>
      <c r="G291" s="5"/>
      <c r="I291" s="5" t="str">
        <v>tengah</v>
      </c>
      <c r="J291" s="5"/>
      <c r="K291" s="5"/>
      <c r="M291" s="5" t="str">
        <v>kanan</v>
      </c>
      <c r="N291" s="5"/>
      <c r="O291" s="5"/>
    </row>
    <row r="292" customFormat="false" ht="15" hidden="false" customHeight="false" outlineLevel="0" collapsed="false">
      <c r="E292" s="5" t="str">
        <v>tengah</v>
      </c>
      <c r="F292" s="5"/>
      <c r="G292" s="5"/>
      <c r="I292" s="5" t="str">
        <v>tengah</v>
      </c>
      <c r="J292" s="5"/>
      <c r="K292" s="5"/>
      <c r="M292" s="5" t="str">
        <v>kanan</v>
      </c>
      <c r="N292" s="5"/>
      <c r="O292" s="5"/>
    </row>
    <row r="293" customFormat="false" ht="15" hidden="false" customHeight="false" outlineLevel="0" collapsed="false">
      <c r="E293" s="5" t="str">
        <v>kiri</v>
      </c>
      <c r="F293" s="5"/>
      <c r="G293" s="5"/>
      <c r="I293" s="5" t="str">
        <v>kiri</v>
      </c>
      <c r="J293" s="5"/>
      <c r="K293" s="5"/>
      <c r="M293" s="5" t="str">
        <v>tengah</v>
      </c>
      <c r="N293" s="5"/>
      <c r="O293" s="5"/>
    </row>
    <row r="294" customFormat="false" ht="15" hidden="false" customHeight="false" outlineLevel="0" collapsed="false">
      <c r="E294" s="5" t="str">
        <v>kiri</v>
      </c>
      <c r="F294" s="5"/>
      <c r="G294" s="5"/>
      <c r="I294" s="5" t="str">
        <v>tengah</v>
      </c>
      <c r="J294" s="5"/>
      <c r="K294" s="5"/>
      <c r="M294" s="5" t="str">
        <v>tengah</v>
      </c>
      <c r="N294" s="5"/>
      <c r="O294" s="5"/>
    </row>
    <row r="295" customFormat="false" ht="15" hidden="false" customHeight="false" outlineLevel="0" collapsed="false">
      <c r="E295" s="5" t="str">
        <v>tengah</v>
      </c>
      <c r="F295" s="5"/>
      <c r="G295" s="5"/>
      <c r="I295" s="5" t="str">
        <v>tengah</v>
      </c>
      <c r="J295" s="5"/>
      <c r="K295" s="5"/>
      <c r="M295" s="5" t="str">
        <v>kanan</v>
      </c>
      <c r="N295" s="5"/>
      <c r="O295" s="5"/>
    </row>
    <row r="296" customFormat="false" ht="15" hidden="false" customHeight="false" outlineLevel="0" collapsed="false">
      <c r="E296" s="5" t="str">
        <v>kanan</v>
      </c>
      <c r="F296" s="5"/>
      <c r="G296" s="5"/>
      <c r="I296" s="5" t="str">
        <v>tengah</v>
      </c>
      <c r="J296" s="5"/>
      <c r="K296" s="5"/>
      <c r="M296" s="5" t="str">
        <v>tengah</v>
      </c>
      <c r="N296" s="5"/>
      <c r="O296" s="5"/>
    </row>
    <row r="297" customFormat="false" ht="15" hidden="false" customHeight="false" outlineLevel="0" collapsed="false">
      <c r="E297" s="5" t="str">
        <v>tengah</v>
      </c>
      <c r="F297" s="5"/>
      <c r="G297" s="5"/>
      <c r="I297" s="5" t="str">
        <v>kanan</v>
      </c>
      <c r="J297" s="5"/>
      <c r="K297" s="5"/>
      <c r="M297" s="5" t="str">
        <v>tengah</v>
      </c>
      <c r="N297" s="5"/>
      <c r="O297" s="5"/>
    </row>
    <row r="298" customFormat="false" ht="15" hidden="false" customHeight="false" outlineLevel="0" collapsed="false">
      <c r="E298" s="5" t="str">
        <v>kiri</v>
      </c>
      <c r="F298" s="5"/>
      <c r="G298" s="5"/>
      <c r="I298" s="5" t="str">
        <v>kiri</v>
      </c>
      <c r="J298" s="5"/>
      <c r="K298" s="5"/>
      <c r="M298" s="5" t="str">
        <v>kanan</v>
      </c>
      <c r="N298" s="5"/>
      <c r="O298" s="5"/>
    </row>
    <row r="299" customFormat="false" ht="15" hidden="false" customHeight="false" outlineLevel="0" collapsed="false">
      <c r="E299" s="5" t="str">
        <v>kiri</v>
      </c>
      <c r="F299" s="5"/>
      <c r="G299" s="5"/>
      <c r="I299" s="5" t="str">
        <v>kiri</v>
      </c>
      <c r="J299" s="5"/>
      <c r="K299" s="5"/>
      <c r="M299" s="5" t="str">
        <v>tengah</v>
      </c>
      <c r="N299" s="5"/>
      <c r="O299" s="5"/>
    </row>
    <row r="300" customFormat="false" ht="15" hidden="false" customHeight="false" outlineLevel="0" collapsed="false">
      <c r="E300" s="5" t="str">
        <v>tengah</v>
      </c>
      <c r="F300" s="5"/>
      <c r="G300" s="5"/>
      <c r="I300" s="5" t="str">
        <v>tengah</v>
      </c>
      <c r="J300" s="5"/>
      <c r="K300" s="5"/>
      <c r="M300" s="5" t="str">
        <v>kanan</v>
      </c>
      <c r="N300" s="5"/>
      <c r="O300" s="5"/>
    </row>
    <row r="301" customFormat="false" ht="15" hidden="false" customHeight="false" outlineLevel="0" collapsed="false">
      <c r="E301" s="5" t="str">
        <v>tengah</v>
      </c>
      <c r="F301" s="5"/>
      <c r="G301" s="5"/>
      <c r="I301" s="5" t="str">
        <v>kanan</v>
      </c>
      <c r="J301" s="5"/>
      <c r="K301" s="5"/>
      <c r="M301" s="5" t="str">
        <v>tengah</v>
      </c>
      <c r="N301" s="5"/>
      <c r="O301" s="5"/>
    </row>
    <row r="302" customFormat="false" ht="15" hidden="false" customHeight="false" outlineLevel="0" collapsed="false">
      <c r="E302" s="5" t="str">
        <v>tengah</v>
      </c>
      <c r="F302" s="5"/>
      <c r="G302" s="5"/>
      <c r="I302" s="5" t="str">
        <v>kiri</v>
      </c>
      <c r="J302" s="5"/>
      <c r="K302" s="5"/>
      <c r="M302" s="5" t="str">
        <v>kanan</v>
      </c>
      <c r="N302" s="5"/>
      <c r="O302" s="5"/>
    </row>
    <row r="303" customFormat="false" ht="15" hidden="false" customHeight="false" outlineLevel="0" collapsed="false">
      <c r="E303" s="5" t="str">
        <v>tengah</v>
      </c>
      <c r="F303" s="5"/>
      <c r="G303" s="5"/>
      <c r="I303" s="5" t="str">
        <v>kanan</v>
      </c>
      <c r="J303" s="5"/>
      <c r="K303" s="5"/>
      <c r="M303" s="5" t="str">
        <v>kanan</v>
      </c>
      <c r="N303" s="5"/>
      <c r="O303" s="5"/>
    </row>
    <row r="304" customFormat="false" ht="15" hidden="false" customHeight="false" outlineLevel="0" collapsed="false">
      <c r="E304" s="5" t="str">
        <v>kanan</v>
      </c>
      <c r="F304" s="5"/>
      <c r="G304" s="5"/>
      <c r="I304" s="5" t="str">
        <v>kanan</v>
      </c>
      <c r="J304" s="5"/>
      <c r="K304" s="5"/>
      <c r="M304" s="5" t="str">
        <v>kanan</v>
      </c>
      <c r="N304" s="5"/>
      <c r="O304" s="5"/>
    </row>
    <row r="305" customFormat="false" ht="15" hidden="false" customHeight="false" outlineLevel="0" collapsed="false">
      <c r="E305" s="5" t="str">
        <v>tengah</v>
      </c>
      <c r="F305" s="5"/>
      <c r="G305" s="5"/>
      <c r="I305" s="5" t="str">
        <v>tengah</v>
      </c>
      <c r="J305" s="5"/>
      <c r="K305" s="5"/>
      <c r="M305" s="5" t="str">
        <v>tengah</v>
      </c>
      <c r="N305" s="5"/>
      <c r="O305" s="5"/>
    </row>
    <row r="306" customFormat="false" ht="15" hidden="false" customHeight="false" outlineLevel="0" collapsed="false">
      <c r="E306" s="5" t="str">
        <v>tengah</v>
      </c>
      <c r="F306" s="5"/>
      <c r="G306" s="5"/>
      <c r="I306" s="5" t="str">
        <v>tengah</v>
      </c>
      <c r="J306" s="5"/>
      <c r="K306" s="5"/>
      <c r="M306" s="5" t="str">
        <v>kanan</v>
      </c>
      <c r="N306" s="5"/>
      <c r="O306" s="5"/>
    </row>
    <row r="307" customFormat="false" ht="15" hidden="false" customHeight="false" outlineLevel="0" collapsed="false">
      <c r="E307" s="5" t="str">
        <v>kiri</v>
      </c>
      <c r="F307" s="5"/>
      <c r="G307" s="5"/>
      <c r="I307" s="5" t="str">
        <v>tengah</v>
      </c>
      <c r="J307" s="5"/>
      <c r="K307" s="5"/>
      <c r="M307" s="5" t="str">
        <v>tengah</v>
      </c>
      <c r="N307" s="5"/>
      <c r="O307" s="5"/>
    </row>
    <row r="308" customFormat="false" ht="15" hidden="false" customHeight="false" outlineLevel="0" collapsed="false">
      <c r="E308" s="5" t="str">
        <v>tengah</v>
      </c>
      <c r="F308" s="5"/>
      <c r="G308" s="5"/>
      <c r="I308" s="5" t="str">
        <v>tengah</v>
      </c>
      <c r="J308" s="5"/>
      <c r="K308" s="5"/>
      <c r="M308" s="5" t="str">
        <v>tengah</v>
      </c>
      <c r="N308" s="5"/>
      <c r="O308" s="5"/>
    </row>
    <row r="309" customFormat="false" ht="15" hidden="false" customHeight="false" outlineLevel="0" collapsed="false">
      <c r="E309" s="5" t="str">
        <v>tengah</v>
      </c>
      <c r="F309" s="5"/>
      <c r="G309" s="5"/>
      <c r="I309" s="5" t="str">
        <v>kiri</v>
      </c>
      <c r="J309" s="5"/>
      <c r="K309" s="5"/>
      <c r="M309" s="5" t="str">
        <v>tengah</v>
      </c>
      <c r="N309" s="5"/>
      <c r="O309" s="5"/>
    </row>
    <row r="310" customFormat="false" ht="15" hidden="false" customHeight="false" outlineLevel="0" collapsed="false">
      <c r="E310" s="5" t="str">
        <v>kanan</v>
      </c>
      <c r="F310" s="5"/>
      <c r="G310" s="5"/>
      <c r="I310" s="5" t="str">
        <v>kiri</v>
      </c>
      <c r="J310" s="5"/>
      <c r="K310" s="5"/>
      <c r="M310" s="5" t="str">
        <v>tengah</v>
      </c>
      <c r="N310" s="5"/>
      <c r="O310" s="5"/>
    </row>
    <row r="311" customFormat="false" ht="15" hidden="false" customHeight="false" outlineLevel="0" collapsed="false">
      <c r="E311" s="5" t="str">
        <v>tengah</v>
      </c>
      <c r="F311" s="5"/>
      <c r="G311" s="5"/>
      <c r="I311" s="5" t="str">
        <v>tengah</v>
      </c>
      <c r="J311" s="5"/>
      <c r="K311" s="5"/>
      <c r="M311" s="5" t="str">
        <v>tengah</v>
      </c>
      <c r="N311" s="5"/>
      <c r="O311" s="5"/>
    </row>
    <row r="312" customFormat="false" ht="15" hidden="false" customHeight="false" outlineLevel="0" collapsed="false">
      <c r="E312" s="5" t="str">
        <v>kanan</v>
      </c>
      <c r="F312" s="5"/>
      <c r="G312" s="5"/>
      <c r="I312" s="5" t="str">
        <v>tengah</v>
      </c>
      <c r="J312" s="5"/>
      <c r="K312" s="5"/>
      <c r="M312" s="5" t="str">
        <v>kanan</v>
      </c>
      <c r="N312" s="5"/>
      <c r="O312" s="5"/>
    </row>
    <row r="313" customFormat="false" ht="15" hidden="false" customHeight="false" outlineLevel="0" collapsed="false">
      <c r="E313" s="5" t="str">
        <v>tengah</v>
      </c>
      <c r="F313" s="5"/>
      <c r="G313" s="5"/>
      <c r="I313" s="5" t="str">
        <v>tengah</v>
      </c>
      <c r="J313" s="5"/>
      <c r="K313" s="5"/>
      <c r="M313" s="5" t="str">
        <v>tengah</v>
      </c>
      <c r="N313" s="5"/>
      <c r="O313" s="5"/>
    </row>
    <row r="314" customFormat="false" ht="15" hidden="false" customHeight="false" outlineLevel="0" collapsed="false">
      <c r="E314" s="5" t="str">
        <v>tengah</v>
      </c>
      <c r="F314" s="5"/>
      <c r="G314" s="5"/>
      <c r="I314" s="5" t="str">
        <v>kanan</v>
      </c>
      <c r="J314" s="5"/>
      <c r="K314" s="5"/>
      <c r="M314" s="5" t="str">
        <v>kanan</v>
      </c>
      <c r="N314" s="5"/>
      <c r="O314" s="5"/>
    </row>
    <row r="315" customFormat="false" ht="15" hidden="false" customHeight="false" outlineLevel="0" collapsed="false">
      <c r="E315" s="5" t="str">
        <v>tengah</v>
      </c>
      <c r="F315" s="5"/>
      <c r="G315" s="5"/>
      <c r="I315" s="5" t="str">
        <v>kiri</v>
      </c>
      <c r="J315" s="5"/>
      <c r="K315" s="5"/>
      <c r="M315" s="5" t="str">
        <v>kanan</v>
      </c>
      <c r="N315" s="5"/>
      <c r="O315" s="5"/>
    </row>
    <row r="316" customFormat="false" ht="15" hidden="false" customHeight="false" outlineLevel="0" collapsed="false">
      <c r="E316" s="5" t="str">
        <v>kanan</v>
      </c>
      <c r="F316" s="5"/>
      <c r="G316" s="5"/>
      <c r="I316" s="5" t="str">
        <v>kanan</v>
      </c>
      <c r="J316" s="5"/>
      <c r="K316" s="5"/>
      <c r="M316" s="5" t="str">
        <v>kanan</v>
      </c>
      <c r="N316" s="5"/>
      <c r="O316" s="5"/>
    </row>
    <row r="317" customFormat="false" ht="15" hidden="false" customHeight="false" outlineLevel="0" collapsed="false">
      <c r="E317" s="5" t="str">
        <v>tengah</v>
      </c>
      <c r="F317" s="5"/>
      <c r="G317" s="5"/>
      <c r="I317" s="5" t="str">
        <v>kiri</v>
      </c>
      <c r="J317" s="5"/>
      <c r="K317" s="5"/>
      <c r="M317" s="5" t="str">
        <v>kanan</v>
      </c>
      <c r="N317" s="5"/>
      <c r="O317" s="5"/>
    </row>
    <row r="318" customFormat="false" ht="15" hidden="false" customHeight="false" outlineLevel="0" collapsed="false">
      <c r="E318" s="5" t="str">
        <v>kiri</v>
      </c>
      <c r="F318" s="5"/>
      <c r="G318" s="5"/>
      <c r="I318" s="5" t="str">
        <v>kiri</v>
      </c>
      <c r="J318" s="5"/>
      <c r="K318" s="5"/>
      <c r="M318" s="5" t="str">
        <v>kanan</v>
      </c>
      <c r="N318" s="5"/>
      <c r="O318" s="5"/>
    </row>
    <row r="319" customFormat="false" ht="15" hidden="false" customHeight="false" outlineLevel="0" collapsed="false">
      <c r="E319" s="5" t="str">
        <v>tengah</v>
      </c>
      <c r="F319" s="5"/>
      <c r="G319" s="5"/>
      <c r="I319" s="5" t="str">
        <v>kiri</v>
      </c>
      <c r="J319" s="5"/>
      <c r="K319" s="5"/>
      <c r="M319" s="5" t="str">
        <v>kanan</v>
      </c>
      <c r="N319" s="5"/>
      <c r="O319" s="5"/>
    </row>
    <row r="320" customFormat="false" ht="15" hidden="false" customHeight="false" outlineLevel="0" collapsed="false">
      <c r="E320" s="5" t="str">
        <v>tengah</v>
      </c>
      <c r="F320" s="5"/>
      <c r="G320" s="5"/>
      <c r="I320" s="5" t="str">
        <v>tengah</v>
      </c>
      <c r="J320" s="5"/>
      <c r="K320" s="5"/>
      <c r="M320" s="5" t="str">
        <v>kanan</v>
      </c>
      <c r="N320" s="5"/>
      <c r="O320" s="5"/>
    </row>
    <row r="321" customFormat="false" ht="15" hidden="false" customHeight="false" outlineLevel="0" collapsed="false">
      <c r="E321" s="5" t="str">
        <v>kiri</v>
      </c>
      <c r="F321" s="5"/>
      <c r="G321" s="5"/>
      <c r="I321" s="5" t="str">
        <v>kiri</v>
      </c>
      <c r="J321" s="5"/>
      <c r="K321" s="5"/>
      <c r="M321" s="5" t="str">
        <v>kanan</v>
      </c>
      <c r="N321" s="5"/>
      <c r="O321" s="5"/>
    </row>
    <row r="322" customFormat="false" ht="15" hidden="false" customHeight="false" outlineLevel="0" collapsed="false">
      <c r="E322" s="5" t="str">
        <v>kiri</v>
      </c>
      <c r="F322" s="5"/>
      <c r="G322" s="5"/>
      <c r="I322" s="5" t="str">
        <v>kiri</v>
      </c>
      <c r="J322" s="5"/>
      <c r="K322" s="5"/>
      <c r="M322" s="5" t="str">
        <v>kanan</v>
      </c>
      <c r="N322" s="5"/>
      <c r="O322" s="5"/>
    </row>
    <row r="323" customFormat="false" ht="15" hidden="false" customHeight="false" outlineLevel="0" collapsed="false">
      <c r="E323" s="5" t="str">
        <v>tengah</v>
      </c>
      <c r="F323" s="5"/>
      <c r="G323" s="5"/>
      <c r="I323" s="5" t="str">
        <v>tengah</v>
      </c>
      <c r="J323" s="5"/>
      <c r="K323" s="5"/>
      <c r="M323" s="5" t="str">
        <v>tengah</v>
      </c>
      <c r="N323" s="5"/>
      <c r="O323" s="5"/>
    </row>
    <row r="324" customFormat="false" ht="15" hidden="false" customHeight="false" outlineLevel="0" collapsed="false">
      <c r="E324" s="5" t="str">
        <v>tengah</v>
      </c>
      <c r="F324" s="5"/>
      <c r="G324" s="5"/>
      <c r="I324" s="5" t="str">
        <v>kiri</v>
      </c>
      <c r="J324" s="5"/>
      <c r="K324" s="5"/>
      <c r="M324" s="5" t="str">
        <v>tengah</v>
      </c>
      <c r="N324" s="5"/>
      <c r="O324" s="5"/>
    </row>
    <row r="325" customFormat="false" ht="15" hidden="false" customHeight="false" outlineLevel="0" collapsed="false">
      <c r="E325" s="5" t="str">
        <v>kiri</v>
      </c>
      <c r="F325" s="5"/>
      <c r="G325" s="5"/>
      <c r="I325" s="5" t="str">
        <v>tengah</v>
      </c>
      <c r="J325" s="5"/>
      <c r="K325" s="5"/>
      <c r="M325" s="5" t="str">
        <v>kanan</v>
      </c>
      <c r="N325" s="5"/>
      <c r="O325" s="5"/>
    </row>
    <row r="326" customFormat="false" ht="15" hidden="false" customHeight="false" outlineLevel="0" collapsed="false">
      <c r="E326" s="5" t="str">
        <v>kanan</v>
      </c>
      <c r="F326" s="5"/>
      <c r="G326" s="5"/>
      <c r="I326" s="5" t="str">
        <v>kanan</v>
      </c>
      <c r="J326" s="5"/>
      <c r="K326" s="5"/>
      <c r="M326" s="5" t="str">
        <v>tengah</v>
      </c>
      <c r="N326" s="5"/>
      <c r="O326" s="5"/>
    </row>
    <row r="327" customFormat="false" ht="15" hidden="false" customHeight="false" outlineLevel="0" collapsed="false">
      <c r="E327" s="5" t="str">
        <v>tengah</v>
      </c>
      <c r="F327" s="5"/>
      <c r="G327" s="5"/>
      <c r="I327" s="5" t="str">
        <v>tengah</v>
      </c>
      <c r="J327" s="5"/>
      <c r="K327" s="5"/>
      <c r="M327" s="5" t="str">
        <v>tengah</v>
      </c>
      <c r="N327" s="5"/>
      <c r="O327" s="5"/>
    </row>
    <row r="328" customFormat="false" ht="15" hidden="false" customHeight="false" outlineLevel="0" collapsed="false">
      <c r="E328" s="5" t="str">
        <v>kiri</v>
      </c>
      <c r="F328" s="5"/>
      <c r="G328" s="5"/>
      <c r="I328" s="5" t="str">
        <v>kiri</v>
      </c>
      <c r="J328" s="5"/>
      <c r="K328" s="5"/>
      <c r="M328" s="5" t="str">
        <v>tengah</v>
      </c>
      <c r="N328" s="5"/>
      <c r="O328" s="5"/>
    </row>
    <row r="329" customFormat="false" ht="15" hidden="false" customHeight="false" outlineLevel="0" collapsed="false">
      <c r="E329" s="5" t="str">
        <v>kanan</v>
      </c>
      <c r="F329" s="5"/>
      <c r="G329" s="5"/>
      <c r="I329" s="5" t="str">
        <v>tengah</v>
      </c>
      <c r="J329" s="5"/>
      <c r="K329" s="5"/>
      <c r="M329" s="5" t="str">
        <v>tengah</v>
      </c>
      <c r="N329" s="5"/>
      <c r="O329" s="5"/>
    </row>
    <row r="330" customFormat="false" ht="15" hidden="false" customHeight="false" outlineLevel="0" collapsed="false">
      <c r="E330" s="5" t="str">
        <v>tengah</v>
      </c>
      <c r="F330" s="5"/>
      <c r="G330" s="5"/>
      <c r="I330" s="5" t="str">
        <v>tengah</v>
      </c>
      <c r="J330" s="5"/>
      <c r="K330" s="5"/>
      <c r="M330" s="5" t="str">
        <v>kanan</v>
      </c>
      <c r="N330" s="5"/>
      <c r="O330" s="5"/>
    </row>
    <row r="331" customFormat="false" ht="15" hidden="false" customHeight="false" outlineLevel="0" collapsed="false">
      <c r="E331" s="5" t="str">
        <v>tengah</v>
      </c>
      <c r="F331" s="5"/>
      <c r="G331" s="5"/>
      <c r="I331" s="5" t="str">
        <v>tengah</v>
      </c>
      <c r="J331" s="5"/>
      <c r="K331" s="5"/>
      <c r="M331" s="5" t="str">
        <v>kanan</v>
      </c>
      <c r="N331" s="5"/>
      <c r="O331" s="5"/>
    </row>
    <row r="332" customFormat="false" ht="15" hidden="false" customHeight="false" outlineLevel="0" collapsed="false">
      <c r="E332" s="5" t="str">
        <v>tengah</v>
      </c>
      <c r="F332" s="5"/>
      <c r="G332" s="5"/>
      <c r="I332" s="5" t="str">
        <v>tengah</v>
      </c>
      <c r="J332" s="5"/>
      <c r="K332" s="5"/>
      <c r="M332" s="5" t="str">
        <v>tengah</v>
      </c>
      <c r="N332" s="5"/>
      <c r="O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2"/>
  <sheetViews>
    <sheetView showFormulas="false" showGridLines="true" showRowColHeaders="true" showZeros="true" rightToLeft="false" tabSelected="true" showOutlineSymbols="true" defaultGridColor="true" view="normal" topLeftCell="J156" colorId="64" zoomScale="100" zoomScaleNormal="100" zoomScalePageLayoutView="100" workbookViewId="0">
      <selection pane="topLeft" activeCell="W159" activeCellId="0" sqref="W159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0" width="15.86"/>
    <col collapsed="false" customWidth="true" hidden="false" outlineLevel="0" max="3" min="3" style="0" width="13.29"/>
    <col collapsed="false" customWidth="true" hidden="false" outlineLevel="0" max="4" min="4" style="0" width="13.86"/>
    <col collapsed="false" customWidth="true" hidden="false" outlineLevel="0" max="9" min="9" style="0" width="15.86"/>
    <col collapsed="false" customWidth="true" hidden="false" outlineLevel="0" max="10" min="10" style="0" width="13.29"/>
    <col collapsed="false" customWidth="true" hidden="false" outlineLevel="0" max="11" min="11" style="0" width="13.86"/>
    <col collapsed="false" customWidth="true" hidden="false" outlineLevel="0" max="14" min="14" style="0" width="10.43"/>
    <col collapsed="false" customWidth="true" hidden="false" outlineLevel="0" max="15" min="15" style="0" width="16.14"/>
  </cols>
  <sheetData>
    <row r="1" customFormat="false" ht="15" hidden="false" customHeight="false" outlineLevel="0" collapsed="false">
      <c r="A1" s="4" t="s">
        <v>173</v>
      </c>
      <c r="B1" s="4" t="s">
        <v>2</v>
      </c>
      <c r="C1" s="4" t="s">
        <v>4</v>
      </c>
      <c r="D1" s="4" t="s">
        <v>5</v>
      </c>
      <c r="H1" s="4" t="s">
        <v>173</v>
      </c>
      <c r="I1" s="4" t="s">
        <v>2</v>
      </c>
      <c r="J1" s="4" t="s">
        <v>4</v>
      </c>
      <c r="K1" s="4" t="s">
        <v>5</v>
      </c>
      <c r="O1" s="4" t="s">
        <v>174</v>
      </c>
      <c r="P1" s="3"/>
      <c r="Q1" s="3"/>
    </row>
    <row r="2" customFormat="false" ht="15" hidden="false" customHeight="false" outlineLevel="0" collapsed="false">
      <c r="A2" s="5" t="n">
        <f aca="false">RANDBETWEEN(2,164)</f>
        <v>84</v>
      </c>
      <c r="B2" s="5" t="n">
        <f aca="false" t="array" ref="B2:B2">INDEX(Data_DBD!$C:$C,$A2)</f>
        <v>4</v>
      </c>
      <c r="C2" s="5" t="n">
        <f aca="false" t="array" ref="C2:C2">INDEX(Data_DBD!$E:$E,$A2)</f>
        <v>1</v>
      </c>
      <c r="D2" s="5" t="str">
        <f aca="false" t="array" ref="D2:D2">INDEX(Data_DBD!$F:$F,$A2)</f>
        <v>Sedang</v>
      </c>
      <c r="H2" s="33" t="n">
        <v>39</v>
      </c>
      <c r="I2" s="33" t="n">
        <v>5</v>
      </c>
      <c r="J2" s="33" t="n">
        <v>1</v>
      </c>
      <c r="K2" s="33" t="s">
        <v>7</v>
      </c>
      <c r="O2" s="3" t="s">
        <v>115</v>
      </c>
      <c r="P2" s="3" t="n">
        <f aca="false">COUNTIF(K2:K164,"Tinggi")</f>
        <v>71</v>
      </c>
      <c r="Q2" s="3" t="n">
        <f aca="false">P2/163</f>
        <v>0.43558282208589</v>
      </c>
    </row>
    <row r="3" customFormat="false" ht="15" hidden="false" customHeight="false" outlineLevel="0" collapsed="false">
      <c r="A3" s="5" t="n">
        <f aca="false">RANDBETWEEN(2,164)</f>
        <v>23</v>
      </c>
      <c r="B3" s="5" t="n">
        <f aca="false" t="array" ref="B3:B3">INDEX(Data_DBD!$C:$C,$A3)</f>
        <v>4</v>
      </c>
      <c r="C3" s="5" t="n">
        <f aca="false" t="array" ref="C3:C3">INDEX(Data_DBD!$E:$E,$A3)</f>
        <v>1</v>
      </c>
      <c r="D3" s="5" t="str">
        <f aca="false" t="array" ref="D3:D3">INDEX(Data_DBD!$F:$F,$A3)</f>
        <v>Sedang</v>
      </c>
      <c r="H3" s="33" t="n">
        <v>30</v>
      </c>
      <c r="I3" s="33" t="n">
        <v>2</v>
      </c>
      <c r="J3" s="33" t="n">
        <v>1</v>
      </c>
      <c r="K3" s="33" t="s">
        <v>7</v>
      </c>
      <c r="O3" s="3" t="s">
        <v>7</v>
      </c>
      <c r="P3" s="3" t="n">
        <f aca="false">COUNTIF(K2:K164,"Sedang")</f>
        <v>73</v>
      </c>
      <c r="Q3" s="3" t="n">
        <f aca="false">P3/163</f>
        <v>0.447852760736196</v>
      </c>
    </row>
    <row r="4" customFormat="false" ht="15" hidden="false" customHeight="false" outlineLevel="0" collapsed="false">
      <c r="A4" s="5" t="n">
        <f aca="false">RANDBETWEEN(2,164)</f>
        <v>137</v>
      </c>
      <c r="B4" s="5" t="n">
        <f aca="false" t="array" ref="B4:B4">INDEX(Data_DBD!$C:$C,$A4)</f>
        <v>1</v>
      </c>
      <c r="C4" s="5" t="n">
        <f aca="false" t="array" ref="C4:C4">INDEX(Data_DBD!$E:$E,$A4)</f>
        <v>1</v>
      </c>
      <c r="D4" s="5" t="str">
        <f aca="false" t="array" ref="D4:D4">INDEX(Data_DBD!$F:$F,$A4)</f>
        <v>Tinggi</v>
      </c>
      <c r="H4" s="33" t="n">
        <v>52</v>
      </c>
      <c r="I4" s="33" t="n">
        <v>4</v>
      </c>
      <c r="J4" s="33" t="n">
        <v>1</v>
      </c>
      <c r="K4" s="33" t="s">
        <v>7</v>
      </c>
      <c r="O4" s="3" t="s">
        <v>20</v>
      </c>
      <c r="P4" s="3" t="n">
        <f aca="false">COUNTIF(K2:K164,"Rendah")</f>
        <v>19</v>
      </c>
      <c r="Q4" s="3" t="n">
        <f aca="false">P4/163</f>
        <v>0.116564417177914</v>
      </c>
    </row>
    <row r="5" customFormat="false" ht="15" hidden="false" customHeight="false" outlineLevel="0" collapsed="false">
      <c r="A5" s="5" t="n">
        <f aca="false">RANDBETWEEN(2,164)</f>
        <v>93</v>
      </c>
      <c r="B5" s="5" t="n">
        <f aca="false" t="array" ref="B5:B5">INDEX(Data_DBD!$C:$C,$A5)</f>
        <v>4</v>
      </c>
      <c r="C5" s="5" t="n">
        <f aca="false" t="array" ref="C5:C5">INDEX(Data_DBD!$E:$E,$A5)</f>
        <v>0</v>
      </c>
      <c r="D5" s="5" t="str">
        <f aca="false" t="array" ref="D5:D5">INDEX(Data_DBD!$F:$F,$A5)</f>
        <v>Sedang</v>
      </c>
      <c r="H5" s="33" t="n">
        <v>2</v>
      </c>
      <c r="I5" s="33" t="n">
        <v>3</v>
      </c>
      <c r="J5" s="33" t="n">
        <v>0</v>
      </c>
      <c r="K5" s="33" t="s">
        <v>7</v>
      </c>
      <c r="O5" s="6" t="s">
        <v>175</v>
      </c>
      <c r="P5" s="0" t="n">
        <f aca="false">-(IFERROR(Q2*LOG(Q2,2),0)+IFERROR(Q3*LOG(Q3,2),0)+IFERROR(Q4*LOG(Q4,2),0))</f>
        <v>1.40271673681696</v>
      </c>
    </row>
    <row r="6" customFormat="false" ht="15" hidden="false" customHeight="false" outlineLevel="0" collapsed="false">
      <c r="A6" s="5" t="n">
        <f aca="false">RANDBETWEEN(2,164)</f>
        <v>22</v>
      </c>
      <c r="B6" s="5" t="n">
        <f aca="false" t="array" ref="B6:B6">INDEX(Data_DBD!$C:$C,$A6)</f>
        <v>3</v>
      </c>
      <c r="C6" s="5" t="n">
        <f aca="false" t="array" ref="C6:C6">INDEX(Data_DBD!$E:$E,$A6)</f>
        <v>0</v>
      </c>
      <c r="D6" s="5" t="str">
        <f aca="false" t="array" ref="D6:D6">INDEX(Data_DBD!$F:$F,$A6)</f>
        <v>Sedang</v>
      </c>
      <c r="H6" s="33" t="n">
        <v>48</v>
      </c>
      <c r="I6" s="33" t="n">
        <v>5</v>
      </c>
      <c r="J6" s="33" t="n">
        <v>1</v>
      </c>
      <c r="K6" s="33" t="s">
        <v>7</v>
      </c>
    </row>
    <row r="7" customFormat="false" ht="15" hidden="false" customHeight="false" outlineLevel="0" collapsed="false">
      <c r="A7" s="5" t="n">
        <f aca="false">RANDBETWEEN(2,164)</f>
        <v>62</v>
      </c>
      <c r="B7" s="5" t="n">
        <f aca="false" t="array" ref="B7:B7">INDEX(Data_DBD!$C:$C,$A7)</f>
        <v>4</v>
      </c>
      <c r="C7" s="5" t="n">
        <f aca="false" t="array" ref="C7:C7">INDEX(Data_DBD!$E:$E,$A7)</f>
        <v>1</v>
      </c>
      <c r="D7" s="5" t="str">
        <f aca="false" t="array" ref="D7:D7">INDEX(Data_DBD!$F:$F,$A7)</f>
        <v>Sedang</v>
      </c>
      <c r="H7" s="33" t="n">
        <v>164</v>
      </c>
      <c r="I7" s="33" t="n">
        <v>6</v>
      </c>
      <c r="J7" s="33" t="n">
        <v>0</v>
      </c>
      <c r="K7" s="33" t="s">
        <v>20</v>
      </c>
    </row>
    <row r="8" customFormat="false" ht="15" hidden="false" customHeight="false" outlineLevel="0" collapsed="false">
      <c r="A8" s="5" t="n">
        <f aca="false">RANDBETWEEN(2,164)</f>
        <v>161</v>
      </c>
      <c r="B8" s="5" t="n">
        <f aca="false" t="array" ref="B8:B8">INDEX(Data_DBD!$C:$C,$A8)</f>
        <v>3</v>
      </c>
      <c r="C8" s="5" t="n">
        <f aca="false" t="array" ref="C8:C8">INDEX(Data_DBD!$E:$E,$A8)</f>
        <v>1</v>
      </c>
      <c r="D8" s="5" t="str">
        <f aca="false" t="array" ref="D8:D8">INDEX(Data_DBD!$F:$F,$A8)</f>
        <v>Tinggi</v>
      </c>
      <c r="H8" s="33" t="n">
        <v>164</v>
      </c>
      <c r="I8" s="33" t="n">
        <v>6</v>
      </c>
      <c r="J8" s="33" t="n">
        <v>0</v>
      </c>
      <c r="K8" s="33" t="s">
        <v>20</v>
      </c>
    </row>
    <row r="9" customFormat="false" ht="15" hidden="false" customHeight="false" outlineLevel="0" collapsed="false">
      <c r="A9" s="5" t="n">
        <f aca="false">RANDBETWEEN(2,164)</f>
        <v>53</v>
      </c>
      <c r="B9" s="5" t="n">
        <f aca="false" t="array" ref="B9:B9">INDEX(Data_DBD!$C:$C,$A9)</f>
        <v>4</v>
      </c>
      <c r="C9" s="5" t="n">
        <f aca="false" t="array" ref="C9:C9">INDEX(Data_DBD!$E:$E,$A9)</f>
        <v>1</v>
      </c>
      <c r="D9" s="5" t="str">
        <f aca="false" t="array" ref="D9:D9">INDEX(Data_DBD!$F:$F,$A9)</f>
        <v>Sedang</v>
      </c>
      <c r="H9" s="33" t="n">
        <v>72</v>
      </c>
      <c r="I9" s="33" t="n">
        <v>5</v>
      </c>
      <c r="J9" s="33" t="n">
        <v>1</v>
      </c>
      <c r="K9" s="33" t="s">
        <v>7</v>
      </c>
    </row>
    <row r="10" customFormat="false" ht="15" hidden="false" customHeight="false" outlineLevel="0" collapsed="false">
      <c r="A10" s="5" t="n">
        <f aca="false">RANDBETWEEN(2,164)</f>
        <v>143</v>
      </c>
      <c r="B10" s="5" t="n">
        <f aca="false" t="array" ref="B10:B10">INDEX(Data_DBD!$C:$C,$A10)</f>
        <v>4</v>
      </c>
      <c r="C10" s="5" t="n">
        <f aca="false" t="array" ref="C10:C10">INDEX(Data_DBD!$E:$E,$A10)</f>
        <v>1</v>
      </c>
      <c r="D10" s="5" t="str">
        <f aca="false" t="array" ref="D10:D10">INDEX(Data_DBD!$F:$F,$A10)</f>
        <v>Tinggi</v>
      </c>
      <c r="H10" s="33" t="n">
        <v>34</v>
      </c>
      <c r="I10" s="33" t="n">
        <v>3</v>
      </c>
      <c r="J10" s="33" t="n">
        <v>0</v>
      </c>
      <c r="K10" s="33" t="s">
        <v>7</v>
      </c>
    </row>
    <row r="11" customFormat="false" ht="15" hidden="false" customHeight="false" outlineLevel="0" collapsed="false">
      <c r="A11" s="5" t="n">
        <f aca="false">RANDBETWEEN(2,164)</f>
        <v>51</v>
      </c>
      <c r="B11" s="5" t="n">
        <f aca="false" t="array" ref="B11:B11">INDEX(Data_DBD!$C:$C,$A11)</f>
        <v>4</v>
      </c>
      <c r="C11" s="5" t="n">
        <f aca="false" t="array" ref="C11:C11">INDEX(Data_DBD!$E:$E,$A11)</f>
        <v>0</v>
      </c>
      <c r="D11" s="5" t="str">
        <f aca="false" t="array" ref="D11:D11">INDEX(Data_DBD!$F:$F,$A11)</f>
        <v>Sedang</v>
      </c>
      <c r="H11" s="33" t="n">
        <v>29</v>
      </c>
      <c r="I11" s="33" t="n">
        <v>2</v>
      </c>
      <c r="J11" s="33" t="n">
        <v>1</v>
      </c>
      <c r="K11" s="33" t="s">
        <v>7</v>
      </c>
    </row>
    <row r="12" customFormat="false" ht="15" hidden="false" customHeight="false" outlineLevel="0" collapsed="false">
      <c r="A12" s="5" t="n">
        <f aca="false">RANDBETWEEN(2,164)</f>
        <v>139</v>
      </c>
      <c r="B12" s="5" t="n">
        <f aca="false" t="array" ref="B12:B12">INDEX(Data_DBD!$C:$C,$A12)</f>
        <v>7</v>
      </c>
      <c r="C12" s="5" t="n">
        <f aca="false" t="array" ref="C12:C12">INDEX(Data_DBD!$E:$E,$A12)</f>
        <v>0</v>
      </c>
      <c r="D12" s="5" t="str">
        <f aca="false" t="array" ref="D12:D12">INDEX(Data_DBD!$F:$F,$A12)</f>
        <v>Tinggi</v>
      </c>
      <c r="H12" s="33" t="n">
        <v>128</v>
      </c>
      <c r="I12" s="33" t="n">
        <v>2</v>
      </c>
      <c r="J12" s="33" t="n">
        <v>0</v>
      </c>
      <c r="K12" s="33" t="s">
        <v>115</v>
      </c>
    </row>
    <row r="13" customFormat="false" ht="15" hidden="false" customHeight="false" outlineLevel="0" collapsed="false">
      <c r="A13" s="5" t="n">
        <f aca="false">RANDBETWEEN(2,164)</f>
        <v>14</v>
      </c>
      <c r="B13" s="5" t="n">
        <f aca="false" t="array" ref="B13:B13">INDEX(Data_DBD!$C:$C,$A13)</f>
        <v>4</v>
      </c>
      <c r="C13" s="5" t="n">
        <f aca="false" t="array" ref="C13:C13">INDEX(Data_DBD!$E:$E,$A13)</f>
        <v>1</v>
      </c>
      <c r="D13" s="5" t="str">
        <f aca="false" t="array" ref="D13:D13">INDEX(Data_DBD!$F:$F,$A13)</f>
        <v>Rendah</v>
      </c>
      <c r="H13" s="33" t="n">
        <v>2</v>
      </c>
      <c r="I13" s="33" t="n">
        <v>3</v>
      </c>
      <c r="J13" s="33" t="n">
        <v>0</v>
      </c>
      <c r="K13" s="33" t="s">
        <v>7</v>
      </c>
    </row>
    <row r="14" customFormat="false" ht="15" hidden="false" customHeight="false" outlineLevel="0" collapsed="false">
      <c r="A14" s="5" t="n">
        <f aca="false">RANDBETWEEN(2,164)</f>
        <v>113</v>
      </c>
      <c r="B14" s="5" t="n">
        <f aca="false" t="array" ref="B14:B14">INDEX(Data_DBD!$C:$C,$A14)</f>
        <v>1</v>
      </c>
      <c r="C14" s="5" t="n">
        <f aca="false" t="array" ref="C14:C14">INDEX(Data_DBD!$E:$E,$A14)</f>
        <v>1</v>
      </c>
      <c r="D14" s="5" t="str">
        <f aca="false" t="array" ref="D14:D14">INDEX(Data_DBD!$F:$F,$A14)</f>
        <v>Tinggi</v>
      </c>
      <c r="H14" s="33" t="n">
        <v>18</v>
      </c>
      <c r="I14" s="33" t="n">
        <v>4</v>
      </c>
      <c r="J14" s="33" t="n">
        <v>1</v>
      </c>
      <c r="K14" s="33" t="s">
        <v>20</v>
      </c>
    </row>
    <row r="15" customFormat="false" ht="15" hidden="false" customHeight="false" outlineLevel="0" collapsed="false">
      <c r="A15" s="5" t="n">
        <f aca="false">RANDBETWEEN(2,164)</f>
        <v>32</v>
      </c>
      <c r="B15" s="5" t="n">
        <f aca="false" t="array" ref="B15:B15">INDEX(Data_DBD!$C:$C,$A15)</f>
        <v>4</v>
      </c>
      <c r="C15" s="5" t="n">
        <f aca="false" t="array" ref="C15:C15">INDEX(Data_DBD!$E:$E,$A15)</f>
        <v>0</v>
      </c>
      <c r="D15" s="5" t="str">
        <f aca="false" t="array" ref="D15:D15">INDEX(Data_DBD!$F:$F,$A15)</f>
        <v>Sedang</v>
      </c>
      <c r="H15" s="33" t="n">
        <v>23</v>
      </c>
      <c r="I15" s="33" t="n">
        <v>4</v>
      </c>
      <c r="J15" s="33" t="n">
        <v>1</v>
      </c>
      <c r="K15" s="33" t="s">
        <v>7</v>
      </c>
    </row>
    <row r="16" customFormat="false" ht="15" hidden="false" customHeight="false" outlineLevel="0" collapsed="false">
      <c r="A16" s="5" t="n">
        <f aca="false">RANDBETWEEN(2,164)</f>
        <v>120</v>
      </c>
      <c r="B16" s="5" t="n">
        <f aca="false" t="array" ref="B16:B16">INDEX(Data_DBD!$C:$C,$A16)</f>
        <v>4</v>
      </c>
      <c r="C16" s="5" t="n">
        <f aca="false" t="array" ref="C16:C16">INDEX(Data_DBD!$E:$E,$A16)</f>
        <v>1</v>
      </c>
      <c r="D16" s="5" t="str">
        <f aca="false" t="array" ref="D16:D16">INDEX(Data_DBD!$F:$F,$A16)</f>
        <v>Tinggi</v>
      </c>
      <c r="H16" s="33" t="n">
        <v>162</v>
      </c>
      <c r="I16" s="33" t="n">
        <v>3</v>
      </c>
      <c r="J16" s="33" t="n">
        <v>1</v>
      </c>
      <c r="K16" s="33" t="s">
        <v>20</v>
      </c>
    </row>
    <row r="17" customFormat="false" ht="15" hidden="false" customHeight="false" outlineLevel="0" collapsed="false">
      <c r="A17" s="5" t="n">
        <f aca="false">RANDBETWEEN(2,164)</f>
        <v>84</v>
      </c>
      <c r="B17" s="5" t="n">
        <f aca="false" t="array" ref="B17:B17">INDEX(Data_DBD!$C:$C,$A17)</f>
        <v>4</v>
      </c>
      <c r="C17" s="5" t="n">
        <f aca="false" t="array" ref="C17:C17">INDEX(Data_DBD!$E:$E,$A17)</f>
        <v>1</v>
      </c>
      <c r="D17" s="5" t="str">
        <f aca="false" t="array" ref="D17:D17">INDEX(Data_DBD!$F:$F,$A17)</f>
        <v>Sedang</v>
      </c>
      <c r="H17" s="33" t="n">
        <v>27</v>
      </c>
      <c r="I17" s="33" t="n">
        <v>4</v>
      </c>
      <c r="J17" s="33" t="n">
        <v>1</v>
      </c>
      <c r="K17" s="33" t="s">
        <v>7</v>
      </c>
    </row>
    <row r="18" customFormat="false" ht="15" hidden="false" customHeight="false" outlineLevel="0" collapsed="false">
      <c r="A18" s="5" t="n">
        <f aca="false">RANDBETWEEN(2,164)</f>
        <v>55</v>
      </c>
      <c r="B18" s="5" t="n">
        <f aca="false" t="array" ref="B18:B18">INDEX(Data_DBD!$C:$C,$A18)</f>
        <v>4</v>
      </c>
      <c r="C18" s="5" t="n">
        <f aca="false" t="array" ref="C18:C18">INDEX(Data_DBD!$E:$E,$A18)</f>
        <v>1</v>
      </c>
      <c r="D18" s="5" t="str">
        <f aca="false" t="array" ref="D18:D18">INDEX(Data_DBD!$F:$F,$A18)</f>
        <v>Sedang</v>
      </c>
      <c r="H18" s="33" t="n">
        <v>115</v>
      </c>
      <c r="I18" s="33" t="n">
        <v>3</v>
      </c>
      <c r="J18" s="33" t="n">
        <v>1</v>
      </c>
      <c r="K18" s="33" t="s">
        <v>115</v>
      </c>
    </row>
    <row r="19" customFormat="false" ht="15" hidden="false" customHeight="false" outlineLevel="0" collapsed="false">
      <c r="A19" s="5" t="n">
        <f aca="false">RANDBETWEEN(2,164)</f>
        <v>55</v>
      </c>
      <c r="B19" s="5" t="n">
        <f aca="false" t="array" ref="B19:B19">INDEX(Data_DBD!$C:$C,$A19)</f>
        <v>4</v>
      </c>
      <c r="C19" s="5" t="n">
        <f aca="false" t="array" ref="C19:C19">INDEX(Data_DBD!$E:$E,$A19)</f>
        <v>1</v>
      </c>
      <c r="D19" s="5" t="str">
        <f aca="false" t="array" ref="D19:D19">INDEX(Data_DBD!$F:$F,$A19)</f>
        <v>Sedang</v>
      </c>
      <c r="H19" s="33" t="n">
        <v>155</v>
      </c>
      <c r="I19" s="33" t="n">
        <v>5</v>
      </c>
      <c r="J19" s="33" t="n">
        <v>1</v>
      </c>
      <c r="K19" s="33" t="s">
        <v>115</v>
      </c>
    </row>
    <row r="20" customFormat="false" ht="15" hidden="false" customHeight="false" outlineLevel="0" collapsed="false">
      <c r="A20" s="5" t="n">
        <f aca="false">RANDBETWEEN(2,164)</f>
        <v>2</v>
      </c>
      <c r="B20" s="5" t="n">
        <f aca="false" t="array" ref="B20:B20">INDEX(Data_DBD!$C:$C,$A20)</f>
        <v>3</v>
      </c>
      <c r="C20" s="5" t="n">
        <f aca="false" t="array" ref="C20:C20">INDEX(Data_DBD!$E:$E,$A20)</f>
        <v>0</v>
      </c>
      <c r="D20" s="5" t="str">
        <f aca="false" t="array" ref="D20:D20">INDEX(Data_DBD!$F:$F,$A20)</f>
        <v>Sedang</v>
      </c>
      <c r="H20" s="33" t="n">
        <v>38</v>
      </c>
      <c r="I20" s="33" t="n">
        <v>3</v>
      </c>
      <c r="J20" s="33" t="n">
        <v>1</v>
      </c>
      <c r="K20" s="33" t="s">
        <v>20</v>
      </c>
    </row>
    <row r="21" customFormat="false" ht="15" hidden="false" customHeight="false" outlineLevel="0" collapsed="false">
      <c r="A21" s="5" t="n">
        <f aca="false">RANDBETWEEN(2,164)</f>
        <v>151</v>
      </c>
      <c r="B21" s="5" t="n">
        <f aca="false" t="array" ref="B21:B21">INDEX(Data_DBD!$C:$C,$A21)</f>
        <v>3</v>
      </c>
      <c r="C21" s="5" t="n">
        <f aca="false" t="array" ref="C21:C21">INDEX(Data_DBD!$E:$E,$A21)</f>
        <v>0</v>
      </c>
      <c r="D21" s="5" t="str">
        <f aca="false" t="array" ref="D21:D21">INDEX(Data_DBD!$F:$F,$A21)</f>
        <v>Tinggi</v>
      </c>
      <c r="H21" s="33" t="n">
        <v>74</v>
      </c>
      <c r="I21" s="33" t="n">
        <v>4</v>
      </c>
      <c r="J21" s="33" t="n">
        <v>0</v>
      </c>
      <c r="K21" s="33" t="s">
        <v>7</v>
      </c>
    </row>
    <row r="22" customFormat="false" ht="15" hidden="false" customHeight="false" outlineLevel="0" collapsed="false">
      <c r="A22" s="5" t="n">
        <f aca="false">RANDBETWEEN(2,164)</f>
        <v>162</v>
      </c>
      <c r="B22" s="5" t="n">
        <f aca="false" t="array" ref="B22:B22">INDEX(Data_DBD!$C:$C,$A22)</f>
        <v>3</v>
      </c>
      <c r="C22" s="5" t="n">
        <f aca="false" t="array" ref="C22:C22">INDEX(Data_DBD!$E:$E,$A22)</f>
        <v>1</v>
      </c>
      <c r="D22" s="5" t="str">
        <f aca="false" t="array" ref="D22:D22">INDEX(Data_DBD!$F:$F,$A22)</f>
        <v>Rendah</v>
      </c>
      <c r="H22" s="33" t="n">
        <v>21</v>
      </c>
      <c r="I22" s="33" t="n">
        <v>5</v>
      </c>
      <c r="J22" s="33" t="n">
        <v>1</v>
      </c>
      <c r="K22" s="33" t="s">
        <v>7</v>
      </c>
    </row>
    <row r="23" customFormat="false" ht="15" hidden="false" customHeight="false" outlineLevel="0" collapsed="false">
      <c r="A23" s="5" t="n">
        <f aca="false">RANDBETWEEN(2,164)</f>
        <v>5</v>
      </c>
      <c r="B23" s="5" t="n">
        <f aca="false" t="array" ref="B23:B23">INDEX(Data_DBD!$C:$C,$A23)</f>
        <v>2</v>
      </c>
      <c r="C23" s="5" t="n">
        <f aca="false" t="array" ref="C23:C23">INDEX(Data_DBD!$E:$E,$A23)</f>
        <v>1</v>
      </c>
      <c r="D23" s="5" t="str">
        <f aca="false" t="array" ref="D23:D23">INDEX(Data_DBD!$F:$F,$A23)</f>
        <v>Sedang</v>
      </c>
      <c r="H23" s="33" t="n">
        <v>112</v>
      </c>
      <c r="I23" s="33" t="n">
        <v>3</v>
      </c>
      <c r="J23" s="33" t="n">
        <v>1</v>
      </c>
      <c r="K23" s="33" t="s">
        <v>115</v>
      </c>
    </row>
    <row r="24" customFormat="false" ht="15" hidden="false" customHeight="false" outlineLevel="0" collapsed="false">
      <c r="A24" s="5" t="n">
        <f aca="false">RANDBETWEEN(2,164)</f>
        <v>124</v>
      </c>
      <c r="B24" s="5" t="n">
        <f aca="false" t="array" ref="B24:B24">INDEX(Data_DBD!$C:$C,$A24)</f>
        <v>3</v>
      </c>
      <c r="C24" s="5" t="n">
        <f aca="false" t="array" ref="C24:C24">INDEX(Data_DBD!$E:$E,$A24)</f>
        <v>1</v>
      </c>
      <c r="D24" s="5" t="str">
        <f aca="false" t="array" ref="D24:D24">INDEX(Data_DBD!$F:$F,$A24)</f>
        <v>Tinggi</v>
      </c>
      <c r="H24" s="33" t="n">
        <v>13</v>
      </c>
      <c r="I24" s="33" t="n">
        <v>2</v>
      </c>
      <c r="J24" s="33" t="n">
        <v>0</v>
      </c>
      <c r="K24" s="33" t="s">
        <v>7</v>
      </c>
    </row>
    <row r="25" customFormat="false" ht="15" hidden="false" customHeight="false" outlineLevel="0" collapsed="false">
      <c r="A25" s="5" t="n">
        <f aca="false">RANDBETWEEN(2,164)</f>
        <v>75</v>
      </c>
      <c r="B25" s="5" t="n">
        <f aca="false" t="array" ref="B25:B25">INDEX(Data_DBD!$C:$C,$A25)</f>
        <v>2</v>
      </c>
      <c r="C25" s="5" t="n">
        <f aca="false" t="array" ref="C25:C25">INDEX(Data_DBD!$E:$E,$A25)</f>
        <v>1</v>
      </c>
      <c r="D25" s="5" t="str">
        <f aca="false" t="array" ref="D25:D25">INDEX(Data_DBD!$F:$F,$A25)</f>
        <v>Rendah</v>
      </c>
      <c r="H25" s="33" t="n">
        <v>23</v>
      </c>
      <c r="I25" s="33" t="n">
        <v>4</v>
      </c>
      <c r="J25" s="33" t="n">
        <v>1</v>
      </c>
      <c r="K25" s="33" t="s">
        <v>7</v>
      </c>
    </row>
    <row r="26" customFormat="false" ht="15" hidden="false" customHeight="false" outlineLevel="0" collapsed="false">
      <c r="A26" s="5" t="n">
        <f aca="false">RANDBETWEEN(2,164)</f>
        <v>44</v>
      </c>
      <c r="B26" s="5" t="n">
        <f aca="false" t="array" ref="B26:B26">INDEX(Data_DBD!$C:$C,$A26)</f>
        <v>5</v>
      </c>
      <c r="C26" s="5" t="n">
        <f aca="false" t="array" ref="C26:C26">INDEX(Data_DBD!$E:$E,$A26)</f>
        <v>1</v>
      </c>
      <c r="D26" s="5" t="str">
        <f aca="false" t="array" ref="D26:D26">INDEX(Data_DBD!$F:$F,$A26)</f>
        <v>Sedang</v>
      </c>
      <c r="H26" s="33" t="n">
        <v>90</v>
      </c>
      <c r="I26" s="33" t="n">
        <v>3</v>
      </c>
      <c r="J26" s="33" t="n">
        <v>0</v>
      </c>
      <c r="K26" s="33" t="s">
        <v>115</v>
      </c>
    </row>
    <row r="27" customFormat="false" ht="15" hidden="false" customHeight="false" outlineLevel="0" collapsed="false">
      <c r="A27" s="5" t="n">
        <f aca="false">RANDBETWEEN(2,164)</f>
        <v>116</v>
      </c>
      <c r="B27" s="5" t="n">
        <f aca="false" t="array" ref="B27:B27">INDEX(Data_DBD!$C:$C,$A27)</f>
        <v>4</v>
      </c>
      <c r="C27" s="5" t="n">
        <f aca="false" t="array" ref="C27:C27">INDEX(Data_DBD!$E:$E,$A27)</f>
        <v>1</v>
      </c>
      <c r="D27" s="5" t="str">
        <f aca="false" t="array" ref="D27:D27">INDEX(Data_DBD!$F:$F,$A27)</f>
        <v>Tinggi</v>
      </c>
      <c r="H27" s="33" t="n">
        <v>117</v>
      </c>
      <c r="I27" s="33" t="n">
        <v>4</v>
      </c>
      <c r="J27" s="33" t="n">
        <v>1</v>
      </c>
      <c r="K27" s="33" t="s">
        <v>115</v>
      </c>
    </row>
    <row r="28" customFormat="false" ht="15" hidden="false" customHeight="false" outlineLevel="0" collapsed="false">
      <c r="A28" s="5" t="n">
        <f aca="false">RANDBETWEEN(2,164)</f>
        <v>121</v>
      </c>
      <c r="B28" s="5" t="n">
        <f aca="false" t="array" ref="B28:B28">INDEX(Data_DBD!$C:$C,$A28)</f>
        <v>5</v>
      </c>
      <c r="C28" s="5" t="n">
        <f aca="false" t="array" ref="C28:C28">INDEX(Data_DBD!$E:$E,$A28)</f>
        <v>1</v>
      </c>
      <c r="D28" s="5" t="str">
        <f aca="false" t="array" ref="D28:D28">INDEX(Data_DBD!$F:$F,$A28)</f>
        <v>Tinggi</v>
      </c>
      <c r="H28" s="33" t="n">
        <v>53</v>
      </c>
      <c r="I28" s="33" t="n">
        <v>4</v>
      </c>
      <c r="J28" s="33" t="n">
        <v>1</v>
      </c>
      <c r="K28" s="33" t="s">
        <v>7</v>
      </c>
    </row>
    <row r="29" customFormat="false" ht="15" hidden="false" customHeight="false" outlineLevel="0" collapsed="false">
      <c r="A29" s="5" t="n">
        <f aca="false">RANDBETWEEN(2,164)</f>
        <v>9</v>
      </c>
      <c r="B29" s="5" t="n">
        <f aca="false" t="array" ref="B29:B29">INDEX(Data_DBD!$C:$C,$A29)</f>
        <v>6</v>
      </c>
      <c r="C29" s="5" t="n">
        <f aca="false" t="array" ref="C29:C29">INDEX(Data_DBD!$E:$E,$A29)</f>
        <v>1</v>
      </c>
      <c r="D29" s="5" t="str">
        <f aca="false" t="array" ref="D29:D29">INDEX(Data_DBD!$F:$F,$A29)</f>
        <v>Sedang</v>
      </c>
      <c r="H29" s="33" t="n">
        <v>68</v>
      </c>
      <c r="I29" s="33" t="n">
        <v>5</v>
      </c>
      <c r="J29" s="33" t="n">
        <v>0</v>
      </c>
      <c r="K29" s="33" t="s">
        <v>7</v>
      </c>
    </row>
    <row r="30" customFormat="false" ht="15" hidden="false" customHeight="false" outlineLevel="0" collapsed="false">
      <c r="A30" s="5" t="n">
        <f aca="false">RANDBETWEEN(2,164)</f>
        <v>23</v>
      </c>
      <c r="B30" s="5" t="n">
        <f aca="false" t="array" ref="B30:B30">INDEX(Data_DBD!$C:$C,$A30)</f>
        <v>4</v>
      </c>
      <c r="C30" s="5" t="n">
        <f aca="false" t="array" ref="C30:C30">INDEX(Data_DBD!$E:$E,$A30)</f>
        <v>1</v>
      </c>
      <c r="D30" s="5" t="str">
        <f aca="false" t="array" ref="D30:D30">INDEX(Data_DBD!$F:$F,$A30)</f>
        <v>Sedang</v>
      </c>
      <c r="H30" s="33" t="n">
        <v>10</v>
      </c>
      <c r="I30" s="33" t="n">
        <v>5</v>
      </c>
      <c r="J30" s="33" t="n">
        <v>0</v>
      </c>
      <c r="K30" s="33" t="s">
        <v>7</v>
      </c>
    </row>
    <row r="31" customFormat="false" ht="15" hidden="false" customHeight="false" outlineLevel="0" collapsed="false">
      <c r="A31" s="5" t="n">
        <f aca="false">RANDBETWEEN(2,164)</f>
        <v>91</v>
      </c>
      <c r="B31" s="5" t="n">
        <f aca="false" t="array" ref="B31:B31">INDEX(Data_DBD!$C:$C,$A31)</f>
        <v>1</v>
      </c>
      <c r="C31" s="5" t="n">
        <f aca="false" t="array" ref="C31:C31">INDEX(Data_DBD!$E:$E,$A31)</f>
        <v>1</v>
      </c>
      <c r="D31" s="5" t="str">
        <f aca="false" t="array" ref="D31:D31">INDEX(Data_DBD!$F:$F,$A31)</f>
        <v>Sedang</v>
      </c>
      <c r="H31" s="33" t="n">
        <v>156</v>
      </c>
      <c r="I31" s="33" t="n">
        <v>2</v>
      </c>
      <c r="J31" s="33" t="n">
        <v>0</v>
      </c>
      <c r="K31" s="33" t="s">
        <v>115</v>
      </c>
    </row>
    <row r="32" customFormat="false" ht="15" hidden="false" customHeight="false" outlineLevel="0" collapsed="false">
      <c r="A32" s="5" t="n">
        <f aca="false">RANDBETWEEN(2,164)</f>
        <v>123</v>
      </c>
      <c r="B32" s="5" t="n">
        <f aca="false" t="array" ref="B32:B32">INDEX(Data_DBD!$C:$C,$A32)</f>
        <v>4</v>
      </c>
      <c r="C32" s="5" t="n">
        <f aca="false" t="array" ref="C32:C32">INDEX(Data_DBD!$E:$E,$A32)</f>
        <v>0</v>
      </c>
      <c r="D32" s="5" t="str">
        <f aca="false" t="array" ref="D32:D32">INDEX(Data_DBD!$F:$F,$A32)</f>
        <v>Tinggi</v>
      </c>
      <c r="H32" s="33" t="n">
        <v>97</v>
      </c>
      <c r="I32" s="33" t="n">
        <v>2</v>
      </c>
      <c r="J32" s="33" t="n">
        <v>1</v>
      </c>
      <c r="K32" s="33" t="s">
        <v>115</v>
      </c>
    </row>
    <row r="33" customFormat="false" ht="15" hidden="false" customHeight="false" outlineLevel="0" collapsed="false">
      <c r="A33" s="5" t="n">
        <f aca="false">RANDBETWEEN(2,164)</f>
        <v>81</v>
      </c>
      <c r="B33" s="5" t="n">
        <f aca="false" t="array" ref="B33:B33">INDEX(Data_DBD!$C:$C,$A33)</f>
        <v>5</v>
      </c>
      <c r="C33" s="5" t="n">
        <f aca="false" t="array" ref="C33:C33">INDEX(Data_DBD!$E:$E,$A33)</f>
        <v>1</v>
      </c>
      <c r="D33" s="5" t="str">
        <f aca="false" t="array" ref="D33:D33">INDEX(Data_DBD!$F:$F,$A33)</f>
        <v>Sedang</v>
      </c>
      <c r="H33" s="33" t="n">
        <v>117</v>
      </c>
      <c r="I33" s="33" t="n">
        <v>4</v>
      </c>
      <c r="J33" s="33" t="n">
        <v>1</v>
      </c>
      <c r="K33" s="33" t="s">
        <v>115</v>
      </c>
    </row>
    <row r="34" customFormat="false" ht="15" hidden="false" customHeight="false" outlineLevel="0" collapsed="false">
      <c r="A34" s="5" t="n">
        <f aca="false">RANDBETWEEN(2,164)</f>
        <v>58</v>
      </c>
      <c r="B34" s="5" t="n">
        <f aca="false" t="array" ref="B34:B34">INDEX(Data_DBD!$C:$C,$A34)</f>
        <v>3</v>
      </c>
      <c r="C34" s="5" t="n">
        <f aca="false" t="array" ref="C34:C34">INDEX(Data_DBD!$E:$E,$A34)</f>
        <v>0</v>
      </c>
      <c r="D34" s="5" t="str">
        <f aca="false" t="array" ref="D34:D34">INDEX(Data_DBD!$F:$F,$A34)</f>
        <v>Sedang</v>
      </c>
      <c r="H34" s="33" t="n">
        <v>129</v>
      </c>
      <c r="I34" s="33" t="n">
        <v>3</v>
      </c>
      <c r="J34" s="33" t="n">
        <v>0</v>
      </c>
      <c r="K34" s="33" t="s">
        <v>115</v>
      </c>
    </row>
    <row r="35" customFormat="false" ht="15" hidden="false" customHeight="false" outlineLevel="0" collapsed="false">
      <c r="A35" s="5" t="n">
        <f aca="false">RANDBETWEEN(2,164)</f>
        <v>76</v>
      </c>
      <c r="B35" s="5" t="n">
        <f aca="false" t="array" ref="B35:B35">INDEX(Data_DBD!$C:$C,$A35)</f>
        <v>2</v>
      </c>
      <c r="C35" s="5" t="n">
        <f aca="false" t="array" ref="C35:C35">INDEX(Data_DBD!$E:$E,$A35)</f>
        <v>0</v>
      </c>
      <c r="D35" s="5" t="str">
        <f aca="false" t="array" ref="D35:D35">INDEX(Data_DBD!$F:$F,$A35)</f>
        <v>Rendah</v>
      </c>
      <c r="H35" s="33" t="n">
        <v>123</v>
      </c>
      <c r="I35" s="33" t="n">
        <v>4</v>
      </c>
      <c r="J35" s="33" t="n">
        <v>0</v>
      </c>
      <c r="K35" s="33" t="s">
        <v>115</v>
      </c>
    </row>
    <row r="36" customFormat="false" ht="15" hidden="false" customHeight="false" outlineLevel="0" collapsed="false">
      <c r="A36" s="5" t="n">
        <f aca="false">RANDBETWEEN(2,164)</f>
        <v>56</v>
      </c>
      <c r="B36" s="5" t="n">
        <f aca="false" t="array" ref="B36:B36">INDEX(Data_DBD!$C:$C,$A36)</f>
        <v>3</v>
      </c>
      <c r="C36" s="5" t="n">
        <f aca="false" t="array" ref="C36:C36">INDEX(Data_DBD!$E:$E,$A36)</f>
        <v>0</v>
      </c>
      <c r="D36" s="5" t="str">
        <f aca="false" t="array" ref="D36:D36">INDEX(Data_DBD!$F:$F,$A36)</f>
        <v>Sedang</v>
      </c>
      <c r="H36" s="33" t="n">
        <v>12</v>
      </c>
      <c r="I36" s="33" t="n">
        <v>3</v>
      </c>
      <c r="J36" s="33" t="n">
        <v>0</v>
      </c>
      <c r="K36" s="33" t="s">
        <v>7</v>
      </c>
    </row>
    <row r="37" customFormat="false" ht="15" hidden="false" customHeight="false" outlineLevel="0" collapsed="false">
      <c r="A37" s="5" t="n">
        <f aca="false">RANDBETWEEN(2,164)</f>
        <v>69</v>
      </c>
      <c r="B37" s="5" t="n">
        <f aca="false" t="array" ref="B37:B37">INDEX(Data_DBD!$C:$C,$A37)</f>
        <v>4</v>
      </c>
      <c r="C37" s="5" t="n">
        <f aca="false" t="array" ref="C37:C37">INDEX(Data_DBD!$E:$E,$A37)</f>
        <v>1</v>
      </c>
      <c r="D37" s="5" t="str">
        <f aca="false" t="array" ref="D37:D37">INDEX(Data_DBD!$F:$F,$A37)</f>
        <v>Rendah</v>
      </c>
      <c r="H37" s="33" t="n">
        <v>72</v>
      </c>
      <c r="I37" s="33" t="n">
        <v>5</v>
      </c>
      <c r="J37" s="33" t="n">
        <v>1</v>
      </c>
      <c r="K37" s="33" t="s">
        <v>7</v>
      </c>
    </row>
    <row r="38" customFormat="false" ht="15" hidden="false" customHeight="false" outlineLevel="0" collapsed="false">
      <c r="A38" s="5" t="n">
        <f aca="false">RANDBETWEEN(2,164)</f>
        <v>15</v>
      </c>
      <c r="B38" s="5" t="n">
        <f aca="false" t="array" ref="B38:B38">INDEX(Data_DBD!$C:$C,$A38)</f>
        <v>2</v>
      </c>
      <c r="C38" s="5" t="n">
        <f aca="false" t="array" ref="C38:C38">INDEX(Data_DBD!$E:$E,$A38)</f>
        <v>0</v>
      </c>
      <c r="D38" s="5" t="str">
        <f aca="false" t="array" ref="D38:D38">INDEX(Data_DBD!$F:$F,$A38)</f>
        <v>Rendah</v>
      </c>
      <c r="H38" s="33" t="n">
        <v>110</v>
      </c>
      <c r="I38" s="33" t="n">
        <v>2</v>
      </c>
      <c r="J38" s="33" t="n">
        <v>1</v>
      </c>
      <c r="K38" s="33" t="s">
        <v>115</v>
      </c>
    </row>
    <row r="39" customFormat="false" ht="15" hidden="false" customHeight="false" outlineLevel="0" collapsed="false">
      <c r="A39" s="5" t="n">
        <f aca="false">RANDBETWEEN(2,164)</f>
        <v>72</v>
      </c>
      <c r="B39" s="5" t="n">
        <f aca="false" t="array" ref="B39:B39">INDEX(Data_DBD!$C:$C,$A39)</f>
        <v>5</v>
      </c>
      <c r="C39" s="5" t="n">
        <f aca="false" t="array" ref="C39:C39">INDEX(Data_DBD!$E:$E,$A39)</f>
        <v>1</v>
      </c>
      <c r="D39" s="5" t="str">
        <f aca="false" t="array" ref="D39:D39">INDEX(Data_DBD!$F:$F,$A39)</f>
        <v>Rendah</v>
      </c>
      <c r="H39" s="33" t="n">
        <v>60</v>
      </c>
      <c r="I39" s="33" t="n">
        <v>4</v>
      </c>
      <c r="J39" s="33" t="n">
        <v>0</v>
      </c>
      <c r="K39" s="33" t="s">
        <v>7</v>
      </c>
    </row>
    <row r="40" customFormat="false" ht="15" hidden="false" customHeight="false" outlineLevel="0" collapsed="false">
      <c r="A40" s="5" t="n">
        <f aca="false">RANDBETWEEN(2,164)</f>
        <v>123</v>
      </c>
      <c r="B40" s="5" t="n">
        <f aca="false" t="array" ref="B40:B40">INDEX(Data_DBD!$C:$C,$A40)</f>
        <v>4</v>
      </c>
      <c r="C40" s="5" t="n">
        <f aca="false" t="array" ref="C40:C40">INDEX(Data_DBD!$E:$E,$A40)</f>
        <v>0</v>
      </c>
      <c r="D40" s="5" t="str">
        <f aca="false" t="array" ref="D40:D40">INDEX(Data_DBD!$F:$F,$A40)</f>
        <v>Tinggi</v>
      </c>
      <c r="H40" s="33" t="n">
        <v>99</v>
      </c>
      <c r="I40" s="33" t="n">
        <v>2</v>
      </c>
      <c r="J40" s="33" t="n">
        <v>1</v>
      </c>
      <c r="K40" s="33" t="s">
        <v>115</v>
      </c>
    </row>
    <row r="41" customFormat="false" ht="15" hidden="false" customHeight="false" outlineLevel="0" collapsed="false">
      <c r="A41" s="5" t="n">
        <f aca="false">RANDBETWEEN(2,164)</f>
        <v>76</v>
      </c>
      <c r="B41" s="5" t="n">
        <f aca="false" t="array" ref="B41:B41">INDEX(Data_DBD!$C:$C,$A41)</f>
        <v>2</v>
      </c>
      <c r="C41" s="5" t="n">
        <f aca="false" t="array" ref="C41:C41">INDEX(Data_DBD!$E:$E,$A41)</f>
        <v>0</v>
      </c>
      <c r="D41" s="5" t="str">
        <f aca="false" t="array" ref="D41:D41">INDEX(Data_DBD!$F:$F,$A41)</f>
        <v>Rendah</v>
      </c>
      <c r="H41" s="33" t="n">
        <v>155</v>
      </c>
      <c r="I41" s="33" t="n">
        <v>5</v>
      </c>
      <c r="J41" s="33" t="n">
        <v>1</v>
      </c>
      <c r="K41" s="33" t="s">
        <v>115</v>
      </c>
    </row>
    <row r="42" customFormat="false" ht="15" hidden="false" customHeight="false" outlineLevel="0" collapsed="false">
      <c r="A42" s="5" t="n">
        <f aca="false">RANDBETWEEN(2,164)</f>
        <v>120</v>
      </c>
      <c r="B42" s="5" t="n">
        <f aca="false" t="array" ref="B42:B42">INDEX(Data_DBD!$C:$C,$A42)</f>
        <v>4</v>
      </c>
      <c r="C42" s="5" t="n">
        <f aca="false" t="array" ref="C42:C42">INDEX(Data_DBD!$E:$E,$A42)</f>
        <v>1</v>
      </c>
      <c r="D42" s="5" t="str">
        <f aca="false" t="array" ref="D42:D42">INDEX(Data_DBD!$F:$F,$A42)</f>
        <v>Tinggi</v>
      </c>
      <c r="H42" s="33" t="n">
        <v>27</v>
      </c>
      <c r="I42" s="33" t="n">
        <v>4</v>
      </c>
      <c r="J42" s="33" t="n">
        <v>1</v>
      </c>
      <c r="K42" s="33" t="s">
        <v>7</v>
      </c>
    </row>
    <row r="43" customFormat="false" ht="15" hidden="false" customHeight="false" outlineLevel="0" collapsed="false">
      <c r="A43" s="5" t="n">
        <f aca="false">RANDBETWEEN(2,164)</f>
        <v>54</v>
      </c>
      <c r="B43" s="5" t="n">
        <f aca="false" t="array" ref="B43:B43">INDEX(Data_DBD!$C:$C,$A43)</f>
        <v>3</v>
      </c>
      <c r="C43" s="5" t="n">
        <f aca="false" t="array" ref="C43:C43">INDEX(Data_DBD!$E:$E,$A43)</f>
        <v>0</v>
      </c>
      <c r="D43" s="5" t="str">
        <f aca="false" t="array" ref="D43:D43">INDEX(Data_DBD!$F:$F,$A43)</f>
        <v>Sedang</v>
      </c>
      <c r="H43" s="33" t="n">
        <v>105</v>
      </c>
      <c r="I43" s="33" t="n">
        <v>3</v>
      </c>
      <c r="J43" s="33" t="n">
        <v>1</v>
      </c>
      <c r="K43" s="33" t="s">
        <v>115</v>
      </c>
    </row>
    <row r="44" customFormat="false" ht="15" hidden="false" customHeight="false" outlineLevel="0" collapsed="false">
      <c r="A44" s="5" t="n">
        <f aca="false">RANDBETWEEN(2,164)</f>
        <v>164</v>
      </c>
      <c r="B44" s="5" t="n">
        <f aca="false" t="array" ref="B44:B44">INDEX(Data_DBD!$C:$C,$A44)</f>
        <v>6</v>
      </c>
      <c r="C44" s="5" t="n">
        <f aca="false" t="array" ref="C44:C44">INDEX(Data_DBD!$E:$E,$A44)</f>
        <v>0</v>
      </c>
      <c r="D44" s="5" t="str">
        <f aca="false" t="array" ref="D44:D44">INDEX(Data_DBD!$F:$F,$A44)</f>
        <v>Rendah</v>
      </c>
      <c r="H44" s="33" t="n">
        <v>106</v>
      </c>
      <c r="I44" s="33" t="n">
        <v>3</v>
      </c>
      <c r="J44" s="33" t="n">
        <v>1</v>
      </c>
      <c r="K44" s="33" t="s">
        <v>115</v>
      </c>
    </row>
    <row r="45" customFormat="false" ht="15" hidden="false" customHeight="false" outlineLevel="0" collapsed="false">
      <c r="A45" s="5" t="n">
        <f aca="false">RANDBETWEEN(2,164)</f>
        <v>3</v>
      </c>
      <c r="B45" s="5" t="n">
        <f aca="false" t="array" ref="B45:B45">INDEX(Data_DBD!$C:$C,$A45)</f>
        <v>3</v>
      </c>
      <c r="C45" s="5" t="n">
        <f aca="false" t="array" ref="C45:C45">INDEX(Data_DBD!$E:$E,$A45)</f>
        <v>1</v>
      </c>
      <c r="D45" s="5" t="str">
        <f aca="false" t="array" ref="D45:D45">INDEX(Data_DBD!$F:$F,$A45)</f>
        <v>Sedang</v>
      </c>
      <c r="H45" s="33" t="n">
        <v>127</v>
      </c>
      <c r="I45" s="33" t="n">
        <v>2</v>
      </c>
      <c r="J45" s="33" t="n">
        <v>0</v>
      </c>
      <c r="K45" s="33" t="s">
        <v>115</v>
      </c>
    </row>
    <row r="46" customFormat="false" ht="15" hidden="false" customHeight="false" outlineLevel="0" collapsed="false">
      <c r="A46" s="5" t="n">
        <f aca="false">RANDBETWEEN(2,164)</f>
        <v>28</v>
      </c>
      <c r="B46" s="5" t="n">
        <f aca="false" t="array" ref="B46:B46">INDEX(Data_DBD!$C:$C,$A46)</f>
        <v>2</v>
      </c>
      <c r="C46" s="5" t="n">
        <f aca="false" t="array" ref="C46:C46">INDEX(Data_DBD!$E:$E,$A46)</f>
        <v>1</v>
      </c>
      <c r="D46" s="5" t="str">
        <f aca="false" t="array" ref="D46:D46">INDEX(Data_DBD!$F:$F,$A46)</f>
        <v>Sedang</v>
      </c>
      <c r="H46" s="33" t="n">
        <v>31</v>
      </c>
      <c r="I46" s="33" t="n">
        <v>4</v>
      </c>
      <c r="J46" s="33" t="n">
        <v>1</v>
      </c>
      <c r="K46" s="33" t="s">
        <v>7</v>
      </c>
    </row>
    <row r="47" customFormat="false" ht="15" hidden="false" customHeight="false" outlineLevel="0" collapsed="false">
      <c r="A47" s="5" t="n">
        <f aca="false">RANDBETWEEN(2,164)</f>
        <v>38</v>
      </c>
      <c r="B47" s="5" t="n">
        <f aca="false" t="array" ref="B47:B47">INDEX(Data_DBD!$C:$C,$A47)</f>
        <v>3</v>
      </c>
      <c r="C47" s="5" t="n">
        <f aca="false" t="array" ref="C47:C47">INDEX(Data_DBD!$E:$E,$A47)</f>
        <v>1</v>
      </c>
      <c r="D47" s="5" t="str">
        <f aca="false" t="array" ref="D47:D47">INDEX(Data_DBD!$F:$F,$A47)</f>
        <v>Rendah</v>
      </c>
      <c r="H47" s="33" t="n">
        <v>2</v>
      </c>
      <c r="I47" s="33" t="n">
        <v>3</v>
      </c>
      <c r="J47" s="33" t="n">
        <v>0</v>
      </c>
      <c r="K47" s="33" t="s">
        <v>7</v>
      </c>
    </row>
    <row r="48" customFormat="false" ht="15" hidden="false" customHeight="false" outlineLevel="0" collapsed="false">
      <c r="A48" s="5" t="n">
        <f aca="false">RANDBETWEEN(2,164)</f>
        <v>43</v>
      </c>
      <c r="B48" s="5" t="n">
        <f aca="false" t="array" ref="B48:B48">INDEX(Data_DBD!$C:$C,$A48)</f>
        <v>4</v>
      </c>
      <c r="C48" s="5" t="n">
        <f aca="false" t="array" ref="C48:C48">INDEX(Data_DBD!$E:$E,$A48)</f>
        <v>0</v>
      </c>
      <c r="D48" s="5" t="str">
        <f aca="false" t="array" ref="D48:D48">INDEX(Data_DBD!$F:$F,$A48)</f>
        <v>Sedang</v>
      </c>
      <c r="H48" s="33" t="n">
        <v>117</v>
      </c>
      <c r="I48" s="33" t="n">
        <v>4</v>
      </c>
      <c r="J48" s="33" t="n">
        <v>1</v>
      </c>
      <c r="K48" s="33" t="s">
        <v>115</v>
      </c>
    </row>
    <row r="49" customFormat="false" ht="15" hidden="false" customHeight="false" outlineLevel="0" collapsed="false">
      <c r="A49" s="5" t="n">
        <f aca="false">RANDBETWEEN(2,164)</f>
        <v>48</v>
      </c>
      <c r="B49" s="5" t="n">
        <f aca="false" t="array" ref="B49:B49">INDEX(Data_DBD!$C:$C,$A49)</f>
        <v>5</v>
      </c>
      <c r="C49" s="5" t="n">
        <f aca="false" t="array" ref="C49:C49">INDEX(Data_DBD!$E:$E,$A49)</f>
        <v>1</v>
      </c>
      <c r="D49" s="5" t="str">
        <f aca="false" t="array" ref="D49:D49">INDEX(Data_DBD!$F:$F,$A49)</f>
        <v>Sedang</v>
      </c>
      <c r="H49" s="33" t="n">
        <v>148</v>
      </c>
      <c r="I49" s="33" t="n">
        <v>3</v>
      </c>
      <c r="J49" s="33" t="n">
        <v>1</v>
      </c>
      <c r="K49" s="33" t="s">
        <v>115</v>
      </c>
    </row>
    <row r="50" customFormat="false" ht="15" hidden="false" customHeight="false" outlineLevel="0" collapsed="false">
      <c r="A50" s="5" t="n">
        <f aca="false">RANDBETWEEN(2,164)</f>
        <v>115</v>
      </c>
      <c r="B50" s="5" t="n">
        <f aca="false" t="array" ref="B50:B50">INDEX(Data_DBD!$C:$C,$A50)</f>
        <v>3</v>
      </c>
      <c r="C50" s="5" t="n">
        <f aca="false" t="array" ref="C50:C50">INDEX(Data_DBD!$E:$E,$A50)</f>
        <v>1</v>
      </c>
      <c r="D50" s="5" t="str">
        <f aca="false" t="array" ref="D50:D50">INDEX(Data_DBD!$F:$F,$A50)</f>
        <v>Tinggi</v>
      </c>
      <c r="H50" s="33" t="n">
        <v>90</v>
      </c>
      <c r="I50" s="33" t="n">
        <v>3</v>
      </c>
      <c r="J50" s="33" t="n">
        <v>0</v>
      </c>
      <c r="K50" s="33" t="s">
        <v>115</v>
      </c>
    </row>
    <row r="51" customFormat="false" ht="15" hidden="false" customHeight="false" outlineLevel="0" collapsed="false">
      <c r="A51" s="5" t="n">
        <f aca="false">RANDBETWEEN(2,164)</f>
        <v>11</v>
      </c>
      <c r="B51" s="5" t="n">
        <f aca="false" t="array" ref="B51:B51">INDEX(Data_DBD!$C:$C,$A51)</f>
        <v>5</v>
      </c>
      <c r="C51" s="5" t="n">
        <f aca="false" t="array" ref="C51:C51">INDEX(Data_DBD!$E:$E,$A51)</f>
        <v>1</v>
      </c>
      <c r="D51" s="5" t="str">
        <f aca="false" t="array" ref="D51:D51">INDEX(Data_DBD!$F:$F,$A51)</f>
        <v>Sedang</v>
      </c>
      <c r="H51" s="33" t="n">
        <v>69</v>
      </c>
      <c r="I51" s="33" t="n">
        <v>4</v>
      </c>
      <c r="J51" s="33" t="n">
        <v>1</v>
      </c>
      <c r="K51" s="33" t="s">
        <v>7</v>
      </c>
    </row>
    <row r="52" customFormat="false" ht="15" hidden="false" customHeight="false" outlineLevel="0" collapsed="false">
      <c r="A52" s="5" t="n">
        <f aca="false">RANDBETWEEN(2,164)</f>
        <v>38</v>
      </c>
      <c r="B52" s="5" t="n">
        <f aca="false" t="array" ref="B52:B52">INDEX(Data_DBD!$C:$C,$A52)</f>
        <v>3</v>
      </c>
      <c r="C52" s="5" t="n">
        <f aca="false" t="array" ref="C52:C52">INDEX(Data_DBD!$E:$E,$A52)</f>
        <v>1</v>
      </c>
      <c r="D52" s="5" t="str">
        <f aca="false" t="array" ref="D52:D52">INDEX(Data_DBD!$F:$F,$A52)</f>
        <v>Rendah</v>
      </c>
      <c r="H52" s="33" t="n">
        <v>15</v>
      </c>
      <c r="I52" s="33" t="n">
        <v>2</v>
      </c>
      <c r="J52" s="33" t="n">
        <v>0</v>
      </c>
      <c r="K52" s="33" t="s">
        <v>20</v>
      </c>
    </row>
    <row r="53" customFormat="false" ht="15" hidden="false" customHeight="false" outlineLevel="0" collapsed="false">
      <c r="A53" s="5" t="n">
        <f aca="false">RANDBETWEEN(2,164)</f>
        <v>132</v>
      </c>
      <c r="B53" s="5" t="n">
        <f aca="false" t="array" ref="B53:B53">INDEX(Data_DBD!$C:$C,$A53)</f>
        <v>3</v>
      </c>
      <c r="C53" s="5" t="n">
        <f aca="false" t="array" ref="C53:C53">INDEX(Data_DBD!$E:$E,$A53)</f>
        <v>1</v>
      </c>
      <c r="D53" s="5" t="str">
        <f aca="false" t="array" ref="D53:D53">INDEX(Data_DBD!$F:$F,$A53)</f>
        <v>Tinggi</v>
      </c>
      <c r="H53" s="33" t="n">
        <v>145</v>
      </c>
      <c r="I53" s="33" t="n">
        <v>4</v>
      </c>
      <c r="J53" s="33" t="n">
        <v>1</v>
      </c>
      <c r="K53" s="33" t="s">
        <v>115</v>
      </c>
    </row>
    <row r="54" customFormat="false" ht="15" hidden="false" customHeight="false" outlineLevel="0" collapsed="false">
      <c r="A54" s="5" t="n">
        <f aca="false">RANDBETWEEN(2,164)</f>
        <v>97</v>
      </c>
      <c r="B54" s="5" t="n">
        <f aca="false" t="array" ref="B54:B54">INDEX(Data_DBD!$C:$C,$A54)</f>
        <v>2</v>
      </c>
      <c r="C54" s="5" t="n">
        <f aca="false" t="array" ref="C54:C54">INDEX(Data_DBD!$E:$E,$A54)</f>
        <v>1</v>
      </c>
      <c r="D54" s="5" t="str">
        <f aca="false" t="array" ref="D54:D54">INDEX(Data_DBD!$F:$F,$A54)</f>
        <v>Sedang</v>
      </c>
      <c r="H54" s="33" t="n">
        <v>49</v>
      </c>
      <c r="I54" s="33" t="n">
        <v>5</v>
      </c>
      <c r="J54" s="33" t="n">
        <v>0</v>
      </c>
      <c r="K54" s="33" t="s">
        <v>7</v>
      </c>
    </row>
    <row r="55" customFormat="false" ht="15" hidden="false" customHeight="false" outlineLevel="0" collapsed="false">
      <c r="A55" s="5" t="n">
        <f aca="false">RANDBETWEEN(2,164)</f>
        <v>115</v>
      </c>
      <c r="B55" s="5" t="n">
        <f aca="false" t="array" ref="B55:B55">INDEX(Data_DBD!$C:$C,$A55)</f>
        <v>3</v>
      </c>
      <c r="C55" s="5" t="n">
        <f aca="false" t="array" ref="C55:C55">INDEX(Data_DBD!$E:$E,$A55)</f>
        <v>1</v>
      </c>
      <c r="D55" s="5" t="str">
        <f aca="false" t="array" ref="D55:D55">INDEX(Data_DBD!$F:$F,$A55)</f>
        <v>Tinggi</v>
      </c>
      <c r="H55" s="33" t="n">
        <v>35</v>
      </c>
      <c r="I55" s="33" t="n">
        <v>3</v>
      </c>
      <c r="J55" s="33" t="n">
        <v>1</v>
      </c>
      <c r="K55" s="33" t="s">
        <v>20</v>
      </c>
    </row>
    <row r="56" customFormat="false" ht="15" hidden="false" customHeight="false" outlineLevel="0" collapsed="false">
      <c r="A56" s="5" t="n">
        <f aca="false">RANDBETWEEN(2,164)</f>
        <v>65</v>
      </c>
      <c r="B56" s="5" t="n">
        <f aca="false" t="array" ref="B56:B56">INDEX(Data_DBD!$C:$C,$A56)</f>
        <v>3</v>
      </c>
      <c r="C56" s="5" t="n">
        <f aca="false" t="array" ref="C56:C56">INDEX(Data_DBD!$E:$E,$A56)</f>
        <v>0</v>
      </c>
      <c r="D56" s="5" t="str">
        <f aca="false" t="array" ref="D56:D56">INDEX(Data_DBD!$F:$F,$A56)</f>
        <v>Sedang</v>
      </c>
      <c r="H56" s="33" t="n">
        <v>119</v>
      </c>
      <c r="I56" s="33" t="n">
        <v>7</v>
      </c>
      <c r="J56" s="33" t="n">
        <v>0</v>
      </c>
      <c r="K56" s="33" t="s">
        <v>115</v>
      </c>
    </row>
    <row r="57" customFormat="false" ht="15" hidden="false" customHeight="false" outlineLevel="0" collapsed="false">
      <c r="A57" s="5" t="n">
        <f aca="false">RANDBETWEEN(2,164)</f>
        <v>116</v>
      </c>
      <c r="B57" s="5" t="n">
        <f aca="false" t="array" ref="B57:B57">INDEX(Data_DBD!$C:$C,$A57)</f>
        <v>4</v>
      </c>
      <c r="C57" s="5" t="n">
        <f aca="false" t="array" ref="C57:C57">INDEX(Data_DBD!$E:$E,$A57)</f>
        <v>1</v>
      </c>
      <c r="D57" s="5" t="str">
        <f aca="false" t="array" ref="D57:D57">INDEX(Data_DBD!$F:$F,$A57)</f>
        <v>Tinggi</v>
      </c>
      <c r="H57" s="33" t="n">
        <v>161</v>
      </c>
      <c r="I57" s="33" t="n">
        <v>3</v>
      </c>
      <c r="J57" s="33" t="n">
        <v>1</v>
      </c>
      <c r="K57" s="33" t="s">
        <v>115</v>
      </c>
    </row>
    <row r="58" customFormat="false" ht="15" hidden="false" customHeight="false" outlineLevel="0" collapsed="false">
      <c r="A58" s="5" t="n">
        <f aca="false">RANDBETWEEN(2,164)</f>
        <v>139</v>
      </c>
      <c r="B58" s="5" t="n">
        <f aca="false" t="array" ref="B58:B58">INDEX(Data_DBD!$C:$C,$A58)</f>
        <v>7</v>
      </c>
      <c r="C58" s="5" t="n">
        <f aca="false" t="array" ref="C58:C58">INDEX(Data_DBD!$E:$E,$A58)</f>
        <v>0</v>
      </c>
      <c r="D58" s="5" t="str">
        <f aca="false" t="array" ref="D58:D58">INDEX(Data_DBD!$F:$F,$A58)</f>
        <v>Tinggi</v>
      </c>
      <c r="H58" s="33" t="n">
        <v>51</v>
      </c>
      <c r="I58" s="33" t="n">
        <v>4</v>
      </c>
      <c r="J58" s="33" t="n">
        <v>0</v>
      </c>
      <c r="K58" s="33" t="s">
        <v>7</v>
      </c>
    </row>
    <row r="59" customFormat="false" ht="15" hidden="false" customHeight="false" outlineLevel="0" collapsed="false">
      <c r="A59" s="5" t="n">
        <f aca="false">RANDBETWEEN(2,164)</f>
        <v>105</v>
      </c>
      <c r="B59" s="5" t="n">
        <f aca="false" t="array" ref="B59:B59">INDEX(Data_DBD!$C:$C,$A59)</f>
        <v>3</v>
      </c>
      <c r="C59" s="5" t="n">
        <f aca="false" t="array" ref="C59:C59">INDEX(Data_DBD!$E:$E,$A59)</f>
        <v>1</v>
      </c>
      <c r="D59" s="5" t="str">
        <f aca="false" t="array" ref="D59:D59">INDEX(Data_DBD!$F:$F,$A59)</f>
        <v>Sedang</v>
      </c>
      <c r="H59" s="33" t="n">
        <v>135</v>
      </c>
      <c r="I59" s="33" t="n">
        <v>2</v>
      </c>
      <c r="J59" s="33" t="n">
        <v>0</v>
      </c>
      <c r="K59" s="33" t="s">
        <v>115</v>
      </c>
    </row>
    <row r="60" customFormat="false" ht="15" hidden="false" customHeight="false" outlineLevel="0" collapsed="false">
      <c r="A60" s="5" t="n">
        <f aca="false">RANDBETWEEN(2,164)</f>
        <v>156</v>
      </c>
      <c r="B60" s="5" t="n">
        <f aca="false" t="array" ref="B60:B60">INDEX(Data_DBD!$C:$C,$A60)</f>
        <v>2</v>
      </c>
      <c r="C60" s="5" t="n">
        <f aca="false" t="array" ref="C60:C60">INDEX(Data_DBD!$E:$E,$A60)</f>
        <v>0</v>
      </c>
      <c r="D60" s="5" t="str">
        <f aca="false" t="array" ref="D60:D60">INDEX(Data_DBD!$F:$F,$A60)</f>
        <v>Tinggi</v>
      </c>
      <c r="H60" s="33" t="n">
        <v>150</v>
      </c>
      <c r="I60" s="33" t="n">
        <v>5</v>
      </c>
      <c r="J60" s="33" t="n">
        <v>1</v>
      </c>
      <c r="K60" s="33" t="s">
        <v>115</v>
      </c>
    </row>
    <row r="61" customFormat="false" ht="15" hidden="false" customHeight="false" outlineLevel="0" collapsed="false">
      <c r="A61" s="5" t="n">
        <f aca="false">RANDBETWEEN(2,164)</f>
        <v>142</v>
      </c>
      <c r="B61" s="5" t="n">
        <f aca="false" t="array" ref="B61:B61">INDEX(Data_DBD!$C:$C,$A61)</f>
        <v>2</v>
      </c>
      <c r="C61" s="5" t="n">
        <f aca="false" t="array" ref="C61:C61">INDEX(Data_DBD!$E:$E,$A61)</f>
        <v>1</v>
      </c>
      <c r="D61" s="5" t="str">
        <f aca="false" t="array" ref="D61:D61">INDEX(Data_DBD!$F:$F,$A61)</f>
        <v>Tinggi</v>
      </c>
      <c r="H61" s="33" t="n">
        <v>75</v>
      </c>
      <c r="I61" s="33" t="n">
        <v>2</v>
      </c>
      <c r="J61" s="33" t="n">
        <v>1</v>
      </c>
      <c r="K61" s="33" t="s">
        <v>7</v>
      </c>
    </row>
    <row r="62" customFormat="false" ht="15" hidden="false" customHeight="false" outlineLevel="0" collapsed="false">
      <c r="A62" s="5" t="n">
        <f aca="false">RANDBETWEEN(2,164)</f>
        <v>73</v>
      </c>
      <c r="B62" s="5" t="n">
        <f aca="false" t="array" ref="B62:B62">INDEX(Data_DBD!$C:$C,$A62)</f>
        <v>3</v>
      </c>
      <c r="C62" s="5" t="n">
        <f aca="false" t="array" ref="C62:C62">INDEX(Data_DBD!$E:$E,$A62)</f>
        <v>1</v>
      </c>
      <c r="D62" s="5" t="str">
        <f aca="false" t="array" ref="D62:D62">INDEX(Data_DBD!$F:$F,$A62)</f>
        <v>Rendah</v>
      </c>
      <c r="H62" s="33" t="n">
        <v>161</v>
      </c>
      <c r="I62" s="33" t="n">
        <v>3</v>
      </c>
      <c r="J62" s="33" t="n">
        <v>1</v>
      </c>
      <c r="K62" s="33" t="s">
        <v>115</v>
      </c>
    </row>
    <row r="63" customFormat="false" ht="15" hidden="false" customHeight="false" outlineLevel="0" collapsed="false">
      <c r="A63" s="5" t="n">
        <f aca="false">RANDBETWEEN(2,164)</f>
        <v>43</v>
      </c>
      <c r="B63" s="5" t="n">
        <f aca="false" t="array" ref="B63:B63">INDEX(Data_DBD!$C:$C,$A63)</f>
        <v>4</v>
      </c>
      <c r="C63" s="5" t="n">
        <f aca="false" t="array" ref="C63:C63">INDEX(Data_DBD!$E:$E,$A63)</f>
        <v>0</v>
      </c>
      <c r="D63" s="5" t="str">
        <f aca="false" t="array" ref="D63:D63">INDEX(Data_DBD!$F:$F,$A63)</f>
        <v>Sedang</v>
      </c>
      <c r="H63" s="33" t="n">
        <v>134</v>
      </c>
      <c r="I63" s="33" t="n">
        <v>2</v>
      </c>
      <c r="J63" s="33" t="n">
        <v>1</v>
      </c>
      <c r="K63" s="33" t="s">
        <v>115</v>
      </c>
    </row>
    <row r="64" customFormat="false" ht="15" hidden="false" customHeight="false" outlineLevel="0" collapsed="false">
      <c r="A64" s="5" t="n">
        <f aca="false">RANDBETWEEN(2,164)</f>
        <v>48</v>
      </c>
      <c r="B64" s="5" t="n">
        <f aca="false" t="array" ref="B64:B64">INDEX(Data_DBD!$C:$C,$A64)</f>
        <v>5</v>
      </c>
      <c r="C64" s="5" t="n">
        <f aca="false" t="array" ref="C64:C64">INDEX(Data_DBD!$E:$E,$A64)</f>
        <v>1</v>
      </c>
      <c r="D64" s="5" t="str">
        <f aca="false" t="array" ref="D64:D64">INDEX(Data_DBD!$F:$F,$A64)</f>
        <v>Sedang</v>
      </c>
      <c r="H64" s="33" t="n">
        <v>143</v>
      </c>
      <c r="I64" s="33" t="n">
        <v>4</v>
      </c>
      <c r="J64" s="33" t="n">
        <v>1</v>
      </c>
      <c r="K64" s="33" t="s">
        <v>115</v>
      </c>
    </row>
    <row r="65" customFormat="false" ht="15" hidden="false" customHeight="false" outlineLevel="0" collapsed="false">
      <c r="A65" s="5" t="n">
        <f aca="false">RANDBETWEEN(2,164)</f>
        <v>5</v>
      </c>
      <c r="B65" s="5" t="n">
        <f aca="false" t="array" ref="B65:B65">INDEX(Data_DBD!$C:$C,$A65)</f>
        <v>2</v>
      </c>
      <c r="C65" s="5" t="n">
        <f aca="false" t="array" ref="C65:C65">INDEX(Data_DBD!$E:$E,$A65)</f>
        <v>1</v>
      </c>
      <c r="D65" s="5" t="str">
        <f aca="false" t="array" ref="D65:D65">INDEX(Data_DBD!$F:$F,$A65)</f>
        <v>Sedang</v>
      </c>
      <c r="H65" s="33" t="n">
        <v>67</v>
      </c>
      <c r="I65" s="33" t="n">
        <v>3</v>
      </c>
      <c r="J65" s="33" t="n">
        <v>1</v>
      </c>
      <c r="K65" s="33" t="s">
        <v>7</v>
      </c>
    </row>
    <row r="66" customFormat="false" ht="15" hidden="false" customHeight="false" outlineLevel="0" collapsed="false">
      <c r="A66" s="5" t="n">
        <f aca="false">RANDBETWEEN(2,164)</f>
        <v>135</v>
      </c>
      <c r="B66" s="5" t="n">
        <f aca="false" t="array" ref="B66:B66">INDEX(Data_DBD!$C:$C,$A66)</f>
        <v>2</v>
      </c>
      <c r="C66" s="5" t="n">
        <f aca="false" t="array" ref="C66:C66">INDEX(Data_DBD!$E:$E,$A66)</f>
        <v>0</v>
      </c>
      <c r="D66" s="5" t="str">
        <f aca="false" t="array" ref="D66:D66">INDEX(Data_DBD!$F:$F,$A66)</f>
        <v>Tinggi</v>
      </c>
      <c r="H66" s="33" t="n">
        <v>68</v>
      </c>
      <c r="I66" s="33" t="n">
        <v>5</v>
      </c>
      <c r="J66" s="33" t="n">
        <v>0</v>
      </c>
      <c r="K66" s="33" t="s">
        <v>7</v>
      </c>
    </row>
    <row r="67" customFormat="false" ht="15" hidden="false" customHeight="false" outlineLevel="0" collapsed="false">
      <c r="A67" s="5" t="n">
        <f aca="false">RANDBETWEEN(2,164)</f>
        <v>63</v>
      </c>
      <c r="B67" s="5" t="n">
        <f aca="false" t="array" ref="B67:B67">INDEX(Data_DBD!$C:$C,$A67)</f>
        <v>3</v>
      </c>
      <c r="C67" s="5" t="n">
        <f aca="false" t="array" ref="C67:C67">INDEX(Data_DBD!$E:$E,$A67)</f>
        <v>0</v>
      </c>
      <c r="D67" s="5" t="str">
        <f aca="false" t="array" ref="D67:D67">INDEX(Data_DBD!$F:$F,$A67)</f>
        <v>Sedang</v>
      </c>
      <c r="H67" s="33" t="n">
        <v>76</v>
      </c>
      <c r="I67" s="33" t="n">
        <v>2</v>
      </c>
      <c r="J67" s="33" t="n">
        <v>0</v>
      </c>
      <c r="K67" s="33" t="s">
        <v>7</v>
      </c>
    </row>
    <row r="68" customFormat="false" ht="15" hidden="false" customHeight="false" outlineLevel="0" collapsed="false">
      <c r="A68" s="5" t="n">
        <f aca="false">RANDBETWEEN(2,164)</f>
        <v>20</v>
      </c>
      <c r="B68" s="5" t="n">
        <f aca="false" t="array" ref="B68:B68">INDEX(Data_DBD!$C:$C,$A68)</f>
        <v>5</v>
      </c>
      <c r="C68" s="5" t="n">
        <f aca="false" t="array" ref="C68:C68">INDEX(Data_DBD!$E:$E,$A68)</f>
        <v>0</v>
      </c>
      <c r="D68" s="5" t="str">
        <f aca="false" t="array" ref="D68:D68">INDEX(Data_DBD!$F:$F,$A68)</f>
        <v>Rendah</v>
      </c>
      <c r="H68" s="33" t="n">
        <v>95</v>
      </c>
      <c r="I68" s="33" t="n">
        <v>3</v>
      </c>
      <c r="J68" s="33" t="n">
        <v>1</v>
      </c>
      <c r="K68" s="33" t="s">
        <v>115</v>
      </c>
    </row>
    <row r="69" customFormat="false" ht="15" hidden="false" customHeight="false" outlineLevel="0" collapsed="false">
      <c r="A69" s="5" t="n">
        <f aca="false">RANDBETWEEN(2,164)</f>
        <v>131</v>
      </c>
      <c r="B69" s="5" t="n">
        <f aca="false" t="array" ref="B69:B69">INDEX(Data_DBD!$C:$C,$A69)</f>
        <v>2</v>
      </c>
      <c r="C69" s="5" t="n">
        <f aca="false" t="array" ref="C69:C69">INDEX(Data_DBD!$E:$E,$A69)</f>
        <v>0</v>
      </c>
      <c r="D69" s="5" t="str">
        <f aca="false" t="array" ref="D69:D69">INDEX(Data_DBD!$F:$F,$A69)</f>
        <v>Tinggi</v>
      </c>
      <c r="H69" s="33" t="n">
        <v>37</v>
      </c>
      <c r="I69" s="33" t="n">
        <v>4</v>
      </c>
      <c r="J69" s="33" t="n">
        <v>1</v>
      </c>
      <c r="K69" s="33" t="s">
        <v>20</v>
      </c>
    </row>
    <row r="70" customFormat="false" ht="15" hidden="false" customHeight="false" outlineLevel="0" collapsed="false">
      <c r="A70" s="5" t="n">
        <f aca="false">RANDBETWEEN(2,164)</f>
        <v>121</v>
      </c>
      <c r="B70" s="5" t="n">
        <f aca="false" t="array" ref="B70:B70">INDEX(Data_DBD!$C:$C,$A70)</f>
        <v>5</v>
      </c>
      <c r="C70" s="5" t="n">
        <f aca="false" t="array" ref="C70:C70">INDEX(Data_DBD!$E:$E,$A70)</f>
        <v>1</v>
      </c>
      <c r="D70" s="5" t="str">
        <f aca="false" t="array" ref="D70:D70">INDEX(Data_DBD!$F:$F,$A70)</f>
        <v>Tinggi</v>
      </c>
      <c r="H70" s="33" t="n">
        <v>80</v>
      </c>
      <c r="I70" s="33" t="n">
        <v>3</v>
      </c>
      <c r="J70" s="33" t="n">
        <v>1</v>
      </c>
      <c r="K70" s="33" t="s">
        <v>7</v>
      </c>
    </row>
    <row r="71" customFormat="false" ht="15" hidden="false" customHeight="false" outlineLevel="0" collapsed="false">
      <c r="A71" s="5" t="n">
        <f aca="false">RANDBETWEEN(2,164)</f>
        <v>134</v>
      </c>
      <c r="B71" s="5" t="n">
        <f aca="false" t="array" ref="B71:B71">INDEX(Data_DBD!$C:$C,$A71)</f>
        <v>2</v>
      </c>
      <c r="C71" s="5" t="n">
        <f aca="false" t="array" ref="C71:C71">INDEX(Data_DBD!$E:$E,$A71)</f>
        <v>1</v>
      </c>
      <c r="D71" s="5" t="str">
        <f aca="false" t="array" ref="D71:D71">INDEX(Data_DBD!$F:$F,$A71)</f>
        <v>Tinggi</v>
      </c>
      <c r="H71" s="33" t="n">
        <v>84</v>
      </c>
      <c r="I71" s="33" t="n">
        <v>4</v>
      </c>
      <c r="J71" s="33" t="n">
        <v>1</v>
      </c>
      <c r="K71" s="33" t="s">
        <v>7</v>
      </c>
    </row>
    <row r="72" customFormat="false" ht="15" hidden="false" customHeight="false" outlineLevel="0" collapsed="false">
      <c r="A72" s="5" t="n">
        <f aca="false">RANDBETWEEN(2,164)</f>
        <v>3</v>
      </c>
      <c r="B72" s="5" t="n">
        <f aca="false" t="array" ref="B72:B72">INDEX(Data_DBD!$C:$C,$A72)</f>
        <v>3</v>
      </c>
      <c r="C72" s="5" t="n">
        <f aca="false" t="array" ref="C72:C72">INDEX(Data_DBD!$E:$E,$A72)</f>
        <v>1</v>
      </c>
      <c r="D72" s="5" t="str">
        <f aca="false" t="array" ref="D72:D72">INDEX(Data_DBD!$F:$F,$A72)</f>
        <v>Sedang</v>
      </c>
      <c r="H72" s="33" t="n">
        <v>100</v>
      </c>
      <c r="I72" s="33" t="n">
        <v>6</v>
      </c>
      <c r="J72" s="33" t="n">
        <v>0</v>
      </c>
      <c r="K72" s="33" t="s">
        <v>115</v>
      </c>
    </row>
    <row r="73" customFormat="false" ht="15" hidden="false" customHeight="false" outlineLevel="0" collapsed="false">
      <c r="A73" s="5" t="n">
        <f aca="false">RANDBETWEEN(2,164)</f>
        <v>123</v>
      </c>
      <c r="B73" s="5" t="n">
        <f aca="false" t="array" ref="B73:B73">INDEX(Data_DBD!$C:$C,$A73)</f>
        <v>4</v>
      </c>
      <c r="C73" s="5" t="n">
        <f aca="false" t="array" ref="C73:C73">INDEX(Data_DBD!$E:$E,$A73)</f>
        <v>0</v>
      </c>
      <c r="D73" s="5" t="str">
        <f aca="false" t="array" ref="D73:D73">INDEX(Data_DBD!$F:$F,$A73)</f>
        <v>Tinggi</v>
      </c>
      <c r="H73" s="33" t="n">
        <v>146</v>
      </c>
      <c r="I73" s="33" t="n">
        <v>2</v>
      </c>
      <c r="J73" s="33" t="n">
        <v>1</v>
      </c>
      <c r="K73" s="33" t="s">
        <v>115</v>
      </c>
    </row>
    <row r="74" customFormat="false" ht="15" hidden="false" customHeight="false" outlineLevel="0" collapsed="false">
      <c r="A74" s="5" t="n">
        <f aca="false">RANDBETWEEN(2,164)</f>
        <v>37</v>
      </c>
      <c r="B74" s="5" t="n">
        <f aca="false" t="array" ref="B74:B74">INDEX(Data_DBD!$C:$C,$A74)</f>
        <v>4</v>
      </c>
      <c r="C74" s="5" t="n">
        <f aca="false" t="array" ref="C74:C74">INDEX(Data_DBD!$E:$E,$A74)</f>
        <v>1</v>
      </c>
      <c r="D74" s="5" t="str">
        <f aca="false" t="array" ref="D74:D74">INDEX(Data_DBD!$F:$F,$A74)</f>
        <v>Rendah</v>
      </c>
      <c r="H74" s="33" t="n">
        <v>143</v>
      </c>
      <c r="I74" s="33" t="n">
        <v>4</v>
      </c>
      <c r="J74" s="33" t="n">
        <v>1</v>
      </c>
      <c r="K74" s="33" t="s">
        <v>115</v>
      </c>
    </row>
    <row r="75" customFormat="false" ht="15" hidden="false" customHeight="false" outlineLevel="0" collapsed="false">
      <c r="A75" s="5" t="n">
        <f aca="false">RANDBETWEEN(2,164)</f>
        <v>93</v>
      </c>
      <c r="B75" s="5" t="n">
        <f aca="false" t="array" ref="B75:B75">INDEX(Data_DBD!$C:$C,$A75)</f>
        <v>4</v>
      </c>
      <c r="C75" s="5" t="n">
        <f aca="false" t="array" ref="C75:C75">INDEX(Data_DBD!$E:$E,$A75)</f>
        <v>0</v>
      </c>
      <c r="D75" s="5" t="str">
        <f aca="false" t="array" ref="D75:D75">INDEX(Data_DBD!$F:$F,$A75)</f>
        <v>Sedang</v>
      </c>
      <c r="H75" s="33" t="n">
        <v>89</v>
      </c>
      <c r="I75" s="33" t="n">
        <v>4</v>
      </c>
      <c r="J75" s="33" t="n">
        <v>0</v>
      </c>
      <c r="K75" s="33" t="s">
        <v>7</v>
      </c>
    </row>
    <row r="76" customFormat="false" ht="15" hidden="false" customHeight="false" outlineLevel="0" collapsed="false">
      <c r="A76" s="5" t="n">
        <f aca="false">RANDBETWEEN(2,164)</f>
        <v>15</v>
      </c>
      <c r="B76" s="5" t="n">
        <f aca="false" t="array" ref="B76:B76">INDEX(Data_DBD!$C:$C,$A76)</f>
        <v>2</v>
      </c>
      <c r="C76" s="5" t="n">
        <f aca="false" t="array" ref="C76:C76">INDEX(Data_DBD!$E:$E,$A76)</f>
        <v>0</v>
      </c>
      <c r="D76" s="5" t="str">
        <f aca="false" t="array" ref="D76:D76">INDEX(Data_DBD!$F:$F,$A76)</f>
        <v>Rendah</v>
      </c>
      <c r="H76" s="33" t="n">
        <v>59</v>
      </c>
      <c r="I76" s="33" t="n">
        <v>4</v>
      </c>
      <c r="J76" s="33" t="n">
        <v>0</v>
      </c>
      <c r="K76" s="33" t="s">
        <v>7</v>
      </c>
    </row>
    <row r="77" customFormat="false" ht="15" hidden="false" customHeight="false" outlineLevel="0" collapsed="false">
      <c r="A77" s="5" t="n">
        <f aca="false">RANDBETWEEN(2,164)</f>
        <v>91</v>
      </c>
      <c r="B77" s="5" t="n">
        <f aca="false" t="array" ref="B77:B77">INDEX(Data_DBD!$C:$C,$A77)</f>
        <v>1</v>
      </c>
      <c r="C77" s="5" t="n">
        <f aca="false" t="array" ref="C77:C77">INDEX(Data_DBD!$E:$E,$A77)</f>
        <v>1</v>
      </c>
      <c r="D77" s="5" t="str">
        <f aca="false" t="array" ref="D77:D77">INDEX(Data_DBD!$F:$F,$A77)</f>
        <v>Sedang</v>
      </c>
      <c r="H77" s="33" t="n">
        <v>144</v>
      </c>
      <c r="I77" s="33" t="n">
        <v>4</v>
      </c>
      <c r="J77" s="33" t="n">
        <v>1</v>
      </c>
      <c r="K77" s="33" t="s">
        <v>115</v>
      </c>
    </row>
    <row r="78" customFormat="false" ht="15" hidden="false" customHeight="false" outlineLevel="0" collapsed="false">
      <c r="A78" s="5" t="n">
        <f aca="false">RANDBETWEEN(2,164)</f>
        <v>111</v>
      </c>
      <c r="B78" s="5" t="n">
        <f aca="false" t="array" ref="B78:B78">INDEX(Data_DBD!$C:$C,$A78)</f>
        <v>4</v>
      </c>
      <c r="C78" s="5" t="n">
        <f aca="false" t="array" ref="C78:C78">INDEX(Data_DBD!$E:$E,$A78)</f>
        <v>0</v>
      </c>
      <c r="D78" s="5" t="str">
        <f aca="false" t="array" ref="D78:D78">INDEX(Data_DBD!$F:$F,$A78)</f>
        <v>Tinggi</v>
      </c>
      <c r="H78" s="33" t="n">
        <v>110</v>
      </c>
      <c r="I78" s="33" t="n">
        <v>2</v>
      </c>
      <c r="J78" s="33" t="n">
        <v>1</v>
      </c>
      <c r="K78" s="33" t="s">
        <v>115</v>
      </c>
    </row>
    <row r="79" customFormat="false" ht="15" hidden="false" customHeight="false" outlineLevel="0" collapsed="false">
      <c r="A79" s="5" t="n">
        <f aca="false">RANDBETWEEN(2,164)</f>
        <v>113</v>
      </c>
      <c r="B79" s="5" t="n">
        <f aca="false" t="array" ref="B79:B79">INDEX(Data_DBD!$C:$C,$A79)</f>
        <v>1</v>
      </c>
      <c r="C79" s="5" t="n">
        <f aca="false" t="array" ref="C79:C79">INDEX(Data_DBD!$E:$E,$A79)</f>
        <v>1</v>
      </c>
      <c r="D79" s="5" t="str">
        <f aca="false" t="array" ref="D79:D79">INDEX(Data_DBD!$F:$F,$A79)</f>
        <v>Tinggi</v>
      </c>
      <c r="H79" s="33" t="n">
        <v>59</v>
      </c>
      <c r="I79" s="33" t="n">
        <v>4</v>
      </c>
      <c r="J79" s="33" t="n">
        <v>0</v>
      </c>
      <c r="K79" s="33" t="s">
        <v>7</v>
      </c>
    </row>
    <row r="80" customFormat="false" ht="15" hidden="false" customHeight="false" outlineLevel="0" collapsed="false">
      <c r="A80" s="5" t="n">
        <f aca="false">RANDBETWEEN(2,164)</f>
        <v>58</v>
      </c>
      <c r="B80" s="5" t="n">
        <f aca="false" t="array" ref="B80:B80">INDEX(Data_DBD!$C:$C,$A80)</f>
        <v>3</v>
      </c>
      <c r="C80" s="5" t="n">
        <f aca="false" t="array" ref="C80:C80">INDEX(Data_DBD!$E:$E,$A80)</f>
        <v>0</v>
      </c>
      <c r="D80" s="5" t="str">
        <f aca="false" t="array" ref="D80:D80">INDEX(Data_DBD!$F:$F,$A80)</f>
        <v>Sedang</v>
      </c>
      <c r="H80" s="33" t="n">
        <v>72</v>
      </c>
      <c r="I80" s="33" t="n">
        <v>5</v>
      </c>
      <c r="J80" s="33" t="n">
        <v>1</v>
      </c>
      <c r="K80" s="33" t="s">
        <v>7</v>
      </c>
    </row>
    <row r="81" customFormat="false" ht="15" hidden="false" customHeight="false" outlineLevel="0" collapsed="false">
      <c r="A81" s="5" t="n">
        <f aca="false">RANDBETWEEN(2,164)</f>
        <v>74</v>
      </c>
      <c r="B81" s="5" t="n">
        <f aca="false" t="array" ref="B81:B81">INDEX(Data_DBD!$C:$C,$A81)</f>
        <v>4</v>
      </c>
      <c r="C81" s="5" t="n">
        <f aca="false" t="array" ref="C81:C81">INDEX(Data_DBD!$E:$E,$A81)</f>
        <v>0</v>
      </c>
      <c r="D81" s="5" t="str">
        <f aca="false" t="array" ref="D81:D81">INDEX(Data_DBD!$F:$F,$A81)</f>
        <v>Rendah</v>
      </c>
      <c r="H81" s="33" t="n">
        <v>113</v>
      </c>
      <c r="I81" s="33" t="n">
        <v>1</v>
      </c>
      <c r="J81" s="33" t="n">
        <v>1</v>
      </c>
      <c r="K81" s="33" t="s">
        <v>115</v>
      </c>
    </row>
    <row r="82" customFormat="false" ht="15" hidden="false" customHeight="false" outlineLevel="0" collapsed="false">
      <c r="A82" s="5" t="n">
        <f aca="false">RANDBETWEEN(2,164)</f>
        <v>91</v>
      </c>
      <c r="B82" s="5" t="n">
        <f aca="false" t="array" ref="B82:B82">INDEX(Data_DBD!$C:$C,$A82)</f>
        <v>1</v>
      </c>
      <c r="C82" s="5" t="n">
        <f aca="false" t="array" ref="C82:C82">INDEX(Data_DBD!$E:$E,$A82)</f>
        <v>1</v>
      </c>
      <c r="D82" s="5" t="str">
        <f aca="false" t="array" ref="D82:D82">INDEX(Data_DBD!$F:$F,$A82)</f>
        <v>Sedang</v>
      </c>
      <c r="H82" s="33" t="n">
        <v>92</v>
      </c>
      <c r="I82" s="33" t="n">
        <v>7</v>
      </c>
      <c r="J82" s="33" t="n">
        <v>0</v>
      </c>
      <c r="K82" s="33" t="s">
        <v>115</v>
      </c>
    </row>
    <row r="83" customFormat="false" ht="15" hidden="false" customHeight="false" outlineLevel="0" collapsed="false">
      <c r="A83" s="5" t="n">
        <f aca="false">RANDBETWEEN(2,164)</f>
        <v>51</v>
      </c>
      <c r="B83" s="5" t="n">
        <f aca="false" t="array" ref="B83:B83">INDEX(Data_DBD!$C:$C,$A83)</f>
        <v>4</v>
      </c>
      <c r="C83" s="5" t="n">
        <f aca="false" t="array" ref="C83:C83">INDEX(Data_DBD!$E:$E,$A83)</f>
        <v>0</v>
      </c>
      <c r="D83" s="5" t="str">
        <f aca="false" t="array" ref="D83:D83">INDEX(Data_DBD!$F:$F,$A83)</f>
        <v>Sedang</v>
      </c>
      <c r="H83" s="33" t="n">
        <v>73</v>
      </c>
      <c r="I83" s="33" t="n">
        <v>3</v>
      </c>
      <c r="J83" s="33" t="n">
        <v>1</v>
      </c>
      <c r="K83" s="33" t="s">
        <v>7</v>
      </c>
    </row>
    <row r="84" customFormat="false" ht="15" hidden="false" customHeight="false" outlineLevel="0" collapsed="false">
      <c r="A84" s="5" t="n">
        <f aca="false">RANDBETWEEN(2,164)</f>
        <v>29</v>
      </c>
      <c r="B84" s="5" t="n">
        <f aca="false" t="array" ref="B84:B84">INDEX(Data_DBD!$C:$C,$A84)</f>
        <v>2</v>
      </c>
      <c r="C84" s="5" t="n">
        <f aca="false" t="array" ref="C84:C84">INDEX(Data_DBD!$E:$E,$A84)</f>
        <v>1</v>
      </c>
      <c r="D84" s="5" t="str">
        <f aca="false" t="array" ref="D84:D84">INDEX(Data_DBD!$F:$F,$A84)</f>
        <v>Sedang</v>
      </c>
      <c r="H84" s="33" t="n">
        <v>22</v>
      </c>
      <c r="I84" s="33" t="n">
        <v>3</v>
      </c>
      <c r="J84" s="33" t="n">
        <v>0</v>
      </c>
      <c r="K84" s="33" t="s">
        <v>7</v>
      </c>
    </row>
    <row r="85" customFormat="false" ht="15" hidden="false" customHeight="false" outlineLevel="0" collapsed="false">
      <c r="A85" s="5" t="n">
        <f aca="false">RANDBETWEEN(2,164)</f>
        <v>12</v>
      </c>
      <c r="B85" s="5" t="n">
        <f aca="false" t="array" ref="B85:B85">INDEX(Data_DBD!$C:$C,$A85)</f>
        <v>3</v>
      </c>
      <c r="C85" s="5" t="n">
        <f aca="false" t="array" ref="C85:C85">INDEX(Data_DBD!$E:$E,$A85)</f>
        <v>0</v>
      </c>
      <c r="D85" s="5" t="str">
        <f aca="false" t="array" ref="D85:D85">INDEX(Data_DBD!$F:$F,$A85)</f>
        <v>Sedang</v>
      </c>
      <c r="H85" s="33" t="n">
        <v>18</v>
      </c>
      <c r="I85" s="33" t="n">
        <v>4</v>
      </c>
      <c r="J85" s="33" t="n">
        <v>1</v>
      </c>
      <c r="K85" s="33" t="s">
        <v>20</v>
      </c>
    </row>
    <row r="86" customFormat="false" ht="15" hidden="false" customHeight="false" outlineLevel="0" collapsed="false">
      <c r="A86" s="5" t="n">
        <f aca="false">RANDBETWEEN(2,164)</f>
        <v>3</v>
      </c>
      <c r="B86" s="5" t="n">
        <f aca="false" t="array" ref="B86:B86">INDEX(Data_DBD!$C:$C,$A86)</f>
        <v>3</v>
      </c>
      <c r="C86" s="5" t="n">
        <f aca="false" t="array" ref="C86:C86">INDEX(Data_DBD!$E:$E,$A86)</f>
        <v>1</v>
      </c>
      <c r="D86" s="5" t="str">
        <f aca="false" t="array" ref="D86:D86">INDEX(Data_DBD!$F:$F,$A86)</f>
        <v>Sedang</v>
      </c>
      <c r="H86" s="33" t="n">
        <v>49</v>
      </c>
      <c r="I86" s="33" t="n">
        <v>5</v>
      </c>
      <c r="J86" s="33" t="n">
        <v>0</v>
      </c>
      <c r="K86" s="33" t="s">
        <v>7</v>
      </c>
    </row>
    <row r="87" customFormat="false" ht="15" hidden="false" customHeight="false" outlineLevel="0" collapsed="false">
      <c r="A87" s="5" t="n">
        <f aca="false">RANDBETWEEN(2,164)</f>
        <v>123</v>
      </c>
      <c r="B87" s="5" t="n">
        <f aca="false" t="array" ref="B87:B87">INDEX(Data_DBD!$C:$C,$A87)</f>
        <v>4</v>
      </c>
      <c r="C87" s="5" t="n">
        <f aca="false" t="array" ref="C87:C87">INDEX(Data_DBD!$E:$E,$A87)</f>
        <v>0</v>
      </c>
      <c r="D87" s="5" t="str">
        <f aca="false" t="array" ref="D87:D87">INDEX(Data_DBD!$F:$F,$A87)</f>
        <v>Tinggi</v>
      </c>
      <c r="H87" s="33" t="n">
        <v>104</v>
      </c>
      <c r="I87" s="33" t="n">
        <v>4</v>
      </c>
      <c r="J87" s="33" t="n">
        <v>1</v>
      </c>
      <c r="K87" s="33" t="s">
        <v>115</v>
      </c>
    </row>
    <row r="88" customFormat="false" ht="15" hidden="false" customHeight="false" outlineLevel="0" collapsed="false">
      <c r="A88" s="5" t="n">
        <f aca="false">RANDBETWEEN(2,164)</f>
        <v>27</v>
      </c>
      <c r="B88" s="5" t="n">
        <f aca="false" t="array" ref="B88:B88">INDEX(Data_DBD!$C:$C,$A88)</f>
        <v>4</v>
      </c>
      <c r="C88" s="5" t="n">
        <f aca="false" t="array" ref="C88:C88">INDEX(Data_DBD!$E:$E,$A88)</f>
        <v>1</v>
      </c>
      <c r="D88" s="5" t="str">
        <f aca="false" t="array" ref="D88:D88">INDEX(Data_DBD!$F:$F,$A88)</f>
        <v>Sedang</v>
      </c>
      <c r="H88" s="33" t="n">
        <v>116</v>
      </c>
      <c r="I88" s="33" t="n">
        <v>4</v>
      </c>
      <c r="J88" s="33" t="n">
        <v>1</v>
      </c>
      <c r="K88" s="33" t="s">
        <v>115</v>
      </c>
    </row>
    <row r="89" customFormat="false" ht="15" hidden="false" customHeight="false" outlineLevel="0" collapsed="false">
      <c r="A89" s="5" t="n">
        <f aca="false">RANDBETWEEN(2,164)</f>
        <v>158</v>
      </c>
      <c r="B89" s="5" t="n">
        <f aca="false" t="array" ref="B89:B89">INDEX(Data_DBD!$C:$C,$A89)</f>
        <v>2</v>
      </c>
      <c r="C89" s="5" t="n">
        <f aca="false" t="array" ref="C89:C89">INDEX(Data_DBD!$E:$E,$A89)</f>
        <v>0</v>
      </c>
      <c r="D89" s="5" t="str">
        <f aca="false" t="array" ref="D89:D89">INDEX(Data_DBD!$F:$F,$A89)</f>
        <v>Tinggi</v>
      </c>
      <c r="H89" s="33" t="n">
        <v>63</v>
      </c>
      <c r="I89" s="33" t="n">
        <v>3</v>
      </c>
      <c r="J89" s="33" t="n">
        <v>0</v>
      </c>
      <c r="K89" s="33" t="s">
        <v>7</v>
      </c>
    </row>
    <row r="90" customFormat="false" ht="15" hidden="false" customHeight="false" outlineLevel="0" collapsed="false">
      <c r="A90" s="5" t="n">
        <f aca="false">RANDBETWEEN(2,164)</f>
        <v>37</v>
      </c>
      <c r="B90" s="5" t="n">
        <f aca="false" t="array" ref="B90:B90">INDEX(Data_DBD!$C:$C,$A90)</f>
        <v>4</v>
      </c>
      <c r="C90" s="5" t="n">
        <f aca="false" t="array" ref="C90:C90">INDEX(Data_DBD!$E:$E,$A90)</f>
        <v>1</v>
      </c>
      <c r="D90" s="5" t="str">
        <f aca="false" t="array" ref="D90:D90">INDEX(Data_DBD!$F:$F,$A90)</f>
        <v>Rendah</v>
      </c>
      <c r="H90" s="33" t="n">
        <v>125</v>
      </c>
      <c r="I90" s="33" t="n">
        <v>4</v>
      </c>
      <c r="J90" s="33" t="n">
        <v>0</v>
      </c>
      <c r="K90" s="33" t="s">
        <v>115</v>
      </c>
    </row>
    <row r="91" customFormat="false" ht="15" hidden="false" customHeight="false" outlineLevel="0" collapsed="false">
      <c r="A91" s="5" t="n">
        <f aca="false">RANDBETWEEN(2,164)</f>
        <v>31</v>
      </c>
      <c r="B91" s="5" t="n">
        <f aca="false" t="array" ref="B91:B91">INDEX(Data_DBD!$C:$C,$A91)</f>
        <v>4</v>
      </c>
      <c r="C91" s="5" t="n">
        <f aca="false" t="array" ref="C91:C91">INDEX(Data_DBD!$E:$E,$A91)</f>
        <v>1</v>
      </c>
      <c r="D91" s="5" t="str">
        <f aca="false" t="array" ref="D91:D91">INDEX(Data_DBD!$F:$F,$A91)</f>
        <v>Sedang</v>
      </c>
      <c r="H91" s="33" t="n">
        <v>73</v>
      </c>
      <c r="I91" s="33" t="n">
        <v>3</v>
      </c>
      <c r="J91" s="33" t="n">
        <v>1</v>
      </c>
      <c r="K91" s="33" t="s">
        <v>7</v>
      </c>
    </row>
    <row r="92" customFormat="false" ht="15" hidden="false" customHeight="false" outlineLevel="0" collapsed="false">
      <c r="A92" s="5" t="n">
        <f aca="false">RANDBETWEEN(2,164)</f>
        <v>150</v>
      </c>
      <c r="B92" s="5" t="n">
        <f aca="false" t="array" ref="B92:B92">INDEX(Data_DBD!$C:$C,$A92)</f>
        <v>5</v>
      </c>
      <c r="C92" s="5" t="n">
        <f aca="false" t="array" ref="C92:C92">INDEX(Data_DBD!$E:$E,$A92)</f>
        <v>1</v>
      </c>
      <c r="D92" s="5" t="str">
        <f aca="false" t="array" ref="D92:D92">INDEX(Data_DBD!$F:$F,$A92)</f>
        <v>Tinggi</v>
      </c>
      <c r="H92" s="33" t="n">
        <v>25</v>
      </c>
      <c r="I92" s="33" t="n">
        <v>5</v>
      </c>
      <c r="J92" s="33" t="n">
        <v>0</v>
      </c>
      <c r="K92" s="33" t="s">
        <v>7</v>
      </c>
    </row>
    <row r="93" customFormat="false" ht="15" hidden="false" customHeight="false" outlineLevel="0" collapsed="false">
      <c r="A93" s="5" t="n">
        <f aca="false">RANDBETWEEN(2,164)</f>
        <v>6</v>
      </c>
      <c r="B93" s="5" t="n">
        <f aca="false" t="array" ref="B93:B93">INDEX(Data_DBD!$C:$C,$A93)</f>
        <v>4</v>
      </c>
      <c r="C93" s="5" t="n">
        <f aca="false" t="array" ref="C93:C93">INDEX(Data_DBD!$E:$E,$A93)</f>
        <v>0</v>
      </c>
      <c r="D93" s="5" t="str">
        <f aca="false" t="array" ref="D93:D93">INDEX(Data_DBD!$F:$F,$A93)</f>
        <v>Sedang</v>
      </c>
      <c r="H93" s="33" t="n">
        <v>148</v>
      </c>
      <c r="I93" s="33" t="n">
        <v>3</v>
      </c>
      <c r="J93" s="33" t="n">
        <v>1</v>
      </c>
      <c r="K93" s="33" t="s">
        <v>115</v>
      </c>
    </row>
    <row r="94" customFormat="false" ht="15" hidden="false" customHeight="false" outlineLevel="0" collapsed="false">
      <c r="A94" s="5" t="n">
        <f aca="false">RANDBETWEEN(2,164)</f>
        <v>132</v>
      </c>
      <c r="B94" s="5" t="n">
        <f aca="false" t="array" ref="B94:B94">INDEX(Data_DBD!$C:$C,$A94)</f>
        <v>3</v>
      </c>
      <c r="C94" s="5" t="n">
        <f aca="false" t="array" ref="C94:C94">INDEX(Data_DBD!$E:$E,$A94)</f>
        <v>1</v>
      </c>
      <c r="D94" s="5" t="str">
        <f aca="false" t="array" ref="D94:D94">INDEX(Data_DBD!$F:$F,$A94)</f>
        <v>Tinggi</v>
      </c>
      <c r="H94" s="33" t="n">
        <v>39</v>
      </c>
      <c r="I94" s="33" t="n">
        <v>5</v>
      </c>
      <c r="J94" s="33" t="n">
        <v>1</v>
      </c>
      <c r="K94" s="33" t="s">
        <v>7</v>
      </c>
    </row>
    <row r="95" customFormat="false" ht="15" hidden="false" customHeight="false" outlineLevel="0" collapsed="false">
      <c r="A95" s="5" t="n">
        <f aca="false">RANDBETWEEN(2,164)</f>
        <v>2</v>
      </c>
      <c r="B95" s="5" t="n">
        <f aca="false" t="array" ref="B95:B95">INDEX(Data_DBD!$C:$C,$A95)</f>
        <v>3</v>
      </c>
      <c r="C95" s="5" t="n">
        <f aca="false" t="array" ref="C95:C95">INDEX(Data_DBD!$E:$E,$A95)</f>
        <v>0</v>
      </c>
      <c r="D95" s="5" t="str">
        <f aca="false" t="array" ref="D95:D95">INDEX(Data_DBD!$F:$F,$A95)</f>
        <v>Sedang</v>
      </c>
      <c r="H95" s="33" t="n">
        <v>36</v>
      </c>
      <c r="I95" s="33" t="n">
        <v>1</v>
      </c>
      <c r="J95" s="33" t="n">
        <v>1</v>
      </c>
      <c r="K95" s="33" t="s">
        <v>20</v>
      </c>
    </row>
    <row r="96" customFormat="false" ht="15" hidden="false" customHeight="false" outlineLevel="0" collapsed="false">
      <c r="A96" s="5" t="n">
        <f aca="false">RANDBETWEEN(2,164)</f>
        <v>2</v>
      </c>
      <c r="B96" s="5" t="n">
        <f aca="false" t="array" ref="B96:B96">INDEX(Data_DBD!$C:$C,$A96)</f>
        <v>3</v>
      </c>
      <c r="C96" s="5" t="n">
        <f aca="false" t="array" ref="C96:C96">INDEX(Data_DBD!$E:$E,$A96)</f>
        <v>0</v>
      </c>
      <c r="D96" s="5" t="str">
        <f aca="false" t="array" ref="D96:D96">INDEX(Data_DBD!$F:$F,$A96)</f>
        <v>Sedang</v>
      </c>
      <c r="H96" s="33" t="n">
        <v>111</v>
      </c>
      <c r="I96" s="33" t="n">
        <v>4</v>
      </c>
      <c r="J96" s="33" t="n">
        <v>0</v>
      </c>
      <c r="K96" s="33" t="s">
        <v>115</v>
      </c>
    </row>
    <row r="97" customFormat="false" ht="15" hidden="false" customHeight="false" outlineLevel="0" collapsed="false">
      <c r="A97" s="5" t="n">
        <f aca="false">RANDBETWEEN(2,164)</f>
        <v>104</v>
      </c>
      <c r="B97" s="5" t="n">
        <f aca="false" t="array" ref="B97:B97">INDEX(Data_DBD!$C:$C,$A97)</f>
        <v>4</v>
      </c>
      <c r="C97" s="5" t="n">
        <f aca="false" t="array" ref="C97:C97">INDEX(Data_DBD!$E:$E,$A97)</f>
        <v>1</v>
      </c>
      <c r="D97" s="5" t="str">
        <f aca="false" t="array" ref="D97:D97">INDEX(Data_DBD!$F:$F,$A97)</f>
        <v>Sedang</v>
      </c>
      <c r="H97" s="33" t="n">
        <v>57</v>
      </c>
      <c r="I97" s="33" t="n">
        <v>2</v>
      </c>
      <c r="J97" s="33" t="n">
        <v>1</v>
      </c>
      <c r="K97" s="33" t="s">
        <v>7</v>
      </c>
    </row>
    <row r="98" customFormat="false" ht="15" hidden="false" customHeight="false" outlineLevel="0" collapsed="false">
      <c r="A98" s="5" t="n">
        <f aca="false">RANDBETWEEN(2,164)</f>
        <v>34</v>
      </c>
      <c r="B98" s="5" t="n">
        <f aca="false" t="array" ref="B98:B98">INDEX(Data_DBD!$C:$C,$A98)</f>
        <v>3</v>
      </c>
      <c r="C98" s="5" t="n">
        <f aca="false" t="array" ref="C98:C98">INDEX(Data_DBD!$E:$E,$A98)</f>
        <v>0</v>
      </c>
      <c r="D98" s="5" t="str">
        <f aca="false" t="array" ref="D98:D98">INDEX(Data_DBD!$F:$F,$A98)</f>
        <v>Sedang</v>
      </c>
      <c r="H98" s="33" t="n">
        <v>134</v>
      </c>
      <c r="I98" s="33" t="n">
        <v>2</v>
      </c>
      <c r="J98" s="33" t="n">
        <v>1</v>
      </c>
      <c r="K98" s="33" t="s">
        <v>115</v>
      </c>
    </row>
    <row r="99" customFormat="false" ht="15" hidden="false" customHeight="false" outlineLevel="0" collapsed="false">
      <c r="A99" s="5" t="n">
        <f aca="false">RANDBETWEEN(2,164)</f>
        <v>130</v>
      </c>
      <c r="B99" s="5" t="n">
        <f aca="false" t="array" ref="B99:B99">INDEX(Data_DBD!$C:$C,$A99)</f>
        <v>4</v>
      </c>
      <c r="C99" s="5" t="n">
        <f aca="false" t="array" ref="C99:C99">INDEX(Data_DBD!$E:$E,$A99)</f>
        <v>0</v>
      </c>
      <c r="D99" s="5" t="str">
        <f aca="false" t="array" ref="D99:D99">INDEX(Data_DBD!$F:$F,$A99)</f>
        <v>Tinggi</v>
      </c>
      <c r="H99" s="33" t="n">
        <v>44</v>
      </c>
      <c r="I99" s="33" t="n">
        <v>5</v>
      </c>
      <c r="J99" s="33" t="n">
        <v>1</v>
      </c>
      <c r="K99" s="33" t="s">
        <v>7</v>
      </c>
    </row>
    <row r="100" customFormat="false" ht="15" hidden="false" customHeight="false" outlineLevel="0" collapsed="false">
      <c r="A100" s="5" t="n">
        <f aca="false">RANDBETWEEN(2,164)</f>
        <v>16</v>
      </c>
      <c r="B100" s="5" t="n">
        <f aca="false" t="array" ref="B100:B100">INDEX(Data_DBD!$C:$C,$A100)</f>
        <v>5</v>
      </c>
      <c r="C100" s="5" t="n">
        <f aca="false" t="array" ref="C100:C100">INDEX(Data_DBD!$E:$E,$A100)</f>
        <v>1</v>
      </c>
      <c r="D100" s="5" t="str">
        <f aca="false" t="array" ref="D100:D100">INDEX(Data_DBD!$F:$F,$A100)</f>
        <v>Rendah</v>
      </c>
      <c r="H100" s="33" t="n">
        <v>30</v>
      </c>
      <c r="I100" s="33" t="n">
        <v>2</v>
      </c>
      <c r="J100" s="33" t="n">
        <v>1</v>
      </c>
      <c r="K100" s="33" t="s">
        <v>7</v>
      </c>
    </row>
    <row r="101" customFormat="false" ht="15" hidden="false" customHeight="false" outlineLevel="0" collapsed="false">
      <c r="A101" s="5" t="n">
        <f aca="false">RANDBETWEEN(2,164)</f>
        <v>129</v>
      </c>
      <c r="B101" s="5" t="n">
        <f aca="false" t="array" ref="B101:B101">INDEX(Data_DBD!$C:$C,$A101)</f>
        <v>3</v>
      </c>
      <c r="C101" s="5" t="n">
        <f aca="false" t="array" ref="C101:C101">INDEX(Data_DBD!$E:$E,$A101)</f>
        <v>0</v>
      </c>
      <c r="D101" s="5" t="str">
        <f aca="false" t="array" ref="D101:D101">INDEX(Data_DBD!$F:$F,$A101)</f>
        <v>Tinggi</v>
      </c>
      <c r="H101" s="33" t="n">
        <v>154</v>
      </c>
      <c r="I101" s="33" t="n">
        <v>5</v>
      </c>
      <c r="J101" s="33" t="n">
        <v>1</v>
      </c>
      <c r="K101" s="33" t="s">
        <v>115</v>
      </c>
    </row>
    <row r="102" customFormat="false" ht="15" hidden="false" customHeight="false" outlineLevel="0" collapsed="false">
      <c r="A102" s="5" t="n">
        <f aca="false">RANDBETWEEN(2,164)</f>
        <v>75</v>
      </c>
      <c r="B102" s="5" t="n">
        <f aca="false" t="array" ref="B102:B102">INDEX(Data_DBD!$C:$C,$A102)</f>
        <v>2</v>
      </c>
      <c r="C102" s="5" t="n">
        <f aca="false" t="array" ref="C102:C102">INDEX(Data_DBD!$E:$E,$A102)</f>
        <v>1</v>
      </c>
      <c r="D102" s="5" t="str">
        <f aca="false" t="array" ref="D102:D102">INDEX(Data_DBD!$F:$F,$A102)</f>
        <v>Rendah</v>
      </c>
      <c r="H102" s="33" t="n">
        <v>63</v>
      </c>
      <c r="I102" s="33" t="n">
        <v>3</v>
      </c>
      <c r="J102" s="33" t="n">
        <v>0</v>
      </c>
      <c r="K102" s="33" t="s">
        <v>7</v>
      </c>
    </row>
    <row r="103" customFormat="false" ht="15" hidden="false" customHeight="false" outlineLevel="0" collapsed="false">
      <c r="A103" s="5" t="n">
        <f aca="false">RANDBETWEEN(2,164)</f>
        <v>95</v>
      </c>
      <c r="B103" s="5" t="n">
        <f aca="false" t="array" ref="B103:B103">INDEX(Data_DBD!$C:$C,$A103)</f>
        <v>3</v>
      </c>
      <c r="C103" s="5" t="n">
        <f aca="false" t="array" ref="C103:C103">INDEX(Data_DBD!$E:$E,$A103)</f>
        <v>1</v>
      </c>
      <c r="D103" s="5" t="str">
        <f aca="false" t="array" ref="D103:D103">INDEX(Data_DBD!$F:$F,$A103)</f>
        <v>Sedang</v>
      </c>
      <c r="H103" s="33" t="n">
        <v>158</v>
      </c>
      <c r="I103" s="33" t="n">
        <v>2</v>
      </c>
      <c r="J103" s="33" t="n">
        <v>0</v>
      </c>
      <c r="K103" s="33" t="s">
        <v>115</v>
      </c>
    </row>
    <row r="104" customFormat="false" ht="15" hidden="false" customHeight="false" outlineLevel="0" collapsed="false">
      <c r="A104" s="5" t="n">
        <f aca="false">RANDBETWEEN(2,164)</f>
        <v>42</v>
      </c>
      <c r="B104" s="5" t="n">
        <f aca="false" t="array" ref="B104:B104">INDEX(Data_DBD!$C:$C,$A104)</f>
        <v>5</v>
      </c>
      <c r="C104" s="5" t="n">
        <f aca="false" t="array" ref="C104:C104">INDEX(Data_DBD!$E:$E,$A104)</f>
        <v>1</v>
      </c>
      <c r="D104" s="5" t="str">
        <f aca="false" t="array" ref="D104:D104">INDEX(Data_DBD!$F:$F,$A104)</f>
        <v>Sedang</v>
      </c>
      <c r="H104" s="33" t="n">
        <v>95</v>
      </c>
      <c r="I104" s="33" t="n">
        <v>3</v>
      </c>
      <c r="J104" s="33" t="n">
        <v>1</v>
      </c>
      <c r="K104" s="33" t="s">
        <v>115</v>
      </c>
    </row>
    <row r="105" customFormat="false" ht="15" hidden="false" customHeight="false" outlineLevel="0" collapsed="false">
      <c r="A105" s="5" t="n">
        <f aca="false">RANDBETWEEN(2,164)</f>
        <v>51</v>
      </c>
      <c r="B105" s="5" t="n">
        <f aca="false" t="array" ref="B105:B105">INDEX(Data_DBD!$C:$C,$A105)</f>
        <v>4</v>
      </c>
      <c r="C105" s="5" t="n">
        <f aca="false" t="array" ref="C105:C105">INDEX(Data_DBD!$E:$E,$A105)</f>
        <v>0</v>
      </c>
      <c r="D105" s="5" t="str">
        <f aca="false" t="array" ref="D105:D105">INDEX(Data_DBD!$F:$F,$A105)</f>
        <v>Sedang</v>
      </c>
      <c r="H105" s="33" t="n">
        <v>89</v>
      </c>
      <c r="I105" s="33" t="n">
        <v>4</v>
      </c>
      <c r="J105" s="33" t="n">
        <v>0</v>
      </c>
      <c r="K105" s="33" t="s">
        <v>7</v>
      </c>
    </row>
    <row r="106" customFormat="false" ht="15" hidden="false" customHeight="false" outlineLevel="0" collapsed="false">
      <c r="A106" s="5" t="n">
        <f aca="false">RANDBETWEEN(2,164)</f>
        <v>17</v>
      </c>
      <c r="B106" s="5" t="n">
        <f aca="false" t="array" ref="B106:B106">INDEX(Data_DBD!$C:$C,$A106)</f>
        <v>3</v>
      </c>
      <c r="C106" s="5" t="n">
        <f aca="false" t="array" ref="C106:C106">INDEX(Data_DBD!$E:$E,$A106)</f>
        <v>0</v>
      </c>
      <c r="D106" s="5" t="str">
        <f aca="false" t="array" ref="D106:D106">INDEX(Data_DBD!$F:$F,$A106)</f>
        <v>Rendah</v>
      </c>
      <c r="H106" s="33" t="n">
        <v>115</v>
      </c>
      <c r="I106" s="33" t="n">
        <v>3</v>
      </c>
      <c r="J106" s="33" t="n">
        <v>1</v>
      </c>
      <c r="K106" s="33" t="s">
        <v>115</v>
      </c>
    </row>
    <row r="107" customFormat="false" ht="15" hidden="false" customHeight="false" outlineLevel="0" collapsed="false">
      <c r="A107" s="5" t="n">
        <f aca="false">RANDBETWEEN(2,164)</f>
        <v>78</v>
      </c>
      <c r="B107" s="5" t="n">
        <f aca="false" t="array" ref="B107:B107">INDEX(Data_DBD!$C:$C,$A107)</f>
        <v>3</v>
      </c>
      <c r="C107" s="5" t="n">
        <f aca="false" t="array" ref="C107:C107">INDEX(Data_DBD!$E:$E,$A107)</f>
        <v>0</v>
      </c>
      <c r="D107" s="5" t="str">
        <f aca="false" t="array" ref="D107:D107">INDEX(Data_DBD!$F:$F,$A107)</f>
        <v>Sedang</v>
      </c>
      <c r="H107" s="33" t="n">
        <v>101</v>
      </c>
      <c r="I107" s="33" t="n">
        <v>5</v>
      </c>
      <c r="J107" s="33" t="n">
        <v>0</v>
      </c>
      <c r="K107" s="33" t="s">
        <v>115</v>
      </c>
    </row>
    <row r="108" customFormat="false" ht="15" hidden="false" customHeight="false" outlineLevel="0" collapsed="false">
      <c r="A108" s="5" t="n">
        <f aca="false">RANDBETWEEN(2,164)</f>
        <v>126</v>
      </c>
      <c r="B108" s="5" t="n">
        <f aca="false" t="array" ref="B108:B108">INDEX(Data_DBD!$C:$C,$A108)</f>
        <v>3</v>
      </c>
      <c r="C108" s="5" t="n">
        <f aca="false" t="array" ref="C108:C108">INDEX(Data_DBD!$E:$E,$A108)</f>
        <v>1</v>
      </c>
      <c r="D108" s="5" t="str">
        <f aca="false" t="array" ref="D108:D108">INDEX(Data_DBD!$F:$F,$A108)</f>
        <v>Tinggi</v>
      </c>
      <c r="H108" s="33" t="n">
        <v>162</v>
      </c>
      <c r="I108" s="33" t="n">
        <v>3</v>
      </c>
      <c r="J108" s="33" t="n">
        <v>1</v>
      </c>
      <c r="K108" s="33" t="s">
        <v>20</v>
      </c>
    </row>
    <row r="109" customFormat="false" ht="15" hidden="false" customHeight="false" outlineLevel="0" collapsed="false">
      <c r="A109" s="5" t="n">
        <f aca="false">RANDBETWEEN(2,164)</f>
        <v>158</v>
      </c>
      <c r="B109" s="5" t="n">
        <f aca="false" t="array" ref="B109:B109">INDEX(Data_DBD!$C:$C,$A109)</f>
        <v>2</v>
      </c>
      <c r="C109" s="5" t="n">
        <f aca="false" t="array" ref="C109:C109">INDEX(Data_DBD!$E:$E,$A109)</f>
        <v>0</v>
      </c>
      <c r="D109" s="5" t="str">
        <f aca="false" t="array" ref="D109:D109">INDEX(Data_DBD!$F:$F,$A109)</f>
        <v>Tinggi</v>
      </c>
      <c r="H109" s="33" t="n">
        <v>60</v>
      </c>
      <c r="I109" s="33" t="n">
        <v>4</v>
      </c>
      <c r="J109" s="33" t="n">
        <v>0</v>
      </c>
      <c r="K109" s="33" t="s">
        <v>7</v>
      </c>
    </row>
    <row r="110" customFormat="false" ht="15" hidden="false" customHeight="false" outlineLevel="0" collapsed="false">
      <c r="A110" s="5" t="n">
        <f aca="false">RANDBETWEEN(2,164)</f>
        <v>122</v>
      </c>
      <c r="B110" s="5" t="n">
        <f aca="false" t="array" ref="B110:B110">INDEX(Data_DBD!$C:$C,$A110)</f>
        <v>3</v>
      </c>
      <c r="C110" s="5" t="n">
        <f aca="false" t="array" ref="C110:C110">INDEX(Data_DBD!$E:$E,$A110)</f>
        <v>1</v>
      </c>
      <c r="D110" s="5" t="str">
        <f aca="false" t="array" ref="D110:D110">INDEX(Data_DBD!$F:$F,$A110)</f>
        <v>Tinggi</v>
      </c>
      <c r="H110" s="33" t="n">
        <v>144</v>
      </c>
      <c r="I110" s="33" t="n">
        <v>4</v>
      </c>
      <c r="J110" s="33" t="n">
        <v>1</v>
      </c>
      <c r="K110" s="33" t="s">
        <v>115</v>
      </c>
    </row>
    <row r="111" customFormat="false" ht="15" hidden="false" customHeight="false" outlineLevel="0" collapsed="false">
      <c r="A111" s="5" t="n">
        <f aca="false">RANDBETWEEN(2,164)</f>
        <v>37</v>
      </c>
      <c r="B111" s="5" t="n">
        <f aca="false" t="array" ref="B111:B111">INDEX(Data_DBD!$C:$C,$A111)</f>
        <v>4</v>
      </c>
      <c r="C111" s="5" t="n">
        <f aca="false" t="array" ref="C111:C111">INDEX(Data_DBD!$E:$E,$A111)</f>
        <v>1</v>
      </c>
      <c r="D111" s="5" t="str">
        <f aca="false" t="array" ref="D111:D111">INDEX(Data_DBD!$F:$F,$A111)</f>
        <v>Rendah</v>
      </c>
      <c r="H111" s="33" t="n">
        <v>38</v>
      </c>
      <c r="I111" s="33" t="n">
        <v>3</v>
      </c>
      <c r="J111" s="33" t="n">
        <v>1</v>
      </c>
      <c r="K111" s="33" t="s">
        <v>20</v>
      </c>
    </row>
    <row r="112" customFormat="false" ht="15" hidden="false" customHeight="false" outlineLevel="0" collapsed="false">
      <c r="A112" s="5" t="n">
        <f aca="false">RANDBETWEEN(2,164)</f>
        <v>152</v>
      </c>
      <c r="B112" s="5" t="n">
        <f aca="false" t="array" ref="B112:B112">INDEX(Data_DBD!$C:$C,$A112)</f>
        <v>3</v>
      </c>
      <c r="C112" s="5" t="n">
        <f aca="false" t="array" ref="C112:C112">INDEX(Data_DBD!$E:$E,$A112)</f>
        <v>1</v>
      </c>
      <c r="D112" s="5" t="str">
        <f aca="false" t="array" ref="D112:D112">INDEX(Data_DBD!$F:$F,$A112)</f>
        <v>Tinggi</v>
      </c>
      <c r="H112" s="33" t="n">
        <v>28</v>
      </c>
      <c r="I112" s="33" t="n">
        <v>2</v>
      </c>
      <c r="J112" s="33" t="n">
        <v>1</v>
      </c>
      <c r="K112" s="33" t="s">
        <v>7</v>
      </c>
    </row>
    <row r="113" customFormat="false" ht="15" hidden="false" customHeight="false" outlineLevel="0" collapsed="false">
      <c r="A113" s="5" t="n">
        <f aca="false">RANDBETWEEN(2,164)</f>
        <v>61</v>
      </c>
      <c r="B113" s="5" t="n">
        <f aca="false" t="array" ref="B113:B113">INDEX(Data_DBD!$C:$C,$A113)</f>
        <v>3</v>
      </c>
      <c r="C113" s="5" t="n">
        <f aca="false" t="array" ref="C113:C113">INDEX(Data_DBD!$E:$E,$A113)</f>
        <v>1</v>
      </c>
      <c r="D113" s="5" t="str">
        <f aca="false" t="array" ref="D113:D113">INDEX(Data_DBD!$F:$F,$A113)</f>
        <v>Sedang</v>
      </c>
      <c r="H113" s="33" t="n">
        <v>128</v>
      </c>
      <c r="I113" s="33" t="n">
        <v>2</v>
      </c>
      <c r="J113" s="33" t="n">
        <v>0</v>
      </c>
      <c r="K113" s="33" t="s">
        <v>115</v>
      </c>
    </row>
    <row r="114" customFormat="false" ht="15" hidden="false" customHeight="false" outlineLevel="0" collapsed="false">
      <c r="A114" s="5" t="n">
        <f aca="false">RANDBETWEEN(2,164)</f>
        <v>64</v>
      </c>
      <c r="B114" s="5" t="n">
        <f aca="false" t="array" ref="B114:B114">INDEX(Data_DBD!$C:$C,$A114)</f>
        <v>1</v>
      </c>
      <c r="C114" s="5" t="n">
        <f aca="false" t="array" ref="C114:C114">INDEX(Data_DBD!$E:$E,$A114)</f>
        <v>0</v>
      </c>
      <c r="D114" s="5" t="str">
        <f aca="false" t="array" ref="D114:D114">INDEX(Data_DBD!$F:$F,$A114)</f>
        <v>Sedang</v>
      </c>
      <c r="H114" s="33" t="n">
        <v>33</v>
      </c>
      <c r="I114" s="33" t="n">
        <v>4</v>
      </c>
      <c r="J114" s="33" t="n">
        <v>1</v>
      </c>
      <c r="K114" s="33" t="s">
        <v>7</v>
      </c>
    </row>
    <row r="115" customFormat="false" ht="15" hidden="false" customHeight="false" outlineLevel="0" collapsed="false">
      <c r="A115" s="5" t="n">
        <f aca="false">RANDBETWEEN(2,164)</f>
        <v>88</v>
      </c>
      <c r="B115" s="5" t="n">
        <f aca="false" t="array" ref="B115:B115">INDEX(Data_DBD!$C:$C,$A115)</f>
        <v>4</v>
      </c>
      <c r="C115" s="5" t="n">
        <f aca="false" t="array" ref="C115:C115">INDEX(Data_DBD!$E:$E,$A115)</f>
        <v>1</v>
      </c>
      <c r="D115" s="5" t="str">
        <f aca="false" t="array" ref="D115:D115">INDEX(Data_DBD!$F:$F,$A115)</f>
        <v>Sedang</v>
      </c>
      <c r="H115" s="33" t="n">
        <v>120</v>
      </c>
      <c r="I115" s="33" t="n">
        <v>4</v>
      </c>
      <c r="J115" s="33" t="n">
        <v>1</v>
      </c>
      <c r="K115" s="33" t="s">
        <v>115</v>
      </c>
    </row>
    <row r="116" customFormat="false" ht="15" hidden="false" customHeight="false" outlineLevel="0" collapsed="false">
      <c r="A116" s="5" t="n">
        <f aca="false">RANDBETWEEN(2,164)</f>
        <v>24</v>
      </c>
      <c r="B116" s="5" t="n">
        <f aca="false" t="array" ref="B116:B116">INDEX(Data_DBD!$C:$C,$A116)</f>
        <v>4</v>
      </c>
      <c r="C116" s="5" t="n">
        <f aca="false" t="array" ref="C116:C116">INDEX(Data_DBD!$E:$E,$A116)</f>
        <v>0</v>
      </c>
      <c r="D116" s="5" t="str">
        <f aca="false" t="array" ref="D116:D116">INDEX(Data_DBD!$F:$F,$A116)</f>
        <v>Sedang</v>
      </c>
      <c r="H116" s="33" t="n">
        <v>13</v>
      </c>
      <c r="I116" s="33" t="n">
        <v>2</v>
      </c>
      <c r="J116" s="33" t="n">
        <v>0</v>
      </c>
      <c r="K116" s="33" t="s">
        <v>7</v>
      </c>
    </row>
    <row r="117" customFormat="false" ht="15" hidden="false" customHeight="false" outlineLevel="0" collapsed="false">
      <c r="A117" s="5" t="n">
        <f aca="false">RANDBETWEEN(2,164)</f>
        <v>123</v>
      </c>
      <c r="B117" s="5" t="n">
        <f aca="false" t="array" ref="B117:B117">INDEX(Data_DBD!$C:$C,$A117)</f>
        <v>4</v>
      </c>
      <c r="C117" s="5" t="n">
        <f aca="false" t="array" ref="C117:C117">INDEX(Data_DBD!$E:$E,$A117)</f>
        <v>0</v>
      </c>
      <c r="D117" s="5" t="str">
        <f aca="false" t="array" ref="D117:D117">INDEX(Data_DBD!$F:$F,$A117)</f>
        <v>Tinggi</v>
      </c>
      <c r="H117" s="33" t="n">
        <v>97</v>
      </c>
      <c r="I117" s="33" t="n">
        <v>2</v>
      </c>
      <c r="J117" s="33" t="n">
        <v>1</v>
      </c>
      <c r="K117" s="33" t="s">
        <v>115</v>
      </c>
    </row>
    <row r="118" customFormat="false" ht="15" hidden="false" customHeight="false" outlineLevel="0" collapsed="false">
      <c r="A118" s="5" t="n">
        <f aca="false">RANDBETWEEN(2,164)</f>
        <v>77</v>
      </c>
      <c r="B118" s="5" t="n">
        <f aca="false" t="array" ref="B118:B118">INDEX(Data_DBD!$C:$C,$A118)</f>
        <v>4</v>
      </c>
      <c r="C118" s="5" t="n">
        <f aca="false" t="array" ref="C118:C118">INDEX(Data_DBD!$E:$E,$A118)</f>
        <v>1</v>
      </c>
      <c r="D118" s="5" t="str">
        <f aca="false" t="array" ref="D118:D118">INDEX(Data_DBD!$F:$F,$A118)</f>
        <v>Sedang</v>
      </c>
      <c r="H118" s="33" t="n">
        <v>72</v>
      </c>
      <c r="I118" s="33" t="n">
        <v>5</v>
      </c>
      <c r="J118" s="33" t="n">
        <v>1</v>
      </c>
      <c r="K118" s="33" t="s">
        <v>7</v>
      </c>
    </row>
    <row r="119" customFormat="false" ht="15" hidden="false" customHeight="false" outlineLevel="0" collapsed="false">
      <c r="A119" s="5" t="n">
        <f aca="false">RANDBETWEEN(2,164)</f>
        <v>71</v>
      </c>
      <c r="B119" s="5" t="n">
        <f aca="false" t="array" ref="B119:B119">INDEX(Data_DBD!$C:$C,$A119)</f>
        <v>3</v>
      </c>
      <c r="C119" s="5" t="n">
        <f aca="false" t="array" ref="C119:C119">INDEX(Data_DBD!$E:$E,$A119)</f>
        <v>0</v>
      </c>
      <c r="D119" s="5" t="str">
        <f aca="false" t="array" ref="D119:D119">INDEX(Data_DBD!$F:$F,$A119)</f>
        <v>Rendah</v>
      </c>
      <c r="H119" s="33" t="n">
        <v>135</v>
      </c>
      <c r="I119" s="33" t="n">
        <v>2</v>
      </c>
      <c r="J119" s="33" t="n">
        <v>0</v>
      </c>
      <c r="K119" s="33" t="s">
        <v>115</v>
      </c>
    </row>
    <row r="120" customFormat="false" ht="15" hidden="false" customHeight="false" outlineLevel="0" collapsed="false">
      <c r="A120" s="5" t="n">
        <f aca="false">RANDBETWEEN(2,164)</f>
        <v>17</v>
      </c>
      <c r="B120" s="5" t="n">
        <f aca="false" t="array" ref="B120:B120">INDEX(Data_DBD!$C:$C,$A120)</f>
        <v>3</v>
      </c>
      <c r="C120" s="5" t="n">
        <f aca="false" t="array" ref="C120:C120">INDEX(Data_DBD!$E:$E,$A120)</f>
        <v>0</v>
      </c>
      <c r="D120" s="5" t="str">
        <f aca="false" t="array" ref="D120:D120">INDEX(Data_DBD!$F:$F,$A120)</f>
        <v>Rendah</v>
      </c>
      <c r="H120" s="33" t="n">
        <v>162</v>
      </c>
      <c r="I120" s="33" t="n">
        <v>3</v>
      </c>
      <c r="J120" s="33" t="n">
        <v>1</v>
      </c>
      <c r="K120" s="33" t="s">
        <v>20</v>
      </c>
    </row>
    <row r="121" customFormat="false" ht="15" hidden="false" customHeight="false" outlineLevel="0" collapsed="false">
      <c r="A121" s="5" t="n">
        <f aca="false">RANDBETWEEN(2,164)</f>
        <v>116</v>
      </c>
      <c r="B121" s="5" t="n">
        <f aca="false" t="array" ref="B121:B121">INDEX(Data_DBD!$C:$C,$A121)</f>
        <v>4</v>
      </c>
      <c r="C121" s="5" t="n">
        <f aca="false" t="array" ref="C121:C121">INDEX(Data_DBD!$E:$E,$A121)</f>
        <v>1</v>
      </c>
      <c r="D121" s="5" t="str">
        <f aca="false" t="array" ref="D121:D121">INDEX(Data_DBD!$F:$F,$A121)</f>
        <v>Tinggi</v>
      </c>
      <c r="H121" s="33" t="n">
        <v>105</v>
      </c>
      <c r="I121" s="33" t="n">
        <v>3</v>
      </c>
      <c r="J121" s="33" t="n">
        <v>1</v>
      </c>
      <c r="K121" s="33" t="s">
        <v>115</v>
      </c>
    </row>
    <row r="122" customFormat="false" ht="15" hidden="false" customHeight="false" outlineLevel="0" collapsed="false">
      <c r="A122" s="5" t="n">
        <f aca="false">RANDBETWEEN(2,164)</f>
        <v>110</v>
      </c>
      <c r="B122" s="5" t="n">
        <f aca="false" t="array" ref="B122:B122">INDEX(Data_DBD!$C:$C,$A122)</f>
        <v>2</v>
      </c>
      <c r="C122" s="5" t="n">
        <f aca="false" t="array" ref="C122:C122">INDEX(Data_DBD!$E:$E,$A122)</f>
        <v>1</v>
      </c>
      <c r="D122" s="5" t="str">
        <f aca="false" t="array" ref="D122:D122">INDEX(Data_DBD!$F:$F,$A122)</f>
        <v>Tinggi</v>
      </c>
      <c r="H122" s="33" t="n">
        <v>130</v>
      </c>
      <c r="I122" s="33" t="n">
        <v>4</v>
      </c>
      <c r="J122" s="33" t="n">
        <v>0</v>
      </c>
      <c r="K122" s="33" t="s">
        <v>115</v>
      </c>
    </row>
    <row r="123" customFormat="false" ht="15" hidden="false" customHeight="false" outlineLevel="0" collapsed="false">
      <c r="A123" s="5" t="n">
        <f aca="false">RANDBETWEEN(2,164)</f>
        <v>54</v>
      </c>
      <c r="B123" s="5" t="n">
        <f aca="false" t="array" ref="B123:B123">INDEX(Data_DBD!$C:$C,$A123)</f>
        <v>3</v>
      </c>
      <c r="C123" s="5" t="n">
        <f aca="false" t="array" ref="C123:C123">INDEX(Data_DBD!$E:$E,$A123)</f>
        <v>0</v>
      </c>
      <c r="D123" s="5" t="str">
        <f aca="false" t="array" ref="D123:D123">INDEX(Data_DBD!$F:$F,$A123)</f>
        <v>Sedang</v>
      </c>
      <c r="H123" s="33" t="n">
        <v>110</v>
      </c>
      <c r="I123" s="33" t="n">
        <v>2</v>
      </c>
      <c r="J123" s="33" t="n">
        <v>1</v>
      </c>
      <c r="K123" s="33" t="s">
        <v>115</v>
      </c>
    </row>
    <row r="124" customFormat="false" ht="15" hidden="false" customHeight="false" outlineLevel="0" collapsed="false">
      <c r="A124" s="5" t="n">
        <f aca="false">RANDBETWEEN(2,164)</f>
        <v>79</v>
      </c>
      <c r="B124" s="5" t="n">
        <f aca="false" t="array" ref="B124:B124">INDEX(Data_DBD!$C:$C,$A124)</f>
        <v>3</v>
      </c>
      <c r="C124" s="5" t="n">
        <f aca="false" t="array" ref="C124:C124">INDEX(Data_DBD!$E:$E,$A124)</f>
        <v>0</v>
      </c>
      <c r="D124" s="5" t="str">
        <f aca="false" t="array" ref="D124:D124">INDEX(Data_DBD!$F:$F,$A124)</f>
        <v>Sedang</v>
      </c>
      <c r="H124" s="33" t="n">
        <v>80</v>
      </c>
      <c r="I124" s="33" t="n">
        <v>3</v>
      </c>
      <c r="J124" s="33" t="n">
        <v>1</v>
      </c>
      <c r="K124" s="33" t="s">
        <v>7</v>
      </c>
    </row>
    <row r="125" customFormat="false" ht="15" hidden="false" customHeight="false" outlineLevel="0" collapsed="false">
      <c r="A125" s="5" t="n">
        <f aca="false">RANDBETWEEN(2,164)</f>
        <v>138</v>
      </c>
      <c r="B125" s="5" t="n">
        <f aca="false" t="array" ref="B125:B125">INDEX(Data_DBD!$C:$C,$A125)</f>
        <v>3</v>
      </c>
      <c r="C125" s="5" t="n">
        <f aca="false" t="array" ref="C125:C125">INDEX(Data_DBD!$E:$E,$A125)</f>
        <v>1</v>
      </c>
      <c r="D125" s="5" t="str">
        <f aca="false" t="array" ref="D125:D125">INDEX(Data_DBD!$F:$F,$A125)</f>
        <v>Tinggi</v>
      </c>
      <c r="H125" s="33" t="n">
        <v>9</v>
      </c>
      <c r="I125" s="33" t="n">
        <v>6</v>
      </c>
      <c r="J125" s="33" t="n">
        <v>1</v>
      </c>
      <c r="K125" s="33" t="s">
        <v>7</v>
      </c>
    </row>
    <row r="126" customFormat="false" ht="15" hidden="false" customHeight="false" outlineLevel="0" collapsed="false">
      <c r="A126" s="5" t="n">
        <f aca="false">RANDBETWEEN(2,164)</f>
        <v>29</v>
      </c>
      <c r="B126" s="5" t="n">
        <f aca="false" t="array" ref="B126:B126">INDEX(Data_DBD!$C:$C,$A126)</f>
        <v>2</v>
      </c>
      <c r="C126" s="5" t="n">
        <f aca="false" t="array" ref="C126:C126">INDEX(Data_DBD!$E:$E,$A126)</f>
        <v>1</v>
      </c>
      <c r="D126" s="5" t="str">
        <f aca="false" t="array" ref="D126:D126">INDEX(Data_DBD!$F:$F,$A126)</f>
        <v>Sedang</v>
      </c>
      <c r="H126" s="33" t="n">
        <v>2</v>
      </c>
      <c r="I126" s="33" t="n">
        <v>3</v>
      </c>
      <c r="J126" s="33" t="n">
        <v>0</v>
      </c>
      <c r="K126" s="33" t="s">
        <v>7</v>
      </c>
    </row>
    <row r="127" customFormat="false" ht="15" hidden="false" customHeight="false" outlineLevel="0" collapsed="false">
      <c r="A127" s="5" t="n">
        <f aca="false">RANDBETWEEN(2,164)</f>
        <v>4</v>
      </c>
      <c r="B127" s="5" t="n">
        <f aca="false" t="array" ref="B127:B127">INDEX(Data_DBD!$C:$C,$A127)</f>
        <v>5</v>
      </c>
      <c r="C127" s="5" t="n">
        <f aca="false" t="array" ref="C127:C127">INDEX(Data_DBD!$E:$E,$A127)</f>
        <v>0</v>
      </c>
      <c r="D127" s="5" t="str">
        <f aca="false" t="array" ref="D127:D127">INDEX(Data_DBD!$F:$F,$A127)</f>
        <v>Sedang</v>
      </c>
      <c r="H127" s="33" t="n">
        <v>107</v>
      </c>
      <c r="I127" s="33" t="n">
        <v>5</v>
      </c>
      <c r="J127" s="33" t="n">
        <v>0</v>
      </c>
      <c r="K127" s="33" t="s">
        <v>115</v>
      </c>
    </row>
    <row r="128" customFormat="false" ht="15" hidden="false" customHeight="false" outlineLevel="0" collapsed="false">
      <c r="A128" s="5" t="n">
        <f aca="false">RANDBETWEEN(2,164)</f>
        <v>16</v>
      </c>
      <c r="B128" s="5" t="n">
        <f aca="false" t="array" ref="B128:B128">INDEX(Data_DBD!$C:$C,$A128)</f>
        <v>5</v>
      </c>
      <c r="C128" s="5" t="n">
        <f aca="false" t="array" ref="C128:C128">INDEX(Data_DBD!$E:$E,$A128)</f>
        <v>1</v>
      </c>
      <c r="D128" s="5" t="str">
        <f aca="false" t="array" ref="D128:D128">INDEX(Data_DBD!$F:$F,$A128)</f>
        <v>Rendah</v>
      </c>
      <c r="H128" s="33" t="n">
        <v>68</v>
      </c>
      <c r="I128" s="33" t="n">
        <v>5</v>
      </c>
      <c r="J128" s="33" t="n">
        <v>0</v>
      </c>
      <c r="K128" s="33" t="s">
        <v>7</v>
      </c>
    </row>
    <row r="129" customFormat="false" ht="15" hidden="false" customHeight="false" outlineLevel="0" collapsed="false">
      <c r="A129" s="5" t="n">
        <f aca="false">RANDBETWEEN(2,164)</f>
        <v>148</v>
      </c>
      <c r="B129" s="5" t="n">
        <f aca="false" t="array" ref="B129:B129">INDEX(Data_DBD!$C:$C,$A129)</f>
        <v>3</v>
      </c>
      <c r="C129" s="5" t="n">
        <f aca="false" t="array" ref="C129:C129">INDEX(Data_DBD!$E:$E,$A129)</f>
        <v>1</v>
      </c>
      <c r="D129" s="5" t="str">
        <f aca="false" t="array" ref="D129:D129">INDEX(Data_DBD!$F:$F,$A129)</f>
        <v>Tinggi</v>
      </c>
      <c r="H129" s="33" t="n">
        <v>144</v>
      </c>
      <c r="I129" s="33" t="n">
        <v>4</v>
      </c>
      <c r="J129" s="33" t="n">
        <v>1</v>
      </c>
      <c r="K129" s="33" t="s">
        <v>115</v>
      </c>
    </row>
    <row r="130" customFormat="false" ht="15" hidden="false" customHeight="false" outlineLevel="0" collapsed="false">
      <c r="A130" s="5" t="n">
        <f aca="false">RANDBETWEEN(2,164)</f>
        <v>158</v>
      </c>
      <c r="B130" s="5" t="n">
        <f aca="false" t="array" ref="B130:B130">INDEX(Data_DBD!$C:$C,$A130)</f>
        <v>2</v>
      </c>
      <c r="C130" s="5" t="n">
        <f aca="false" t="array" ref="C130:C130">INDEX(Data_DBD!$E:$E,$A130)</f>
        <v>0</v>
      </c>
      <c r="D130" s="5" t="str">
        <f aca="false" t="array" ref="D130:D130">INDEX(Data_DBD!$F:$F,$A130)</f>
        <v>Tinggi</v>
      </c>
      <c r="H130" s="33" t="n">
        <v>100</v>
      </c>
      <c r="I130" s="33" t="n">
        <v>6</v>
      </c>
      <c r="J130" s="33" t="n">
        <v>0</v>
      </c>
      <c r="K130" s="33" t="s">
        <v>115</v>
      </c>
    </row>
    <row r="131" customFormat="false" ht="15" hidden="false" customHeight="false" outlineLevel="0" collapsed="false">
      <c r="A131" s="5" t="n">
        <f aca="false">RANDBETWEEN(2,164)</f>
        <v>105</v>
      </c>
      <c r="B131" s="5" t="n">
        <f aca="false" t="array" ref="B131:B131">INDEX(Data_DBD!$C:$C,$A131)</f>
        <v>3</v>
      </c>
      <c r="C131" s="5" t="n">
        <f aca="false" t="array" ref="C131:C131">INDEX(Data_DBD!$E:$E,$A131)</f>
        <v>1</v>
      </c>
      <c r="D131" s="5" t="str">
        <f aca="false" t="array" ref="D131:D131">INDEX(Data_DBD!$F:$F,$A131)</f>
        <v>Sedang</v>
      </c>
      <c r="H131" s="33" t="n">
        <v>91</v>
      </c>
      <c r="I131" s="33" t="n">
        <v>1</v>
      </c>
      <c r="J131" s="33" t="n">
        <v>1</v>
      </c>
      <c r="K131" s="33" t="s">
        <v>115</v>
      </c>
    </row>
    <row r="132" customFormat="false" ht="15" hidden="false" customHeight="false" outlineLevel="0" collapsed="false">
      <c r="A132" s="5" t="n">
        <f aca="false">RANDBETWEEN(2,164)</f>
        <v>82</v>
      </c>
      <c r="B132" s="5" t="n">
        <f aca="false" t="array" ref="B132:B132">INDEX(Data_DBD!$C:$C,$A132)</f>
        <v>3</v>
      </c>
      <c r="C132" s="5" t="n">
        <f aca="false" t="array" ref="C132:C132">INDEX(Data_DBD!$E:$E,$A132)</f>
        <v>1</v>
      </c>
      <c r="D132" s="5" t="str">
        <f aca="false" t="array" ref="D132:D132">INDEX(Data_DBD!$F:$F,$A132)</f>
        <v>Sedang</v>
      </c>
      <c r="H132" s="33" t="n">
        <v>55</v>
      </c>
      <c r="I132" s="33" t="n">
        <v>4</v>
      </c>
      <c r="J132" s="33" t="n">
        <v>1</v>
      </c>
      <c r="K132" s="33" t="s">
        <v>7</v>
      </c>
    </row>
    <row r="133" customFormat="false" ht="15" hidden="false" customHeight="false" outlineLevel="0" collapsed="false">
      <c r="A133" s="5" t="n">
        <f aca="false">RANDBETWEEN(2,164)</f>
        <v>77</v>
      </c>
      <c r="B133" s="5" t="n">
        <f aca="false" t="array" ref="B133:B133">INDEX(Data_DBD!$C:$C,$A133)</f>
        <v>4</v>
      </c>
      <c r="C133" s="5" t="n">
        <f aca="false" t="array" ref="C133:C133">INDEX(Data_DBD!$E:$E,$A133)</f>
        <v>1</v>
      </c>
      <c r="D133" s="5" t="str">
        <f aca="false" t="array" ref="D133:D133">INDEX(Data_DBD!$F:$F,$A133)</f>
        <v>Sedang</v>
      </c>
      <c r="H133" s="33" t="n">
        <v>117</v>
      </c>
      <c r="I133" s="33" t="n">
        <v>4</v>
      </c>
      <c r="J133" s="33" t="n">
        <v>1</v>
      </c>
      <c r="K133" s="33" t="s">
        <v>115</v>
      </c>
    </row>
    <row r="134" customFormat="false" ht="15" hidden="false" customHeight="false" outlineLevel="0" collapsed="false">
      <c r="A134" s="5" t="n">
        <f aca="false">RANDBETWEEN(2,164)</f>
        <v>2</v>
      </c>
      <c r="B134" s="5" t="n">
        <f aca="false" t="array" ref="B134:B134">INDEX(Data_DBD!$C:$C,$A134)</f>
        <v>3</v>
      </c>
      <c r="C134" s="5" t="n">
        <f aca="false" t="array" ref="C134:C134">INDEX(Data_DBD!$E:$E,$A134)</f>
        <v>0</v>
      </c>
      <c r="D134" s="5" t="str">
        <f aca="false" t="array" ref="D134:D134">INDEX(Data_DBD!$F:$F,$A134)</f>
        <v>Sedang</v>
      </c>
      <c r="H134" s="33" t="n">
        <v>10</v>
      </c>
      <c r="I134" s="33" t="n">
        <v>5</v>
      </c>
      <c r="J134" s="33" t="n">
        <v>0</v>
      </c>
      <c r="K134" s="33" t="s">
        <v>7</v>
      </c>
    </row>
    <row r="135" customFormat="false" ht="15" hidden="false" customHeight="false" outlineLevel="0" collapsed="false">
      <c r="A135" s="5" t="n">
        <f aca="false">RANDBETWEEN(2,164)</f>
        <v>128</v>
      </c>
      <c r="B135" s="5" t="n">
        <f aca="false" t="array" ref="B135:B135">INDEX(Data_DBD!$C:$C,$A135)</f>
        <v>2</v>
      </c>
      <c r="C135" s="5" t="n">
        <f aca="false" t="array" ref="C135:C135">INDEX(Data_DBD!$E:$E,$A135)</f>
        <v>0</v>
      </c>
      <c r="D135" s="5" t="str">
        <f aca="false" t="array" ref="D135:D135">INDEX(Data_DBD!$F:$F,$A135)</f>
        <v>Tinggi</v>
      </c>
      <c r="H135" s="33" t="n">
        <v>35</v>
      </c>
      <c r="I135" s="33" t="n">
        <v>3</v>
      </c>
      <c r="J135" s="33" t="n">
        <v>1</v>
      </c>
      <c r="K135" s="33" t="s">
        <v>20</v>
      </c>
    </row>
    <row r="136" customFormat="false" ht="15" hidden="false" customHeight="false" outlineLevel="0" collapsed="false">
      <c r="A136" s="5" t="n">
        <f aca="false">RANDBETWEEN(2,164)</f>
        <v>118</v>
      </c>
      <c r="B136" s="5" t="n">
        <f aca="false" t="array" ref="B136:B136">INDEX(Data_DBD!$C:$C,$A136)</f>
        <v>4</v>
      </c>
      <c r="C136" s="5" t="n">
        <f aca="false" t="array" ref="C136:C136">INDEX(Data_DBD!$E:$E,$A136)</f>
        <v>1</v>
      </c>
      <c r="D136" s="5" t="str">
        <f aca="false" t="array" ref="D136:D136">INDEX(Data_DBD!$F:$F,$A136)</f>
        <v>Tinggi</v>
      </c>
      <c r="H136" s="33" t="n">
        <v>36</v>
      </c>
      <c r="I136" s="33" t="n">
        <v>1</v>
      </c>
      <c r="J136" s="33" t="n">
        <v>1</v>
      </c>
      <c r="K136" s="33" t="s">
        <v>20</v>
      </c>
    </row>
    <row r="137" customFormat="false" ht="15" hidden="false" customHeight="false" outlineLevel="0" collapsed="false">
      <c r="A137" s="5" t="n">
        <f aca="false">RANDBETWEEN(2,164)</f>
        <v>14</v>
      </c>
      <c r="B137" s="5" t="n">
        <f aca="false" t="array" ref="B137:B137">INDEX(Data_DBD!$C:$C,$A137)</f>
        <v>4</v>
      </c>
      <c r="C137" s="5" t="n">
        <f aca="false" t="array" ref="C137:C137">INDEX(Data_DBD!$E:$E,$A137)</f>
        <v>1</v>
      </c>
      <c r="D137" s="5" t="str">
        <f aca="false" t="array" ref="D137:D137">INDEX(Data_DBD!$F:$F,$A137)</f>
        <v>Rendah</v>
      </c>
      <c r="H137" s="33" t="n">
        <v>102</v>
      </c>
      <c r="I137" s="33" t="n">
        <v>4</v>
      </c>
      <c r="J137" s="33" t="n">
        <v>0</v>
      </c>
      <c r="K137" s="33" t="s">
        <v>115</v>
      </c>
    </row>
    <row r="138" customFormat="false" ht="15" hidden="false" customHeight="false" outlineLevel="0" collapsed="false">
      <c r="A138" s="5" t="n">
        <f aca="false">RANDBETWEEN(2,164)</f>
        <v>60</v>
      </c>
      <c r="B138" s="5" t="n">
        <f aca="false" t="array" ref="B138:B138">INDEX(Data_DBD!$C:$C,$A138)</f>
        <v>4</v>
      </c>
      <c r="C138" s="5" t="n">
        <f aca="false" t="array" ref="C138:C138">INDEX(Data_DBD!$E:$E,$A138)</f>
        <v>0</v>
      </c>
      <c r="D138" s="5" t="str">
        <f aca="false" t="array" ref="D138:D138">INDEX(Data_DBD!$F:$F,$A138)</f>
        <v>Sedang</v>
      </c>
      <c r="H138" s="33" t="n">
        <v>72</v>
      </c>
      <c r="I138" s="33" t="n">
        <v>5</v>
      </c>
      <c r="J138" s="33" t="n">
        <v>1</v>
      </c>
      <c r="K138" s="33" t="s">
        <v>7</v>
      </c>
    </row>
    <row r="139" customFormat="false" ht="15" hidden="false" customHeight="false" outlineLevel="0" collapsed="false">
      <c r="A139" s="5" t="n">
        <f aca="false">RANDBETWEEN(2,164)</f>
        <v>26</v>
      </c>
      <c r="B139" s="5" t="n">
        <f aca="false" t="array" ref="B139:B139">INDEX(Data_DBD!$C:$C,$A139)</f>
        <v>4</v>
      </c>
      <c r="C139" s="5" t="n">
        <f aca="false" t="array" ref="C139:C139">INDEX(Data_DBD!$E:$E,$A139)</f>
        <v>1</v>
      </c>
      <c r="D139" s="5" t="str">
        <f aca="false" t="array" ref="D139:D139">INDEX(Data_DBD!$F:$F,$A139)</f>
        <v>Sedang</v>
      </c>
      <c r="H139" s="33" t="n">
        <v>125</v>
      </c>
      <c r="I139" s="33" t="n">
        <v>4</v>
      </c>
      <c r="J139" s="33" t="n">
        <v>0</v>
      </c>
      <c r="K139" s="33" t="s">
        <v>115</v>
      </c>
    </row>
    <row r="140" customFormat="false" ht="15" hidden="false" customHeight="false" outlineLevel="0" collapsed="false">
      <c r="A140" s="5" t="n">
        <f aca="false">RANDBETWEEN(2,164)</f>
        <v>135</v>
      </c>
      <c r="B140" s="5" t="n">
        <f aca="false" t="array" ref="B140:B140">INDEX(Data_DBD!$C:$C,$A140)</f>
        <v>2</v>
      </c>
      <c r="C140" s="5" t="n">
        <f aca="false" t="array" ref="C140:C140">INDEX(Data_DBD!$E:$E,$A140)</f>
        <v>0</v>
      </c>
      <c r="D140" s="5" t="str">
        <f aca="false" t="array" ref="D140:D140">INDEX(Data_DBD!$F:$F,$A140)</f>
        <v>Tinggi</v>
      </c>
      <c r="H140" s="33" t="n">
        <v>13</v>
      </c>
      <c r="I140" s="33" t="n">
        <v>2</v>
      </c>
      <c r="J140" s="33" t="n">
        <v>0</v>
      </c>
      <c r="K140" s="33" t="s">
        <v>7</v>
      </c>
    </row>
    <row r="141" customFormat="false" ht="15" hidden="false" customHeight="false" outlineLevel="0" collapsed="false">
      <c r="A141" s="5" t="n">
        <f aca="false">RANDBETWEEN(2,164)</f>
        <v>79</v>
      </c>
      <c r="B141" s="5" t="n">
        <f aca="false" t="array" ref="B141:B141">INDEX(Data_DBD!$C:$C,$A141)</f>
        <v>3</v>
      </c>
      <c r="C141" s="5" t="n">
        <f aca="false" t="array" ref="C141:C141">INDEX(Data_DBD!$E:$E,$A141)</f>
        <v>0</v>
      </c>
      <c r="D141" s="5" t="str">
        <f aca="false" t="array" ref="D141:D141">INDEX(Data_DBD!$F:$F,$A141)</f>
        <v>Sedang</v>
      </c>
      <c r="H141" s="33" t="n">
        <v>2</v>
      </c>
      <c r="I141" s="33" t="n">
        <v>3</v>
      </c>
      <c r="J141" s="33" t="n">
        <v>0</v>
      </c>
      <c r="K141" s="33" t="s">
        <v>7</v>
      </c>
    </row>
    <row r="142" customFormat="false" ht="15" hidden="false" customHeight="false" outlineLevel="0" collapsed="false">
      <c r="A142" s="5" t="n">
        <f aca="false">RANDBETWEEN(2,164)</f>
        <v>97</v>
      </c>
      <c r="B142" s="5" t="n">
        <f aca="false" t="array" ref="B142:B142">INDEX(Data_DBD!$C:$C,$A142)</f>
        <v>2</v>
      </c>
      <c r="C142" s="5" t="n">
        <f aca="false" t="array" ref="C142:C142">INDEX(Data_DBD!$E:$E,$A142)</f>
        <v>1</v>
      </c>
      <c r="D142" s="5" t="str">
        <f aca="false" t="array" ref="D142:D142">INDEX(Data_DBD!$F:$F,$A142)</f>
        <v>Sedang</v>
      </c>
      <c r="H142" s="33" t="n">
        <v>142</v>
      </c>
      <c r="I142" s="33" t="n">
        <v>2</v>
      </c>
      <c r="J142" s="33" t="n">
        <v>1</v>
      </c>
      <c r="K142" s="33" t="s">
        <v>115</v>
      </c>
    </row>
    <row r="143" customFormat="false" ht="15" hidden="false" customHeight="false" outlineLevel="0" collapsed="false">
      <c r="A143" s="5" t="n">
        <f aca="false">RANDBETWEEN(2,164)</f>
        <v>160</v>
      </c>
      <c r="B143" s="5" t="n">
        <f aca="false" t="array" ref="B143:B143">INDEX(Data_DBD!$C:$C,$A143)</f>
        <v>3</v>
      </c>
      <c r="C143" s="5" t="n">
        <f aca="false" t="array" ref="C143:C143">INDEX(Data_DBD!$E:$E,$A143)</f>
        <v>0</v>
      </c>
      <c r="D143" s="5" t="str">
        <f aca="false" t="array" ref="D143:D143">INDEX(Data_DBD!$F:$F,$A143)</f>
        <v>Tinggi</v>
      </c>
      <c r="H143" s="33" t="n">
        <v>11</v>
      </c>
      <c r="I143" s="33" t="n">
        <v>5</v>
      </c>
      <c r="J143" s="33" t="n">
        <v>1</v>
      </c>
      <c r="K143" s="33" t="s">
        <v>7</v>
      </c>
    </row>
    <row r="144" customFormat="false" ht="15" hidden="false" customHeight="false" outlineLevel="0" collapsed="false">
      <c r="A144" s="5" t="n">
        <f aca="false">RANDBETWEEN(2,164)</f>
        <v>60</v>
      </c>
      <c r="B144" s="5" t="n">
        <f aca="false" t="array" ref="B144:B144">INDEX(Data_DBD!$C:$C,$A144)</f>
        <v>4</v>
      </c>
      <c r="C144" s="5" t="n">
        <f aca="false" t="array" ref="C144:C144">INDEX(Data_DBD!$E:$E,$A144)</f>
        <v>0</v>
      </c>
      <c r="D144" s="5" t="str">
        <f aca="false" t="array" ref="D144:D144">INDEX(Data_DBD!$F:$F,$A144)</f>
        <v>Sedang</v>
      </c>
      <c r="H144" s="33" t="n">
        <v>19</v>
      </c>
      <c r="I144" s="33" t="n">
        <v>4</v>
      </c>
      <c r="J144" s="33" t="n">
        <v>0</v>
      </c>
      <c r="K144" s="33" t="s">
        <v>20</v>
      </c>
    </row>
    <row r="145" customFormat="false" ht="15" hidden="false" customHeight="false" outlineLevel="0" collapsed="false">
      <c r="A145" s="5" t="n">
        <f aca="false">RANDBETWEEN(2,164)</f>
        <v>80</v>
      </c>
      <c r="B145" s="5" t="n">
        <f aca="false" t="array" ref="B145:B145">INDEX(Data_DBD!$C:$C,$A145)</f>
        <v>3</v>
      </c>
      <c r="C145" s="5" t="n">
        <f aca="false" t="array" ref="C145:C145">INDEX(Data_DBD!$E:$E,$A145)</f>
        <v>1</v>
      </c>
      <c r="D145" s="5" t="str">
        <f aca="false" t="array" ref="D145:D145">INDEX(Data_DBD!$F:$F,$A145)</f>
        <v>Sedang</v>
      </c>
      <c r="H145" s="33" t="n">
        <v>87</v>
      </c>
      <c r="I145" s="33" t="n">
        <v>3</v>
      </c>
      <c r="J145" s="33" t="n">
        <v>0</v>
      </c>
      <c r="K145" s="33" t="s">
        <v>7</v>
      </c>
    </row>
    <row r="146" customFormat="false" ht="15" hidden="false" customHeight="false" outlineLevel="0" collapsed="false">
      <c r="A146" s="5" t="n">
        <f aca="false">RANDBETWEEN(2,164)</f>
        <v>57</v>
      </c>
      <c r="B146" s="5" t="n">
        <f aca="false" t="array" ref="B146:B146">INDEX(Data_DBD!$C:$C,$A146)</f>
        <v>2</v>
      </c>
      <c r="C146" s="5" t="n">
        <f aca="false" t="array" ref="C146:C146">INDEX(Data_DBD!$E:$E,$A146)</f>
        <v>1</v>
      </c>
      <c r="D146" s="5" t="str">
        <f aca="false" t="array" ref="D146:D146">INDEX(Data_DBD!$F:$F,$A146)</f>
        <v>Sedang</v>
      </c>
      <c r="H146" s="33" t="n">
        <v>3</v>
      </c>
      <c r="I146" s="33" t="n">
        <v>3</v>
      </c>
      <c r="J146" s="33" t="n">
        <v>1</v>
      </c>
      <c r="K146" s="33" t="s">
        <v>7</v>
      </c>
    </row>
    <row r="147" customFormat="false" ht="15" hidden="false" customHeight="false" outlineLevel="0" collapsed="false">
      <c r="A147" s="5" t="n">
        <f aca="false">RANDBETWEEN(2,164)</f>
        <v>38</v>
      </c>
      <c r="B147" s="5" t="n">
        <f aca="false" t="array" ref="B147:B147">INDEX(Data_DBD!$C:$C,$A147)</f>
        <v>3</v>
      </c>
      <c r="C147" s="5" t="n">
        <f aca="false" t="array" ref="C147:C147">INDEX(Data_DBD!$E:$E,$A147)</f>
        <v>1</v>
      </c>
      <c r="D147" s="5" t="str">
        <f aca="false" t="array" ref="D147:D147">INDEX(Data_DBD!$F:$F,$A147)</f>
        <v>Rendah</v>
      </c>
      <c r="H147" s="33" t="n">
        <v>6</v>
      </c>
      <c r="I147" s="33" t="n">
        <v>4</v>
      </c>
      <c r="J147" s="33" t="n">
        <v>0</v>
      </c>
      <c r="K147" s="33" t="s">
        <v>7</v>
      </c>
    </row>
    <row r="148" customFormat="false" ht="15" hidden="false" customHeight="false" outlineLevel="0" collapsed="false">
      <c r="A148" s="5" t="n">
        <f aca="false">RANDBETWEEN(2,164)</f>
        <v>151</v>
      </c>
      <c r="B148" s="5" t="n">
        <f aca="false" t="array" ref="B148:B148">INDEX(Data_DBD!$C:$C,$A148)</f>
        <v>3</v>
      </c>
      <c r="C148" s="5" t="n">
        <f aca="false" t="array" ref="C148:C148">INDEX(Data_DBD!$E:$E,$A148)</f>
        <v>0</v>
      </c>
      <c r="D148" s="5" t="str">
        <f aca="false" t="array" ref="D148:D148">INDEX(Data_DBD!$F:$F,$A148)</f>
        <v>Tinggi</v>
      </c>
      <c r="H148" s="33" t="n">
        <v>99</v>
      </c>
      <c r="I148" s="33" t="n">
        <v>2</v>
      </c>
      <c r="J148" s="33" t="n">
        <v>1</v>
      </c>
      <c r="K148" s="33" t="s">
        <v>115</v>
      </c>
    </row>
    <row r="149" customFormat="false" ht="15" hidden="false" customHeight="false" outlineLevel="0" collapsed="false">
      <c r="A149" s="5" t="n">
        <f aca="false">RANDBETWEEN(2,164)</f>
        <v>150</v>
      </c>
      <c r="B149" s="5" t="n">
        <f aca="false" t="array" ref="B149:B149">INDEX(Data_DBD!$C:$C,$A149)</f>
        <v>5</v>
      </c>
      <c r="C149" s="5" t="n">
        <f aca="false" t="array" ref="C149:C149">INDEX(Data_DBD!$E:$E,$A149)</f>
        <v>1</v>
      </c>
      <c r="D149" s="5" t="str">
        <f aca="false" t="array" ref="D149:D149">INDEX(Data_DBD!$F:$F,$A149)</f>
        <v>Tinggi</v>
      </c>
      <c r="H149" s="33" t="n">
        <v>121</v>
      </c>
      <c r="I149" s="33" t="n">
        <v>5</v>
      </c>
      <c r="J149" s="33" t="n">
        <v>1</v>
      </c>
      <c r="K149" s="33" t="s">
        <v>115</v>
      </c>
    </row>
    <row r="150" customFormat="false" ht="15" hidden="false" customHeight="false" outlineLevel="0" collapsed="false">
      <c r="A150" s="5" t="n">
        <f aca="false">RANDBETWEEN(2,164)</f>
        <v>108</v>
      </c>
      <c r="B150" s="5" t="n">
        <f aca="false" t="array" ref="B150:B150">INDEX(Data_DBD!$C:$C,$A150)</f>
        <v>7</v>
      </c>
      <c r="C150" s="5" t="n">
        <f aca="false" t="array" ref="C150:C150">INDEX(Data_DBD!$E:$E,$A150)</f>
        <v>1</v>
      </c>
      <c r="D150" s="5" t="str">
        <f aca="false" t="array" ref="D150:D150">INDEX(Data_DBD!$F:$F,$A150)</f>
        <v>Tinggi</v>
      </c>
      <c r="H150" s="33" t="n">
        <v>11</v>
      </c>
      <c r="I150" s="33" t="n">
        <v>5</v>
      </c>
      <c r="J150" s="33" t="n">
        <v>1</v>
      </c>
      <c r="K150" s="33" t="s">
        <v>7</v>
      </c>
    </row>
    <row r="151" customFormat="false" ht="15" hidden="false" customHeight="false" outlineLevel="0" collapsed="false">
      <c r="A151" s="5" t="n">
        <f aca="false">RANDBETWEEN(2,164)</f>
        <v>91</v>
      </c>
      <c r="B151" s="5" t="n">
        <f aca="false" t="array" ref="B151:B151">INDEX(Data_DBD!$C:$C,$A151)</f>
        <v>1</v>
      </c>
      <c r="C151" s="5" t="n">
        <f aca="false" t="array" ref="C151:C151">INDEX(Data_DBD!$E:$E,$A151)</f>
        <v>1</v>
      </c>
      <c r="D151" s="5" t="str">
        <f aca="false" t="array" ref="D151:D151">INDEX(Data_DBD!$F:$F,$A151)</f>
        <v>Sedang</v>
      </c>
      <c r="H151" s="33" t="n">
        <v>150</v>
      </c>
      <c r="I151" s="33" t="n">
        <v>5</v>
      </c>
      <c r="J151" s="33" t="n">
        <v>1</v>
      </c>
      <c r="K151" s="33" t="s">
        <v>115</v>
      </c>
    </row>
    <row r="152" customFormat="false" ht="15" hidden="false" customHeight="false" outlineLevel="0" collapsed="false">
      <c r="A152" s="5" t="n">
        <f aca="false">RANDBETWEEN(2,164)</f>
        <v>30</v>
      </c>
      <c r="B152" s="5" t="n">
        <f aca="false" t="array" ref="B152:B152">INDEX(Data_DBD!$C:$C,$A152)</f>
        <v>2</v>
      </c>
      <c r="C152" s="5" t="n">
        <f aca="false" t="array" ref="C152:C152">INDEX(Data_DBD!$E:$E,$A152)</f>
        <v>1</v>
      </c>
      <c r="D152" s="5" t="str">
        <f aca="false" t="array" ref="D152:D152">INDEX(Data_DBD!$F:$F,$A152)</f>
        <v>Sedang</v>
      </c>
      <c r="H152" s="33" t="n">
        <v>7</v>
      </c>
      <c r="I152" s="33" t="n">
        <v>1</v>
      </c>
      <c r="J152" s="33" t="n">
        <v>1</v>
      </c>
      <c r="K152" s="33" t="s">
        <v>7</v>
      </c>
    </row>
    <row r="153" customFormat="false" ht="15" hidden="false" customHeight="false" outlineLevel="0" collapsed="false">
      <c r="A153" s="5" t="n">
        <f aca="false">RANDBETWEEN(2,164)</f>
        <v>117</v>
      </c>
      <c r="B153" s="5" t="n">
        <f aca="false" t="array" ref="B153:B153">INDEX(Data_DBD!$C:$C,$A153)</f>
        <v>4</v>
      </c>
      <c r="C153" s="5" t="n">
        <f aca="false" t="array" ref="C153:C153">INDEX(Data_DBD!$E:$E,$A153)</f>
        <v>1</v>
      </c>
      <c r="D153" s="5" t="str">
        <f aca="false" t="array" ref="D153:D153">INDEX(Data_DBD!$F:$F,$A153)</f>
        <v>Tinggi</v>
      </c>
      <c r="H153" s="33" t="n">
        <v>164</v>
      </c>
      <c r="I153" s="33" t="n">
        <v>6</v>
      </c>
      <c r="J153" s="33" t="n">
        <v>0</v>
      </c>
      <c r="K153" s="33" t="s">
        <v>20</v>
      </c>
    </row>
    <row r="154" customFormat="false" ht="15" hidden="false" customHeight="false" outlineLevel="0" collapsed="false">
      <c r="A154" s="5" t="n">
        <f aca="false">RANDBETWEEN(2,164)</f>
        <v>93</v>
      </c>
      <c r="B154" s="5" t="n">
        <f aca="false" t="array" ref="B154:B154">INDEX(Data_DBD!$C:$C,$A154)</f>
        <v>4</v>
      </c>
      <c r="C154" s="5" t="n">
        <f aca="false" t="array" ref="C154:C154">INDEX(Data_DBD!$E:$E,$A154)</f>
        <v>0</v>
      </c>
      <c r="D154" s="5" t="str">
        <f aca="false" t="array" ref="D154:D154">INDEX(Data_DBD!$F:$F,$A154)</f>
        <v>Sedang</v>
      </c>
      <c r="H154" s="33" t="n">
        <v>129</v>
      </c>
      <c r="I154" s="33" t="n">
        <v>3</v>
      </c>
      <c r="J154" s="33" t="n">
        <v>0</v>
      </c>
      <c r="K154" s="33" t="s">
        <v>115</v>
      </c>
    </row>
    <row r="155" customFormat="false" ht="15" hidden="false" customHeight="false" outlineLevel="0" collapsed="false">
      <c r="A155" s="5" t="n">
        <f aca="false">RANDBETWEEN(2,164)</f>
        <v>3</v>
      </c>
      <c r="B155" s="5" t="n">
        <f aca="false" t="array" ref="B155:B155">INDEX(Data_DBD!$C:$C,$A155)</f>
        <v>3</v>
      </c>
      <c r="C155" s="5" t="n">
        <f aca="false" t="array" ref="C155:C155">INDEX(Data_DBD!$E:$E,$A155)</f>
        <v>1</v>
      </c>
      <c r="D155" s="5" t="str">
        <f aca="false" t="array" ref="D155:D155">INDEX(Data_DBD!$F:$F,$A155)</f>
        <v>Sedang</v>
      </c>
      <c r="H155" s="33" t="n">
        <v>132</v>
      </c>
      <c r="I155" s="33" t="n">
        <v>3</v>
      </c>
      <c r="J155" s="33" t="n">
        <v>1</v>
      </c>
      <c r="K155" s="33" t="s">
        <v>115</v>
      </c>
    </row>
    <row r="156" customFormat="false" ht="15" hidden="false" customHeight="false" outlineLevel="0" collapsed="false">
      <c r="A156" s="5" t="n">
        <f aca="false">RANDBETWEEN(2,164)</f>
        <v>133</v>
      </c>
      <c r="B156" s="5" t="n">
        <f aca="false" t="array" ref="B156:B156">INDEX(Data_DBD!$C:$C,$A156)</f>
        <v>4</v>
      </c>
      <c r="C156" s="5" t="n">
        <f aca="false" t="array" ref="C156:C156">INDEX(Data_DBD!$E:$E,$A156)</f>
        <v>0</v>
      </c>
      <c r="D156" s="5" t="str">
        <f aca="false" t="array" ref="D156:D156">INDEX(Data_DBD!$F:$F,$A156)</f>
        <v>Tinggi</v>
      </c>
      <c r="H156" s="33" t="n">
        <v>147</v>
      </c>
      <c r="I156" s="33" t="n">
        <v>10</v>
      </c>
      <c r="J156" s="33" t="n">
        <v>1</v>
      </c>
      <c r="K156" s="33" t="s">
        <v>115</v>
      </c>
    </row>
    <row r="157" customFormat="false" ht="15" hidden="false" customHeight="false" outlineLevel="0" collapsed="false">
      <c r="A157" s="5" t="n">
        <f aca="false">RANDBETWEEN(2,164)</f>
        <v>120</v>
      </c>
      <c r="B157" s="5" t="n">
        <f aca="false" t="array" ref="B157:B157">INDEX(Data_DBD!$C:$C,$A157)</f>
        <v>4</v>
      </c>
      <c r="C157" s="5" t="n">
        <f aca="false" t="array" ref="C157:C157">INDEX(Data_DBD!$E:$E,$A157)</f>
        <v>1</v>
      </c>
      <c r="D157" s="5" t="str">
        <f aca="false" t="array" ref="D157:D157">INDEX(Data_DBD!$F:$F,$A157)</f>
        <v>Tinggi</v>
      </c>
      <c r="H157" s="33" t="n">
        <v>36</v>
      </c>
      <c r="I157" s="33" t="n">
        <v>1</v>
      </c>
      <c r="J157" s="33" t="n">
        <v>1</v>
      </c>
      <c r="K157" s="33" t="s">
        <v>20</v>
      </c>
    </row>
    <row r="158" customFormat="false" ht="15.75" hidden="false" customHeight="true" outlineLevel="0" collapsed="false">
      <c r="A158" s="5" t="n">
        <f aca="false">RANDBETWEEN(2,164)</f>
        <v>152</v>
      </c>
      <c r="B158" s="5" t="n">
        <f aca="false" t="array" ref="B158:B158">INDEX(Data_DBD!$C:$C,$A158)</f>
        <v>3</v>
      </c>
      <c r="C158" s="5" t="n">
        <f aca="false" t="array" ref="C158:C158">INDEX(Data_DBD!$E:$E,$A158)</f>
        <v>1</v>
      </c>
      <c r="D158" s="5" t="str">
        <f aca="false" t="array" ref="D158:D158">INDEX(Data_DBD!$F:$F,$A158)</f>
        <v>Tinggi</v>
      </c>
      <c r="H158" s="33" t="n">
        <v>150</v>
      </c>
      <c r="I158" s="33" t="n">
        <v>5</v>
      </c>
      <c r="J158" s="33" t="n">
        <v>1</v>
      </c>
      <c r="K158" s="33" t="s">
        <v>115</v>
      </c>
      <c r="T158" s="7" t="s">
        <v>296</v>
      </c>
    </row>
    <row r="159" customFormat="false" ht="15.75" hidden="false" customHeight="true" outlineLevel="0" collapsed="false">
      <c r="A159" s="5" t="n">
        <f aca="false">RANDBETWEEN(2,164)</f>
        <v>39</v>
      </c>
      <c r="B159" s="5" t="n">
        <f aca="false" t="array" ref="B159:B159">INDEX(Data_DBD!$C:$C,$A159)</f>
        <v>5</v>
      </c>
      <c r="C159" s="5" t="n">
        <f aca="false" t="array" ref="C159:C159">INDEX(Data_DBD!$E:$E,$A159)</f>
        <v>1</v>
      </c>
      <c r="D159" s="5" t="str">
        <f aca="false" t="array" ref="D159:D159">INDEX(Data_DBD!$F:$F,$A159)</f>
        <v>Sedang</v>
      </c>
      <c r="H159" s="33" t="n">
        <v>80</v>
      </c>
      <c r="I159" s="33" t="n">
        <v>3</v>
      </c>
      <c r="J159" s="33" t="n">
        <v>1</v>
      </c>
      <c r="K159" s="33" t="s">
        <v>7</v>
      </c>
      <c r="T159" s="8" t="s">
        <v>177</v>
      </c>
    </row>
    <row r="160" customFormat="false" ht="15.75" hidden="false" customHeight="true" outlineLevel="0" collapsed="false">
      <c r="A160" s="5" t="n">
        <f aca="false">RANDBETWEEN(2,164)</f>
        <v>59</v>
      </c>
      <c r="B160" s="5" t="n">
        <f aca="false" t="array" ref="B160:B160">INDEX(Data_DBD!$C:$C,$A160)</f>
        <v>4</v>
      </c>
      <c r="C160" s="5" t="n">
        <f aca="false" t="array" ref="C160:C160">INDEX(Data_DBD!$E:$E,$A160)</f>
        <v>0</v>
      </c>
      <c r="D160" s="5" t="str">
        <f aca="false" t="array" ref="D160:D160">INDEX(Data_DBD!$F:$F,$A160)</f>
        <v>Sedang</v>
      </c>
      <c r="H160" s="33" t="n">
        <v>117</v>
      </c>
      <c r="I160" s="33" t="n">
        <v>4</v>
      </c>
      <c r="J160" s="33" t="n">
        <v>1</v>
      </c>
      <c r="K160" s="33" t="s">
        <v>115</v>
      </c>
      <c r="T160" s="9" t="s">
        <v>297</v>
      </c>
    </row>
    <row r="161" customFormat="false" ht="15.75" hidden="false" customHeight="true" outlineLevel="0" collapsed="false">
      <c r="A161" s="5" t="n">
        <f aca="false">RANDBETWEEN(2,164)</f>
        <v>82</v>
      </c>
      <c r="B161" s="5" t="n">
        <f aca="false" t="array" ref="B161:B161">INDEX(Data_DBD!$C:$C,$A161)</f>
        <v>3</v>
      </c>
      <c r="C161" s="5" t="n">
        <f aca="false" t="array" ref="C161:C161">INDEX(Data_DBD!$E:$E,$A161)</f>
        <v>1</v>
      </c>
      <c r="D161" s="5" t="str">
        <f aca="false" t="array" ref="D161:D161">INDEX(Data_DBD!$F:$F,$A161)</f>
        <v>Sedang</v>
      </c>
      <c r="H161" s="33" t="n">
        <v>77</v>
      </c>
      <c r="I161" s="33" t="n">
        <v>4</v>
      </c>
      <c r="J161" s="33" t="n">
        <v>1</v>
      </c>
      <c r="K161" s="33" t="s">
        <v>7</v>
      </c>
      <c r="T161" s="9" t="s">
        <v>215</v>
      </c>
    </row>
    <row r="162" customFormat="false" ht="15.75" hidden="false" customHeight="true" outlineLevel="0" collapsed="false">
      <c r="A162" s="5" t="n">
        <f aca="false">RANDBETWEEN(2,164)</f>
        <v>98</v>
      </c>
      <c r="B162" s="5" t="n">
        <f aca="false" t="array" ref="B162:B162">INDEX(Data_DBD!$C:$C,$A162)</f>
        <v>2</v>
      </c>
      <c r="C162" s="5" t="n">
        <f aca="false" t="array" ref="C162:C162">INDEX(Data_DBD!$E:$E,$A162)</f>
        <v>1</v>
      </c>
      <c r="D162" s="5" t="str">
        <f aca="false" t="array" ref="D162:D162">INDEX(Data_DBD!$F:$F,$A162)</f>
        <v>Sedang</v>
      </c>
      <c r="H162" s="33" t="n">
        <v>33</v>
      </c>
      <c r="I162" s="33" t="n">
        <v>4</v>
      </c>
      <c r="J162" s="33" t="n">
        <v>1</v>
      </c>
      <c r="K162" s="33" t="s">
        <v>7</v>
      </c>
      <c r="T162" s="8" t="s">
        <v>180</v>
      </c>
    </row>
    <row r="163" customFormat="false" ht="15.75" hidden="false" customHeight="true" outlineLevel="0" collapsed="false">
      <c r="A163" s="5" t="n">
        <f aca="false">RANDBETWEEN(2,164)</f>
        <v>107</v>
      </c>
      <c r="B163" s="5" t="n">
        <f aca="false" t="array" ref="B163:B163">INDEX(Data_DBD!$C:$C,$A163)</f>
        <v>5</v>
      </c>
      <c r="C163" s="5" t="n">
        <f aca="false" t="array" ref="C163:C163">INDEX(Data_DBD!$E:$E,$A163)</f>
        <v>0</v>
      </c>
      <c r="D163" s="5" t="str">
        <f aca="false" t="array" ref="D163:D163">INDEX(Data_DBD!$F:$F,$A163)</f>
        <v>Sedang</v>
      </c>
      <c r="H163" s="33" t="n">
        <v>20</v>
      </c>
      <c r="I163" s="33" t="n">
        <v>5</v>
      </c>
      <c r="J163" s="33" t="n">
        <v>0</v>
      </c>
      <c r="K163" s="33" t="s">
        <v>20</v>
      </c>
      <c r="T163" s="9" t="s">
        <v>298</v>
      </c>
    </row>
    <row r="164" customFormat="false" ht="15.75" hidden="false" customHeight="true" outlineLevel="0" collapsed="false">
      <c r="A164" s="5" t="n">
        <f aca="false">RANDBETWEEN(2,164)</f>
        <v>142</v>
      </c>
      <c r="B164" s="5" t="n">
        <f aca="false" t="array" ref="B164:B164">INDEX(Data_DBD!$C:$C,$A164)</f>
        <v>2</v>
      </c>
      <c r="C164" s="5" t="n">
        <f aca="false" t="array" ref="C164:C164">INDEX(Data_DBD!$E:$E,$A164)</f>
        <v>1</v>
      </c>
      <c r="D164" s="5" t="str">
        <f aca="false" t="array" ref="D164:D164">INDEX(Data_DBD!$F:$F,$A164)</f>
        <v>Tinggi</v>
      </c>
      <c r="H164" s="33" t="n">
        <v>83</v>
      </c>
      <c r="I164" s="33" t="n">
        <v>3</v>
      </c>
      <c r="J164" s="33" t="n">
        <v>0</v>
      </c>
      <c r="K164" s="33" t="s">
        <v>7</v>
      </c>
      <c r="T164" s="9" t="s">
        <v>217</v>
      </c>
    </row>
    <row r="165" customFormat="false" ht="15.75" hidden="false" customHeight="true" outlineLevel="0" collapsed="false">
      <c r="I165" s="0" t="n">
        <f aca="false">AVERAGE(I2:I164)</f>
        <v>3.60122699386503</v>
      </c>
      <c r="J165" s="0" t="n">
        <f aca="false">AVERAGE(J2:J164)</f>
        <v>0.619631901840491</v>
      </c>
      <c r="T165" s="8" t="s">
        <v>183</v>
      </c>
    </row>
    <row r="166" customFormat="false" ht="15.75" hidden="false" customHeight="true" outlineLevel="0" collapsed="false">
      <c r="B166" s="0" t="n">
        <v>89</v>
      </c>
      <c r="T166" s="9" t="s">
        <v>299</v>
      </c>
    </row>
    <row r="168" customFormat="false" ht="15" hidden="false" customHeight="false" outlineLevel="0" collapsed="false">
      <c r="I168" s="11" t="s">
        <v>186</v>
      </c>
      <c r="M168" s="11" t="s">
        <v>188</v>
      </c>
    </row>
    <row r="169" customFormat="false" ht="15" hidden="false" customHeight="false" outlineLevel="0" collapsed="false">
      <c r="I169" s="5" t="s">
        <v>189</v>
      </c>
      <c r="J169" s="5" t="n">
        <f aca="false">AVERAGEIF($I$2:$I$164,"&lt;="&amp;$I$165)</f>
        <v>2.47435897435897</v>
      </c>
      <c r="K169" s="5" t="n">
        <f aca="false">AVERAGEIF($I$2:$I$164,"&gt;"&amp;$I$165)</f>
        <v>4.63529411764706</v>
      </c>
      <c r="M169" s="5" t="s">
        <v>191</v>
      </c>
      <c r="N169" s="5" t="n">
        <f aca="false">AVERAGEIF($J$2:$J$164,"&lt;="&amp;$J$165)</f>
        <v>0</v>
      </c>
      <c r="O169" s="5" t="n">
        <f aca="false">AVERAGEIF($J$2:$J$164,"&gt;"&amp;$J$165)</f>
        <v>1</v>
      </c>
    </row>
    <row r="170" customFormat="false" ht="15" hidden="false" customHeight="false" outlineLevel="0" collapsed="false">
      <c r="I170" s="5" t="str">
        <f aca="false" t="array" ref="I170:I332">IF($I$2:$I$164&lt;$J$169,"kiri",IF($I$2:$I$164&lt;$K$169,"tengah","kanan"))</f>
        <v>kanan</v>
      </c>
      <c r="J170" s="5" t="s">
        <v>300</v>
      </c>
      <c r="K170" s="5"/>
      <c r="M170" s="5" t="str">
        <f aca="false" t="array" ref="M170:M332">IF($J$2:$J$164&lt;$N$169,"kiri",IF($J$2:$J$164&lt;$O$169,"tengah","kanan"))</f>
        <v>kanan</v>
      </c>
      <c r="N170" s="5" t="s">
        <v>195</v>
      </c>
      <c r="O170" s="5"/>
    </row>
    <row r="171" customFormat="false" ht="15" hidden="false" customHeight="false" outlineLevel="0" collapsed="false">
      <c r="I171" s="5" t="str">
        <v>kiri</v>
      </c>
      <c r="J171" s="5" t="n">
        <f aca="false">COUNTIFS($I$170:$I$332,"Kanan",$K$2:$K$164,"Tinggi")</f>
        <v>14</v>
      </c>
      <c r="K171" s="5" t="n">
        <f aca="false">J171/39</f>
        <v>0.358974358974359</v>
      </c>
      <c r="M171" s="5" t="str">
        <v>kanan</v>
      </c>
      <c r="N171" s="5" t="n">
        <f aca="false">COUNTIFS($M$170:$M$332,"Kanan",$K$2:$K$164,"Tinggi")</f>
        <v>48</v>
      </c>
      <c r="O171" s="5" t="n">
        <f aca="false">N171/101</f>
        <v>0.475247524752475</v>
      </c>
    </row>
    <row r="172" customFormat="false" ht="15" hidden="false" customHeight="false" outlineLevel="0" collapsed="false">
      <c r="I172" s="5" t="str">
        <v>tengah</v>
      </c>
      <c r="J172" s="5" t="n">
        <f aca="false">COUNTIFS($I$170:$I$332,"Kanan",$K$2:$K$164,"Sedang")</f>
        <v>21</v>
      </c>
      <c r="K172" s="5" t="n">
        <f aca="false">J172/39</f>
        <v>0.538461538461538</v>
      </c>
      <c r="M172" s="5" t="str">
        <v>kanan</v>
      </c>
      <c r="N172" s="5" t="n">
        <f aca="false">COUNTIFS($M$170:$M$332,"Kanan",$K$2:$K$164,"Sedang")</f>
        <v>40</v>
      </c>
      <c r="O172" s="5" t="n">
        <f aca="false">N172/101</f>
        <v>0.396039603960396</v>
      </c>
    </row>
    <row r="173" customFormat="false" ht="15" hidden="false" customHeight="false" outlineLevel="0" collapsed="false">
      <c r="I173" s="5" t="str">
        <v>tengah</v>
      </c>
      <c r="J173" s="5" t="n">
        <f aca="false">COUNTIFS($I$170:$I$332,"Kanan",$K$2:$K$164,"Rendah")</f>
        <v>4</v>
      </c>
      <c r="K173" s="5" t="n">
        <f aca="false">J173/39</f>
        <v>0.102564102564103</v>
      </c>
      <c r="M173" s="5" t="str">
        <v>tengah</v>
      </c>
      <c r="N173" s="5" t="n">
        <f aca="false">COUNTIFS($M$170:$M$332,"Kanan",$K$2:$K$164,"Rendah")</f>
        <v>13</v>
      </c>
      <c r="O173" s="5" t="n">
        <f aca="false">N173/101</f>
        <v>0.128712871287129</v>
      </c>
    </row>
    <row r="174" customFormat="false" ht="15" hidden="false" customHeight="false" outlineLevel="0" collapsed="false">
      <c r="I174" s="5" t="str">
        <v>kanan</v>
      </c>
      <c r="J174" s="5" t="s">
        <v>196</v>
      </c>
      <c r="K174" s="5" t="n">
        <f aca="false">-(IFERROR(K171*LOG(K171,2),0)+IFERROR(K172*LOG(K172,2),0)+IFERROR(K173*LOG(K173,2),0))</f>
        <v>1.34843722431967</v>
      </c>
      <c r="M174" s="5" t="str">
        <v>kanan</v>
      </c>
      <c r="N174" s="5" t="s">
        <v>196</v>
      </c>
      <c r="O174" s="5" t="n">
        <f aca="false">-(IFERROR(O171*LOG(O171,2),0)+IFERROR(O172*LOG(O172,2),0)+IFERROR(O173*LOG(O173,2),0))</f>
        <v>1.4199833622969</v>
      </c>
    </row>
    <row r="175" customFormat="false" ht="15" hidden="false" customHeight="false" outlineLevel="0" collapsed="false">
      <c r="I175" s="5" t="str">
        <v>kanan</v>
      </c>
      <c r="J175" s="5"/>
      <c r="K175" s="5" t="n">
        <f aca="false">SUM(J171:J173)/163</f>
        <v>0.239263803680982</v>
      </c>
      <c r="M175" s="5" t="str">
        <v>tengah</v>
      </c>
      <c r="N175" s="5"/>
      <c r="O175" s="5" t="n">
        <f aca="false">SUM(N171:N173)/163</f>
        <v>0.619631901840491</v>
      </c>
    </row>
    <row r="176" customFormat="false" ht="15" hidden="false" customHeight="false" outlineLevel="0" collapsed="false">
      <c r="I176" s="5" t="str">
        <v>kanan</v>
      </c>
      <c r="J176" s="5"/>
      <c r="K176" s="12" t="n">
        <f aca="false">K174*K175</f>
        <v>0.32263221931575</v>
      </c>
      <c r="M176" s="5" t="str">
        <v>tengah</v>
      </c>
      <c r="N176" s="5"/>
      <c r="O176" s="12" t="n">
        <f aca="false">O174*O175</f>
        <v>0.879866991361884</v>
      </c>
    </row>
    <row r="177" customFormat="false" ht="15" hidden="false" customHeight="false" outlineLevel="0" collapsed="false">
      <c r="I177" s="5" t="str">
        <v>kanan</v>
      </c>
      <c r="J177" s="5"/>
      <c r="K177" s="5"/>
      <c r="M177" s="5" t="str">
        <v>kanan</v>
      </c>
      <c r="N177" s="5"/>
      <c r="O177" s="5"/>
    </row>
    <row r="178" customFormat="false" ht="15" hidden="false" customHeight="false" outlineLevel="0" collapsed="false">
      <c r="I178" s="5" t="str">
        <v>tengah</v>
      </c>
      <c r="J178" s="5"/>
      <c r="K178" s="5"/>
      <c r="M178" s="5" t="str">
        <v>tengah</v>
      </c>
      <c r="N178" s="5"/>
      <c r="O178" s="5"/>
    </row>
    <row r="179" customFormat="false" ht="15" hidden="false" customHeight="false" outlineLevel="0" collapsed="false">
      <c r="I179" s="5" t="str">
        <v>kiri</v>
      </c>
      <c r="J179" s="5" t="s">
        <v>301</v>
      </c>
      <c r="K179" s="5"/>
      <c r="M179" s="5" t="str">
        <v>kanan</v>
      </c>
      <c r="N179" s="5" t="s">
        <v>200</v>
      </c>
      <c r="O179" s="5"/>
    </row>
    <row r="180" customFormat="false" ht="15" hidden="false" customHeight="false" outlineLevel="0" collapsed="false">
      <c r="I180" s="5" t="str">
        <v>kiri</v>
      </c>
      <c r="J180" s="5" t="n">
        <f aca="false">COUNTIFS($I$170:$I$332,"Kiri",$K$2:$K$164,"Tinggi")</f>
        <v>20</v>
      </c>
      <c r="K180" s="5" t="n">
        <f aca="false">J180/35</f>
        <v>0.571428571428571</v>
      </c>
      <c r="M180" s="5" t="str">
        <v>tengah</v>
      </c>
      <c r="N180" s="5" t="n">
        <f aca="false">COUNTIFS($N$170:$N$332,"Kiri",$K$2:$K$164,"Tinggi")</f>
        <v>0</v>
      </c>
      <c r="O180" s="5" t="e">
        <f aca="false">N180/101</f>
        <v>#VALUE!</v>
      </c>
    </row>
    <row r="181" customFormat="false" ht="15" hidden="false" customHeight="false" outlineLevel="0" collapsed="false">
      <c r="I181" s="5" t="str">
        <v>tengah</v>
      </c>
      <c r="J181" s="5" t="n">
        <f aca="false">COUNTIFS($I$170:$I$332,"Kiri",$K$2:$K$164,"Sedang")</f>
        <v>11</v>
      </c>
      <c r="K181" s="5" t="n">
        <f aca="false">J181/35</f>
        <v>0.314285714285714</v>
      </c>
      <c r="M181" s="5" t="str">
        <v>tengah</v>
      </c>
      <c r="N181" s="5" t="n">
        <f aca="false">COUNTIFS($N$170:$N$332,"Kiri",$K$2:$K$164,"Sedang")</f>
        <v>0</v>
      </c>
      <c r="O181" s="5" t="e">
        <f aca="false">N181/101</f>
        <v>#VALUE!</v>
      </c>
    </row>
    <row r="182" customFormat="false" ht="15" hidden="false" customHeight="false" outlineLevel="0" collapsed="false">
      <c r="I182" s="5" t="str">
        <v>tengah</v>
      </c>
      <c r="J182" s="5" t="n">
        <f aca="false">COUNTIFS($I$170:$I$332,"Kiri",$K$2:$K$164,"Rendah")</f>
        <v>4</v>
      </c>
      <c r="K182" s="5" t="n">
        <f aca="false">J182/35</f>
        <v>0.114285714285714</v>
      </c>
      <c r="M182" s="5" t="str">
        <v>kanan</v>
      </c>
      <c r="N182" s="5" t="n">
        <f aca="false">COUNTIFS($N$170:$N$332,"Kiri",$K$2:$K$164,"Rendah")</f>
        <v>0</v>
      </c>
      <c r="O182" s="5" t="e">
        <f aca="false">N182/101</f>
        <v>#VALUE!</v>
      </c>
    </row>
    <row r="183" customFormat="false" ht="15" hidden="false" customHeight="false" outlineLevel="0" collapsed="false">
      <c r="I183" s="5" t="str">
        <v>tengah</v>
      </c>
      <c r="J183" s="5" t="s">
        <v>196</v>
      </c>
      <c r="K183" s="5" t="n">
        <f aca="false">-(IFERROR(K180*LOG(K180,2),0)+IFERROR(K181*LOG(K181,2),0)+IFERROR(K182*LOG(K182,2),0))</f>
        <v>1.34378845400904</v>
      </c>
      <c r="M183" s="5" t="str">
        <v>kanan</v>
      </c>
      <c r="N183" s="5" t="s">
        <v>196</v>
      </c>
      <c r="O183" s="5" t="n">
        <f aca="false">-(IFERROR(O180*LOG(O180,2),0)+IFERROR(O181*LOG(O181,2),0)+IFERROR(O182*LOG(O182,2),0))</f>
        <v>-0</v>
      </c>
    </row>
    <row r="184" customFormat="false" ht="15" hidden="false" customHeight="false" outlineLevel="0" collapsed="false">
      <c r="I184" s="5" t="str">
        <v>tengah</v>
      </c>
      <c r="J184" s="5"/>
      <c r="K184" s="5" t="n">
        <f aca="false">SUM(J180:J182)/163</f>
        <v>0.214723926380368</v>
      </c>
      <c r="M184" s="5" t="str">
        <v>kanan</v>
      </c>
      <c r="N184" s="5"/>
      <c r="O184" s="5" t="e">
        <f aca="false">SUM(N180:N182)/163</f>
        <v>#VALUE!</v>
      </c>
    </row>
    <row r="185" customFormat="false" ht="15" hidden="false" customHeight="false" outlineLevel="0" collapsed="false">
      <c r="I185" s="5" t="str">
        <v>tengah</v>
      </c>
      <c r="J185" s="5"/>
      <c r="K185" s="12" t="n">
        <f aca="false">K183*K184</f>
        <v>0.288543533069425</v>
      </c>
      <c r="M185" s="5" t="str">
        <v>kanan</v>
      </c>
      <c r="N185" s="5"/>
      <c r="O185" s="12" t="e">
        <f aca="false">O183*O184</f>
        <v>#VALUE!</v>
      </c>
    </row>
    <row r="186" customFormat="false" ht="15" hidden="false" customHeight="false" outlineLevel="0" collapsed="false">
      <c r="I186" s="5" t="str">
        <v>tengah</v>
      </c>
      <c r="J186" s="5"/>
      <c r="K186" s="5"/>
      <c r="M186" s="5" t="str">
        <v>kanan</v>
      </c>
      <c r="N186" s="5"/>
      <c r="O186" s="5"/>
    </row>
    <row r="187" customFormat="false" ht="15" hidden="false" customHeight="false" outlineLevel="0" collapsed="false">
      <c r="I187" s="5" t="str">
        <v>kanan</v>
      </c>
      <c r="J187" s="5"/>
      <c r="K187" s="5"/>
      <c r="M187" s="5" t="str">
        <v>kanan</v>
      </c>
      <c r="N187" s="5"/>
      <c r="O187" s="5"/>
    </row>
    <row r="188" customFormat="false" ht="15" hidden="false" customHeight="false" outlineLevel="0" collapsed="false">
      <c r="I188" s="5" t="str">
        <v>tengah</v>
      </c>
      <c r="J188" s="5" t="s">
        <v>201</v>
      </c>
      <c r="K188" s="5"/>
      <c r="M188" s="5" t="str">
        <v>kanan</v>
      </c>
      <c r="N188" s="5" t="s">
        <v>201</v>
      </c>
      <c r="O188" s="5"/>
    </row>
    <row r="189" customFormat="false" ht="15" hidden="false" customHeight="false" outlineLevel="0" collapsed="false">
      <c r="I189" s="5" t="str">
        <v>tengah</v>
      </c>
      <c r="J189" s="5" t="n">
        <f aca="false">COUNTIFS($I$170:$I$332,"Tengah",$K$2:$K$164,"Tinggi")</f>
        <v>37</v>
      </c>
      <c r="K189" s="5" t="n">
        <f aca="false">J189/89</f>
        <v>0.415730337078652</v>
      </c>
      <c r="M189" s="5" t="str">
        <v>tengah</v>
      </c>
      <c r="N189" s="5" t="n">
        <f aca="false">COUNTIFS($M$170:$M$332,"Tengah",$K$2:$K$164,"Tinggi")</f>
        <v>23</v>
      </c>
      <c r="O189" s="5" t="n">
        <f aca="false">N189/62</f>
        <v>0.370967741935484</v>
      </c>
    </row>
    <row r="190" customFormat="false" ht="15" hidden="false" customHeight="false" outlineLevel="0" collapsed="false">
      <c r="I190" s="5" t="str">
        <v>kanan</v>
      </c>
      <c r="J190" s="5" t="n">
        <f aca="false">COUNTIFS($I$170:$I$332,"Tengah",$K$2:$K$164,"Sedang")</f>
        <v>41</v>
      </c>
      <c r="K190" s="5" t="n">
        <f aca="false">J190/89</f>
        <v>0.460674157303371</v>
      </c>
      <c r="M190" s="5" t="str">
        <v>kanan</v>
      </c>
      <c r="N190" s="5" t="n">
        <f aca="false">COUNTIFS($M$170:$M$332,"Tengah",$K$2:$K$164,"Sedang")</f>
        <v>33</v>
      </c>
      <c r="O190" s="5" t="n">
        <f aca="false">N190/62</f>
        <v>0.532258064516129</v>
      </c>
    </row>
    <row r="191" customFormat="false" ht="15" hidden="false" customHeight="false" outlineLevel="0" collapsed="false">
      <c r="I191" s="5" t="str">
        <v>tengah</v>
      </c>
      <c r="J191" s="5" t="n">
        <f aca="false">COUNTIFS($I$170:$I$332,"Tengah",$K$2:$K$164,"Rendah")</f>
        <v>11</v>
      </c>
      <c r="K191" s="5" t="n">
        <f aca="false">J191/89</f>
        <v>0.123595505617978</v>
      </c>
      <c r="M191" s="5" t="str">
        <v>kanan</v>
      </c>
      <c r="N191" s="5" t="n">
        <f aca="false">COUNTIFS($M$170:$M$332,"Tengah",$K$2:$K$164,"Rendah")</f>
        <v>6</v>
      </c>
      <c r="O191" s="5" t="n">
        <f aca="false">N191/69</f>
        <v>0.0869565217391304</v>
      </c>
    </row>
    <row r="192" customFormat="false" ht="15" hidden="false" customHeight="false" outlineLevel="0" collapsed="false">
      <c r="I192" s="5" t="str">
        <v>kiri</v>
      </c>
      <c r="J192" s="5" t="s">
        <v>196</v>
      </c>
      <c r="K192" s="5" t="n">
        <f aca="false">-(IFERROR(K189*LOG(K189,2),0)+IFERROR(K190*LOG(K190,2),0)+IFERROR(K191*LOG(K191,2),0))</f>
        <v>1.41434967228524</v>
      </c>
      <c r="M192" s="5" t="str">
        <v>tengah</v>
      </c>
      <c r="N192" s="5" t="s">
        <v>196</v>
      </c>
      <c r="O192" s="5" t="n">
        <f aca="false">-(IFERROR(O189*LOG(O189,2),0)+IFERROR(O190*LOG(O190,2),0)+IFERROR(O191*LOG(O191,2),0))</f>
        <v>1.32136544108144</v>
      </c>
    </row>
    <row r="193" customFormat="false" ht="15" hidden="false" customHeight="false" outlineLevel="0" collapsed="false">
      <c r="I193" s="5" t="str">
        <v>tengah</v>
      </c>
      <c r="J193" s="5"/>
      <c r="K193" s="5" t="n">
        <f aca="false">SUM(J189:J191)/163</f>
        <v>0.54601226993865</v>
      </c>
      <c r="M193" s="5" t="str">
        <v>kanan</v>
      </c>
      <c r="N193" s="5"/>
      <c r="O193" s="5" t="n">
        <f aca="false">SUM(N189:N191)/163</f>
        <v>0.380368098159509</v>
      </c>
    </row>
    <row r="194" customFormat="false" ht="15" hidden="false" customHeight="false" outlineLevel="0" collapsed="false">
      <c r="I194" s="5" t="str">
        <v>tengah</v>
      </c>
      <c r="J194" s="5"/>
      <c r="K194" s="12" t="n">
        <f aca="false">K192*K193</f>
        <v>0.772252275051451</v>
      </c>
      <c r="M194" s="5" t="str">
        <v>tengah</v>
      </c>
      <c r="N194" s="5"/>
      <c r="O194" s="12" t="n">
        <f aca="false">O192*O193</f>
        <v>0.50260525979785</v>
      </c>
    </row>
    <row r="195" customFormat="false" ht="15" hidden="false" customHeight="false" outlineLevel="0" collapsed="false">
      <c r="I195" s="5" t="str">
        <v>tengah</v>
      </c>
      <c r="J195" s="5"/>
      <c r="K195" s="5"/>
      <c r="M195" s="5" t="str">
        <v>kanan</v>
      </c>
      <c r="N195" s="5"/>
      <c r="O195" s="5"/>
    </row>
    <row r="196" customFormat="false" ht="15" hidden="false" customHeight="false" outlineLevel="0" collapsed="false">
      <c r="I196" s="5" t="str">
        <v>tengah</v>
      </c>
      <c r="J196" s="5" t="s">
        <v>202</v>
      </c>
      <c r="K196" s="5"/>
      <c r="M196" s="5" t="str">
        <v>kanan</v>
      </c>
      <c r="N196" s="5" t="s">
        <v>202</v>
      </c>
      <c r="O196" s="5"/>
    </row>
    <row r="197" customFormat="false" ht="15" hidden="false" customHeight="false" outlineLevel="0" collapsed="false">
      <c r="I197" s="5" t="str">
        <v>kanan</v>
      </c>
      <c r="J197" s="13" t="n">
        <f aca="false">P5-(K176+K185+K194)</f>
        <v>0.0192887093803296</v>
      </c>
      <c r="K197" s="5"/>
      <c r="M197" s="5" t="str">
        <v>tengah</v>
      </c>
      <c r="N197" s="13" t="e">
        <f aca="false">P5-(O176+O185+O194)</f>
        <v>#VALUE!</v>
      </c>
      <c r="O197" s="5"/>
    </row>
    <row r="198" customFormat="false" ht="15" hidden="false" customHeight="false" outlineLevel="0" collapsed="false">
      <c r="I198" s="5" t="str">
        <v>kanan</v>
      </c>
      <c r="J198" s="5"/>
      <c r="K198" s="5"/>
      <c r="M198" s="5" t="str">
        <v>tengah</v>
      </c>
      <c r="N198" s="5"/>
      <c r="O198" s="5"/>
    </row>
    <row r="199" customFormat="false" ht="15" hidden="false" customHeight="false" outlineLevel="0" collapsed="false">
      <c r="I199" s="5" t="str">
        <v>kiri</v>
      </c>
      <c r="J199" s="5"/>
      <c r="K199" s="5"/>
      <c r="M199" s="5" t="str">
        <v>tengah</v>
      </c>
      <c r="N199" s="5"/>
      <c r="O199" s="5"/>
    </row>
    <row r="200" customFormat="false" ht="15" hidden="false" customHeight="false" outlineLevel="0" collapsed="false">
      <c r="I200" s="5" t="str">
        <v>kiri</v>
      </c>
      <c r="J200" s="5"/>
      <c r="K200" s="5"/>
      <c r="M200" s="5" t="str">
        <v>kanan</v>
      </c>
      <c r="N200" s="5"/>
      <c r="O200" s="5"/>
    </row>
    <row r="201" customFormat="false" ht="15" hidden="false" customHeight="false" outlineLevel="0" collapsed="false">
      <c r="I201" s="5" t="str">
        <v>tengah</v>
      </c>
      <c r="J201" s="5"/>
      <c r="K201" s="5"/>
      <c r="M201" s="5" t="str">
        <v>kanan</v>
      </c>
      <c r="N201" s="5"/>
      <c r="O201" s="5"/>
    </row>
    <row r="202" customFormat="false" ht="15" hidden="false" customHeight="false" outlineLevel="0" collapsed="false">
      <c r="I202" s="5" t="str">
        <v>tengah</v>
      </c>
      <c r="J202" s="5"/>
      <c r="K202" s="5"/>
      <c r="M202" s="5" t="str">
        <v>tengah</v>
      </c>
      <c r="N202" s="5"/>
      <c r="O202" s="5"/>
    </row>
    <row r="203" customFormat="false" ht="15" hidden="false" customHeight="false" outlineLevel="0" collapsed="false">
      <c r="I203" s="5" t="str">
        <v>tengah</v>
      </c>
      <c r="J203" s="5"/>
      <c r="K203" s="5"/>
      <c r="M203" s="5" t="str">
        <v>tengah</v>
      </c>
      <c r="N203" s="5"/>
      <c r="O203" s="5"/>
    </row>
    <row r="204" customFormat="false" ht="15" hidden="false" customHeight="false" outlineLevel="0" collapsed="false">
      <c r="I204" s="5" t="str">
        <v>tengah</v>
      </c>
      <c r="J204" s="5"/>
      <c r="K204" s="5"/>
      <c r="M204" s="5" t="str">
        <v>tengah</v>
      </c>
      <c r="N204" s="5"/>
      <c r="O204" s="5"/>
    </row>
    <row r="205" customFormat="false" ht="15" hidden="false" customHeight="false" outlineLevel="0" collapsed="false">
      <c r="I205" s="5" t="str">
        <v>kanan</v>
      </c>
      <c r="J205" s="5"/>
      <c r="K205" s="5"/>
      <c r="M205" s="5" t="str">
        <v>kanan</v>
      </c>
      <c r="N205" s="5"/>
      <c r="O205" s="5"/>
    </row>
    <row r="206" customFormat="false" ht="15" hidden="false" customHeight="false" outlineLevel="0" collapsed="false">
      <c r="I206" s="5" t="str">
        <v>kiri</v>
      </c>
      <c r="J206" s="5"/>
      <c r="K206" s="5"/>
      <c r="M206" s="5" t="str">
        <v>kanan</v>
      </c>
      <c r="N206" s="5"/>
      <c r="O206" s="5"/>
    </row>
    <row r="207" customFormat="false" ht="15" hidden="false" customHeight="false" outlineLevel="0" collapsed="false">
      <c r="I207" s="5" t="str">
        <v>tengah</v>
      </c>
      <c r="J207" s="5"/>
      <c r="K207" s="5"/>
      <c r="M207" s="5" t="str">
        <v>tengah</v>
      </c>
      <c r="N207" s="5"/>
      <c r="O207" s="5"/>
    </row>
    <row r="208" customFormat="false" ht="15" hidden="false" customHeight="false" outlineLevel="0" collapsed="false">
      <c r="I208" s="5" t="str">
        <v>kiri</v>
      </c>
      <c r="J208" s="5"/>
      <c r="K208" s="5"/>
      <c r="M208" s="5" t="str">
        <v>kanan</v>
      </c>
      <c r="N208" s="5"/>
      <c r="O208" s="5"/>
    </row>
    <row r="209" customFormat="false" ht="15" hidden="false" customHeight="false" outlineLevel="0" collapsed="false">
      <c r="I209" s="5" t="str">
        <v>kanan</v>
      </c>
      <c r="J209" s="5"/>
      <c r="K209" s="5"/>
      <c r="M209" s="5" t="str">
        <v>kanan</v>
      </c>
      <c r="N209" s="5"/>
      <c r="O209" s="5"/>
    </row>
    <row r="210" customFormat="false" ht="15" hidden="false" customHeight="false" outlineLevel="0" collapsed="false">
      <c r="I210" s="5" t="str">
        <v>tengah</v>
      </c>
      <c r="J210" s="5"/>
      <c r="K210" s="5"/>
      <c r="M210" s="5" t="str">
        <v>kanan</v>
      </c>
      <c r="N210" s="5"/>
      <c r="O210" s="5"/>
    </row>
    <row r="211" customFormat="false" ht="15" hidden="false" customHeight="false" outlineLevel="0" collapsed="false">
      <c r="I211" s="5" t="str">
        <v>tengah</v>
      </c>
      <c r="J211" s="5"/>
      <c r="K211" s="5"/>
      <c r="M211" s="5" t="str">
        <v>kanan</v>
      </c>
      <c r="N211" s="5"/>
      <c r="O211" s="5"/>
    </row>
    <row r="212" customFormat="false" ht="15" hidden="false" customHeight="false" outlineLevel="0" collapsed="false">
      <c r="I212" s="5" t="str">
        <v>tengah</v>
      </c>
      <c r="J212" s="5"/>
      <c r="K212" s="5"/>
      <c r="M212" s="5" t="str">
        <v>kanan</v>
      </c>
      <c r="N212" s="5"/>
      <c r="O212" s="5"/>
    </row>
    <row r="213" customFormat="false" ht="15" hidden="false" customHeight="false" outlineLevel="0" collapsed="false">
      <c r="I213" s="5" t="str">
        <v>kiri</v>
      </c>
      <c r="J213" s="5"/>
      <c r="K213" s="5"/>
      <c r="M213" s="5" t="str">
        <v>tengah</v>
      </c>
      <c r="N213" s="5"/>
      <c r="O213" s="5"/>
    </row>
    <row r="214" customFormat="false" ht="15" hidden="false" customHeight="false" outlineLevel="0" collapsed="false">
      <c r="I214" s="5" t="str">
        <v>tengah</v>
      </c>
      <c r="J214" s="5"/>
      <c r="K214" s="5"/>
      <c r="M214" s="5" t="str">
        <v>kanan</v>
      </c>
      <c r="N214" s="5"/>
      <c r="O214" s="5"/>
    </row>
    <row r="215" customFormat="false" ht="15" hidden="false" customHeight="false" outlineLevel="0" collapsed="false">
      <c r="I215" s="5" t="str">
        <v>tengah</v>
      </c>
      <c r="J215" s="5"/>
      <c r="K215" s="5"/>
      <c r="M215" s="5" t="str">
        <v>tengah</v>
      </c>
      <c r="N215" s="5"/>
      <c r="O215" s="5"/>
    </row>
    <row r="216" customFormat="false" ht="15" hidden="false" customHeight="false" outlineLevel="0" collapsed="false">
      <c r="I216" s="5" t="str">
        <v>tengah</v>
      </c>
      <c r="J216" s="5"/>
      <c r="K216" s="5"/>
      <c r="M216" s="5" t="str">
        <v>kanan</v>
      </c>
      <c r="N216" s="5"/>
      <c r="O216" s="5"/>
    </row>
    <row r="217" customFormat="false" ht="15" hidden="false" customHeight="false" outlineLevel="0" collapsed="false">
      <c r="I217" s="5" t="str">
        <v>tengah</v>
      </c>
      <c r="J217" s="5"/>
      <c r="K217" s="5"/>
      <c r="M217" s="5" t="str">
        <v>kanan</v>
      </c>
      <c r="N217" s="5"/>
      <c r="O217" s="5"/>
    </row>
    <row r="218" customFormat="false" ht="15" hidden="false" customHeight="false" outlineLevel="0" collapsed="false">
      <c r="I218" s="5" t="str">
        <v>tengah</v>
      </c>
      <c r="J218" s="5"/>
      <c r="K218" s="5"/>
      <c r="M218" s="5" t="str">
        <v>tengah</v>
      </c>
      <c r="N218" s="5"/>
      <c r="O218" s="5"/>
    </row>
    <row r="219" customFormat="false" ht="15" hidden="false" customHeight="false" outlineLevel="0" collapsed="false">
      <c r="I219" s="5" t="str">
        <v>tengah</v>
      </c>
      <c r="J219" s="5"/>
      <c r="K219" s="5"/>
      <c r="M219" s="5" t="str">
        <v>kanan</v>
      </c>
      <c r="N219" s="5"/>
      <c r="O219" s="5"/>
    </row>
    <row r="220" customFormat="false" ht="15" hidden="false" customHeight="false" outlineLevel="0" collapsed="false">
      <c r="I220" s="5" t="str">
        <v>kiri</v>
      </c>
      <c r="J220" s="5"/>
      <c r="K220" s="5"/>
      <c r="M220" s="5" t="str">
        <v>tengah</v>
      </c>
      <c r="N220" s="5"/>
      <c r="O220" s="5"/>
    </row>
    <row r="221" customFormat="false" ht="15" hidden="false" customHeight="false" outlineLevel="0" collapsed="false">
      <c r="I221" s="5" t="str">
        <v>tengah</v>
      </c>
      <c r="J221" s="5"/>
      <c r="K221" s="5"/>
      <c r="M221" s="5" t="str">
        <v>kanan</v>
      </c>
      <c r="N221" s="5"/>
      <c r="O221" s="5"/>
    </row>
    <row r="222" customFormat="false" ht="15" hidden="false" customHeight="false" outlineLevel="0" collapsed="false">
      <c r="I222" s="5" t="str">
        <v>kanan</v>
      </c>
      <c r="J222" s="5"/>
      <c r="K222" s="5"/>
      <c r="M222" s="5" t="str">
        <v>tengah</v>
      </c>
      <c r="N222" s="5"/>
      <c r="O222" s="5"/>
    </row>
    <row r="223" customFormat="false" ht="15" hidden="false" customHeight="false" outlineLevel="0" collapsed="false">
      <c r="I223" s="5" t="str">
        <v>tengah</v>
      </c>
      <c r="J223" s="5"/>
      <c r="K223" s="5"/>
      <c r="M223" s="5" t="str">
        <v>kanan</v>
      </c>
      <c r="N223" s="5"/>
      <c r="O223" s="5"/>
    </row>
    <row r="224" customFormat="false" ht="15" hidden="false" customHeight="false" outlineLevel="0" collapsed="false">
      <c r="I224" s="5" t="str">
        <v>kanan</v>
      </c>
      <c r="J224" s="5"/>
      <c r="K224" s="5"/>
      <c r="M224" s="5" t="str">
        <v>tengah</v>
      </c>
      <c r="N224" s="5"/>
      <c r="O224" s="5"/>
    </row>
    <row r="225" customFormat="false" ht="15" hidden="false" customHeight="false" outlineLevel="0" collapsed="false">
      <c r="I225" s="5" t="str">
        <v>tengah</v>
      </c>
      <c r="J225" s="5"/>
      <c r="K225" s="5"/>
      <c r="M225" s="5" t="str">
        <v>kanan</v>
      </c>
      <c r="N225" s="5"/>
      <c r="O225" s="5"/>
    </row>
    <row r="226" customFormat="false" ht="15" hidden="false" customHeight="false" outlineLevel="0" collapsed="false">
      <c r="I226" s="5" t="str">
        <v>tengah</v>
      </c>
      <c r="J226" s="5"/>
      <c r="K226" s="5"/>
      <c r="M226" s="5" t="str">
        <v>tengah</v>
      </c>
      <c r="N226" s="5"/>
      <c r="O226" s="5"/>
    </row>
    <row r="227" customFormat="false" ht="15" hidden="false" customHeight="false" outlineLevel="0" collapsed="false">
      <c r="I227" s="5" t="str">
        <v>kiri</v>
      </c>
      <c r="J227" s="5"/>
      <c r="K227" s="5"/>
      <c r="M227" s="5" t="str">
        <v>tengah</v>
      </c>
      <c r="N227" s="5"/>
      <c r="O227" s="5"/>
    </row>
    <row r="228" customFormat="false" ht="15" hidden="false" customHeight="false" outlineLevel="0" collapsed="false">
      <c r="I228" s="5" t="str">
        <v>kanan</v>
      </c>
      <c r="J228" s="5"/>
      <c r="K228" s="5"/>
      <c r="M228" s="5" t="str">
        <v>kanan</v>
      </c>
      <c r="N228" s="5"/>
      <c r="O228" s="5"/>
    </row>
    <row r="229" customFormat="false" ht="15" hidden="false" customHeight="false" outlineLevel="0" collapsed="false">
      <c r="I229" s="5" t="str">
        <v>kiri</v>
      </c>
      <c r="J229" s="5"/>
      <c r="K229" s="5"/>
      <c r="M229" s="5" t="str">
        <v>kanan</v>
      </c>
      <c r="N229" s="5"/>
      <c r="O229" s="5"/>
    </row>
    <row r="230" customFormat="false" ht="15" hidden="false" customHeight="false" outlineLevel="0" collapsed="false">
      <c r="I230" s="5" t="str">
        <v>tengah</v>
      </c>
      <c r="J230" s="5"/>
      <c r="K230" s="5"/>
      <c r="M230" s="5" t="str">
        <v>kanan</v>
      </c>
      <c r="N230" s="5"/>
      <c r="O230" s="5"/>
    </row>
    <row r="231" customFormat="false" ht="15" hidden="false" customHeight="false" outlineLevel="0" collapsed="false">
      <c r="I231" s="5" t="str">
        <v>kiri</v>
      </c>
      <c r="J231" s="5"/>
      <c r="K231" s="5"/>
      <c r="M231" s="5" t="str">
        <v>kanan</v>
      </c>
      <c r="N231" s="5"/>
      <c r="O231" s="5"/>
    </row>
    <row r="232" customFormat="false" ht="15" hidden="false" customHeight="false" outlineLevel="0" collapsed="false">
      <c r="I232" s="5" t="str">
        <v>tengah</v>
      </c>
      <c r="J232" s="5"/>
      <c r="K232" s="5"/>
      <c r="M232" s="5" t="str">
        <v>kanan</v>
      </c>
      <c r="N232" s="5"/>
      <c r="O232" s="5"/>
    </row>
    <row r="233" customFormat="false" ht="15" hidden="false" customHeight="false" outlineLevel="0" collapsed="false">
      <c r="I233" s="5" t="str">
        <v>tengah</v>
      </c>
      <c r="J233" s="5"/>
      <c r="K233" s="5"/>
      <c r="M233" s="5" t="str">
        <v>kanan</v>
      </c>
      <c r="N233" s="5"/>
      <c r="O233" s="5"/>
    </row>
    <row r="234" customFormat="false" ht="15" hidden="false" customHeight="false" outlineLevel="0" collapsed="false">
      <c r="I234" s="5" t="str">
        <v>kanan</v>
      </c>
      <c r="J234" s="5"/>
      <c r="K234" s="5"/>
      <c r="M234" s="5" t="str">
        <v>tengah</v>
      </c>
      <c r="N234" s="5"/>
      <c r="O234" s="5"/>
    </row>
    <row r="235" customFormat="false" ht="15" hidden="false" customHeight="false" outlineLevel="0" collapsed="false">
      <c r="I235" s="5" t="str">
        <v>kiri</v>
      </c>
      <c r="J235" s="5"/>
      <c r="K235" s="5"/>
      <c r="M235" s="5" t="str">
        <v>tengah</v>
      </c>
      <c r="N235" s="5"/>
      <c r="O235" s="5"/>
    </row>
    <row r="236" customFormat="false" ht="15" hidden="false" customHeight="false" outlineLevel="0" collapsed="false">
      <c r="I236" s="5" t="str">
        <v>tengah</v>
      </c>
      <c r="J236" s="5"/>
      <c r="K236" s="5"/>
      <c r="M236" s="5" t="str">
        <v>kanan</v>
      </c>
      <c r="N236" s="5"/>
      <c r="O236" s="5"/>
    </row>
    <row r="237" customFormat="false" ht="15" hidden="false" customHeight="false" outlineLevel="0" collapsed="false">
      <c r="I237" s="5" t="str">
        <v>tengah</v>
      </c>
      <c r="J237" s="5"/>
      <c r="K237" s="5"/>
      <c r="M237" s="5" t="str">
        <v>kanan</v>
      </c>
      <c r="N237" s="5"/>
      <c r="O237" s="5"/>
    </row>
    <row r="238" customFormat="false" ht="15" hidden="false" customHeight="false" outlineLevel="0" collapsed="false">
      <c r="I238" s="5" t="str">
        <v>tengah</v>
      </c>
      <c r="J238" s="5"/>
      <c r="K238" s="5"/>
      <c r="M238" s="5" t="str">
        <v>kanan</v>
      </c>
      <c r="N238" s="5"/>
      <c r="O238" s="5"/>
    </row>
    <row r="239" customFormat="false" ht="15" hidden="false" customHeight="false" outlineLevel="0" collapsed="false">
      <c r="I239" s="5" t="str">
        <v>tengah</v>
      </c>
      <c r="J239" s="5"/>
      <c r="K239" s="5"/>
      <c r="M239" s="5" t="str">
        <v>kanan</v>
      </c>
      <c r="N239" s="5"/>
      <c r="O239" s="5"/>
    </row>
    <row r="240" customFormat="false" ht="15" hidden="false" customHeight="false" outlineLevel="0" collapsed="false">
      <c r="I240" s="5" t="str">
        <v>kanan</v>
      </c>
      <c r="J240" s="5"/>
      <c r="K240" s="5"/>
      <c r="M240" s="5" t="str">
        <v>tengah</v>
      </c>
      <c r="N240" s="5"/>
      <c r="O240" s="5"/>
    </row>
    <row r="241" customFormat="false" ht="15" hidden="false" customHeight="false" outlineLevel="0" collapsed="false">
      <c r="I241" s="5" t="str">
        <v>kiri</v>
      </c>
      <c r="J241" s="5"/>
      <c r="K241" s="5"/>
      <c r="M241" s="5" t="str">
        <v>kanan</v>
      </c>
      <c r="N241" s="5"/>
      <c r="O241" s="5"/>
    </row>
    <row r="242" customFormat="false" ht="15" hidden="false" customHeight="false" outlineLevel="0" collapsed="false">
      <c r="I242" s="5" t="str">
        <v>tengah</v>
      </c>
      <c r="J242" s="5"/>
      <c r="K242" s="5"/>
      <c r="M242" s="5" t="str">
        <v>kanan</v>
      </c>
      <c r="N242" s="5"/>
      <c r="O242" s="5"/>
    </row>
    <row r="243" customFormat="false" ht="15" hidden="false" customHeight="false" outlineLevel="0" collapsed="false">
      <c r="I243" s="5" t="str">
        <v>tengah</v>
      </c>
      <c r="J243" s="5"/>
      <c r="K243" s="5"/>
      <c r="M243" s="5" t="str">
        <v>tengah</v>
      </c>
      <c r="N243" s="5"/>
      <c r="O243" s="5"/>
    </row>
    <row r="244" customFormat="false" ht="15" hidden="false" customHeight="false" outlineLevel="0" collapsed="false">
      <c r="I244" s="5" t="str">
        <v>tengah</v>
      </c>
      <c r="J244" s="5"/>
      <c r="K244" s="5"/>
      <c r="M244" s="5" t="str">
        <v>tengah</v>
      </c>
      <c r="N244" s="5"/>
      <c r="O244" s="5"/>
    </row>
    <row r="245" customFormat="false" ht="15" hidden="false" customHeight="false" outlineLevel="0" collapsed="false">
      <c r="I245" s="5" t="str">
        <v>tengah</v>
      </c>
      <c r="J245" s="5"/>
      <c r="K245" s="5"/>
      <c r="M245" s="5" t="str">
        <v>kanan</v>
      </c>
      <c r="N245" s="5"/>
      <c r="O245" s="5"/>
    </row>
    <row r="246" customFormat="false" ht="15" hidden="false" customHeight="false" outlineLevel="0" collapsed="false">
      <c r="I246" s="5" t="str">
        <v>kiri</v>
      </c>
      <c r="J246" s="5"/>
      <c r="K246" s="5"/>
      <c r="M246" s="5" t="str">
        <v>kanan</v>
      </c>
      <c r="N246" s="5"/>
      <c r="O246" s="5"/>
    </row>
    <row r="247" customFormat="false" ht="15" hidden="false" customHeight="false" outlineLevel="0" collapsed="false">
      <c r="I247" s="5" t="str">
        <v>tengah</v>
      </c>
      <c r="J247" s="5"/>
      <c r="K247" s="5"/>
      <c r="M247" s="5" t="str">
        <v>tengah</v>
      </c>
      <c r="N247" s="5"/>
      <c r="O247" s="5"/>
    </row>
    <row r="248" customFormat="false" ht="15" hidden="false" customHeight="false" outlineLevel="0" collapsed="false">
      <c r="I248" s="5" t="str">
        <v>kanan</v>
      </c>
      <c r="J248" s="5"/>
      <c r="K248" s="5"/>
      <c r="M248" s="5" t="str">
        <v>kanan</v>
      </c>
      <c r="N248" s="5"/>
      <c r="O248" s="5"/>
    </row>
    <row r="249" customFormat="false" ht="15" hidden="false" customHeight="false" outlineLevel="0" collapsed="false">
      <c r="I249" s="5" t="str">
        <v>kiri</v>
      </c>
      <c r="J249" s="5"/>
      <c r="K249" s="5"/>
      <c r="M249" s="5" t="str">
        <v>kanan</v>
      </c>
      <c r="N249" s="5"/>
      <c r="O249" s="5"/>
    </row>
    <row r="250" customFormat="false" ht="15" hidden="false" customHeight="false" outlineLevel="0" collapsed="false">
      <c r="I250" s="5" t="str">
        <v>kanan</v>
      </c>
      <c r="J250" s="5"/>
      <c r="K250" s="5"/>
      <c r="M250" s="5" t="str">
        <v>tengah</v>
      </c>
      <c r="N250" s="5"/>
      <c r="O250" s="5"/>
    </row>
    <row r="251" customFormat="false" ht="15" hidden="false" customHeight="false" outlineLevel="0" collapsed="false">
      <c r="I251" s="5" t="str">
        <v>tengah</v>
      </c>
      <c r="J251" s="5"/>
      <c r="K251" s="5"/>
      <c r="M251" s="5" t="str">
        <v>kanan</v>
      </c>
      <c r="N251" s="5"/>
      <c r="O251" s="5"/>
    </row>
    <row r="252" customFormat="false" ht="15" hidden="false" customHeight="false" outlineLevel="0" collapsed="false">
      <c r="I252" s="5" t="str">
        <v>tengah</v>
      </c>
      <c r="J252" s="5"/>
      <c r="K252" s="5"/>
      <c r="M252" s="5" t="str">
        <v>tengah</v>
      </c>
      <c r="N252" s="5"/>
      <c r="O252" s="5"/>
    </row>
    <row r="253" customFormat="false" ht="15" hidden="false" customHeight="false" outlineLevel="0" collapsed="false">
      <c r="I253" s="5" t="str">
        <v>tengah</v>
      </c>
      <c r="J253" s="5"/>
      <c r="K253" s="5"/>
      <c r="M253" s="5" t="str">
        <v>kanan</v>
      </c>
      <c r="N253" s="5"/>
      <c r="O253" s="5"/>
    </row>
    <row r="254" customFormat="false" ht="15" hidden="false" customHeight="false" outlineLevel="0" collapsed="false">
      <c r="I254" s="5" t="str">
        <v>kanan</v>
      </c>
      <c r="J254" s="5"/>
      <c r="K254" s="5"/>
      <c r="M254" s="5" t="str">
        <v>tengah</v>
      </c>
      <c r="N254" s="5"/>
      <c r="O254" s="5"/>
    </row>
    <row r="255" customFormat="false" ht="15" hidden="false" customHeight="false" outlineLevel="0" collapsed="false">
      <c r="I255" s="5" t="str">
        <v>tengah</v>
      </c>
      <c r="J255" s="5"/>
      <c r="K255" s="5"/>
      <c r="M255" s="5" t="str">
        <v>kanan</v>
      </c>
      <c r="N255" s="5"/>
      <c r="O255" s="5"/>
    </row>
    <row r="256" customFormat="false" ht="15" hidden="false" customHeight="false" outlineLevel="0" collapsed="false">
      <c r="I256" s="5" t="str">
        <v>tengah</v>
      </c>
      <c r="J256" s="5"/>
      <c r="K256" s="5"/>
      <c r="M256" s="5" t="str">
        <v>kanan</v>
      </c>
      <c r="N256" s="5"/>
      <c r="O256" s="5"/>
    </row>
    <row r="257" customFormat="false" ht="15" hidden="false" customHeight="false" outlineLevel="0" collapsed="false">
      <c r="I257" s="5" t="str">
        <v>tengah</v>
      </c>
      <c r="J257" s="5"/>
      <c r="K257" s="5"/>
      <c r="M257" s="5" t="str">
        <v>tengah</v>
      </c>
      <c r="N257" s="5"/>
      <c r="O257" s="5"/>
    </row>
    <row r="258" customFormat="false" ht="15" hidden="false" customHeight="false" outlineLevel="0" collapsed="false">
      <c r="I258" s="5" t="str">
        <v>tengah</v>
      </c>
      <c r="J258" s="5"/>
      <c r="K258" s="5"/>
      <c r="M258" s="5" t="str">
        <v>tengah</v>
      </c>
      <c r="N258" s="5"/>
      <c r="O258" s="5"/>
    </row>
    <row r="259" customFormat="false" ht="15" hidden="false" customHeight="false" outlineLevel="0" collapsed="false">
      <c r="I259" s="5" t="str">
        <v>tengah</v>
      </c>
      <c r="J259" s="5"/>
      <c r="K259" s="5"/>
      <c r="M259" s="5" t="str">
        <v>kanan</v>
      </c>
      <c r="N259" s="5"/>
      <c r="O259" s="5"/>
    </row>
    <row r="260" customFormat="false" ht="15" hidden="false" customHeight="false" outlineLevel="0" collapsed="false">
      <c r="I260" s="5" t="str">
        <v>kanan</v>
      </c>
      <c r="J260" s="5"/>
      <c r="K260" s="5"/>
      <c r="M260" s="5" t="str">
        <v>tengah</v>
      </c>
      <c r="N260" s="5"/>
      <c r="O260" s="5"/>
    </row>
    <row r="261" customFormat="false" ht="15" hidden="false" customHeight="false" outlineLevel="0" collapsed="false">
      <c r="I261" s="5" t="str">
        <v>tengah</v>
      </c>
      <c r="J261" s="5"/>
      <c r="K261" s="5"/>
      <c r="M261" s="5" t="str">
        <v>kanan</v>
      </c>
      <c r="N261" s="5"/>
      <c r="O261" s="5"/>
    </row>
    <row r="262" customFormat="false" ht="15" hidden="false" customHeight="false" outlineLevel="0" collapsed="false">
      <c r="I262" s="5" t="str">
        <v>kanan</v>
      </c>
      <c r="J262" s="5"/>
      <c r="K262" s="5"/>
      <c r="M262" s="5" t="str">
        <v>kanan</v>
      </c>
      <c r="N262" s="5"/>
      <c r="O262" s="5"/>
    </row>
    <row r="263" customFormat="false" ht="15" hidden="false" customHeight="false" outlineLevel="0" collapsed="false">
      <c r="I263" s="5" t="str">
        <v>kiri</v>
      </c>
      <c r="J263" s="5"/>
      <c r="K263" s="5"/>
      <c r="M263" s="5" t="str">
        <v>kanan</v>
      </c>
      <c r="N263" s="5"/>
      <c r="O263" s="5"/>
    </row>
    <row r="264" customFormat="false" ht="15" hidden="false" customHeight="false" outlineLevel="0" collapsed="false">
      <c r="I264" s="5" t="str">
        <v>tengah</v>
      </c>
      <c r="J264" s="5"/>
      <c r="K264" s="5"/>
      <c r="M264" s="5" t="str">
        <v>tengah</v>
      </c>
      <c r="N264" s="5"/>
      <c r="O264" s="5"/>
    </row>
    <row r="265" customFormat="false" ht="15" hidden="false" customHeight="false" outlineLevel="0" collapsed="false">
      <c r="I265" s="5" t="str">
        <v>kiri</v>
      </c>
      <c r="J265" s="5"/>
      <c r="K265" s="5"/>
      <c r="M265" s="5" t="str">
        <v>kanan</v>
      </c>
      <c r="N265" s="5"/>
      <c r="O265" s="5"/>
    </row>
    <row r="266" customFormat="false" ht="15" hidden="false" customHeight="false" outlineLevel="0" collapsed="false">
      <c r="I266" s="5" t="str">
        <v>kiri</v>
      </c>
      <c r="J266" s="5"/>
      <c r="K266" s="5"/>
      <c r="M266" s="5" t="str">
        <v>kanan</v>
      </c>
      <c r="N266" s="5"/>
      <c r="O266" s="5"/>
    </row>
    <row r="267" customFormat="false" ht="15" hidden="false" customHeight="false" outlineLevel="0" collapsed="false">
      <c r="I267" s="5" t="str">
        <v>kanan</v>
      </c>
      <c r="J267" s="5"/>
      <c r="K267" s="5"/>
      <c r="M267" s="5" t="str">
        <v>kanan</v>
      </c>
      <c r="N267" s="5"/>
      <c r="O267" s="5"/>
    </row>
    <row r="268" customFormat="false" ht="15" hidden="false" customHeight="false" outlineLevel="0" collapsed="false">
      <c r="I268" s="5" t="str">
        <v>kiri</v>
      </c>
      <c r="J268" s="5"/>
      <c r="K268" s="5"/>
      <c r="M268" s="5" t="str">
        <v>kanan</v>
      </c>
      <c r="N268" s="5"/>
      <c r="O268" s="5"/>
    </row>
    <row r="269" customFormat="false" ht="15" hidden="false" customHeight="false" outlineLevel="0" collapsed="false">
      <c r="I269" s="5" t="str">
        <v>kanan</v>
      </c>
      <c r="J269" s="5"/>
      <c r="K269" s="5"/>
      <c r="M269" s="5" t="str">
        <v>kanan</v>
      </c>
      <c r="N269" s="5"/>
      <c r="O269" s="5"/>
    </row>
    <row r="270" customFormat="false" ht="15" hidden="false" customHeight="false" outlineLevel="0" collapsed="false">
      <c r="I270" s="5" t="str">
        <v>tengah</v>
      </c>
      <c r="J270" s="5"/>
      <c r="K270" s="5"/>
      <c r="M270" s="5" t="str">
        <v>tengah</v>
      </c>
      <c r="N270" s="5"/>
      <c r="O270" s="5"/>
    </row>
    <row r="271" customFormat="false" ht="15" hidden="false" customHeight="false" outlineLevel="0" collapsed="false">
      <c r="I271" s="5" t="str">
        <v>kiri</v>
      </c>
      <c r="J271" s="5"/>
      <c r="K271" s="5"/>
      <c r="M271" s="5" t="str">
        <v>tengah</v>
      </c>
      <c r="N271" s="5"/>
      <c r="O271" s="5"/>
    </row>
    <row r="272" customFormat="false" ht="15" hidden="false" customHeight="false" outlineLevel="0" collapsed="false">
      <c r="I272" s="5" t="str">
        <v>tengah</v>
      </c>
      <c r="J272" s="5"/>
      <c r="K272" s="5"/>
      <c r="M272" s="5" t="str">
        <v>kanan</v>
      </c>
      <c r="N272" s="5"/>
      <c r="O272" s="5"/>
    </row>
    <row r="273" customFormat="false" ht="15" hidden="false" customHeight="false" outlineLevel="0" collapsed="false">
      <c r="I273" s="5" t="str">
        <v>tengah</v>
      </c>
      <c r="J273" s="5"/>
      <c r="K273" s="5"/>
      <c r="M273" s="5" t="str">
        <v>tengah</v>
      </c>
      <c r="N273" s="5"/>
      <c r="O273" s="5"/>
    </row>
    <row r="274" customFormat="false" ht="15" hidden="false" customHeight="false" outlineLevel="0" collapsed="false">
      <c r="I274" s="5" t="str">
        <v>tengah</v>
      </c>
      <c r="J274" s="5"/>
      <c r="K274" s="5"/>
      <c r="M274" s="5" t="str">
        <v>kanan</v>
      </c>
      <c r="N274" s="5"/>
      <c r="O274" s="5"/>
    </row>
    <row r="275" customFormat="false" ht="15" hidden="false" customHeight="false" outlineLevel="0" collapsed="false">
      <c r="I275" s="5" t="str">
        <v>kanan</v>
      </c>
      <c r="J275" s="5"/>
      <c r="K275" s="5"/>
      <c r="M275" s="5" t="str">
        <v>tengah</v>
      </c>
      <c r="N275" s="5"/>
      <c r="O275" s="5"/>
    </row>
    <row r="276" customFormat="false" ht="15" hidden="false" customHeight="false" outlineLevel="0" collapsed="false">
      <c r="I276" s="5" t="str">
        <v>tengah</v>
      </c>
      <c r="J276" s="5"/>
      <c r="K276" s="5"/>
      <c r="M276" s="5" t="str">
        <v>kanan</v>
      </c>
      <c r="N276" s="5"/>
      <c r="O276" s="5"/>
    </row>
    <row r="277" customFormat="false" ht="15" hidden="false" customHeight="false" outlineLevel="0" collapsed="false">
      <c r="I277" s="5" t="str">
        <v>tengah</v>
      </c>
      <c r="J277" s="5"/>
      <c r="K277" s="5"/>
      <c r="M277" s="5" t="str">
        <v>tengah</v>
      </c>
      <c r="N277" s="5"/>
      <c r="O277" s="5"/>
    </row>
    <row r="278" customFormat="false" ht="15" hidden="false" customHeight="false" outlineLevel="0" collapsed="false">
      <c r="I278" s="5" t="str">
        <v>tengah</v>
      </c>
      <c r="J278" s="5"/>
      <c r="K278" s="5"/>
      <c r="M278" s="5" t="str">
        <v>kanan</v>
      </c>
      <c r="N278" s="5"/>
      <c r="O278" s="5"/>
    </row>
    <row r="279" customFormat="false" ht="15" hidden="false" customHeight="false" outlineLevel="0" collapsed="false">
      <c r="I279" s="5" t="str">
        <v>tengah</v>
      </c>
      <c r="J279" s="5"/>
      <c r="K279" s="5"/>
      <c r="M279" s="5" t="str">
        <v>kanan</v>
      </c>
      <c r="N279" s="5"/>
      <c r="O279" s="5"/>
    </row>
    <row r="280" customFormat="false" ht="15" hidden="false" customHeight="false" outlineLevel="0" collapsed="false">
      <c r="I280" s="5" t="str">
        <v>kiri</v>
      </c>
      <c r="J280" s="5"/>
      <c r="K280" s="5"/>
      <c r="M280" s="5" t="str">
        <v>kanan</v>
      </c>
      <c r="N280" s="5"/>
      <c r="O280" s="5"/>
    </row>
    <row r="281" customFormat="false" ht="15" hidden="false" customHeight="false" outlineLevel="0" collapsed="false">
      <c r="I281" s="5" t="str">
        <v>kiri</v>
      </c>
      <c r="J281" s="5"/>
      <c r="K281" s="5"/>
      <c r="M281" s="5" t="str">
        <v>tengah</v>
      </c>
      <c r="N281" s="5"/>
      <c r="O281" s="5"/>
    </row>
    <row r="282" customFormat="false" ht="15" hidden="false" customHeight="false" outlineLevel="0" collapsed="false">
      <c r="I282" s="5" t="str">
        <v>tengah</v>
      </c>
      <c r="J282" s="5"/>
      <c r="K282" s="5"/>
      <c r="M282" s="5" t="str">
        <v>kanan</v>
      </c>
      <c r="N282" s="5"/>
      <c r="O282" s="5"/>
    </row>
    <row r="283" customFormat="false" ht="15" hidden="false" customHeight="false" outlineLevel="0" collapsed="false">
      <c r="I283" s="5" t="str">
        <v>tengah</v>
      </c>
      <c r="J283" s="5"/>
      <c r="K283" s="5"/>
      <c r="M283" s="5" t="str">
        <v>kanan</v>
      </c>
      <c r="N283" s="5"/>
      <c r="O283" s="5"/>
    </row>
    <row r="284" customFormat="false" ht="15" hidden="false" customHeight="false" outlineLevel="0" collapsed="false">
      <c r="I284" s="5" t="str">
        <v>kiri</v>
      </c>
      <c r="J284" s="5"/>
      <c r="K284" s="5"/>
      <c r="M284" s="5" t="str">
        <v>tengah</v>
      </c>
      <c r="N284" s="5"/>
      <c r="O284" s="5"/>
    </row>
    <row r="285" customFormat="false" ht="15" hidden="false" customHeight="false" outlineLevel="0" collapsed="false">
      <c r="I285" s="5" t="str">
        <v>kiri</v>
      </c>
      <c r="J285" s="5"/>
      <c r="K285" s="5"/>
      <c r="M285" s="5" t="str">
        <v>kanan</v>
      </c>
      <c r="N285" s="5"/>
      <c r="O285" s="5"/>
    </row>
    <row r="286" customFormat="false" ht="15" hidden="false" customHeight="false" outlineLevel="0" collapsed="false">
      <c r="I286" s="5" t="str">
        <v>kanan</v>
      </c>
      <c r="J286" s="5"/>
      <c r="K286" s="5"/>
      <c r="M286" s="5" t="str">
        <v>kanan</v>
      </c>
      <c r="N286" s="5"/>
      <c r="O286" s="5"/>
    </row>
    <row r="287" customFormat="false" ht="15" hidden="false" customHeight="false" outlineLevel="0" collapsed="false">
      <c r="I287" s="5" t="str">
        <v>kiri</v>
      </c>
      <c r="J287" s="5"/>
      <c r="K287" s="5"/>
      <c r="M287" s="5" t="str">
        <v>tengah</v>
      </c>
      <c r="N287" s="5"/>
      <c r="O287" s="5"/>
    </row>
    <row r="288" customFormat="false" ht="15" hidden="false" customHeight="false" outlineLevel="0" collapsed="false">
      <c r="I288" s="5" t="str">
        <v>tengah</v>
      </c>
      <c r="J288" s="5"/>
      <c r="K288" s="5"/>
      <c r="M288" s="5" t="str">
        <v>kanan</v>
      </c>
      <c r="N288" s="5"/>
      <c r="O288" s="5"/>
    </row>
    <row r="289" customFormat="false" ht="15" hidden="false" customHeight="false" outlineLevel="0" collapsed="false">
      <c r="I289" s="5" t="str">
        <v>tengah</v>
      </c>
      <c r="J289" s="5"/>
      <c r="K289" s="5"/>
      <c r="M289" s="5" t="str">
        <v>kanan</v>
      </c>
      <c r="N289" s="5"/>
      <c r="O289" s="5"/>
    </row>
    <row r="290" customFormat="false" ht="15" hidden="false" customHeight="false" outlineLevel="0" collapsed="false">
      <c r="I290" s="5" t="str">
        <v>tengah</v>
      </c>
      <c r="J290" s="5"/>
      <c r="K290" s="5"/>
      <c r="M290" s="5" t="str">
        <v>tengah</v>
      </c>
      <c r="N290" s="5"/>
      <c r="O290" s="5"/>
    </row>
    <row r="291" customFormat="false" ht="15" hidden="false" customHeight="false" outlineLevel="0" collapsed="false">
      <c r="I291" s="5" t="str">
        <v>kiri</v>
      </c>
      <c r="J291" s="5"/>
      <c r="K291" s="5"/>
      <c r="M291" s="5" t="str">
        <v>kanan</v>
      </c>
      <c r="N291" s="5"/>
      <c r="O291" s="5"/>
    </row>
    <row r="292" customFormat="false" ht="15" hidden="false" customHeight="false" outlineLevel="0" collapsed="false">
      <c r="I292" s="5" t="str">
        <v>tengah</v>
      </c>
      <c r="J292" s="5"/>
      <c r="K292" s="5"/>
      <c r="M292" s="5" t="str">
        <v>kanan</v>
      </c>
      <c r="N292" s="5"/>
      <c r="O292" s="5"/>
    </row>
    <row r="293" customFormat="false" ht="15" hidden="false" customHeight="false" outlineLevel="0" collapsed="false">
      <c r="I293" s="5" t="str">
        <v>kanan</v>
      </c>
      <c r="J293" s="5"/>
      <c r="K293" s="5"/>
      <c r="M293" s="5" t="str">
        <v>kanan</v>
      </c>
      <c r="N293" s="5"/>
      <c r="O293" s="5"/>
    </row>
    <row r="294" customFormat="false" ht="15" hidden="false" customHeight="false" outlineLevel="0" collapsed="false">
      <c r="I294" s="5" t="str">
        <v>tengah</v>
      </c>
      <c r="J294" s="5"/>
      <c r="K294" s="5"/>
      <c r="M294" s="5" t="str">
        <v>tengah</v>
      </c>
      <c r="N294" s="5"/>
      <c r="O294" s="5"/>
    </row>
    <row r="295" customFormat="false" ht="15" hidden="false" customHeight="false" outlineLevel="0" collapsed="false">
      <c r="I295" s="5" t="str">
        <v>kanan</v>
      </c>
      <c r="J295" s="5"/>
      <c r="K295" s="5"/>
      <c r="M295" s="5" t="str">
        <v>tengah</v>
      </c>
      <c r="N295" s="5"/>
      <c r="O295" s="5"/>
    </row>
    <row r="296" customFormat="false" ht="15" hidden="false" customHeight="false" outlineLevel="0" collapsed="false">
      <c r="I296" s="5" t="str">
        <v>kanan</v>
      </c>
      <c r="J296" s="5"/>
      <c r="K296" s="5"/>
      <c r="M296" s="5" t="str">
        <v>tengah</v>
      </c>
      <c r="N296" s="5"/>
      <c r="O296" s="5"/>
    </row>
    <row r="297" customFormat="false" ht="15" hidden="false" customHeight="false" outlineLevel="0" collapsed="false">
      <c r="I297" s="5" t="str">
        <v>tengah</v>
      </c>
      <c r="J297" s="5"/>
      <c r="K297" s="5"/>
      <c r="M297" s="5" t="str">
        <v>kanan</v>
      </c>
      <c r="N297" s="5"/>
      <c r="O297" s="5"/>
    </row>
    <row r="298" customFormat="false" ht="15" hidden="false" customHeight="false" outlineLevel="0" collapsed="false">
      <c r="I298" s="5" t="str">
        <v>kanan</v>
      </c>
      <c r="J298" s="5"/>
      <c r="K298" s="5"/>
      <c r="M298" s="5" t="str">
        <v>tengah</v>
      </c>
      <c r="N298" s="5"/>
      <c r="O298" s="5"/>
    </row>
    <row r="299" customFormat="false" ht="15" hidden="false" customHeight="false" outlineLevel="0" collapsed="false">
      <c r="I299" s="5" t="str">
        <v>kiri</v>
      </c>
      <c r="J299" s="5"/>
      <c r="K299" s="5"/>
      <c r="M299" s="5" t="str">
        <v>kanan</v>
      </c>
      <c r="N299" s="5"/>
      <c r="O299" s="5"/>
    </row>
    <row r="300" customFormat="false" ht="15" hidden="false" customHeight="false" outlineLevel="0" collapsed="false">
      <c r="I300" s="5" t="str">
        <v>tengah</v>
      </c>
      <c r="J300" s="5"/>
      <c r="K300" s="5"/>
      <c r="M300" s="5" t="str">
        <v>kanan</v>
      </c>
      <c r="N300" s="5"/>
      <c r="O300" s="5"/>
    </row>
    <row r="301" customFormat="false" ht="15" hidden="false" customHeight="false" outlineLevel="0" collapsed="false">
      <c r="I301" s="5" t="str">
        <v>tengah</v>
      </c>
      <c r="J301" s="5"/>
      <c r="K301" s="5"/>
      <c r="M301" s="5" t="str">
        <v>kanan</v>
      </c>
      <c r="N301" s="5"/>
      <c r="O301" s="5"/>
    </row>
    <row r="302" customFormat="false" ht="15" hidden="false" customHeight="false" outlineLevel="0" collapsed="false">
      <c r="I302" s="5" t="str">
        <v>kanan</v>
      </c>
      <c r="J302" s="5"/>
      <c r="K302" s="5"/>
      <c r="M302" s="5" t="str">
        <v>tengah</v>
      </c>
      <c r="N302" s="5"/>
      <c r="O302" s="5"/>
    </row>
    <row r="303" customFormat="false" ht="15" hidden="false" customHeight="false" outlineLevel="0" collapsed="false">
      <c r="I303" s="5" t="str">
        <v>tengah</v>
      </c>
      <c r="J303" s="5"/>
      <c r="K303" s="5"/>
      <c r="M303" s="5" t="str">
        <v>kanan</v>
      </c>
      <c r="N303" s="5"/>
      <c r="O303" s="5"/>
    </row>
    <row r="304" customFormat="false" ht="15" hidden="false" customHeight="false" outlineLevel="0" collapsed="false">
      <c r="I304" s="5" t="str">
        <v>kiri</v>
      </c>
      <c r="J304" s="5"/>
      <c r="K304" s="5"/>
      <c r="M304" s="5" t="str">
        <v>kanan</v>
      </c>
      <c r="N304" s="5"/>
      <c r="O304" s="5"/>
    </row>
    <row r="305" customFormat="false" ht="15" hidden="false" customHeight="false" outlineLevel="0" collapsed="false">
      <c r="I305" s="5" t="str">
        <v>tengah</v>
      </c>
      <c r="J305" s="5"/>
      <c r="K305" s="5"/>
      <c r="M305" s="5" t="str">
        <v>tengah</v>
      </c>
      <c r="N305" s="5"/>
      <c r="O305" s="5"/>
    </row>
    <row r="306" customFormat="false" ht="15" hidden="false" customHeight="false" outlineLevel="0" collapsed="false">
      <c r="I306" s="5" t="str">
        <v>kanan</v>
      </c>
      <c r="J306" s="5"/>
      <c r="K306" s="5"/>
      <c r="M306" s="5" t="str">
        <v>kanan</v>
      </c>
      <c r="N306" s="5"/>
      <c r="O306" s="5"/>
    </row>
    <row r="307" customFormat="false" ht="15" hidden="false" customHeight="false" outlineLevel="0" collapsed="false">
      <c r="I307" s="5" t="str">
        <v>tengah</v>
      </c>
      <c r="J307" s="5"/>
      <c r="K307" s="5"/>
      <c r="M307" s="5" t="str">
        <v>tengah</v>
      </c>
      <c r="N307" s="5"/>
      <c r="O307" s="5"/>
    </row>
    <row r="308" customFormat="false" ht="15" hidden="false" customHeight="false" outlineLevel="0" collapsed="false">
      <c r="I308" s="5" t="str">
        <v>kiri</v>
      </c>
      <c r="J308" s="5"/>
      <c r="K308" s="5"/>
      <c r="M308" s="5" t="str">
        <v>tengah</v>
      </c>
      <c r="N308" s="5"/>
      <c r="O308" s="5"/>
    </row>
    <row r="309" customFormat="false" ht="15" hidden="false" customHeight="false" outlineLevel="0" collapsed="false">
      <c r="I309" s="5" t="str">
        <v>tengah</v>
      </c>
      <c r="J309" s="5"/>
      <c r="K309" s="5"/>
      <c r="M309" s="5" t="str">
        <v>tengah</v>
      </c>
      <c r="N309" s="5"/>
      <c r="O309" s="5"/>
    </row>
    <row r="310" customFormat="false" ht="15" hidden="false" customHeight="false" outlineLevel="0" collapsed="false">
      <c r="I310" s="5" t="str">
        <v>kiri</v>
      </c>
      <c r="J310" s="5"/>
      <c r="K310" s="5"/>
      <c r="M310" s="5" t="str">
        <v>kanan</v>
      </c>
      <c r="N310" s="5"/>
      <c r="O310" s="5"/>
    </row>
    <row r="311" customFormat="false" ht="15" hidden="false" customHeight="false" outlineLevel="0" collapsed="false">
      <c r="I311" s="5" t="str">
        <v>kanan</v>
      </c>
      <c r="J311" s="5"/>
      <c r="K311" s="5"/>
      <c r="M311" s="5" t="str">
        <v>kanan</v>
      </c>
      <c r="N311" s="5"/>
      <c r="O311" s="5"/>
    </row>
    <row r="312" customFormat="false" ht="15" hidden="false" customHeight="false" outlineLevel="0" collapsed="false">
      <c r="I312" s="5" t="str">
        <v>tengah</v>
      </c>
      <c r="J312" s="5"/>
      <c r="K312" s="5"/>
      <c r="M312" s="5" t="str">
        <v>tengah</v>
      </c>
      <c r="N312" s="5"/>
      <c r="O312" s="5"/>
    </row>
    <row r="313" customFormat="false" ht="15" hidden="false" customHeight="false" outlineLevel="0" collapsed="false">
      <c r="I313" s="5" t="str">
        <v>tengah</v>
      </c>
      <c r="J313" s="5"/>
      <c r="K313" s="5"/>
      <c r="M313" s="5" t="str">
        <v>tengah</v>
      </c>
      <c r="N313" s="5"/>
      <c r="O313" s="5"/>
    </row>
    <row r="314" customFormat="false" ht="15" hidden="false" customHeight="false" outlineLevel="0" collapsed="false">
      <c r="I314" s="5" t="str">
        <v>tengah</v>
      </c>
      <c r="J314" s="5"/>
      <c r="K314" s="5"/>
      <c r="M314" s="5" t="str">
        <v>kanan</v>
      </c>
      <c r="N314" s="5"/>
      <c r="O314" s="5"/>
    </row>
    <row r="315" customFormat="false" ht="15" hidden="false" customHeight="false" outlineLevel="0" collapsed="false">
      <c r="I315" s="5" t="str">
        <v>tengah</v>
      </c>
      <c r="J315" s="5"/>
      <c r="K315" s="5"/>
      <c r="M315" s="5" t="str">
        <v>tengah</v>
      </c>
      <c r="N315" s="5"/>
      <c r="O315" s="5"/>
    </row>
    <row r="316" customFormat="false" ht="15" hidden="false" customHeight="false" outlineLevel="0" collapsed="false">
      <c r="I316" s="5" t="str">
        <v>kiri</v>
      </c>
      <c r="J316" s="5"/>
      <c r="K316" s="5"/>
      <c r="M316" s="5" t="str">
        <v>kanan</v>
      </c>
      <c r="N316" s="5"/>
      <c r="O316" s="5"/>
    </row>
    <row r="317" customFormat="false" ht="15" hidden="false" customHeight="false" outlineLevel="0" collapsed="false">
      <c r="I317" s="5" t="str">
        <v>kanan</v>
      </c>
      <c r="J317" s="5"/>
      <c r="K317" s="5"/>
      <c r="M317" s="5" t="str">
        <v>kanan</v>
      </c>
      <c r="N317" s="5"/>
      <c r="O317" s="5"/>
    </row>
    <row r="318" customFormat="false" ht="15" hidden="false" customHeight="false" outlineLevel="0" collapsed="false">
      <c r="I318" s="5" t="str">
        <v>kanan</v>
      </c>
      <c r="J318" s="5"/>
      <c r="K318" s="5"/>
      <c r="M318" s="5" t="str">
        <v>kanan</v>
      </c>
      <c r="N318" s="5"/>
      <c r="O318" s="5"/>
    </row>
    <row r="319" customFormat="false" ht="15" hidden="false" customHeight="false" outlineLevel="0" collapsed="false">
      <c r="I319" s="5" t="str">
        <v>kanan</v>
      </c>
      <c r="J319" s="5"/>
      <c r="K319" s="5"/>
      <c r="M319" s="5" t="str">
        <v>kanan</v>
      </c>
      <c r="N319" s="5"/>
      <c r="O319" s="5"/>
    </row>
    <row r="320" customFormat="false" ht="15" hidden="false" customHeight="false" outlineLevel="0" collapsed="false">
      <c r="I320" s="5" t="str">
        <v>kiri</v>
      </c>
      <c r="J320" s="5"/>
      <c r="K320" s="5"/>
      <c r="M320" s="5" t="str">
        <v>kanan</v>
      </c>
      <c r="N320" s="5"/>
      <c r="O320" s="5"/>
    </row>
    <row r="321" customFormat="false" ht="15" hidden="false" customHeight="false" outlineLevel="0" collapsed="false">
      <c r="I321" s="5" t="str">
        <v>kanan</v>
      </c>
      <c r="J321" s="5"/>
      <c r="K321" s="5"/>
      <c r="M321" s="5" t="str">
        <v>tengah</v>
      </c>
      <c r="N321" s="5"/>
      <c r="O321" s="5"/>
    </row>
    <row r="322" customFormat="false" ht="15" hidden="false" customHeight="false" outlineLevel="0" collapsed="false">
      <c r="I322" s="5" t="str">
        <v>tengah</v>
      </c>
      <c r="J322" s="5"/>
      <c r="K322" s="5"/>
      <c r="M322" s="5" t="str">
        <v>tengah</v>
      </c>
      <c r="N322" s="5"/>
      <c r="O322" s="5"/>
    </row>
    <row r="323" customFormat="false" ht="15" hidden="false" customHeight="false" outlineLevel="0" collapsed="false">
      <c r="I323" s="5" t="str">
        <v>tengah</v>
      </c>
      <c r="J323" s="5"/>
      <c r="K323" s="5"/>
      <c r="M323" s="5" t="str">
        <v>kanan</v>
      </c>
      <c r="N323" s="5"/>
      <c r="O323" s="5"/>
    </row>
    <row r="324" customFormat="false" ht="15" hidden="false" customHeight="false" outlineLevel="0" collapsed="false">
      <c r="I324" s="5" t="str">
        <v>kanan</v>
      </c>
      <c r="J324" s="5"/>
      <c r="K324" s="5"/>
      <c r="M324" s="5" t="str">
        <v>kanan</v>
      </c>
      <c r="N324" s="5"/>
      <c r="O324" s="5"/>
    </row>
    <row r="325" customFormat="false" ht="15" hidden="false" customHeight="false" outlineLevel="0" collapsed="false">
      <c r="I325" s="5" t="str">
        <v>kiri</v>
      </c>
      <c r="J325" s="5"/>
      <c r="K325" s="5"/>
      <c r="M325" s="5" t="str">
        <v>kanan</v>
      </c>
      <c r="N325" s="5"/>
      <c r="O325" s="5"/>
    </row>
    <row r="326" customFormat="false" ht="15" hidden="false" customHeight="false" outlineLevel="0" collapsed="false">
      <c r="I326" s="5" t="str">
        <v>kanan</v>
      </c>
      <c r="J326" s="5"/>
      <c r="K326" s="5"/>
      <c r="M326" s="5" t="str">
        <v>kanan</v>
      </c>
      <c r="N326" s="5"/>
      <c r="O326" s="5"/>
    </row>
    <row r="327" customFormat="false" ht="15" hidden="false" customHeight="false" outlineLevel="0" collapsed="false">
      <c r="I327" s="5" t="str">
        <v>tengah</v>
      </c>
      <c r="J327" s="5"/>
      <c r="K327" s="5"/>
      <c r="M327" s="5" t="str">
        <v>kanan</v>
      </c>
      <c r="N327" s="5"/>
      <c r="O327" s="5"/>
    </row>
    <row r="328" customFormat="false" ht="15" hidden="false" customHeight="false" outlineLevel="0" collapsed="false">
      <c r="I328" s="5" t="str">
        <v>tengah</v>
      </c>
      <c r="J328" s="5"/>
      <c r="K328" s="5"/>
      <c r="M328" s="5" t="str">
        <v>kanan</v>
      </c>
      <c r="N328" s="5"/>
      <c r="O328" s="5"/>
    </row>
    <row r="329" customFormat="false" ht="15" hidden="false" customHeight="false" outlineLevel="0" collapsed="false">
      <c r="I329" s="5" t="str">
        <v>tengah</v>
      </c>
      <c r="J329" s="5"/>
      <c r="K329" s="5"/>
      <c r="M329" s="5" t="str">
        <v>kanan</v>
      </c>
      <c r="N329" s="5"/>
      <c r="O329" s="5"/>
    </row>
    <row r="330" customFormat="false" ht="15" hidden="false" customHeight="false" outlineLevel="0" collapsed="false">
      <c r="I330" s="5" t="str">
        <v>tengah</v>
      </c>
      <c r="J330" s="5"/>
      <c r="K330" s="5"/>
      <c r="M330" s="5" t="str">
        <v>kanan</v>
      </c>
      <c r="N330" s="5"/>
      <c r="O330" s="5"/>
    </row>
    <row r="331" customFormat="false" ht="15" hidden="false" customHeight="false" outlineLevel="0" collapsed="false">
      <c r="I331" s="5" t="str">
        <v>kanan</v>
      </c>
      <c r="J331" s="5"/>
      <c r="K331" s="5"/>
      <c r="M331" s="5" t="str">
        <v>tengah</v>
      </c>
      <c r="N331" s="5"/>
      <c r="O331" s="5"/>
    </row>
    <row r="332" customFormat="false" ht="15" hidden="false" customHeight="false" outlineLevel="0" collapsed="false">
      <c r="I332" s="5" t="str">
        <v>tengah</v>
      </c>
      <c r="J332" s="5"/>
      <c r="K332" s="5"/>
      <c r="M332" s="5" t="str">
        <v>tengah</v>
      </c>
      <c r="N332" s="5"/>
      <c r="O3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7"/>
  <sheetViews>
    <sheetView showFormulas="false" showGridLines="true" showRowColHeaders="true" showZeros="true" rightToLeft="false" tabSelected="false" showOutlineSymbols="true" defaultGridColor="true" view="normal" topLeftCell="A4" colorId="64" zoomScale="77" zoomScaleNormal="77" zoomScalePageLayoutView="100" workbookViewId="0">
      <selection pane="topLeft" activeCell="M6" activeCellId="0" sqref="M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7.43"/>
    <col collapsed="false" customWidth="true" hidden="false" outlineLevel="0" max="3" min="3" style="0" width="12.72"/>
    <col collapsed="false" customWidth="true" hidden="false" outlineLevel="0" max="4" min="4" style="0" width="13"/>
    <col collapsed="false" customWidth="true" hidden="false" outlineLevel="0" max="5" min="5" style="0" width="14.8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4" t="s">
        <v>302</v>
      </c>
    </row>
    <row r="2" customFormat="false" ht="15.75" hidden="false" customHeight="true" outlineLevel="0" collapsed="false"/>
    <row r="3" customFormat="false" ht="79.5" hidden="false" customHeight="true" outlineLevel="0" collapsed="false">
      <c r="A3" s="35" t="s">
        <v>303</v>
      </c>
      <c r="B3" s="36" t="s">
        <v>304</v>
      </c>
      <c r="C3" s="36" t="s">
        <v>305</v>
      </c>
      <c r="D3" s="36" t="s">
        <v>306</v>
      </c>
      <c r="E3" s="36" t="s">
        <v>307</v>
      </c>
      <c r="F3" s="36" t="s">
        <v>308</v>
      </c>
    </row>
    <row r="4" customFormat="false" ht="16.5" hidden="false" customHeight="true" outlineLevel="0" collapsed="false">
      <c r="A4" s="37" t="n">
        <v>46</v>
      </c>
      <c r="B4" s="38" t="n">
        <v>13</v>
      </c>
      <c r="C4" s="38" t="n">
        <f aca="false">ABS(B4-A4)</f>
        <v>33</v>
      </c>
      <c r="D4" s="38" t="n">
        <f aca="false">(B4-A4)^2</f>
        <v>1089</v>
      </c>
      <c r="E4" s="38" t="n">
        <f aca="false">B4-$B$9</f>
        <v>-5.8</v>
      </c>
      <c r="F4" s="38" t="n">
        <f aca="false">E4^2</f>
        <v>33.64</v>
      </c>
      <c r="H4" s="39" t="s">
        <v>309</v>
      </c>
      <c r="I4" s="40" t="n">
        <f aca="false">AVERAGE(C4:C8)</f>
        <v>22.6</v>
      </c>
    </row>
    <row r="5" customFormat="false" ht="16.5" hidden="false" customHeight="true" outlineLevel="0" collapsed="false">
      <c r="A5" s="37" t="n">
        <v>11</v>
      </c>
      <c r="B5" s="38" t="n">
        <v>33</v>
      </c>
      <c r="C5" s="38" t="n">
        <f aca="false">ABS(B5-A5)</f>
        <v>22</v>
      </c>
      <c r="D5" s="38" t="n">
        <f aca="false">(B5-A5)^2</f>
        <v>484</v>
      </c>
      <c r="E5" s="38" t="n">
        <f aca="false">B5-$B$9</f>
        <v>14.2</v>
      </c>
      <c r="F5" s="38" t="n">
        <f aca="false">E5^2</f>
        <v>201.64</v>
      </c>
      <c r="H5" s="39" t="s">
        <v>310</v>
      </c>
      <c r="I5" s="40" t="n">
        <f aca="false">AVERAGE(D4:D8)</f>
        <v>556.6</v>
      </c>
    </row>
    <row r="6" customFormat="false" ht="16.5" hidden="false" customHeight="true" outlineLevel="0" collapsed="false">
      <c r="A6" s="37" t="n">
        <v>40</v>
      </c>
      <c r="B6" s="38" t="n">
        <v>15</v>
      </c>
      <c r="C6" s="38" t="n">
        <f aca="false">ABS(B6-A6)</f>
        <v>25</v>
      </c>
      <c r="D6" s="38" t="n">
        <f aca="false">(B6-A6)^2</f>
        <v>625</v>
      </c>
      <c r="E6" s="38" t="n">
        <f aca="false">B6-$B$9</f>
        <v>-3.8</v>
      </c>
      <c r="F6" s="38" t="n">
        <f aca="false">E6^2</f>
        <v>14.44</v>
      </c>
      <c r="H6" s="39" t="s">
        <v>311</v>
      </c>
      <c r="I6" s="39" t="n">
        <f aca="false">SQRT(AVERAGE(D4:D8))</f>
        <v>23.5923716484799</v>
      </c>
    </row>
    <row r="7" customFormat="false" ht="16.5" hidden="false" customHeight="true" outlineLevel="0" collapsed="false">
      <c r="A7" s="37" t="n">
        <v>33</v>
      </c>
      <c r="B7" s="38" t="n">
        <v>21</v>
      </c>
      <c r="C7" s="38" t="n">
        <f aca="false">ABS(B7-A7)</f>
        <v>12</v>
      </c>
      <c r="D7" s="38" t="n">
        <f aca="false">(B7-A7)^2</f>
        <v>144</v>
      </c>
      <c r="E7" s="38" t="n">
        <f aca="false">B7-$B$9</f>
        <v>2.2</v>
      </c>
      <c r="F7" s="38" t="n">
        <f aca="false">E7^2</f>
        <v>4.84</v>
      </c>
      <c r="H7" s="39" t="s">
        <v>312</v>
      </c>
      <c r="I7" s="40" t="n">
        <f aca="false">1-(SUM(D4:D8)/SUM(F4:F8))</f>
        <v>-8.25199468085106</v>
      </c>
    </row>
    <row r="8" customFormat="false" ht="16.5" hidden="false" customHeight="true" outlineLevel="0" collapsed="false">
      <c r="A8" s="37" t="n">
        <v>33</v>
      </c>
      <c r="B8" s="38" t="n">
        <v>12</v>
      </c>
      <c r="C8" s="38" t="n">
        <f aca="false">ABS(B8-A8)</f>
        <v>21</v>
      </c>
      <c r="D8" s="38" t="n">
        <f aca="false">(B8-A8)^2</f>
        <v>441</v>
      </c>
      <c r="E8" s="38" t="n">
        <f aca="false">B8-$B$9</f>
        <v>-6.8</v>
      </c>
      <c r="F8" s="38" t="n">
        <f aca="false">E8^2</f>
        <v>46.24</v>
      </c>
    </row>
    <row r="9" customFormat="false" ht="32.25" hidden="false" customHeight="true" outlineLevel="0" collapsed="false">
      <c r="A9" s="41" t="s">
        <v>313</v>
      </c>
      <c r="B9" s="38" t="n">
        <f aca="false">AVERAGE(B4:B8)</f>
        <v>18.8</v>
      </c>
      <c r="C9" s="38" t="n">
        <f aca="false">AVERAGE(C4:C8)</f>
        <v>22.6</v>
      </c>
      <c r="D9" s="38" t="n">
        <f aca="false">AVERAGE(D4:D8)</f>
        <v>556.6</v>
      </c>
      <c r="E9" s="38"/>
      <c r="F9" s="38"/>
    </row>
    <row r="12" customFormat="false" ht="15" hidden="false" customHeight="false" outlineLevel="0" collapsed="false">
      <c r="A12" s="34" t="s">
        <v>314</v>
      </c>
    </row>
    <row r="13" customFormat="false" ht="15.75" hidden="false" customHeight="true" outlineLevel="0" collapsed="false"/>
    <row r="14" customFormat="false" ht="48" hidden="false" customHeight="true" outlineLevel="0" collapsed="false">
      <c r="A14" s="35" t="s">
        <v>315</v>
      </c>
      <c r="B14" s="36" t="s">
        <v>316</v>
      </c>
      <c r="C14" s="36" t="s">
        <v>305</v>
      </c>
      <c r="D14" s="36" t="s">
        <v>306</v>
      </c>
      <c r="E14" s="36" t="s">
        <v>307</v>
      </c>
      <c r="F14" s="36" t="s">
        <v>308</v>
      </c>
    </row>
    <row r="15" customFormat="false" ht="16.5" hidden="false" customHeight="true" outlineLevel="0" collapsed="false">
      <c r="A15" s="37" t="n">
        <v>21</v>
      </c>
      <c r="B15" s="38" t="n">
        <v>11</v>
      </c>
      <c r="C15" s="38" t="n">
        <f aca="false">ABS(B15-A15)</f>
        <v>10</v>
      </c>
      <c r="D15" s="38" t="n">
        <f aca="false">(B15-A15)^2</f>
        <v>100</v>
      </c>
      <c r="E15" s="38" t="n">
        <f aca="false">B15-$B$22</f>
        <v>-16</v>
      </c>
      <c r="F15" s="38" t="n">
        <f aca="false">E15^2</f>
        <v>256</v>
      </c>
      <c r="H15" s="39" t="s">
        <v>309</v>
      </c>
      <c r="I15" s="40" t="n">
        <f aca="false">AVERAGE(C15:C21)</f>
        <v>23.2857142857143</v>
      </c>
    </row>
    <row r="16" customFormat="false" ht="16.5" hidden="false" customHeight="true" outlineLevel="0" collapsed="false">
      <c r="A16" s="37" t="n">
        <v>23</v>
      </c>
      <c r="B16" s="38" t="n">
        <v>70</v>
      </c>
      <c r="C16" s="38" t="n">
        <f aca="false">ABS(B16-A16)</f>
        <v>47</v>
      </c>
      <c r="D16" s="38" t="n">
        <f aca="false">(B16-A16)^2</f>
        <v>2209</v>
      </c>
      <c r="E16" s="38" t="n">
        <f aca="false">B16-$B$22</f>
        <v>43</v>
      </c>
      <c r="F16" s="38" t="n">
        <f aca="false">E16^2</f>
        <v>1849</v>
      </c>
      <c r="H16" s="39" t="s">
        <v>310</v>
      </c>
      <c r="I16" s="40" t="n">
        <f aca="false">AVERAGE(D15:D21)</f>
        <v>767.571428571429</v>
      </c>
    </row>
    <row r="17" customFormat="false" ht="16.5" hidden="false" customHeight="true" outlineLevel="0" collapsed="false">
      <c r="A17" s="37" t="n">
        <v>4</v>
      </c>
      <c r="B17" s="38" t="n">
        <v>23</v>
      </c>
      <c r="C17" s="38" t="n">
        <f aca="false">ABS(B17-A17)</f>
        <v>19</v>
      </c>
      <c r="D17" s="38" t="n">
        <f aca="false">(B17-A17)^2</f>
        <v>361</v>
      </c>
      <c r="E17" s="38" t="n">
        <f aca="false">B17-$B$22</f>
        <v>-4</v>
      </c>
      <c r="F17" s="38" t="n">
        <f aca="false">E17^2</f>
        <v>16</v>
      </c>
      <c r="H17" s="39" t="s">
        <v>311</v>
      </c>
      <c r="I17" s="39" t="n">
        <f aca="false">SQRT(AVERAGE(D15:D21))</f>
        <v>27.7050794723897</v>
      </c>
    </row>
    <row r="18" customFormat="false" ht="16.5" hidden="false" customHeight="true" outlineLevel="0" collapsed="false">
      <c r="A18" s="37" t="n">
        <v>30</v>
      </c>
      <c r="B18" s="38" t="n">
        <v>27</v>
      </c>
      <c r="C18" s="38" t="n">
        <f aca="false">ABS(B18-A18)</f>
        <v>3</v>
      </c>
      <c r="D18" s="38" t="n">
        <f aca="false">(B18-A18)^2</f>
        <v>9</v>
      </c>
      <c r="E18" s="38" t="n">
        <f aca="false">B18-$B$22</f>
        <v>0</v>
      </c>
      <c r="F18" s="38" t="n">
        <f aca="false">E18^2</f>
        <v>0</v>
      </c>
      <c r="H18" s="39" t="s">
        <v>312</v>
      </c>
      <c r="I18" s="40" t="n">
        <f aca="false">1-(SUM(D15:D21)/SUM(F15:F21))</f>
        <v>-0.518654607122668</v>
      </c>
    </row>
    <row r="19" customFormat="false" ht="16.5" hidden="false" customHeight="true" outlineLevel="0" collapsed="false">
      <c r="A19" s="37" t="n">
        <v>44</v>
      </c>
      <c r="B19" s="38" t="n">
        <v>7</v>
      </c>
      <c r="C19" s="38" t="n">
        <f aca="false">ABS(B19-A19)</f>
        <v>37</v>
      </c>
      <c r="D19" s="38" t="n">
        <f aca="false">(B19-A19)^2</f>
        <v>1369</v>
      </c>
      <c r="E19" s="38" t="n">
        <f aca="false">B19-$B$22</f>
        <v>-20</v>
      </c>
      <c r="F19" s="38" t="n">
        <f aca="false">E19^2</f>
        <v>400</v>
      </c>
    </row>
    <row r="20" customFormat="false" ht="16.5" hidden="false" customHeight="true" outlineLevel="0" collapsed="false">
      <c r="A20" s="37" t="n">
        <v>14</v>
      </c>
      <c r="B20" s="38" t="n">
        <v>48</v>
      </c>
      <c r="C20" s="38" t="n">
        <f aca="false">ABS(B20-A20)</f>
        <v>34</v>
      </c>
      <c r="D20" s="38" t="n">
        <f aca="false">(B20-A20)^2</f>
        <v>1156</v>
      </c>
      <c r="E20" s="38" t="n">
        <f aca="false">B20-$B$22</f>
        <v>21</v>
      </c>
      <c r="F20" s="38" t="n">
        <f aca="false">E20^2</f>
        <v>441</v>
      </c>
    </row>
    <row r="21" customFormat="false" ht="16.5" hidden="false" customHeight="true" outlineLevel="0" collapsed="false">
      <c r="A21" s="37" t="n">
        <v>16</v>
      </c>
      <c r="B21" s="38" t="n">
        <v>3</v>
      </c>
      <c r="C21" s="38" t="n">
        <f aca="false">ABS(B21-A21)</f>
        <v>13</v>
      </c>
      <c r="D21" s="38" t="n">
        <f aca="false">(B21-A21)^2</f>
        <v>169</v>
      </c>
      <c r="E21" s="38" t="n">
        <f aca="false">B21-$B$22</f>
        <v>-24</v>
      </c>
      <c r="F21" s="38" t="n">
        <f aca="false">E21^2</f>
        <v>576</v>
      </c>
    </row>
    <row r="22" customFormat="false" ht="32.25" hidden="false" customHeight="true" outlineLevel="0" collapsed="false">
      <c r="A22" s="41" t="s">
        <v>313</v>
      </c>
      <c r="B22" s="38" t="n">
        <f aca="false">AVERAGE(B15:B21)</f>
        <v>27</v>
      </c>
      <c r="C22" s="38" t="n">
        <f aca="false">AVERAGE(C15:C21)</f>
        <v>23.2857142857143</v>
      </c>
      <c r="D22" s="38" t="n">
        <f aca="false">AVERAGE(D15:D21)</f>
        <v>767.571428571429</v>
      </c>
      <c r="E22" s="38"/>
      <c r="F22" s="38"/>
    </row>
    <row r="25" customFormat="false" ht="15" hidden="false" customHeight="false" outlineLevel="0" collapsed="false">
      <c r="A25" s="34" t="s">
        <v>317</v>
      </c>
    </row>
    <row r="26" customFormat="false" ht="15.75" hidden="false" customHeight="true" outlineLevel="0" collapsed="false"/>
    <row r="27" customFormat="false" ht="48" hidden="false" customHeight="true" outlineLevel="0" collapsed="false">
      <c r="A27" s="35" t="s">
        <v>318</v>
      </c>
      <c r="B27" s="36" t="s">
        <v>319</v>
      </c>
      <c r="C27" s="36" t="s">
        <v>305</v>
      </c>
      <c r="D27" s="36" t="s">
        <v>306</v>
      </c>
      <c r="E27" s="36" t="s">
        <v>307</v>
      </c>
      <c r="F27" s="36" t="s">
        <v>308</v>
      </c>
    </row>
    <row r="28" customFormat="false" ht="16.5" hidden="false" customHeight="true" outlineLevel="0" collapsed="false">
      <c r="A28" s="37" t="n">
        <v>23</v>
      </c>
      <c r="B28" s="38" t="n">
        <v>2</v>
      </c>
      <c r="C28" s="38" t="n">
        <f aca="false">ABS(B28-A28)</f>
        <v>21</v>
      </c>
      <c r="D28" s="38" t="n">
        <f aca="false">(B28-A28)^2</f>
        <v>441</v>
      </c>
      <c r="E28" s="38" t="n">
        <f aca="false">B28-$B$37</f>
        <v>-1.22222222222222</v>
      </c>
      <c r="F28" s="42" t="n">
        <f aca="false">E28^2</f>
        <v>1.49382716049383</v>
      </c>
      <c r="H28" s="39" t="s">
        <v>309</v>
      </c>
      <c r="I28" s="40" t="n">
        <f aca="false">AVERAGE(C28:C36)</f>
        <v>14.8888888888889</v>
      </c>
    </row>
    <row r="29" customFormat="false" ht="16.5" hidden="false" customHeight="true" outlineLevel="0" collapsed="false">
      <c r="A29" s="37" t="n">
        <v>9</v>
      </c>
      <c r="B29" s="38" t="n">
        <v>5</v>
      </c>
      <c r="C29" s="38" t="n">
        <f aca="false">ABS(B29-A29)</f>
        <v>4</v>
      </c>
      <c r="D29" s="38" t="n">
        <f aca="false">(B29-A29)^2</f>
        <v>16</v>
      </c>
      <c r="E29" s="38" t="n">
        <f aca="false">B29-$B$37</f>
        <v>1.77777777777778</v>
      </c>
      <c r="F29" s="42" t="n">
        <f aca="false">E29^2</f>
        <v>3.16049382716049</v>
      </c>
      <c r="H29" s="39" t="s">
        <v>310</v>
      </c>
      <c r="I29" s="40" t="n">
        <f aca="false">AVERAGE(D28:D36)</f>
        <v>446.222222222222</v>
      </c>
    </row>
    <row r="30" customFormat="false" ht="16.5" hidden="false" customHeight="true" outlineLevel="0" collapsed="false">
      <c r="A30" s="37" t="n">
        <v>4</v>
      </c>
      <c r="B30" s="38" t="n">
        <v>4</v>
      </c>
      <c r="C30" s="38" t="n">
        <f aca="false">ABS(B30-A30)</f>
        <v>0</v>
      </c>
      <c r="D30" s="38" t="n">
        <f aca="false">(B30-A30)^2</f>
        <v>0</v>
      </c>
      <c r="E30" s="38" t="n">
        <f aca="false">B30-$B$37</f>
        <v>0.777777777777778</v>
      </c>
      <c r="F30" s="42" t="n">
        <f aca="false">E30^2</f>
        <v>0.604938271604938</v>
      </c>
      <c r="H30" s="39" t="s">
        <v>311</v>
      </c>
      <c r="I30" s="39" t="n">
        <f aca="false">SQRT(AVERAGE(D28:D36))</f>
        <v>21.1239726903398</v>
      </c>
    </row>
    <row r="31" customFormat="false" ht="16.5" hidden="false" customHeight="true" outlineLevel="0" collapsed="false">
      <c r="A31" s="37" t="n">
        <v>28</v>
      </c>
      <c r="B31" s="38" t="n">
        <v>3</v>
      </c>
      <c r="C31" s="38" t="n">
        <f aca="false">ABS(B31-A31)</f>
        <v>25</v>
      </c>
      <c r="D31" s="38" t="n">
        <f aca="false">(B31-A31)^2</f>
        <v>625</v>
      </c>
      <c r="E31" s="38" t="n">
        <f aca="false">B31-$B$37</f>
        <v>-0.222222222222222</v>
      </c>
      <c r="F31" s="42" t="n">
        <f aca="false">E31^2</f>
        <v>0.0493827160493828</v>
      </c>
      <c r="H31" s="39" t="s">
        <v>312</v>
      </c>
      <c r="I31" s="40" t="n">
        <f aca="false">1-(SUM(D28:D36)/SUM(F28:F36))</f>
        <v>-257.171428571429</v>
      </c>
    </row>
    <row r="32" customFormat="false" ht="16.5" hidden="false" customHeight="true" outlineLevel="0" collapsed="false">
      <c r="A32" s="37" t="n">
        <v>54</v>
      </c>
      <c r="B32" s="38" t="n">
        <v>4</v>
      </c>
      <c r="C32" s="38" t="n">
        <f aca="false">ABS(B32-A32)</f>
        <v>50</v>
      </c>
      <c r="D32" s="38" t="n">
        <f aca="false">(B32-A32)^2</f>
        <v>2500</v>
      </c>
      <c r="E32" s="38" t="n">
        <f aca="false">B32-$B$37</f>
        <v>0.777777777777778</v>
      </c>
      <c r="F32" s="42" t="n">
        <f aca="false">E32^2</f>
        <v>0.604938271604938</v>
      </c>
    </row>
    <row r="33" customFormat="false" ht="16.5" hidden="false" customHeight="true" outlineLevel="0" collapsed="false">
      <c r="A33" s="37" t="n">
        <v>5</v>
      </c>
      <c r="B33" s="38" t="n">
        <v>2</v>
      </c>
      <c r="C33" s="38" t="n">
        <f aca="false">ABS(B33-A33)</f>
        <v>3</v>
      </c>
      <c r="D33" s="38" t="n">
        <f aca="false">(B33-A33)^2</f>
        <v>9</v>
      </c>
      <c r="E33" s="38" t="n">
        <f aca="false">B33-$B$37</f>
        <v>-1.22222222222222</v>
      </c>
      <c r="F33" s="42" t="n">
        <f aca="false">E33^2</f>
        <v>1.49382716049383</v>
      </c>
    </row>
    <row r="34" customFormat="false" ht="16.5" hidden="false" customHeight="true" outlineLevel="0" collapsed="false">
      <c r="A34" s="37" t="n">
        <v>19</v>
      </c>
      <c r="B34" s="38" t="n">
        <v>5</v>
      </c>
      <c r="C34" s="38" t="n">
        <f aca="false">ABS(B34-A34)</f>
        <v>14</v>
      </c>
      <c r="D34" s="38" t="n">
        <f aca="false">(B34-A34)^2</f>
        <v>196</v>
      </c>
      <c r="E34" s="38" t="n">
        <f aca="false">B34-$B$37</f>
        <v>1.77777777777778</v>
      </c>
      <c r="F34" s="42" t="n">
        <f aca="false">E34^2</f>
        <v>3.16049382716049</v>
      </c>
    </row>
    <row r="35" customFormat="false" ht="16.5" hidden="false" customHeight="true" outlineLevel="0" collapsed="false">
      <c r="A35" s="37" t="n">
        <v>18</v>
      </c>
      <c r="B35" s="38" t="n">
        <v>3</v>
      </c>
      <c r="C35" s="38" t="n">
        <f aca="false">ABS(B35-A35)</f>
        <v>15</v>
      </c>
      <c r="D35" s="38" t="n">
        <f aca="false">(B35-A35)^2</f>
        <v>225</v>
      </c>
      <c r="E35" s="38" t="n">
        <f aca="false">B35-$B$37</f>
        <v>-0.222222222222222</v>
      </c>
      <c r="F35" s="42" t="n">
        <f aca="false">E35^2</f>
        <v>0.0493827160493828</v>
      </c>
    </row>
    <row r="36" customFormat="false" ht="16.5" hidden="false" customHeight="true" outlineLevel="0" collapsed="false">
      <c r="A36" s="37" t="n">
        <v>3</v>
      </c>
      <c r="B36" s="38" t="n">
        <v>1</v>
      </c>
      <c r="C36" s="38" t="n">
        <f aca="false">ABS(B36-A36)</f>
        <v>2</v>
      </c>
      <c r="D36" s="38" t="n">
        <f aca="false">(B36-A36)^2</f>
        <v>4</v>
      </c>
      <c r="E36" s="38" t="n">
        <f aca="false">B36-$B$37</f>
        <v>-2.22222222222222</v>
      </c>
      <c r="F36" s="42" t="n">
        <f aca="false">E36^2</f>
        <v>4.93827160493827</v>
      </c>
    </row>
    <row r="37" customFormat="false" ht="32.25" hidden="false" customHeight="true" outlineLevel="0" collapsed="false">
      <c r="A37" s="41" t="s">
        <v>313</v>
      </c>
      <c r="B37" s="38" t="n">
        <f aca="false">AVERAGE(B28:B36)</f>
        <v>3.22222222222222</v>
      </c>
      <c r="C37" s="38" t="n">
        <f aca="false">AVERAGE(C28:C36)</f>
        <v>14.8888888888889</v>
      </c>
      <c r="D37" s="38" t="n">
        <f aca="false">AVERAGE(D28:D36)</f>
        <v>446.222222222222</v>
      </c>
      <c r="E37" s="38"/>
      <c r="F37" s="38"/>
    </row>
    <row r="40" customFormat="false" ht="15" hidden="false" customHeight="false" outlineLevel="0" collapsed="false">
      <c r="A40" s="34" t="s">
        <v>320</v>
      </c>
    </row>
    <row r="41" customFormat="false" ht="15.75" hidden="false" customHeight="true" outlineLevel="0" collapsed="false"/>
    <row r="42" customFormat="false" ht="48" hidden="false" customHeight="true" outlineLevel="0" collapsed="false">
      <c r="A42" s="35" t="s">
        <v>321</v>
      </c>
      <c r="B42" s="36" t="s">
        <v>322</v>
      </c>
      <c r="C42" s="36" t="s">
        <v>305</v>
      </c>
      <c r="D42" s="36" t="s">
        <v>306</v>
      </c>
      <c r="E42" s="36" t="s">
        <v>307</v>
      </c>
      <c r="F42" s="36" t="s">
        <v>308</v>
      </c>
    </row>
    <row r="43" customFormat="false" ht="16.5" hidden="false" customHeight="true" outlineLevel="0" collapsed="false">
      <c r="A43" s="37" t="n">
        <v>42</v>
      </c>
      <c r="B43" s="38" t="n">
        <v>0</v>
      </c>
      <c r="C43" s="38" t="n">
        <f aca="false">ABS(B43-A43)</f>
        <v>42</v>
      </c>
      <c r="D43" s="38" t="n">
        <f aca="false">(B43-A43)^2</f>
        <v>1764</v>
      </c>
      <c r="E43" s="38" t="n">
        <f aca="false">B43-$B$49</f>
        <v>-0.5</v>
      </c>
      <c r="F43" s="38" t="n">
        <f aca="false">E43^2</f>
        <v>0.25</v>
      </c>
      <c r="H43" s="39" t="s">
        <v>309</v>
      </c>
      <c r="I43" s="40" t="n">
        <f aca="false">AVERAGE(C43:C48)</f>
        <v>26.6666666666667</v>
      </c>
    </row>
    <row r="44" customFormat="false" ht="16.5" hidden="false" customHeight="true" outlineLevel="0" collapsed="false">
      <c r="A44" s="37" t="n">
        <v>36</v>
      </c>
      <c r="B44" s="38" t="n">
        <v>1</v>
      </c>
      <c r="C44" s="38" t="n">
        <f aca="false">ABS(B44-A44)</f>
        <v>35</v>
      </c>
      <c r="D44" s="38" t="n">
        <f aca="false">(B44-A44)^2</f>
        <v>1225</v>
      </c>
      <c r="E44" s="38" t="n">
        <f aca="false">B44-$B$49</f>
        <v>0.5</v>
      </c>
      <c r="F44" s="38" t="n">
        <f aca="false">E44^2</f>
        <v>0.25</v>
      </c>
      <c r="H44" s="39" t="s">
        <v>310</v>
      </c>
      <c r="I44" s="40" t="n">
        <f aca="false">AVERAGE(D43:D48)</f>
        <v>957.666666666667</v>
      </c>
    </row>
    <row r="45" customFormat="false" ht="16.5" hidden="false" customHeight="true" outlineLevel="0" collapsed="false">
      <c r="A45" s="37" t="n">
        <v>5</v>
      </c>
      <c r="B45" s="38" t="n">
        <v>1</v>
      </c>
      <c r="C45" s="38" t="n">
        <f aca="false">ABS(B45-A45)</f>
        <v>4</v>
      </c>
      <c r="D45" s="38" t="n">
        <f aca="false">(B45-A45)^2</f>
        <v>16</v>
      </c>
      <c r="E45" s="38" t="n">
        <f aca="false">B45-$B$49</f>
        <v>0.5</v>
      </c>
      <c r="F45" s="38" t="n">
        <f aca="false">E45^2</f>
        <v>0.25</v>
      </c>
      <c r="H45" s="39" t="s">
        <v>311</v>
      </c>
      <c r="I45" s="39" t="n">
        <f aca="false">SQRT(AVERAGE(D43:D48))</f>
        <v>30.946189857019</v>
      </c>
    </row>
    <row r="46" customFormat="false" ht="16.5" hidden="false" customHeight="true" outlineLevel="0" collapsed="false">
      <c r="A46" s="37" t="n">
        <v>41</v>
      </c>
      <c r="B46" s="38" t="n">
        <v>0</v>
      </c>
      <c r="C46" s="38" t="n">
        <f aca="false">ABS(B46-A46)</f>
        <v>41</v>
      </c>
      <c r="D46" s="38" t="n">
        <f aca="false">(B46-A46)^2</f>
        <v>1681</v>
      </c>
      <c r="E46" s="38" t="n">
        <f aca="false">B46-$B$49</f>
        <v>-0.5</v>
      </c>
      <c r="F46" s="38" t="n">
        <f aca="false">E46^2</f>
        <v>0.25</v>
      </c>
      <c r="H46" s="39" t="s">
        <v>312</v>
      </c>
      <c r="I46" s="40" t="n">
        <f aca="false">1-(SUM(D43:D48)/SUM(F43:F48))</f>
        <v>-3829.66666666667</v>
      </c>
    </row>
    <row r="47" customFormat="false" ht="16.5" hidden="false" customHeight="true" outlineLevel="0" collapsed="false">
      <c r="A47" s="37" t="n">
        <v>33</v>
      </c>
      <c r="B47" s="38" t="n">
        <v>1</v>
      </c>
      <c r="C47" s="38" t="n">
        <f aca="false">ABS(B47-A47)</f>
        <v>32</v>
      </c>
      <c r="D47" s="38" t="n">
        <f aca="false">(B47-A47)^2</f>
        <v>1024</v>
      </c>
      <c r="E47" s="38" t="n">
        <f aca="false">B47-$B$49</f>
        <v>0.5</v>
      </c>
      <c r="F47" s="38" t="n">
        <f aca="false">E47^2</f>
        <v>0.25</v>
      </c>
    </row>
    <row r="48" customFormat="false" ht="16.5" hidden="false" customHeight="true" outlineLevel="0" collapsed="false">
      <c r="A48" s="37" t="n">
        <v>6</v>
      </c>
      <c r="B48" s="38" t="n">
        <v>0</v>
      </c>
      <c r="C48" s="38" t="n">
        <f aca="false">ABS(B48-A48)</f>
        <v>6</v>
      </c>
      <c r="D48" s="38" t="n">
        <f aca="false">(B48-A48)^2</f>
        <v>36</v>
      </c>
      <c r="E48" s="38" t="n">
        <f aca="false">B48-$B$49</f>
        <v>-0.5</v>
      </c>
      <c r="F48" s="38" t="n">
        <f aca="false">E48^2</f>
        <v>0.25</v>
      </c>
    </row>
    <row r="49" customFormat="false" ht="32.25" hidden="false" customHeight="true" outlineLevel="0" collapsed="false">
      <c r="A49" s="41" t="s">
        <v>313</v>
      </c>
      <c r="B49" s="38" t="n">
        <f aca="false">AVERAGE(B43:B48)</f>
        <v>0.5</v>
      </c>
      <c r="C49" s="38" t="n">
        <f aca="false">AVERAGE(C43:C48)</f>
        <v>26.6666666666667</v>
      </c>
      <c r="D49" s="38" t="n">
        <f aca="false">AVERAGE(D43:D48)</f>
        <v>957.666666666667</v>
      </c>
      <c r="E49" s="38"/>
      <c r="F49" s="38"/>
    </row>
    <row r="52" customFormat="false" ht="15" hidden="false" customHeight="false" outlineLevel="0" collapsed="false">
      <c r="A52" s="34" t="s">
        <v>323</v>
      </c>
    </row>
    <row r="53" customFormat="false" ht="15.75" hidden="false" customHeight="true" outlineLevel="0" collapsed="false"/>
    <row r="54" customFormat="false" ht="48" hidden="false" customHeight="true" outlineLevel="0" collapsed="false">
      <c r="A54" s="35" t="s">
        <v>324</v>
      </c>
      <c r="B54" s="36" t="s">
        <v>325</v>
      </c>
      <c r="C54" s="36" t="s">
        <v>305</v>
      </c>
      <c r="D54" s="36" t="s">
        <v>306</v>
      </c>
      <c r="E54" s="36" t="s">
        <v>307</v>
      </c>
      <c r="F54" s="36" t="s">
        <v>308</v>
      </c>
    </row>
    <row r="55" customFormat="false" ht="16.5" hidden="false" customHeight="true" outlineLevel="0" collapsed="false">
      <c r="A55" s="37" t="n">
        <v>13</v>
      </c>
      <c r="B55" s="38" t="n">
        <v>7</v>
      </c>
      <c r="C55" s="38" t="n">
        <f aca="false">ABS(B55-A55)</f>
        <v>6</v>
      </c>
      <c r="D55" s="38" t="n">
        <f aca="false">(B55-A55)^2</f>
        <v>36</v>
      </c>
      <c r="E55" s="38" t="n">
        <f aca="false">B55-$B$60</f>
        <v>-11</v>
      </c>
      <c r="F55" s="38" t="n">
        <f aca="false">E55^2</f>
        <v>121</v>
      </c>
      <c r="H55" s="39" t="s">
        <v>309</v>
      </c>
      <c r="I55" s="40" t="n">
        <f aca="false">AVERAGE(C55:C59)</f>
        <v>20.6</v>
      </c>
    </row>
    <row r="56" customFormat="false" ht="16.5" hidden="false" customHeight="true" outlineLevel="0" collapsed="false">
      <c r="A56" s="37" t="n">
        <v>18</v>
      </c>
      <c r="B56" s="38" t="n">
        <v>33</v>
      </c>
      <c r="C56" s="38" t="n">
        <f aca="false">ABS(B56-A56)</f>
        <v>15</v>
      </c>
      <c r="D56" s="38" t="n">
        <f aca="false">(B56-A56)^2</f>
        <v>225</v>
      </c>
      <c r="E56" s="38" t="n">
        <f aca="false">B56-$B$60</f>
        <v>15</v>
      </c>
      <c r="F56" s="38" t="n">
        <f aca="false">E56^2</f>
        <v>225</v>
      </c>
      <c r="H56" s="39" t="s">
        <v>310</v>
      </c>
      <c r="I56" s="40" t="n">
        <f aca="false">AVERAGE(D55:D59)</f>
        <v>524.6</v>
      </c>
    </row>
    <row r="57" customFormat="false" ht="16.5" hidden="false" customHeight="true" outlineLevel="0" collapsed="false">
      <c r="A57" s="37" t="n">
        <v>36</v>
      </c>
      <c r="B57" s="38" t="n">
        <v>15</v>
      </c>
      <c r="C57" s="38" t="n">
        <f aca="false">ABS(B57-A57)</f>
        <v>21</v>
      </c>
      <c r="D57" s="38" t="n">
        <f aca="false">(B57-A57)^2</f>
        <v>441</v>
      </c>
      <c r="E57" s="38" t="n">
        <f aca="false">B57-$B$60</f>
        <v>-3</v>
      </c>
      <c r="F57" s="38" t="n">
        <f aca="false">E57^2</f>
        <v>9</v>
      </c>
      <c r="H57" s="39" t="s">
        <v>311</v>
      </c>
      <c r="I57" s="39" t="n">
        <f aca="false">SQRT(AVERAGE(D55:D59))</f>
        <v>22.9041480959236</v>
      </c>
    </row>
    <row r="58" customFormat="false" ht="16.5" hidden="false" customHeight="true" outlineLevel="0" collapsed="false">
      <c r="A58" s="37" t="n">
        <v>57</v>
      </c>
      <c r="B58" s="38" t="n">
        <v>21</v>
      </c>
      <c r="C58" s="38" t="n">
        <f aca="false">ABS(B58-A58)</f>
        <v>36</v>
      </c>
      <c r="D58" s="38" t="n">
        <f aca="false">(B58-A58)^2</f>
        <v>1296</v>
      </c>
      <c r="E58" s="38" t="n">
        <f aca="false">B58-$B$60</f>
        <v>3</v>
      </c>
      <c r="F58" s="38" t="n">
        <f aca="false">E58^2</f>
        <v>9</v>
      </c>
      <c r="H58" s="39" t="s">
        <v>312</v>
      </c>
      <c r="I58" s="40" t="n">
        <f aca="false">1-(SUM(D55:D59)/SUM(F55:F59))</f>
        <v>-5.90263157894737</v>
      </c>
    </row>
    <row r="59" customFormat="false" ht="16.5" hidden="false" customHeight="true" outlineLevel="0" collapsed="false">
      <c r="A59" s="37" t="n">
        <v>39</v>
      </c>
      <c r="B59" s="38" t="n">
        <v>14</v>
      </c>
      <c r="C59" s="38" t="n">
        <f aca="false">ABS(B59-A59)</f>
        <v>25</v>
      </c>
      <c r="D59" s="38" t="n">
        <f aca="false">(B59-A59)^2</f>
        <v>625</v>
      </c>
      <c r="E59" s="38" t="n">
        <f aca="false">B59-$B$60</f>
        <v>-4</v>
      </c>
      <c r="F59" s="38" t="n">
        <f aca="false">E59^2</f>
        <v>16</v>
      </c>
    </row>
    <row r="60" customFormat="false" ht="32.25" hidden="false" customHeight="true" outlineLevel="0" collapsed="false">
      <c r="A60" s="41" t="s">
        <v>313</v>
      </c>
      <c r="B60" s="38" t="n">
        <f aca="false">AVERAGE(B55:B59)</f>
        <v>18</v>
      </c>
      <c r="C60" s="38" t="n">
        <f aca="false">AVERAGE(C55:C59)</f>
        <v>20.6</v>
      </c>
      <c r="D60" s="38" t="n">
        <f aca="false">AVERAGE(D55:D59)</f>
        <v>524.6</v>
      </c>
      <c r="E60" s="38"/>
      <c r="F60" s="38"/>
    </row>
    <row r="63" customFormat="false" ht="15" hidden="false" customHeight="false" outlineLevel="0" collapsed="false">
      <c r="A63" s="34" t="s">
        <v>326</v>
      </c>
    </row>
    <row r="64" customFormat="false" ht="15.75" hidden="false" customHeight="true" outlineLevel="0" collapsed="false"/>
    <row r="65" customFormat="false" ht="48" hidden="false" customHeight="true" outlineLevel="0" collapsed="false">
      <c r="A65" s="35" t="s">
        <v>327</v>
      </c>
      <c r="B65" s="36" t="s">
        <v>328</v>
      </c>
      <c r="C65" s="36" t="s">
        <v>305</v>
      </c>
      <c r="D65" s="36" t="s">
        <v>306</v>
      </c>
      <c r="E65" s="36" t="s">
        <v>307</v>
      </c>
      <c r="F65" s="36" t="s">
        <v>308</v>
      </c>
    </row>
    <row r="66" customFormat="false" ht="16.5" hidden="false" customHeight="true" outlineLevel="0" collapsed="false">
      <c r="A66" s="37" t="n">
        <v>20</v>
      </c>
      <c r="B66" s="38" t="n">
        <v>5</v>
      </c>
      <c r="C66" s="38" t="n">
        <f aca="false">ABS(B66-A66)</f>
        <v>15</v>
      </c>
      <c r="D66" s="38" t="n">
        <f aca="false">(B66-A66)^2</f>
        <v>225</v>
      </c>
      <c r="E66" s="38" t="n">
        <f aca="false">B66-$B$73</f>
        <v>1</v>
      </c>
      <c r="F66" s="38" t="n">
        <f aca="false">E66^2</f>
        <v>1</v>
      </c>
      <c r="H66" s="39" t="s">
        <v>309</v>
      </c>
      <c r="I66" s="40" t="n">
        <f aca="false">AVERAGE(C66:C72)</f>
        <v>20</v>
      </c>
    </row>
    <row r="67" customFormat="false" ht="16.5" hidden="false" customHeight="true" outlineLevel="0" collapsed="false">
      <c r="A67" s="37" t="n">
        <v>17</v>
      </c>
      <c r="B67" s="38" t="n">
        <v>2</v>
      </c>
      <c r="C67" s="38" t="n">
        <f aca="false">ABS(B67-A67)</f>
        <v>15</v>
      </c>
      <c r="D67" s="38" t="n">
        <f aca="false">(B67-A67)^2</f>
        <v>225</v>
      </c>
      <c r="E67" s="38" t="n">
        <f aca="false">B67-$B$73</f>
        <v>-2</v>
      </c>
      <c r="F67" s="38" t="n">
        <f aca="false">E67^2</f>
        <v>4</v>
      </c>
      <c r="H67" s="39" t="s">
        <v>310</v>
      </c>
      <c r="I67" s="40" t="n">
        <f aca="false">AVERAGE(D66:D72)</f>
        <v>636.571428571429</v>
      </c>
    </row>
    <row r="68" customFormat="false" ht="16.5" hidden="false" customHeight="true" outlineLevel="0" collapsed="false">
      <c r="A68" s="37" t="n">
        <v>4</v>
      </c>
      <c r="B68" s="38" t="n">
        <v>7</v>
      </c>
      <c r="C68" s="38" t="n">
        <f aca="false">ABS(B68-A68)</f>
        <v>3</v>
      </c>
      <c r="D68" s="38" t="n">
        <f aca="false">(B68-A68)^2</f>
        <v>9</v>
      </c>
      <c r="E68" s="38" t="n">
        <f aca="false">B68-$B$73</f>
        <v>3</v>
      </c>
      <c r="F68" s="38" t="n">
        <f aca="false">E68^2</f>
        <v>9</v>
      </c>
      <c r="H68" s="39" t="s">
        <v>311</v>
      </c>
      <c r="I68" s="39" t="n">
        <f aca="false">SQRT(AVERAGE(D66:D72))</f>
        <v>25.2303671905787</v>
      </c>
    </row>
    <row r="69" customFormat="false" ht="16.5" hidden="false" customHeight="true" outlineLevel="0" collapsed="false">
      <c r="A69" s="37" t="n">
        <v>36</v>
      </c>
      <c r="B69" s="38" t="n">
        <v>4</v>
      </c>
      <c r="C69" s="38" t="n">
        <f aca="false">ABS(B69-A69)</f>
        <v>32</v>
      </c>
      <c r="D69" s="38" t="n">
        <f aca="false">(B69-A69)^2</f>
        <v>1024</v>
      </c>
      <c r="E69" s="38" t="n">
        <f aca="false">B69-$B$73</f>
        <v>0</v>
      </c>
      <c r="F69" s="38" t="n">
        <f aca="false">E69^2</f>
        <v>0</v>
      </c>
      <c r="H69" s="39" t="s">
        <v>312</v>
      </c>
      <c r="I69" s="40" t="n">
        <f aca="false">1-(SUM(D66:D72)/SUM(F66:F72))</f>
        <v>-221.8</v>
      </c>
    </row>
    <row r="70" customFormat="false" ht="16.5" hidden="false" customHeight="true" outlineLevel="0" collapsed="false">
      <c r="A70" s="37" t="n">
        <v>57</v>
      </c>
      <c r="B70" s="38" t="n">
        <v>5</v>
      </c>
      <c r="C70" s="38" t="n">
        <f aca="false">ABS(B70-A70)</f>
        <v>52</v>
      </c>
      <c r="D70" s="38" t="n">
        <f aca="false">(B70-A70)^2</f>
        <v>2704</v>
      </c>
      <c r="E70" s="38" t="n">
        <f aca="false">B70-$B$73</f>
        <v>1</v>
      </c>
      <c r="F70" s="38" t="n">
        <f aca="false">E70^2</f>
        <v>1</v>
      </c>
    </row>
    <row r="71" customFormat="false" ht="16.5" hidden="false" customHeight="true" outlineLevel="0" collapsed="false">
      <c r="A71" s="37" t="n">
        <v>13</v>
      </c>
      <c r="B71" s="43" t="n">
        <v>3</v>
      </c>
      <c r="C71" s="38" t="n">
        <f aca="false">ABS(B71-A71)</f>
        <v>10</v>
      </c>
      <c r="D71" s="38" t="n">
        <f aca="false">(B71-A71)^2</f>
        <v>100</v>
      </c>
      <c r="E71" s="38" t="n">
        <f aca="false">B71-$B$73</f>
        <v>-1</v>
      </c>
      <c r="F71" s="38" t="n">
        <f aca="false">E71^2</f>
        <v>1</v>
      </c>
    </row>
    <row r="72" customFormat="false" ht="16.5" hidden="false" customHeight="true" outlineLevel="0" collapsed="false">
      <c r="A72" s="37" t="n">
        <v>15</v>
      </c>
      <c r="B72" s="43" t="n">
        <v>2</v>
      </c>
      <c r="C72" s="38" t="n">
        <f aca="false">ABS(B72-A72)</f>
        <v>13</v>
      </c>
      <c r="D72" s="38" t="n">
        <f aca="false">(B72-A72)^2</f>
        <v>169</v>
      </c>
      <c r="E72" s="38" t="n">
        <f aca="false">B72-$B$73</f>
        <v>-2</v>
      </c>
      <c r="F72" s="38" t="n">
        <f aca="false">E72^2</f>
        <v>4</v>
      </c>
    </row>
    <row r="73" customFormat="false" ht="32.25" hidden="false" customHeight="true" outlineLevel="0" collapsed="false">
      <c r="A73" s="41" t="s">
        <v>313</v>
      </c>
      <c r="B73" s="38" t="n">
        <f aca="false">AVERAGE(B66:B72)</f>
        <v>4</v>
      </c>
      <c r="C73" s="38" t="n">
        <f aca="false">AVERAGE(C66:C72)</f>
        <v>20</v>
      </c>
      <c r="D73" s="38" t="n">
        <f aca="false">AVERAGE(D66:D72)</f>
        <v>636.571428571429</v>
      </c>
      <c r="E73" s="38"/>
      <c r="F73" s="38"/>
    </row>
    <row r="76" customFormat="false" ht="15" hidden="false" customHeight="false" outlineLevel="0" collapsed="false">
      <c r="A76" s="34" t="s">
        <v>329</v>
      </c>
    </row>
    <row r="77" customFormat="false" ht="15.75" hidden="false" customHeight="true" outlineLevel="0" collapsed="false"/>
    <row r="78" customFormat="false" ht="48" hidden="false" customHeight="true" outlineLevel="0" collapsed="false">
      <c r="A78" s="35" t="s">
        <v>330</v>
      </c>
      <c r="B78" s="36" t="s">
        <v>331</v>
      </c>
      <c r="C78" s="36" t="s">
        <v>305</v>
      </c>
      <c r="D78" s="36" t="s">
        <v>306</v>
      </c>
      <c r="E78" s="36" t="s">
        <v>307</v>
      </c>
      <c r="F78" s="36" t="s">
        <v>308</v>
      </c>
    </row>
    <row r="79" customFormat="false" ht="16.5" hidden="false" customHeight="true" outlineLevel="0" collapsed="false">
      <c r="A79" s="37" t="n">
        <v>24</v>
      </c>
      <c r="B79" s="38" t="n">
        <v>1</v>
      </c>
      <c r="C79" s="38" t="n">
        <f aca="false">ABS(B79-A79)</f>
        <v>23</v>
      </c>
      <c r="D79" s="38" t="n">
        <f aca="false">(B79-A79)^2</f>
        <v>529</v>
      </c>
      <c r="E79" s="38" t="n">
        <f aca="false">B79-$B$85</f>
        <v>0.5</v>
      </c>
      <c r="F79" s="38" t="n">
        <f aca="false">E79^2</f>
        <v>0.25</v>
      </c>
      <c r="H79" s="39" t="s">
        <v>309</v>
      </c>
      <c r="I79" s="40" t="n">
        <f aca="false">AVERAGE(C79:C84)</f>
        <v>26.6666666666667</v>
      </c>
    </row>
    <row r="80" customFormat="false" ht="16.5" hidden="false" customHeight="true" outlineLevel="0" collapsed="false">
      <c r="A80" s="37" t="n">
        <v>33</v>
      </c>
      <c r="B80" s="38" t="n">
        <v>0</v>
      </c>
      <c r="C80" s="38" t="n">
        <f aca="false">ABS(B80-A80)</f>
        <v>33</v>
      </c>
      <c r="D80" s="38" t="n">
        <f aca="false">(B80-A80)^2</f>
        <v>1089</v>
      </c>
      <c r="E80" s="38" t="n">
        <f aca="false">B80-$B$85</f>
        <v>-0.5</v>
      </c>
      <c r="F80" s="38" t="n">
        <f aca="false">E80^2</f>
        <v>0.25</v>
      </c>
      <c r="H80" s="39" t="s">
        <v>310</v>
      </c>
      <c r="I80" s="40" t="n">
        <f aca="false">AVERAGE(D79:D84)</f>
        <v>904.666666666667</v>
      </c>
    </row>
    <row r="81" customFormat="false" ht="16.5" hidden="false" customHeight="true" outlineLevel="0" collapsed="false">
      <c r="A81" s="37" t="n">
        <v>9</v>
      </c>
      <c r="B81" s="38" t="n">
        <v>1</v>
      </c>
      <c r="C81" s="38" t="n">
        <f aca="false">ABS(B81-A81)</f>
        <v>8</v>
      </c>
      <c r="D81" s="38" t="n">
        <f aca="false">(B81-A81)^2</f>
        <v>64</v>
      </c>
      <c r="E81" s="38" t="n">
        <f aca="false">B81-$B$85</f>
        <v>0.5</v>
      </c>
      <c r="F81" s="38" t="n">
        <f aca="false">E81^2</f>
        <v>0.25</v>
      </c>
      <c r="H81" s="39" t="s">
        <v>311</v>
      </c>
      <c r="I81" s="39" t="n">
        <f aca="false">SQRT(AVERAGE(D79:D84))</f>
        <v>30.0776772152815</v>
      </c>
    </row>
    <row r="82" customFormat="false" ht="16.5" hidden="false" customHeight="true" outlineLevel="0" collapsed="false">
      <c r="A82" s="37" t="n">
        <v>45</v>
      </c>
      <c r="B82" s="38" t="n">
        <v>0</v>
      </c>
      <c r="C82" s="38" t="n">
        <f aca="false">ABS(B82-A82)</f>
        <v>45</v>
      </c>
      <c r="D82" s="38" t="n">
        <f aca="false">(B82-A82)^2</f>
        <v>2025</v>
      </c>
      <c r="E82" s="38" t="n">
        <f aca="false">B82-$B$85</f>
        <v>-0.5</v>
      </c>
      <c r="F82" s="38" t="n">
        <f aca="false">E82^2</f>
        <v>0.25</v>
      </c>
      <c r="H82" s="39" t="s">
        <v>312</v>
      </c>
      <c r="I82" s="40" t="n">
        <f aca="false">1-(SUM(D79:D84)/SUM(F79:F84))</f>
        <v>-3617.66666666667</v>
      </c>
    </row>
    <row r="83" customFormat="false" ht="16.5" hidden="false" customHeight="true" outlineLevel="0" collapsed="false">
      <c r="A83" s="37" t="n">
        <v>41</v>
      </c>
      <c r="B83" s="38" t="n">
        <v>1</v>
      </c>
      <c r="C83" s="38" t="n">
        <f aca="false">ABS(B83-A83)</f>
        <v>40</v>
      </c>
      <c r="D83" s="38" t="n">
        <f aca="false">(B83-A83)^2</f>
        <v>1600</v>
      </c>
      <c r="E83" s="38" t="n">
        <f aca="false">B83-$B$85</f>
        <v>0.5</v>
      </c>
      <c r="F83" s="38" t="n">
        <f aca="false">E83^2</f>
        <v>0.25</v>
      </c>
    </row>
    <row r="84" customFormat="false" ht="16.5" hidden="false" customHeight="true" outlineLevel="0" collapsed="false">
      <c r="A84" s="37" t="n">
        <v>11</v>
      </c>
      <c r="B84" s="38" t="n">
        <v>0</v>
      </c>
      <c r="C84" s="38" t="n">
        <f aca="false">ABS(B84-A84)</f>
        <v>11</v>
      </c>
      <c r="D84" s="38" t="n">
        <f aca="false">(B84-A84)^2</f>
        <v>121</v>
      </c>
      <c r="E84" s="38" t="n">
        <f aca="false">B84-$B$85</f>
        <v>-0.5</v>
      </c>
      <c r="F84" s="38" t="n">
        <f aca="false">E84^2</f>
        <v>0.25</v>
      </c>
    </row>
    <row r="85" customFormat="false" ht="32.25" hidden="false" customHeight="true" outlineLevel="0" collapsed="false">
      <c r="A85" s="41" t="s">
        <v>313</v>
      </c>
      <c r="B85" s="38" t="n">
        <f aca="false">AVERAGE(B79:B84)</f>
        <v>0.5</v>
      </c>
      <c r="C85" s="38" t="n">
        <f aca="false">AVERAGE(C79:C84)</f>
        <v>26.6666666666667</v>
      </c>
      <c r="D85" s="38" t="n">
        <f aca="false">AVERAGE(D79:D84)</f>
        <v>904.666666666667</v>
      </c>
      <c r="E85" s="38"/>
      <c r="F85" s="38"/>
    </row>
    <row r="88" customFormat="false" ht="15" hidden="false" customHeight="false" outlineLevel="0" collapsed="false">
      <c r="A88" s="34" t="s">
        <v>332</v>
      </c>
    </row>
    <row r="89" customFormat="false" ht="15.75" hidden="false" customHeight="true" outlineLevel="0" collapsed="false"/>
    <row r="90" customFormat="false" ht="15.75" hidden="false" customHeight="true" outlineLevel="0" collapsed="false">
      <c r="A90" s="35" t="s">
        <v>333</v>
      </c>
      <c r="B90" s="44" t="s">
        <v>334</v>
      </c>
      <c r="C90" s="35" t="s">
        <v>305</v>
      </c>
      <c r="D90" s="35" t="s">
        <v>306</v>
      </c>
      <c r="E90" s="35" t="s">
        <v>307</v>
      </c>
      <c r="F90" s="35" t="s">
        <v>308</v>
      </c>
    </row>
    <row r="91" customFormat="false" ht="16.5" hidden="false" customHeight="true" outlineLevel="0" collapsed="false">
      <c r="A91" s="35"/>
      <c r="B91" s="45" t="s">
        <v>335</v>
      </c>
      <c r="C91" s="35"/>
      <c r="D91" s="35"/>
      <c r="E91" s="35"/>
      <c r="F91" s="35"/>
    </row>
    <row r="92" customFormat="false" ht="16.5" hidden="false" customHeight="true" outlineLevel="0" collapsed="false">
      <c r="A92" s="37" t="n">
        <v>19</v>
      </c>
      <c r="B92" s="38" t="n">
        <v>41</v>
      </c>
      <c r="C92" s="38" t="n">
        <f aca="false">ABS(B92-A92)</f>
        <v>22</v>
      </c>
      <c r="D92" s="38" t="n">
        <f aca="false">(B92-A92)^2</f>
        <v>484</v>
      </c>
      <c r="E92" s="38" t="n">
        <f aca="false">B92-$B$100</f>
        <v>8.375</v>
      </c>
      <c r="F92" s="42" t="n">
        <f aca="false">E92^2</f>
        <v>70.140625</v>
      </c>
      <c r="H92" s="39" t="s">
        <v>309</v>
      </c>
      <c r="I92" s="40" t="n">
        <f aca="false">AVERAGE(C92:C99)</f>
        <v>25.5</v>
      </c>
    </row>
    <row r="93" customFormat="false" ht="16.5" hidden="false" customHeight="true" outlineLevel="0" collapsed="false">
      <c r="A93" s="37" t="n">
        <v>21</v>
      </c>
      <c r="B93" s="38" t="n">
        <v>70</v>
      </c>
      <c r="C93" s="38" t="n">
        <f aca="false">ABS(B93-A93)</f>
        <v>49</v>
      </c>
      <c r="D93" s="38" t="n">
        <f aca="false">(B93-A93)^2</f>
        <v>2401</v>
      </c>
      <c r="E93" s="38" t="n">
        <f aca="false">B93-$B$100</f>
        <v>37.375</v>
      </c>
      <c r="F93" s="42" t="n">
        <f aca="false">E93^2</f>
        <v>1396.890625</v>
      </c>
      <c r="H93" s="39" t="s">
        <v>310</v>
      </c>
      <c r="I93" s="40" t="n">
        <f aca="false">AVERAGE(D92:D99)</f>
        <v>895.75</v>
      </c>
    </row>
    <row r="94" customFormat="false" ht="16.5" hidden="false" customHeight="true" outlineLevel="0" collapsed="false">
      <c r="A94" s="37" t="n">
        <v>6</v>
      </c>
      <c r="B94" s="38" t="n">
        <v>34</v>
      </c>
      <c r="C94" s="38" t="n">
        <f aca="false">ABS(B94-A94)</f>
        <v>28</v>
      </c>
      <c r="D94" s="38" t="n">
        <f aca="false">(B94-A94)^2</f>
        <v>784</v>
      </c>
      <c r="E94" s="38" t="n">
        <f aca="false">B94-$B$100</f>
        <v>1.375</v>
      </c>
      <c r="F94" s="42" t="n">
        <f aca="false">E94^2</f>
        <v>1.890625</v>
      </c>
      <c r="H94" s="39" t="s">
        <v>311</v>
      </c>
      <c r="I94" s="39" t="n">
        <f aca="false">SQRT(AVERAGE(D92:D99))</f>
        <v>29.9290828459544</v>
      </c>
    </row>
    <row r="95" customFormat="false" ht="16.5" hidden="false" customHeight="true" outlineLevel="0" collapsed="false">
      <c r="A95" s="37" t="n">
        <v>36</v>
      </c>
      <c r="B95" s="38" t="n">
        <v>22</v>
      </c>
      <c r="C95" s="38" t="n">
        <f aca="false">ABS(B95-A95)</f>
        <v>14</v>
      </c>
      <c r="D95" s="38" t="n">
        <f aca="false">(B95-A95)^2</f>
        <v>196</v>
      </c>
      <c r="E95" s="38" t="n">
        <f aca="false">B95-$B$100</f>
        <v>-10.625</v>
      </c>
      <c r="F95" s="42" t="n">
        <f aca="false">E95^2</f>
        <v>112.890625</v>
      </c>
      <c r="H95" s="39" t="s">
        <v>312</v>
      </c>
      <c r="I95" s="40" t="n">
        <f aca="false">1-(SUM(D92:D99)/SUM(F92:F99))</f>
        <v>-1.09539822361928</v>
      </c>
    </row>
    <row r="96" customFormat="false" ht="16.5" hidden="false" customHeight="true" outlineLevel="0" collapsed="false">
      <c r="A96" s="37" t="n">
        <v>42</v>
      </c>
      <c r="B96" s="38" t="n">
        <v>12</v>
      </c>
      <c r="C96" s="38" t="n">
        <f aca="false">ABS(B96-A96)</f>
        <v>30</v>
      </c>
      <c r="D96" s="38" t="n">
        <f aca="false">(B96-A96)^2</f>
        <v>900</v>
      </c>
      <c r="E96" s="38" t="n">
        <f aca="false">B96-$B$100</f>
        <v>-20.625</v>
      </c>
      <c r="F96" s="42" t="n">
        <f aca="false">E96^2</f>
        <v>425.390625</v>
      </c>
    </row>
    <row r="97" customFormat="false" ht="16.5" hidden="false" customHeight="true" outlineLevel="0" collapsed="false">
      <c r="A97" s="37" t="n">
        <v>7</v>
      </c>
      <c r="B97" s="38" t="n">
        <v>55</v>
      </c>
      <c r="C97" s="38" t="n">
        <f aca="false">ABS(B97-A97)</f>
        <v>48</v>
      </c>
      <c r="D97" s="38" t="n">
        <f aca="false">(B97-A97)^2</f>
        <v>2304</v>
      </c>
      <c r="E97" s="38" t="n">
        <f aca="false">B97-$B$100</f>
        <v>22.375</v>
      </c>
      <c r="F97" s="42" t="n">
        <f aca="false">E97^2</f>
        <v>500.640625</v>
      </c>
    </row>
    <row r="98" customFormat="false" ht="16.5" hidden="false" customHeight="true" outlineLevel="0" collapsed="false">
      <c r="A98" s="37" t="n">
        <v>19</v>
      </c>
      <c r="B98" s="38" t="n">
        <v>23</v>
      </c>
      <c r="C98" s="38" t="n">
        <f aca="false">ABS(B98-A98)</f>
        <v>4</v>
      </c>
      <c r="D98" s="38" t="n">
        <f aca="false">(B98-A98)^2</f>
        <v>16</v>
      </c>
      <c r="E98" s="38" t="n">
        <f aca="false">B98-$B$100</f>
        <v>-9.625</v>
      </c>
      <c r="F98" s="42" t="n">
        <f aca="false">E98^2</f>
        <v>92.640625</v>
      </c>
    </row>
    <row r="99" customFormat="false" ht="16.5" hidden="false" customHeight="true" outlineLevel="0" collapsed="false">
      <c r="A99" s="37" t="n">
        <v>13</v>
      </c>
      <c r="B99" s="38" t="n">
        <v>4</v>
      </c>
      <c r="C99" s="38" t="n">
        <f aca="false">ABS(B99-A99)</f>
        <v>9</v>
      </c>
      <c r="D99" s="38" t="n">
        <f aca="false">(B99-A99)^2</f>
        <v>81</v>
      </c>
      <c r="E99" s="38" t="n">
        <f aca="false">B99-$B$100</f>
        <v>-28.625</v>
      </c>
      <c r="F99" s="42" t="n">
        <f aca="false">E99^2</f>
        <v>819.390625</v>
      </c>
    </row>
    <row r="100" customFormat="false" ht="32.25" hidden="false" customHeight="true" outlineLevel="0" collapsed="false">
      <c r="A100" s="41" t="s">
        <v>313</v>
      </c>
      <c r="B100" s="38" t="n">
        <f aca="false">AVERAGE(B92:B99)</f>
        <v>32.625</v>
      </c>
      <c r="C100" s="38" t="n">
        <f aca="false">AVERAGE(C92:C99)</f>
        <v>25.5</v>
      </c>
      <c r="D100" s="38" t="n">
        <f aca="false">AVERAGE(D92:D99)</f>
        <v>895.75</v>
      </c>
      <c r="E100" s="38"/>
      <c r="F100" s="38"/>
    </row>
    <row r="103" customFormat="false" ht="15" hidden="false" customHeight="false" outlineLevel="0" collapsed="false">
      <c r="A103" s="34" t="s">
        <v>336</v>
      </c>
    </row>
    <row r="104" customFormat="false" ht="15.75" hidden="false" customHeight="true" outlineLevel="0" collapsed="false"/>
    <row r="105" customFormat="false" ht="15.75" hidden="false" customHeight="true" outlineLevel="0" collapsed="false">
      <c r="A105" s="35" t="s">
        <v>337</v>
      </c>
      <c r="B105" s="44" t="s">
        <v>334</v>
      </c>
      <c r="C105" s="35" t="s">
        <v>305</v>
      </c>
      <c r="D105" s="35" t="s">
        <v>306</v>
      </c>
      <c r="E105" s="35" t="s">
        <v>307</v>
      </c>
      <c r="F105" s="35" t="s">
        <v>308</v>
      </c>
    </row>
    <row r="106" customFormat="false" ht="32.25" hidden="false" customHeight="true" outlineLevel="0" collapsed="false">
      <c r="A106" s="35"/>
      <c r="B106" s="45" t="s">
        <v>338</v>
      </c>
      <c r="C106" s="35"/>
      <c r="D106" s="35"/>
      <c r="E106" s="35"/>
      <c r="F106" s="35"/>
    </row>
    <row r="107" customFormat="false" ht="16.5" hidden="false" customHeight="true" outlineLevel="0" collapsed="false">
      <c r="A107" s="37" t="n">
        <v>9</v>
      </c>
      <c r="B107" s="38" t="n">
        <v>21</v>
      </c>
      <c r="C107" s="38" t="n">
        <f aca="false">ABS(B107-A107)</f>
        <v>12</v>
      </c>
      <c r="D107" s="38" t="n">
        <f aca="false">(B107-A107)^2</f>
        <v>144</v>
      </c>
      <c r="E107" s="38" t="n">
        <f aca="false">B107-$B$112</f>
        <v>10.6</v>
      </c>
      <c r="F107" s="38" t="n">
        <f aca="false">E107^2</f>
        <v>112.36</v>
      </c>
      <c r="H107" s="39" t="s">
        <v>309</v>
      </c>
      <c r="I107" s="40" t="n">
        <f aca="false">AVERAGE(C107:C111)</f>
        <v>27</v>
      </c>
    </row>
    <row r="108" customFormat="false" ht="16.5" hidden="false" customHeight="true" outlineLevel="0" collapsed="false">
      <c r="A108" s="37" t="n">
        <v>19</v>
      </c>
      <c r="B108" s="38" t="n">
        <v>10</v>
      </c>
      <c r="C108" s="38" t="n">
        <f aca="false">ABS(B108-A108)</f>
        <v>9</v>
      </c>
      <c r="D108" s="38" t="n">
        <f aca="false">(B108-A108)^2</f>
        <v>81</v>
      </c>
      <c r="E108" s="38" t="n">
        <f aca="false">B108-$B$112</f>
        <v>-0.4</v>
      </c>
      <c r="F108" s="38" t="n">
        <f aca="false">E108^2</f>
        <v>0.16</v>
      </c>
      <c r="H108" s="39" t="s">
        <v>310</v>
      </c>
      <c r="I108" s="40" t="n">
        <f aca="false">AVERAGE(D107:D111)</f>
        <v>1103.8</v>
      </c>
    </row>
    <row r="109" customFormat="false" ht="16.5" hidden="false" customHeight="true" outlineLevel="0" collapsed="false">
      <c r="A109" s="37" t="n">
        <v>37</v>
      </c>
      <c r="B109" s="38" t="n">
        <v>4</v>
      </c>
      <c r="C109" s="38" t="n">
        <f aca="false">ABS(B109-A109)</f>
        <v>33</v>
      </c>
      <c r="D109" s="38" t="n">
        <f aca="false">(B109-A109)^2</f>
        <v>1089</v>
      </c>
      <c r="E109" s="38" t="n">
        <f aca="false">B109-$B$112</f>
        <v>-6.4</v>
      </c>
      <c r="F109" s="38" t="n">
        <f aca="false">E109^2</f>
        <v>40.96</v>
      </c>
      <c r="H109" s="39" t="s">
        <v>311</v>
      </c>
      <c r="I109" s="39" t="n">
        <f aca="false">SQRT(AVERAGE(D107:D111))</f>
        <v>33.2234856690264</v>
      </c>
    </row>
    <row r="110" customFormat="false" ht="16.5" hidden="false" customHeight="true" outlineLevel="0" collapsed="false">
      <c r="A110" s="37" t="n">
        <v>64</v>
      </c>
      <c r="B110" s="38" t="n">
        <v>2</v>
      </c>
      <c r="C110" s="38" t="n">
        <f aca="false">ABS(B110-A110)</f>
        <v>62</v>
      </c>
      <c r="D110" s="38" t="n">
        <f aca="false">(B110-A110)^2</f>
        <v>3844</v>
      </c>
      <c r="E110" s="38" t="n">
        <f aca="false">B110-$B$112</f>
        <v>-8.4</v>
      </c>
      <c r="F110" s="38" t="n">
        <f aca="false">E110^2</f>
        <v>70.56</v>
      </c>
      <c r="H110" s="39" t="s">
        <v>312</v>
      </c>
      <c r="I110" s="40" t="n">
        <f aca="false">1-(SUM(D107:D111)/SUM(F107:F111))</f>
        <v>-21.5081566068516</v>
      </c>
    </row>
    <row r="111" customFormat="false" ht="16.5" hidden="false" customHeight="true" outlineLevel="0" collapsed="false">
      <c r="A111" s="37" t="n">
        <v>34</v>
      </c>
      <c r="B111" s="38" t="n">
        <v>15</v>
      </c>
      <c r="C111" s="38" t="n">
        <f aca="false">ABS(B111-A111)</f>
        <v>19</v>
      </c>
      <c r="D111" s="38" t="n">
        <f aca="false">(B111-A111)^2</f>
        <v>361</v>
      </c>
      <c r="E111" s="38" t="n">
        <f aca="false">B111-$B$112</f>
        <v>4.6</v>
      </c>
      <c r="F111" s="38" t="n">
        <f aca="false">E111^2</f>
        <v>21.16</v>
      </c>
    </row>
    <row r="112" customFormat="false" ht="32.25" hidden="false" customHeight="true" outlineLevel="0" collapsed="false">
      <c r="A112" s="41" t="s">
        <v>313</v>
      </c>
      <c r="B112" s="38" t="n">
        <f aca="false">AVERAGE(B107:B111)</f>
        <v>10.4</v>
      </c>
      <c r="C112" s="38" t="n">
        <f aca="false">AVERAGE(C107:C111)</f>
        <v>27</v>
      </c>
      <c r="D112" s="38" t="n">
        <f aca="false">AVERAGE(D107:D111)</f>
        <v>1103.8</v>
      </c>
      <c r="E112" s="38"/>
      <c r="F112" s="38"/>
    </row>
    <row r="115" customFormat="false" ht="15" hidden="false" customHeight="false" outlineLevel="0" collapsed="false">
      <c r="A115" s="34" t="s">
        <v>339</v>
      </c>
    </row>
    <row r="116" customFormat="false" ht="15.75" hidden="false" customHeight="true" outlineLevel="0" collapsed="false"/>
    <row r="117" customFormat="false" ht="15" hidden="false" customHeight="true" outlineLevel="0" collapsed="false">
      <c r="A117" s="35" t="s">
        <v>340</v>
      </c>
      <c r="B117" s="44" t="s">
        <v>334</v>
      </c>
      <c r="C117" s="35" t="s">
        <v>305</v>
      </c>
      <c r="D117" s="35" t="s">
        <v>306</v>
      </c>
      <c r="E117" s="35" t="s">
        <v>307</v>
      </c>
      <c r="F117" s="35" t="s">
        <v>308</v>
      </c>
    </row>
    <row r="118" customFormat="false" ht="15.75" hidden="false" customHeight="true" outlineLevel="0" collapsed="false">
      <c r="A118" s="35"/>
      <c r="B118" s="46" t="s">
        <v>341</v>
      </c>
      <c r="C118" s="35"/>
      <c r="D118" s="35"/>
      <c r="E118" s="35"/>
      <c r="F118" s="35"/>
    </row>
    <row r="119" customFormat="false" ht="16.5" hidden="false" customHeight="true" outlineLevel="0" collapsed="false">
      <c r="A119" s="35"/>
      <c r="B119" s="45" t="s">
        <v>342</v>
      </c>
      <c r="C119" s="35"/>
      <c r="D119" s="35"/>
      <c r="E119" s="35"/>
      <c r="F119" s="35"/>
    </row>
    <row r="120" customFormat="false" ht="16.5" hidden="false" customHeight="true" outlineLevel="0" collapsed="false">
      <c r="A120" s="37" t="n">
        <v>19</v>
      </c>
      <c r="B120" s="38" t="n">
        <v>61</v>
      </c>
      <c r="C120" s="38" t="n">
        <f aca="false">ABS(B120-A120)</f>
        <v>42</v>
      </c>
      <c r="D120" s="38" t="n">
        <f aca="false">(B120-A120)^2</f>
        <v>1764</v>
      </c>
      <c r="E120" s="38" t="n">
        <f aca="false">B120-$B$128</f>
        <v>36.375</v>
      </c>
      <c r="F120" s="38" t="n">
        <f aca="false">E120^2</f>
        <v>1323.140625</v>
      </c>
      <c r="H120" s="39" t="s">
        <v>309</v>
      </c>
      <c r="I120" s="40" t="n">
        <f aca="false">AVERAGE(C120:C127)</f>
        <v>18</v>
      </c>
    </row>
    <row r="121" customFormat="false" ht="16.5" hidden="false" customHeight="true" outlineLevel="0" collapsed="false">
      <c r="A121" s="37" t="n">
        <v>16</v>
      </c>
      <c r="B121" s="38" t="n">
        <v>34</v>
      </c>
      <c r="C121" s="38" t="n">
        <f aca="false">ABS(B121-A121)</f>
        <v>18</v>
      </c>
      <c r="D121" s="38" t="n">
        <f aca="false">(B121-A121)^2</f>
        <v>324</v>
      </c>
      <c r="E121" s="38" t="n">
        <f aca="false">B121-$B$128</f>
        <v>9.375</v>
      </c>
      <c r="F121" s="38" t="n">
        <f aca="false">E121^2</f>
        <v>87.890625</v>
      </c>
      <c r="H121" s="39" t="s">
        <v>310</v>
      </c>
      <c r="I121" s="40" t="n">
        <f aca="false">AVERAGE(D120:D127)</f>
        <v>465</v>
      </c>
    </row>
    <row r="122" customFormat="false" ht="16.5" hidden="false" customHeight="true" outlineLevel="0" collapsed="false">
      <c r="A122" s="37" t="n">
        <v>3</v>
      </c>
      <c r="B122" s="38" t="n">
        <v>8</v>
      </c>
      <c r="C122" s="38" t="n">
        <f aca="false">ABS(B122-A122)</f>
        <v>5</v>
      </c>
      <c r="D122" s="38" t="n">
        <f aca="false">(B122-A122)^2</f>
        <v>25</v>
      </c>
      <c r="E122" s="38" t="n">
        <f aca="false">B122-$B$128</f>
        <v>-16.625</v>
      </c>
      <c r="F122" s="38" t="n">
        <f aca="false">E122^2</f>
        <v>276.390625</v>
      </c>
      <c r="H122" s="39" t="s">
        <v>311</v>
      </c>
      <c r="I122" s="39" t="n">
        <f aca="false">SQRT(AVERAGE(D120:D127))</f>
        <v>21.5638586528478</v>
      </c>
    </row>
    <row r="123" customFormat="false" ht="16.5" hidden="false" customHeight="true" outlineLevel="0" collapsed="false">
      <c r="A123" s="37" t="n">
        <v>39</v>
      </c>
      <c r="B123" s="38" t="n">
        <v>25</v>
      </c>
      <c r="C123" s="38" t="n">
        <f aca="false">ABS(B123-A123)</f>
        <v>14</v>
      </c>
      <c r="D123" s="38" t="n">
        <f aca="false">(B123-A123)^2</f>
        <v>196</v>
      </c>
      <c r="E123" s="38" t="n">
        <f aca="false">B123-$B$128</f>
        <v>0.375</v>
      </c>
      <c r="F123" s="38" t="n">
        <f aca="false">E123^2</f>
        <v>0.140625</v>
      </c>
      <c r="H123" s="39" t="s">
        <v>312</v>
      </c>
      <c r="I123" s="40" t="n">
        <f aca="false">1-(SUM(D120:D127)/SUM(F120:F127))</f>
        <v>-0.812975936643314</v>
      </c>
    </row>
    <row r="124" customFormat="false" ht="16.5" hidden="false" customHeight="true" outlineLevel="0" collapsed="false">
      <c r="A124" s="37" t="n">
        <v>48</v>
      </c>
      <c r="B124" s="38" t="n">
        <v>16</v>
      </c>
      <c r="C124" s="38" t="n">
        <f aca="false">ABS(B124-A124)</f>
        <v>32</v>
      </c>
      <c r="D124" s="38" t="n">
        <f aca="false">(B124-A124)^2</f>
        <v>1024</v>
      </c>
      <c r="E124" s="38" t="n">
        <f aca="false">B124-$B$128</f>
        <v>-8.625</v>
      </c>
      <c r="F124" s="38" t="n">
        <f aca="false">E124^2</f>
        <v>74.390625</v>
      </c>
    </row>
    <row r="125" customFormat="false" ht="16.5" hidden="false" customHeight="true" outlineLevel="0" collapsed="false">
      <c r="A125" s="37" t="n">
        <v>6</v>
      </c>
      <c r="B125" s="38" t="n">
        <v>21</v>
      </c>
      <c r="C125" s="38" t="n">
        <f aca="false">ABS(B125-A125)</f>
        <v>15</v>
      </c>
      <c r="D125" s="38" t="n">
        <f aca="false">(B125-A125)^2</f>
        <v>225</v>
      </c>
      <c r="E125" s="38" t="n">
        <f aca="false">B125-$B$128</f>
        <v>-3.625</v>
      </c>
      <c r="F125" s="38" t="n">
        <f aca="false">E125^2</f>
        <v>13.140625</v>
      </c>
    </row>
    <row r="126" customFormat="false" ht="16.5" hidden="false" customHeight="true" outlineLevel="0" collapsed="false">
      <c r="A126" s="37" t="n">
        <v>17</v>
      </c>
      <c r="B126" s="38" t="n">
        <v>8</v>
      </c>
      <c r="C126" s="38" t="n">
        <f aca="false">ABS(B126-A126)</f>
        <v>9</v>
      </c>
      <c r="D126" s="38" t="n">
        <f aca="false">(B126-A126)^2</f>
        <v>81</v>
      </c>
      <c r="E126" s="38" t="n">
        <f aca="false">B126-$B$128</f>
        <v>-16.625</v>
      </c>
      <c r="F126" s="38" t="n">
        <f aca="false">E126^2</f>
        <v>276.390625</v>
      </c>
    </row>
    <row r="127" customFormat="false" ht="16.5" hidden="false" customHeight="true" outlineLevel="0" collapsed="false">
      <c r="A127" s="37" t="n">
        <v>15</v>
      </c>
      <c r="B127" s="38" t="n">
        <v>24</v>
      </c>
      <c r="C127" s="38" t="n">
        <f aca="false">ABS(B127-A127)</f>
        <v>9</v>
      </c>
      <c r="D127" s="38" t="n">
        <f aca="false">(B127-A127)^2</f>
        <v>81</v>
      </c>
      <c r="E127" s="38" t="n">
        <f aca="false">B127-$B$128</f>
        <v>-0.625</v>
      </c>
      <c r="F127" s="38" t="n">
        <f aca="false">E127^2</f>
        <v>0.390625</v>
      </c>
    </row>
    <row r="128" customFormat="false" ht="32.25" hidden="false" customHeight="true" outlineLevel="0" collapsed="false">
      <c r="A128" s="41" t="s">
        <v>313</v>
      </c>
      <c r="B128" s="38" t="n">
        <f aca="false">AVERAGE(B120:B127)</f>
        <v>24.625</v>
      </c>
      <c r="C128" s="38" t="n">
        <f aca="false">AVERAGE(C120:C127)</f>
        <v>18</v>
      </c>
      <c r="D128" s="38" t="n">
        <f aca="false">AVERAGE(D120:D127)</f>
        <v>465</v>
      </c>
      <c r="E128" s="38"/>
      <c r="F128" s="38"/>
    </row>
    <row r="131" customFormat="false" ht="15" hidden="false" customHeight="false" outlineLevel="0" collapsed="false">
      <c r="A131" s="34" t="s">
        <v>343</v>
      </c>
    </row>
    <row r="132" customFormat="false" ht="15.75" hidden="false" customHeight="true" outlineLevel="0" collapsed="false"/>
    <row r="133" customFormat="false" ht="15.75" hidden="false" customHeight="true" outlineLevel="0" collapsed="false">
      <c r="A133" s="35" t="s">
        <v>344</v>
      </c>
      <c r="B133" s="44" t="s">
        <v>334</v>
      </c>
      <c r="C133" s="35" t="s">
        <v>305</v>
      </c>
      <c r="D133" s="35" t="s">
        <v>306</v>
      </c>
      <c r="E133" s="35" t="s">
        <v>307</v>
      </c>
      <c r="F133" s="35" t="s">
        <v>308</v>
      </c>
    </row>
    <row r="134" customFormat="false" ht="32.25" hidden="false" customHeight="true" outlineLevel="0" collapsed="false">
      <c r="A134" s="35"/>
      <c r="B134" s="45" t="s">
        <v>345</v>
      </c>
      <c r="C134" s="35"/>
      <c r="D134" s="35"/>
      <c r="E134" s="35"/>
      <c r="F134" s="35"/>
    </row>
    <row r="135" customFormat="false" ht="16.5" hidden="false" customHeight="true" outlineLevel="0" collapsed="false">
      <c r="A135" s="37" t="n">
        <v>20</v>
      </c>
      <c r="B135" s="38" t="n">
        <v>3</v>
      </c>
      <c r="C135" s="38" t="n">
        <f aca="false">ABS(B135-A135)</f>
        <v>17</v>
      </c>
      <c r="D135" s="38" t="n">
        <f aca="false">(B135-A135)^2</f>
        <v>289</v>
      </c>
      <c r="E135" s="38" t="n">
        <f aca="false">B135-$B$144</f>
        <v>-0.444444444444445</v>
      </c>
      <c r="F135" s="38" t="n">
        <f aca="false">E135^2</f>
        <v>0.197530864197531</v>
      </c>
      <c r="H135" s="39" t="s">
        <v>309</v>
      </c>
      <c r="I135" s="40" t="n">
        <f aca="false">AVERAGE(C135:C143)</f>
        <v>14.6666666666667</v>
      </c>
    </row>
    <row r="136" customFormat="false" ht="16.5" hidden="false" customHeight="true" outlineLevel="0" collapsed="false">
      <c r="A136" s="37" t="n">
        <v>18</v>
      </c>
      <c r="B136" s="38" t="n">
        <v>5</v>
      </c>
      <c r="C136" s="38" t="n">
        <f aca="false">ABS(B136-A136)</f>
        <v>13</v>
      </c>
      <c r="D136" s="38" t="n">
        <f aca="false">(B136-A136)^2</f>
        <v>169</v>
      </c>
      <c r="E136" s="38" t="n">
        <f aca="false">B136-$B$144</f>
        <v>1.55555555555556</v>
      </c>
      <c r="F136" s="38" t="n">
        <f aca="false">E136^2</f>
        <v>2.41975308641975</v>
      </c>
      <c r="H136" s="39" t="s">
        <v>310</v>
      </c>
      <c r="I136" s="40" t="n">
        <f aca="false">AVERAGE(D135:D143)</f>
        <v>401.111111111111</v>
      </c>
    </row>
    <row r="137" customFormat="false" ht="16.5" hidden="false" customHeight="true" outlineLevel="0" collapsed="false">
      <c r="A137" s="37" t="n">
        <v>4</v>
      </c>
      <c r="B137" s="38" t="n">
        <v>4</v>
      </c>
      <c r="C137" s="38" t="n">
        <f aca="false">ABS(B137-A137)</f>
        <v>0</v>
      </c>
      <c r="D137" s="38" t="n">
        <f aca="false">(B137-A137)^2</f>
        <v>0</v>
      </c>
      <c r="E137" s="38" t="n">
        <f aca="false">B137-$B$144</f>
        <v>0.555555555555555</v>
      </c>
      <c r="F137" s="38" t="n">
        <f aca="false">E137^2</f>
        <v>0.308641975308642</v>
      </c>
      <c r="H137" s="39" t="s">
        <v>311</v>
      </c>
      <c r="I137" s="39" t="n">
        <f aca="false">SQRT(AVERAGE(D135:D143))</f>
        <v>20.0277585143997</v>
      </c>
    </row>
    <row r="138" customFormat="false" ht="16.5" hidden="false" customHeight="true" outlineLevel="0" collapsed="false">
      <c r="A138" s="37" t="n">
        <v>43</v>
      </c>
      <c r="B138" s="38" t="n">
        <v>2</v>
      </c>
      <c r="C138" s="38" t="n">
        <f aca="false">ABS(B138-A138)</f>
        <v>41</v>
      </c>
      <c r="D138" s="38" t="n">
        <f aca="false">(B138-A138)^2</f>
        <v>1681</v>
      </c>
      <c r="E138" s="38" t="n">
        <f aca="false">B138-$B$144</f>
        <v>-1.44444444444444</v>
      </c>
      <c r="F138" s="38" t="n">
        <f aca="false">E138^2</f>
        <v>2.08641975308642</v>
      </c>
      <c r="H138" s="39" t="s">
        <v>312</v>
      </c>
      <c r="I138" s="40" t="n">
        <f aca="false">1-(SUM(D135:D143)/SUM(F135:F143))</f>
        <v>-252.828125</v>
      </c>
    </row>
    <row r="139" customFormat="false" ht="16.5" hidden="false" customHeight="true" outlineLevel="0" collapsed="false">
      <c r="A139" s="37" t="n">
        <v>41</v>
      </c>
      <c r="B139" s="38" t="n">
        <v>5</v>
      </c>
      <c r="C139" s="38" t="n">
        <f aca="false">ABS(B139-A139)</f>
        <v>36</v>
      </c>
      <c r="D139" s="38" t="n">
        <f aca="false">(B139-A139)^2</f>
        <v>1296</v>
      </c>
      <c r="E139" s="38" t="n">
        <f aca="false">B139-$B$144</f>
        <v>1.55555555555556</v>
      </c>
      <c r="F139" s="38" t="n">
        <f aca="false">E139^2</f>
        <v>2.41975308641975</v>
      </c>
    </row>
    <row r="140" customFormat="false" ht="16.5" hidden="false" customHeight="true" outlineLevel="0" collapsed="false">
      <c r="A140" s="37" t="n">
        <v>10</v>
      </c>
      <c r="B140" s="38" t="n">
        <v>4</v>
      </c>
      <c r="C140" s="38" t="n">
        <f aca="false">ABS(B140-A140)</f>
        <v>6</v>
      </c>
      <c r="D140" s="38" t="n">
        <f aca="false">(B140-A140)^2</f>
        <v>36</v>
      </c>
      <c r="E140" s="38" t="n">
        <f aca="false">B140-$B$144</f>
        <v>0.555555555555555</v>
      </c>
      <c r="F140" s="38" t="n">
        <f aca="false">E140^2</f>
        <v>0.308641975308642</v>
      </c>
    </row>
    <row r="141" customFormat="false" ht="16.5" hidden="false" customHeight="true" outlineLevel="0" collapsed="false">
      <c r="A141" s="37" t="n">
        <v>10</v>
      </c>
      <c r="B141" s="38" t="n">
        <v>3</v>
      </c>
      <c r="C141" s="38" t="n">
        <f aca="false">ABS(B141-A141)</f>
        <v>7</v>
      </c>
      <c r="D141" s="38" t="n">
        <f aca="false">(B141-A141)^2</f>
        <v>49</v>
      </c>
      <c r="E141" s="38" t="n">
        <f aca="false">B141-$B$144</f>
        <v>-0.444444444444445</v>
      </c>
      <c r="F141" s="38" t="n">
        <f aca="false">E141^2</f>
        <v>0.197530864197531</v>
      </c>
    </row>
    <row r="142" customFormat="false" ht="16.5" hidden="false" customHeight="true" outlineLevel="0" collapsed="false">
      <c r="A142" s="37" t="n">
        <v>13</v>
      </c>
      <c r="B142" s="38" t="n">
        <v>4</v>
      </c>
      <c r="C142" s="38" t="n">
        <f aca="false">ABS(B142-A142)</f>
        <v>9</v>
      </c>
      <c r="D142" s="38" t="n">
        <f aca="false">(B142-A142)^2</f>
        <v>81</v>
      </c>
      <c r="E142" s="38" t="n">
        <f aca="false">B142-$B$144</f>
        <v>0.555555555555555</v>
      </c>
      <c r="F142" s="38" t="n">
        <f aca="false">E142^2</f>
        <v>0.308641975308642</v>
      </c>
    </row>
    <row r="143" customFormat="false" ht="16.5" hidden="false" customHeight="true" outlineLevel="0" collapsed="false">
      <c r="A143" s="37" t="n">
        <v>4</v>
      </c>
      <c r="B143" s="38" t="n">
        <v>1</v>
      </c>
      <c r="C143" s="38" t="n">
        <f aca="false">ABS(B143-A143)</f>
        <v>3</v>
      </c>
      <c r="D143" s="38" t="n">
        <f aca="false">(B143-A143)^2</f>
        <v>9</v>
      </c>
      <c r="E143" s="38" t="n">
        <f aca="false">B143-$B$144</f>
        <v>-2.44444444444444</v>
      </c>
      <c r="F143" s="38" t="n">
        <f aca="false">E143^2</f>
        <v>5.97530864197531</v>
      </c>
    </row>
    <row r="144" customFormat="false" ht="32.25" hidden="false" customHeight="true" outlineLevel="0" collapsed="false">
      <c r="A144" s="41" t="s">
        <v>313</v>
      </c>
      <c r="B144" s="38" t="n">
        <f aca="false">AVERAGE(B135:B143)</f>
        <v>3.44444444444444</v>
      </c>
      <c r="C144" s="38" t="n">
        <f aca="false">AVERAGE(C135:C143)</f>
        <v>14.6666666666667</v>
      </c>
      <c r="D144" s="38" t="n">
        <f aca="false">AVERAGE(D135:D143)</f>
        <v>401.111111111111</v>
      </c>
      <c r="E144" s="38"/>
      <c r="F144" s="42"/>
    </row>
    <row r="147" customFormat="false" ht="15" hidden="false" customHeight="false" outlineLevel="0" collapsed="false">
      <c r="A147" s="34" t="s">
        <v>346</v>
      </c>
    </row>
    <row r="148" customFormat="false" ht="15.75" hidden="false" customHeight="true" outlineLevel="0" collapsed="false"/>
    <row r="149" customFormat="false" ht="48" hidden="false" customHeight="true" outlineLevel="0" collapsed="false">
      <c r="A149" s="35" t="s">
        <v>347</v>
      </c>
      <c r="B149" s="36" t="s">
        <v>331</v>
      </c>
      <c r="C149" s="36" t="s">
        <v>305</v>
      </c>
      <c r="D149" s="36" t="s">
        <v>306</v>
      </c>
      <c r="E149" s="36" t="s">
        <v>307</v>
      </c>
      <c r="F149" s="36" t="s">
        <v>308</v>
      </c>
    </row>
    <row r="150" customFormat="false" ht="16.5" hidden="false" customHeight="true" outlineLevel="0" collapsed="false">
      <c r="A150" s="37" t="n">
        <v>27</v>
      </c>
      <c r="B150" s="38" t="n">
        <v>1</v>
      </c>
      <c r="C150" s="38" t="n">
        <f aca="false">ABS(B150-A150)</f>
        <v>26</v>
      </c>
      <c r="D150" s="38" t="n">
        <f aca="false">(B150-A150)^2</f>
        <v>676</v>
      </c>
      <c r="E150" s="38" t="n">
        <f aca="false">B150-$B$156</f>
        <v>0.333333333333333</v>
      </c>
      <c r="F150" s="38" t="n">
        <f aca="false">E150^2</f>
        <v>0.111111111111111</v>
      </c>
      <c r="H150" s="39" t="s">
        <v>309</v>
      </c>
      <c r="I150" s="40" t="n">
        <f aca="false">AVERAGE(C150:C155)</f>
        <v>26.5</v>
      </c>
    </row>
    <row r="151" customFormat="false" ht="16.5" hidden="false" customHeight="true" outlineLevel="0" collapsed="false">
      <c r="A151" s="37" t="n">
        <v>40</v>
      </c>
      <c r="B151" s="38" t="n">
        <v>1</v>
      </c>
      <c r="C151" s="38" t="n">
        <f aca="false">ABS(B151-A151)</f>
        <v>39</v>
      </c>
      <c r="D151" s="38" t="n">
        <f aca="false">(B151-A151)^2</f>
        <v>1521</v>
      </c>
      <c r="E151" s="38" t="n">
        <f aca="false">B151-$B$156</f>
        <v>0.333333333333333</v>
      </c>
      <c r="F151" s="38" t="n">
        <f aca="false">E151^2</f>
        <v>0.111111111111111</v>
      </c>
      <c r="H151" s="39" t="s">
        <v>310</v>
      </c>
      <c r="I151" s="40" t="n">
        <f aca="false">AVERAGE(D150:D155)</f>
        <v>888.5</v>
      </c>
    </row>
    <row r="152" customFormat="false" ht="16.5" hidden="false" customHeight="true" outlineLevel="0" collapsed="false">
      <c r="A152" s="37" t="n">
        <v>8</v>
      </c>
      <c r="B152" s="38" t="n">
        <v>0</v>
      </c>
      <c r="C152" s="38" t="n">
        <f aca="false">ABS(B152-A152)</f>
        <v>8</v>
      </c>
      <c r="D152" s="38" t="n">
        <f aca="false">(B152-A152)^2</f>
        <v>64</v>
      </c>
      <c r="E152" s="38" t="n">
        <f aca="false">B152-$B$156</f>
        <v>-0.666666666666667</v>
      </c>
      <c r="F152" s="38" t="n">
        <f aca="false">E152^2</f>
        <v>0.444444444444444</v>
      </c>
      <c r="H152" s="39" t="s">
        <v>311</v>
      </c>
      <c r="I152" s="39" t="n">
        <f aca="false">SQRT(AVERAGE(D150:D155))</f>
        <v>29.8077171215778</v>
      </c>
    </row>
    <row r="153" customFormat="false" ht="16.5" hidden="false" customHeight="true" outlineLevel="0" collapsed="false">
      <c r="A153" s="37" t="n">
        <v>35</v>
      </c>
      <c r="B153" s="38" t="n">
        <v>0</v>
      </c>
      <c r="C153" s="38" t="n">
        <f aca="false">ABS(B153-A153)</f>
        <v>35</v>
      </c>
      <c r="D153" s="38" t="n">
        <f aca="false">(B153-A153)^2</f>
        <v>1225</v>
      </c>
      <c r="E153" s="38" t="n">
        <f aca="false">B153-$B$156</f>
        <v>-0.666666666666667</v>
      </c>
      <c r="F153" s="38" t="n">
        <f aca="false">E153^2</f>
        <v>0.444444444444444</v>
      </c>
      <c r="H153" s="39" t="s">
        <v>312</v>
      </c>
      <c r="I153" s="40" t="n">
        <f aca="false">1-(SUM(D150:D155)/SUM(F150:F155))</f>
        <v>-3997.25</v>
      </c>
    </row>
    <row r="154" customFormat="false" ht="16.5" hidden="false" customHeight="true" outlineLevel="0" collapsed="false">
      <c r="A154" s="37" t="n">
        <v>43</v>
      </c>
      <c r="B154" s="38" t="n">
        <v>1</v>
      </c>
      <c r="C154" s="38" t="n">
        <f aca="false">ABS(B154-A154)</f>
        <v>42</v>
      </c>
      <c r="D154" s="38" t="n">
        <f aca="false">(B154-A154)^2</f>
        <v>1764</v>
      </c>
      <c r="E154" s="38" t="n">
        <f aca="false">B154-$B$156</f>
        <v>0.333333333333333</v>
      </c>
      <c r="F154" s="38" t="n">
        <f aca="false">E154^2</f>
        <v>0.111111111111111</v>
      </c>
    </row>
    <row r="155" customFormat="false" ht="16.5" hidden="false" customHeight="true" outlineLevel="0" collapsed="false">
      <c r="A155" s="37" t="n">
        <v>10</v>
      </c>
      <c r="B155" s="38" t="n">
        <v>1</v>
      </c>
      <c r="C155" s="38" t="n">
        <f aca="false">ABS(B155-A155)</f>
        <v>9</v>
      </c>
      <c r="D155" s="38" t="n">
        <f aca="false">(B155-A155)^2</f>
        <v>81</v>
      </c>
      <c r="E155" s="38" t="n">
        <f aca="false">B155-$B$156</f>
        <v>0.333333333333333</v>
      </c>
      <c r="F155" s="38" t="n">
        <f aca="false">E155^2</f>
        <v>0.111111111111111</v>
      </c>
    </row>
    <row r="156" customFormat="false" ht="32.25" hidden="false" customHeight="true" outlineLevel="0" collapsed="false">
      <c r="A156" s="41" t="s">
        <v>313</v>
      </c>
      <c r="B156" s="38" t="n">
        <f aca="false">AVERAGE(B150:B155)</f>
        <v>0.666666666666667</v>
      </c>
      <c r="C156" s="38" t="n">
        <f aca="false">AVERAGE(C150:C155)</f>
        <v>26.5</v>
      </c>
      <c r="D156" s="42" t="n">
        <f aca="false">AVERAGE(D150:D155)</f>
        <v>888.5</v>
      </c>
      <c r="E156" s="38"/>
      <c r="F156" s="42"/>
    </row>
    <row r="159" customFormat="false" ht="15" hidden="false" customHeight="false" outlineLevel="0" collapsed="false">
      <c r="A159" s="34" t="s">
        <v>348</v>
      </c>
    </row>
    <row r="160" customFormat="false" ht="15.75" hidden="false" customHeight="true" outlineLevel="0" collapsed="false"/>
    <row r="161" customFormat="false" ht="48" hidden="false" customHeight="true" outlineLevel="0" collapsed="false">
      <c r="A161" s="35" t="s">
        <v>349</v>
      </c>
      <c r="B161" s="36" t="s">
        <v>325</v>
      </c>
      <c r="C161" s="36" t="s">
        <v>305</v>
      </c>
      <c r="D161" s="36" t="s">
        <v>306</v>
      </c>
      <c r="E161" s="36" t="s">
        <v>307</v>
      </c>
      <c r="F161" s="36" t="s">
        <v>308</v>
      </c>
    </row>
    <row r="162" customFormat="false" ht="16.5" hidden="false" customHeight="true" outlineLevel="0" collapsed="false">
      <c r="A162" s="37" t="n">
        <v>6</v>
      </c>
      <c r="B162" s="38" t="n">
        <v>18</v>
      </c>
      <c r="C162" s="38" t="n">
        <f aca="false">ABS(B162-A162)</f>
        <v>12</v>
      </c>
      <c r="D162" s="38" t="n">
        <f aca="false">(B162-A162)^2</f>
        <v>144</v>
      </c>
      <c r="E162" s="38" t="n">
        <f aca="false">B162-$B$167</f>
        <v>-0.199999999999999</v>
      </c>
      <c r="F162" s="38" t="n">
        <f aca="false">E162^2</f>
        <v>0.0399999999999997</v>
      </c>
      <c r="H162" s="39" t="s">
        <v>309</v>
      </c>
      <c r="I162" s="40" t="n">
        <f aca="false">AVERAGE(C162:C166)</f>
        <v>25.2</v>
      </c>
    </row>
    <row r="163" customFormat="false" ht="16.5" hidden="false" customHeight="true" outlineLevel="0" collapsed="false">
      <c r="A163" s="37" t="n">
        <v>18</v>
      </c>
      <c r="B163" s="38" t="n">
        <v>33</v>
      </c>
      <c r="C163" s="38" t="n">
        <f aca="false">ABS(B163-A163)</f>
        <v>15</v>
      </c>
      <c r="D163" s="38" t="n">
        <f aca="false">(B163-A163)^2</f>
        <v>225</v>
      </c>
      <c r="E163" s="38" t="n">
        <f aca="false">B163-$B$167</f>
        <v>14.8</v>
      </c>
      <c r="F163" s="38" t="n">
        <f aca="false">E163^2</f>
        <v>219.04</v>
      </c>
      <c r="H163" s="39" t="s">
        <v>310</v>
      </c>
      <c r="I163" s="40" t="n">
        <f aca="false">AVERAGE(D162:D166)</f>
        <v>838</v>
      </c>
    </row>
    <row r="164" customFormat="false" ht="16.5" hidden="false" customHeight="true" outlineLevel="0" collapsed="false">
      <c r="A164" s="37" t="n">
        <v>44</v>
      </c>
      <c r="B164" s="38" t="n">
        <v>4</v>
      </c>
      <c r="C164" s="38" t="n">
        <f aca="false">ABS(B164-A164)</f>
        <v>40</v>
      </c>
      <c r="D164" s="38" t="n">
        <f aca="false">(B164-A164)^2</f>
        <v>1600</v>
      </c>
      <c r="E164" s="38" t="n">
        <f aca="false">B164-$B$167</f>
        <v>-14.2</v>
      </c>
      <c r="F164" s="38" t="n">
        <f aca="false">E164^2</f>
        <v>201.64</v>
      </c>
      <c r="H164" s="39" t="s">
        <v>311</v>
      </c>
      <c r="I164" s="39" t="n">
        <f aca="false">SQRT(AVERAGE(D162:D166))</f>
        <v>28.9482296522603</v>
      </c>
    </row>
    <row r="165" customFormat="false" ht="16.5" hidden="false" customHeight="true" outlineLevel="0" collapsed="false">
      <c r="A165" s="37" t="n">
        <v>66</v>
      </c>
      <c r="B165" s="38" t="n">
        <v>21</v>
      </c>
      <c r="C165" s="38" t="n">
        <f aca="false">ABS(B165-A165)</f>
        <v>45</v>
      </c>
      <c r="D165" s="38" t="n">
        <f aca="false">(B165-A165)^2</f>
        <v>2025</v>
      </c>
      <c r="E165" s="38" t="n">
        <f aca="false">B165-$B$167</f>
        <v>2.8</v>
      </c>
      <c r="F165" s="38" t="n">
        <f aca="false">E165^2</f>
        <v>7.84</v>
      </c>
      <c r="H165" s="39" t="s">
        <v>312</v>
      </c>
      <c r="I165" s="40" t="n">
        <f aca="false">1-(SUM(D162:D166)/SUM(F162:F166))</f>
        <v>-8.54876937101185</v>
      </c>
    </row>
    <row r="166" customFormat="false" ht="16.5" hidden="false" customHeight="true" outlineLevel="0" collapsed="false">
      <c r="A166" s="37" t="n">
        <v>29</v>
      </c>
      <c r="B166" s="38" t="n">
        <v>15</v>
      </c>
      <c r="C166" s="38" t="n">
        <f aca="false">ABS(B166-A166)</f>
        <v>14</v>
      </c>
      <c r="D166" s="38" t="n">
        <f aca="false">(B166-A166)^2</f>
        <v>196</v>
      </c>
      <c r="E166" s="38" t="n">
        <f aca="false">B166-$B$167</f>
        <v>-3.2</v>
      </c>
      <c r="F166" s="38" t="n">
        <f aca="false">E166^2</f>
        <v>10.24</v>
      </c>
    </row>
    <row r="167" customFormat="false" ht="32.25" hidden="false" customHeight="true" outlineLevel="0" collapsed="false">
      <c r="A167" s="41" t="s">
        <v>313</v>
      </c>
      <c r="B167" s="38" t="n">
        <f aca="false">AVERAGE(B162:B166)</f>
        <v>18.2</v>
      </c>
      <c r="C167" s="38" t="n">
        <f aca="false">AVERAGE(C162:C166)</f>
        <v>25.2</v>
      </c>
      <c r="D167" s="42" t="n">
        <f aca="false">AVERAGE(D162:D166)</f>
        <v>838</v>
      </c>
      <c r="E167" s="38"/>
      <c r="F167" s="38"/>
    </row>
    <row r="170" customFormat="false" ht="15" hidden="false" customHeight="false" outlineLevel="0" collapsed="false">
      <c r="A170" s="34" t="s">
        <v>350</v>
      </c>
    </row>
    <row r="171" customFormat="false" ht="15.75" hidden="false" customHeight="true" outlineLevel="0" collapsed="false"/>
    <row r="172" customFormat="false" ht="48" hidden="false" customHeight="true" outlineLevel="0" collapsed="false">
      <c r="A172" s="35" t="s">
        <v>351</v>
      </c>
      <c r="B172" s="36" t="s">
        <v>352</v>
      </c>
      <c r="C172" s="36" t="s">
        <v>305</v>
      </c>
      <c r="D172" s="36" t="s">
        <v>306</v>
      </c>
      <c r="E172" s="36" t="s">
        <v>307</v>
      </c>
      <c r="F172" s="36" t="s">
        <v>308</v>
      </c>
    </row>
    <row r="173" customFormat="false" ht="16.5" hidden="false" customHeight="true" outlineLevel="0" collapsed="false">
      <c r="A173" s="37" t="n">
        <v>17</v>
      </c>
      <c r="B173" s="38" t="n">
        <v>35</v>
      </c>
      <c r="C173" s="38" t="n">
        <f aca="false">ABS(B173-A173)</f>
        <v>18</v>
      </c>
      <c r="D173" s="38" t="n">
        <f aca="false">(B173-A173)^2</f>
        <v>324</v>
      </c>
      <c r="E173" s="38" t="n">
        <f aca="false">B173-$B$182</f>
        <v>2</v>
      </c>
      <c r="F173" s="38" t="n">
        <f aca="false">E173^2</f>
        <v>4</v>
      </c>
      <c r="H173" s="39" t="s">
        <v>309</v>
      </c>
      <c r="I173" s="40" t="n">
        <f aca="false">AVERAGE(C173:C181)</f>
        <v>20.6666666666667</v>
      </c>
    </row>
    <row r="174" customFormat="false" ht="16.5" hidden="false" customHeight="true" outlineLevel="0" collapsed="false">
      <c r="A174" s="37" t="n">
        <v>22</v>
      </c>
      <c r="B174" s="38" t="n">
        <v>28</v>
      </c>
      <c r="C174" s="38" t="n">
        <f aca="false">ABS(B174-A174)</f>
        <v>6</v>
      </c>
      <c r="D174" s="38" t="n">
        <f aca="false">(B174-A174)^2</f>
        <v>36</v>
      </c>
      <c r="E174" s="38" t="n">
        <f aca="false">B174-$B$182</f>
        <v>-5</v>
      </c>
      <c r="F174" s="38" t="n">
        <f aca="false">E174^2</f>
        <v>25</v>
      </c>
      <c r="H174" s="39" t="s">
        <v>310</v>
      </c>
      <c r="I174" s="40" t="n">
        <f aca="false">AVERAGE(D173:D181)</f>
        <v>642.444444444445</v>
      </c>
    </row>
    <row r="175" customFormat="false" ht="16.5" hidden="false" customHeight="true" outlineLevel="0" collapsed="false">
      <c r="A175" s="37" t="n">
        <v>1</v>
      </c>
      <c r="B175" s="38" t="n">
        <v>7</v>
      </c>
      <c r="C175" s="38" t="n">
        <f aca="false">ABS(B175-A175)</f>
        <v>6</v>
      </c>
      <c r="D175" s="38" t="n">
        <f aca="false">(B175-A175)^2</f>
        <v>36</v>
      </c>
      <c r="E175" s="38" t="n">
        <f aca="false">B175-$B$182</f>
        <v>-26</v>
      </c>
      <c r="F175" s="38" t="n">
        <f aca="false">E175^2</f>
        <v>676</v>
      </c>
      <c r="H175" s="39" t="s">
        <v>311</v>
      </c>
      <c r="I175" s="39" t="n">
        <f aca="false">SQRT(AVERAGE(D173:D181))</f>
        <v>25.3464878128005</v>
      </c>
    </row>
    <row r="176" customFormat="false" ht="16.5" hidden="false" customHeight="true" outlineLevel="0" collapsed="false">
      <c r="A176" s="37" t="n">
        <v>36</v>
      </c>
      <c r="B176" s="38" t="n">
        <v>52</v>
      </c>
      <c r="C176" s="38" t="n">
        <f aca="false">ABS(B176-A176)</f>
        <v>16</v>
      </c>
      <c r="D176" s="38" t="n">
        <f aca="false">(B176-A176)^2</f>
        <v>256</v>
      </c>
      <c r="E176" s="38" t="n">
        <f aca="false">B176-$B$182</f>
        <v>19</v>
      </c>
      <c r="F176" s="38" t="n">
        <f aca="false">E176^2</f>
        <v>361</v>
      </c>
      <c r="H176" s="39" t="s">
        <v>312</v>
      </c>
      <c r="I176" s="40" t="n">
        <f aca="false">1-(SUM(D173:D181)/SUM(F173:F181))</f>
        <v>-0.700588235294118</v>
      </c>
    </row>
    <row r="177" customFormat="false" ht="16.5" hidden="false" customHeight="true" outlineLevel="0" collapsed="false">
      <c r="A177" s="37" t="n">
        <v>45</v>
      </c>
      <c r="B177" s="38" t="n">
        <v>19</v>
      </c>
      <c r="C177" s="38" t="n">
        <f aca="false">ABS(B177-A177)</f>
        <v>26</v>
      </c>
      <c r="D177" s="38" t="n">
        <f aca="false">(B177-A177)^2</f>
        <v>676</v>
      </c>
      <c r="E177" s="38" t="n">
        <f aca="false">B177-$B$182</f>
        <v>-14</v>
      </c>
      <c r="F177" s="38" t="n">
        <f aca="false">E177^2</f>
        <v>196</v>
      </c>
    </row>
    <row r="178" customFormat="false" ht="16.5" hidden="false" customHeight="true" outlineLevel="0" collapsed="false">
      <c r="A178" s="37" t="n">
        <v>8</v>
      </c>
      <c r="B178" s="38" t="n">
        <v>23</v>
      </c>
      <c r="C178" s="38" t="n">
        <f aca="false">ABS(B178-A178)</f>
        <v>15</v>
      </c>
      <c r="D178" s="38" t="n">
        <f aca="false">(B178-A178)^2</f>
        <v>225</v>
      </c>
      <c r="E178" s="38" t="n">
        <f aca="false">B178-$B$182</f>
        <v>-10</v>
      </c>
      <c r="F178" s="38" t="n">
        <f aca="false">E178^2</f>
        <v>100</v>
      </c>
    </row>
    <row r="179" customFormat="false" ht="16.5" hidden="false" customHeight="true" outlineLevel="0" collapsed="false">
      <c r="A179" s="37" t="n">
        <v>16</v>
      </c>
      <c r="B179" s="38" t="n">
        <v>40</v>
      </c>
      <c r="C179" s="38" t="n">
        <f aca="false">ABS(B179-A179)</f>
        <v>24</v>
      </c>
      <c r="D179" s="38" t="n">
        <f aca="false">(B179-A179)^2</f>
        <v>576</v>
      </c>
      <c r="E179" s="38" t="n">
        <f aca="false">B179-$B$182</f>
        <v>7</v>
      </c>
      <c r="F179" s="38" t="n">
        <f aca="false">E179^2</f>
        <v>49</v>
      </c>
    </row>
    <row r="180" customFormat="false" ht="16.5" hidden="false" customHeight="true" outlineLevel="0" collapsed="false">
      <c r="A180" s="37" t="n">
        <v>17</v>
      </c>
      <c r="B180" s="38" t="n">
        <v>75</v>
      </c>
      <c r="C180" s="38" t="n">
        <f aca="false">ABS(B180-A180)</f>
        <v>58</v>
      </c>
      <c r="D180" s="38" t="n">
        <f aca="false">(B180-A180)^2</f>
        <v>3364</v>
      </c>
      <c r="E180" s="38" t="n">
        <f aca="false">B180-$B$182</f>
        <v>42</v>
      </c>
      <c r="F180" s="38" t="n">
        <f aca="false">E180^2</f>
        <v>1764</v>
      </c>
    </row>
    <row r="181" customFormat="false" ht="16.5" hidden="false" customHeight="true" outlineLevel="0" collapsed="false">
      <c r="A181" s="37" t="n">
        <v>1</v>
      </c>
      <c r="B181" s="38" t="n">
        <v>18</v>
      </c>
      <c r="C181" s="38" t="n">
        <f aca="false">ABS(B181-A181)</f>
        <v>17</v>
      </c>
      <c r="D181" s="38" t="n">
        <f aca="false">(B181-A181)^2</f>
        <v>289</v>
      </c>
      <c r="E181" s="38" t="n">
        <f aca="false">B181-$B$182</f>
        <v>-15</v>
      </c>
      <c r="F181" s="38" t="n">
        <f aca="false">E181^2</f>
        <v>225</v>
      </c>
    </row>
    <row r="182" customFormat="false" ht="32.25" hidden="false" customHeight="true" outlineLevel="0" collapsed="false">
      <c r="A182" s="35" t="s">
        <v>313</v>
      </c>
      <c r="B182" s="47" t="n">
        <f aca="false">AVERAGE(B173:B181)</f>
        <v>33</v>
      </c>
      <c r="C182" s="47" t="n">
        <f aca="false">AVERAGE(C173:C181)</f>
        <v>20.6666666666667</v>
      </c>
      <c r="D182" s="48" t="n">
        <f aca="false">AVERAGE(D173:D181)</f>
        <v>642.444444444445</v>
      </c>
      <c r="E182" s="47"/>
      <c r="F182" s="48"/>
    </row>
    <row r="185" customFormat="false" ht="15" hidden="false" customHeight="false" outlineLevel="0" collapsed="false">
      <c r="A185" s="34" t="s">
        <v>353</v>
      </c>
    </row>
    <row r="186" customFormat="false" ht="15.75" hidden="false" customHeight="true" outlineLevel="0" collapsed="false"/>
    <row r="187" customFormat="false" ht="48" hidden="false" customHeight="true" outlineLevel="0" collapsed="false">
      <c r="A187" s="35" t="s">
        <v>354</v>
      </c>
      <c r="B187" s="36" t="s">
        <v>355</v>
      </c>
      <c r="C187" s="36" t="s">
        <v>305</v>
      </c>
      <c r="D187" s="36" t="s">
        <v>306</v>
      </c>
      <c r="E187" s="36" t="s">
        <v>307</v>
      </c>
      <c r="F187" s="36" t="s">
        <v>308</v>
      </c>
    </row>
    <row r="188" customFormat="false" ht="16.5" hidden="false" customHeight="true" outlineLevel="0" collapsed="false">
      <c r="A188" s="37" t="n">
        <v>20</v>
      </c>
      <c r="B188" s="38" t="n">
        <v>5</v>
      </c>
      <c r="C188" s="38" t="n">
        <f aca="false">ABS(B188-A188)</f>
        <v>15</v>
      </c>
      <c r="D188" s="38" t="n">
        <f aca="false">(B188-A188)^2</f>
        <v>225</v>
      </c>
      <c r="E188" s="38" t="n">
        <f aca="false">B188-$B$197</f>
        <v>1.66666666666667</v>
      </c>
      <c r="F188" s="42" t="n">
        <f aca="false">E188^2</f>
        <v>2.77777777777778</v>
      </c>
      <c r="H188" s="39" t="s">
        <v>309</v>
      </c>
      <c r="I188" s="40" t="n">
        <f aca="false">AVERAGE(C188:C196)</f>
        <v>14.7777777777778</v>
      </c>
    </row>
    <row r="189" customFormat="false" ht="16.5" hidden="false" customHeight="true" outlineLevel="0" collapsed="false">
      <c r="A189" s="37" t="n">
        <v>11</v>
      </c>
      <c r="B189" s="38" t="n">
        <v>2</v>
      </c>
      <c r="C189" s="38" t="n">
        <f aca="false">ABS(B189-A189)</f>
        <v>9</v>
      </c>
      <c r="D189" s="38" t="n">
        <f aca="false">(B189-A189)^2</f>
        <v>81</v>
      </c>
      <c r="E189" s="38" t="n">
        <f aca="false">B189-$B$197</f>
        <v>-1.33333333333333</v>
      </c>
      <c r="F189" s="42" t="n">
        <f aca="false">E189^2</f>
        <v>1.77777777777778</v>
      </c>
      <c r="H189" s="39" t="s">
        <v>310</v>
      </c>
      <c r="I189" s="40" t="n">
        <f aca="false">AVERAGE(D188:D196)</f>
        <v>355.666666666667</v>
      </c>
    </row>
    <row r="190" customFormat="false" ht="16.5" hidden="false" customHeight="true" outlineLevel="0" collapsed="false">
      <c r="A190" s="37" t="n">
        <v>4</v>
      </c>
      <c r="B190" s="38" t="n">
        <v>4</v>
      </c>
      <c r="C190" s="38" t="n">
        <f aca="false">ABS(B190-A190)</f>
        <v>0</v>
      </c>
      <c r="D190" s="38" t="n">
        <f aca="false">(B190-A190)^2</f>
        <v>0</v>
      </c>
      <c r="E190" s="38" t="n">
        <f aca="false">B190-$B$197</f>
        <v>0.666666666666667</v>
      </c>
      <c r="F190" s="42" t="n">
        <f aca="false">E190^2</f>
        <v>0.444444444444444</v>
      </c>
      <c r="H190" s="39" t="s">
        <v>311</v>
      </c>
      <c r="I190" s="39" t="n">
        <f aca="false">SQRT(AVERAGE(D188:D196))</f>
        <v>18.8591268797542</v>
      </c>
    </row>
    <row r="191" customFormat="false" ht="16.5" hidden="false" customHeight="true" outlineLevel="0" collapsed="false">
      <c r="A191" s="37" t="n">
        <v>37</v>
      </c>
      <c r="B191" s="38" t="n">
        <v>3</v>
      </c>
      <c r="C191" s="38" t="n">
        <f aca="false">ABS(B191-A191)</f>
        <v>34</v>
      </c>
      <c r="D191" s="38" t="n">
        <f aca="false">(B191-A191)^2</f>
        <v>1156</v>
      </c>
      <c r="E191" s="38" t="n">
        <f aca="false">B191-$B$197</f>
        <v>-0.333333333333334</v>
      </c>
      <c r="F191" s="42" t="n">
        <f aca="false">E191^2</f>
        <v>0.111111111111111</v>
      </c>
      <c r="H191" s="39" t="s">
        <v>312</v>
      </c>
      <c r="I191" s="40" t="n">
        <f aca="false">1-(SUM(D188:D196)/SUM(F188:F196))</f>
        <v>-159.05</v>
      </c>
    </row>
    <row r="192" customFormat="false" ht="16.5" hidden="false" customHeight="true" outlineLevel="0" collapsed="false">
      <c r="A192" s="37" t="n">
        <v>41</v>
      </c>
      <c r="B192" s="38" t="n">
        <v>6</v>
      </c>
      <c r="C192" s="38" t="n">
        <f aca="false">ABS(B192-A192)</f>
        <v>35</v>
      </c>
      <c r="D192" s="38" t="n">
        <f aca="false">(B192-A192)^2</f>
        <v>1225</v>
      </c>
      <c r="E192" s="38" t="n">
        <f aca="false">B192-$B$197</f>
        <v>2.66666666666667</v>
      </c>
      <c r="F192" s="42" t="n">
        <f aca="false">E192^2</f>
        <v>7.11111111111111</v>
      </c>
    </row>
    <row r="193" customFormat="false" ht="16.5" hidden="false" customHeight="true" outlineLevel="0" collapsed="false">
      <c r="A193" s="37" t="n">
        <v>11</v>
      </c>
      <c r="B193" s="38" t="n">
        <v>2</v>
      </c>
      <c r="C193" s="38" t="n">
        <f aca="false">ABS(B193-A193)</f>
        <v>9</v>
      </c>
      <c r="D193" s="38" t="n">
        <f aca="false">(B193-A193)^2</f>
        <v>81</v>
      </c>
      <c r="E193" s="38" t="n">
        <f aca="false">B193-$B$197</f>
        <v>-1.33333333333333</v>
      </c>
      <c r="F193" s="42" t="n">
        <f aca="false">E193^2</f>
        <v>1.77777777777778</v>
      </c>
    </row>
    <row r="194" customFormat="false" ht="16.5" hidden="false" customHeight="true" outlineLevel="0" collapsed="false">
      <c r="A194" s="37" t="n">
        <v>14</v>
      </c>
      <c r="B194" s="38" t="n">
        <v>4</v>
      </c>
      <c r="C194" s="38" t="n">
        <f aca="false">ABS(B194-A194)</f>
        <v>10</v>
      </c>
      <c r="D194" s="38" t="n">
        <f aca="false">(B194-A194)^2</f>
        <v>100</v>
      </c>
      <c r="E194" s="38" t="n">
        <f aca="false">B194-$B$197</f>
        <v>0.666666666666667</v>
      </c>
      <c r="F194" s="42" t="n">
        <f aca="false">E194^2</f>
        <v>0.444444444444444</v>
      </c>
    </row>
    <row r="195" customFormat="false" ht="16.5" hidden="false" customHeight="true" outlineLevel="0" collapsed="false">
      <c r="A195" s="37" t="n">
        <v>21</v>
      </c>
      <c r="B195" s="38" t="n">
        <v>3</v>
      </c>
      <c r="C195" s="38" t="n">
        <f aca="false">ABS(B195-A195)</f>
        <v>18</v>
      </c>
      <c r="D195" s="38" t="n">
        <f aca="false">(B195-A195)^2</f>
        <v>324</v>
      </c>
      <c r="E195" s="38" t="n">
        <f aca="false">B195-$B$197</f>
        <v>-0.333333333333334</v>
      </c>
      <c r="F195" s="42" t="n">
        <f aca="false">E195^2</f>
        <v>0.111111111111111</v>
      </c>
    </row>
    <row r="196" customFormat="false" ht="16.5" hidden="false" customHeight="true" outlineLevel="0" collapsed="false">
      <c r="A196" s="37" t="n">
        <v>4</v>
      </c>
      <c r="B196" s="38" t="n">
        <v>1</v>
      </c>
      <c r="C196" s="38" t="n">
        <f aca="false">ABS(B196-A196)</f>
        <v>3</v>
      </c>
      <c r="D196" s="38" t="n">
        <f aca="false">(B196-A196)^2</f>
        <v>9</v>
      </c>
      <c r="E196" s="38" t="n">
        <f aca="false">B196-$B$197</f>
        <v>-2.33333333333333</v>
      </c>
      <c r="F196" s="42" t="n">
        <f aca="false">E196^2</f>
        <v>5.44444444444445</v>
      </c>
    </row>
    <row r="197" customFormat="false" ht="32.25" hidden="false" customHeight="true" outlineLevel="0" collapsed="false">
      <c r="A197" s="41" t="s">
        <v>313</v>
      </c>
      <c r="B197" s="38" t="n">
        <f aca="false">AVERAGE(B188:B196)</f>
        <v>3.33333333333333</v>
      </c>
      <c r="C197" s="38" t="n">
        <f aca="false">AVERAGE(C188:C196)</f>
        <v>14.7777777777778</v>
      </c>
      <c r="D197" s="42" t="n">
        <f aca="false">AVERAGE(D188:D196)</f>
        <v>355.666666666667</v>
      </c>
      <c r="E197" s="38"/>
      <c r="F197" s="38"/>
    </row>
  </sheetData>
  <mergeCells count="20">
    <mergeCell ref="A90:A91"/>
    <mergeCell ref="C90:C91"/>
    <mergeCell ref="D90:D91"/>
    <mergeCell ref="E90:E91"/>
    <mergeCell ref="F90:F91"/>
    <mergeCell ref="A105:A106"/>
    <mergeCell ref="C105:C106"/>
    <mergeCell ref="D105:D106"/>
    <mergeCell ref="E105:E106"/>
    <mergeCell ref="F105:F106"/>
    <mergeCell ref="A117:A119"/>
    <mergeCell ref="C117:C119"/>
    <mergeCell ref="D117:D119"/>
    <mergeCell ref="E117:E119"/>
    <mergeCell ref="F117:F119"/>
    <mergeCell ref="A133:A134"/>
    <mergeCell ref="C133:C134"/>
    <mergeCell ref="D133:D134"/>
    <mergeCell ref="E133:E134"/>
    <mergeCell ref="F133:F1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9.43"/>
    <col collapsed="false" customWidth="true" hidden="false" outlineLevel="0" max="3" min="3" style="0" width="15.15"/>
    <col collapsed="false" customWidth="true" hidden="false" outlineLevel="0" max="4" min="4" style="0" width="14.71"/>
    <col collapsed="false" customWidth="true" hidden="false" outlineLevel="0" max="5" min="5" style="0" width="16"/>
  </cols>
  <sheetData>
    <row r="1" customFormat="false" ht="16.5" hidden="false" customHeight="true" outlineLevel="0" collapsed="false">
      <c r="A1" s="35" t="s">
        <v>173</v>
      </c>
      <c r="B1" s="36" t="s">
        <v>356</v>
      </c>
      <c r="C1" s="36" t="s">
        <v>309</v>
      </c>
      <c r="D1" s="36" t="s">
        <v>311</v>
      </c>
      <c r="E1" s="36" t="s">
        <v>312</v>
      </c>
    </row>
    <row r="2" customFormat="false" ht="16.5" hidden="false" customHeight="true" outlineLevel="0" collapsed="false">
      <c r="A2" s="37" t="n">
        <v>1</v>
      </c>
      <c r="B2" s="38" t="s">
        <v>357</v>
      </c>
      <c r="C2" s="38" t="n">
        <v>22.6</v>
      </c>
      <c r="D2" s="38" t="n">
        <v>0.746</v>
      </c>
      <c r="E2" s="38" t="n">
        <v>0.99075</v>
      </c>
    </row>
    <row r="3" customFormat="false" ht="16.5" hidden="false" customHeight="true" outlineLevel="0" collapsed="false">
      <c r="A3" s="37" t="n">
        <v>2</v>
      </c>
      <c r="B3" s="38" t="s">
        <v>358</v>
      </c>
      <c r="C3" s="38" t="n">
        <v>23.29</v>
      </c>
      <c r="D3" s="38" t="n">
        <v>0.876</v>
      </c>
      <c r="E3" s="38" t="n">
        <v>-0.519</v>
      </c>
    </row>
    <row r="4" customFormat="false" ht="16.5" hidden="false" customHeight="true" outlineLevel="0" collapsed="false">
      <c r="A4" s="37" t="n">
        <v>3</v>
      </c>
      <c r="B4" s="38" t="s">
        <v>359</v>
      </c>
      <c r="C4" s="38" t="n">
        <v>14.89</v>
      </c>
      <c r="D4" s="38" t="n">
        <v>0.668</v>
      </c>
      <c r="E4" s="38" t="n">
        <v>0.742</v>
      </c>
    </row>
    <row r="5" customFormat="false" ht="16.5" hidden="false" customHeight="true" outlineLevel="0" collapsed="false">
      <c r="A5" s="49" t="n">
        <v>4</v>
      </c>
      <c r="B5" s="50" t="s">
        <v>360</v>
      </c>
      <c r="C5" s="50" t="n">
        <v>26.67</v>
      </c>
      <c r="D5" s="50" t="n">
        <v>0.979</v>
      </c>
      <c r="E5" s="51" t="n">
        <v>-2.831</v>
      </c>
    </row>
    <row r="6" customFormat="false" ht="16.5" hidden="false" customHeight="true" outlineLevel="0" collapsed="false">
      <c r="A6" s="49" t="n">
        <v>5</v>
      </c>
      <c r="B6" s="50" t="s">
        <v>361</v>
      </c>
      <c r="C6" s="50" t="n">
        <v>20.6</v>
      </c>
      <c r="D6" s="50" t="n">
        <v>0.742</v>
      </c>
      <c r="E6" s="50" t="n">
        <v>0.993</v>
      </c>
    </row>
    <row r="7" customFormat="false" ht="16.5" hidden="false" customHeight="true" outlineLevel="0" collapsed="false">
      <c r="A7" s="37" t="n">
        <v>6</v>
      </c>
      <c r="B7" s="38" t="s">
        <v>362</v>
      </c>
      <c r="C7" s="38" t="n">
        <v>20</v>
      </c>
      <c r="D7" s="38" t="n">
        <v>0.798</v>
      </c>
      <c r="E7" s="38" t="n">
        <v>0.777</v>
      </c>
    </row>
    <row r="8" customFormat="false" ht="16.5" hidden="false" customHeight="true" outlineLevel="0" collapsed="false">
      <c r="A8" s="37" t="n">
        <v>7</v>
      </c>
      <c r="B8" s="38" t="s">
        <v>363</v>
      </c>
      <c r="C8" s="38" t="n">
        <v>26.67</v>
      </c>
      <c r="D8" s="38" t="n">
        <v>0.951</v>
      </c>
      <c r="E8" s="38" t="n">
        <v>0.956</v>
      </c>
    </row>
    <row r="9" customFormat="false" ht="16.5" hidden="false" customHeight="true" outlineLevel="0" collapsed="false">
      <c r="A9" s="37" t="n">
        <v>8</v>
      </c>
      <c r="B9" s="38" t="s">
        <v>364</v>
      </c>
      <c r="C9" s="38" t="n">
        <v>25.5</v>
      </c>
      <c r="D9" s="38" t="n">
        <v>0.946</v>
      </c>
      <c r="E9" s="38" t="n">
        <v>0.998</v>
      </c>
    </row>
    <row r="10" customFormat="false" ht="16.5" hidden="false" customHeight="true" outlineLevel="0" collapsed="false">
      <c r="A10" s="37" t="n">
        <v>9</v>
      </c>
      <c r="B10" s="38" t="s">
        <v>365</v>
      </c>
      <c r="C10" s="38" t="n">
        <v>27</v>
      </c>
      <c r="D10" s="42" t="n">
        <v>1.051</v>
      </c>
      <c r="E10" s="38" t="n">
        <v>0.977</v>
      </c>
    </row>
    <row r="11" customFormat="false" ht="16.5" hidden="false" customHeight="true" outlineLevel="0" collapsed="false">
      <c r="A11" s="37" t="n">
        <v>10</v>
      </c>
      <c r="B11" s="38" t="s">
        <v>366</v>
      </c>
      <c r="C11" s="38" t="n">
        <v>18</v>
      </c>
      <c r="D11" s="38" t="n">
        <v>0.68</v>
      </c>
      <c r="E11" s="42" t="n">
        <v>-91.5</v>
      </c>
    </row>
    <row r="12" customFormat="false" ht="16.5" hidden="false" customHeight="true" outlineLevel="0" collapsed="false">
      <c r="A12" s="37" t="n">
        <v>11</v>
      </c>
      <c r="B12" s="38" t="s">
        <v>367</v>
      </c>
      <c r="C12" s="38" t="n">
        <v>14.67</v>
      </c>
      <c r="D12" s="38" t="n">
        <v>0.633</v>
      </c>
      <c r="E12" s="38" t="n">
        <v>0.746</v>
      </c>
    </row>
    <row r="13" customFormat="false" ht="16.5" hidden="false" customHeight="true" outlineLevel="0" collapsed="false">
      <c r="A13" s="37" t="n">
        <v>12</v>
      </c>
      <c r="B13" s="38" t="s">
        <v>368</v>
      </c>
      <c r="C13" s="38" t="n">
        <v>26.5</v>
      </c>
      <c r="D13" s="38" t="n">
        <v>0.943</v>
      </c>
      <c r="E13" s="42" t="n">
        <v>-2.998</v>
      </c>
    </row>
    <row r="14" customFormat="false" ht="16.5" hidden="false" customHeight="true" outlineLevel="0" collapsed="false">
      <c r="A14" s="37" t="n">
        <v>13</v>
      </c>
      <c r="B14" s="38" t="s">
        <v>369</v>
      </c>
      <c r="C14" s="38" t="n">
        <v>25.2</v>
      </c>
      <c r="D14" s="38" t="n">
        <v>0.915</v>
      </c>
      <c r="E14" s="38" t="n">
        <v>0.99</v>
      </c>
    </row>
    <row r="15" customFormat="false" ht="16.5" hidden="false" customHeight="true" outlineLevel="0" collapsed="false">
      <c r="A15" s="37" t="n">
        <v>14</v>
      </c>
      <c r="B15" s="38" t="s">
        <v>370</v>
      </c>
      <c r="C15" s="38" t="n">
        <v>20.67</v>
      </c>
      <c r="D15" s="38" t="n">
        <v>0.802</v>
      </c>
      <c r="E15" s="38" t="n">
        <v>0.998</v>
      </c>
    </row>
    <row r="16" customFormat="false" ht="16.5" hidden="false" customHeight="true" outlineLevel="0" collapsed="false">
      <c r="A16" s="37" t="n">
        <v>15</v>
      </c>
      <c r="B16" s="38" t="s">
        <v>371</v>
      </c>
      <c r="C16" s="38" t="n">
        <v>18.77</v>
      </c>
      <c r="D16" s="38" t="n">
        <v>0.878</v>
      </c>
      <c r="E16" s="38" t="n">
        <v>0.653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LibreOffice_project/514782dd10a01758e1df8fd7e9a2d52970377f07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2026-06-02T03:47:00Z</dcterms:created>
  <dc:creator>Ghina Lutfiyyah</dc:creator>
  <dc:description/>
  <dc:language>en-US</dc:language>
  <cp:lastModifiedBy>Ghina Lutfiyyah</cp:lastModifiedBy>
  <dcterms:modified xsi:type="dcterms:W3CDTF">2026-07-28T13:59:07Z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47EA536D8EFE4697A8E59E8949CBD34B_12</vt:lpwstr>
  </property>
  <property fmtid="{D5CDD505-2E9C-101B-9397-08002B2CF9AE}" pid="4" name="KSOProductBuildVer">
    <vt:lpwstr>1033-12.1.0.27458</vt:lpwstr>
  </property>
</Properties>
</file>